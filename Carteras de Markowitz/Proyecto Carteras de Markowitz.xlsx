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elen\OneDrive\Documentos\Belen\ACTUARIA\6 SEMESTRE\"/>
    </mc:Choice>
  </mc:AlternateContent>
  <xr:revisionPtr revIDLastSave="0" documentId="13_ncr:1_{99AFD0E0-D238-453D-942B-CE20E2B4DA6A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GFNORTEO" sheetId="1" r:id="rId1"/>
    <sheet name="KOFUBL" sheetId="5" r:id="rId2"/>
    <sheet name="TLEVISACPO" sheetId="6" r:id="rId3"/>
    <sheet name="WALMEX" sheetId="7" r:id="rId4"/>
    <sheet name="KIMBERA" sheetId="3" r:id="rId5"/>
    <sheet name="Inversa" sheetId="9" r:id="rId6"/>
    <sheet name="Portafolio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2" l="1"/>
  <c r="M12" i="12"/>
  <c r="M10" i="12"/>
  <c r="L11" i="12"/>
  <c r="L12" i="12"/>
  <c r="L10" i="12"/>
  <c r="K11" i="12"/>
  <c r="K12" i="12"/>
  <c r="K10" i="12"/>
  <c r="J11" i="12"/>
  <c r="J12" i="12"/>
  <c r="J10" i="12"/>
  <c r="I11" i="12"/>
  <c r="I12" i="12"/>
  <c r="I10" i="12"/>
  <c r="H11" i="12"/>
  <c r="H12" i="12"/>
  <c r="H10" i="12"/>
  <c r="K5" i="12"/>
  <c r="K6" i="12"/>
  <c r="K4" i="12"/>
  <c r="J5" i="12"/>
  <c r="J6" i="12"/>
  <c r="J4" i="12"/>
  <c r="I5" i="12"/>
  <c r="I6" i="12"/>
  <c r="I4" i="12"/>
  <c r="H5" i="12"/>
  <c r="H6" i="12"/>
  <c r="H4" i="12"/>
  <c r="G5" i="12"/>
  <c r="G6" i="12"/>
  <c r="G11" i="12"/>
  <c r="G12" i="12"/>
  <c r="G4" i="12"/>
  <c r="G10" i="12"/>
  <c r="M63" i="9" l="1"/>
  <c r="M64" i="9"/>
  <c r="M53" i="9"/>
  <c r="M54" i="9"/>
  <c r="M55" i="9"/>
  <c r="M56" i="9"/>
  <c r="M57" i="9"/>
  <c r="M58" i="9"/>
  <c r="M59" i="9"/>
  <c r="M60" i="9"/>
  <c r="M61" i="9"/>
  <c r="M62" i="9"/>
  <c r="G66" i="9" a="1"/>
  <c r="G66" i="9" s="1"/>
  <c r="H66" i="9" s="1"/>
  <c r="G65" i="9" a="1"/>
  <c r="G65" i="9" s="1"/>
  <c r="H65" i="9" s="1"/>
  <c r="G63" i="9" a="1"/>
  <c r="G63" i="9" s="1"/>
  <c r="H63" i="9" s="1"/>
  <c r="G64" i="9" a="1"/>
  <c r="G64" i="9" s="1"/>
  <c r="H64" i="9" s="1"/>
  <c r="Z32" i="9" a="1"/>
  <c r="Z32" i="9" s="1"/>
  <c r="Z33" i="9" s="1"/>
  <c r="L62" i="9" s="1"/>
  <c r="G67" i="9" a="1"/>
  <c r="G67" i="9" s="1"/>
  <c r="H67" i="9" s="1"/>
  <c r="G62" i="9" a="1"/>
  <c r="G62" i="9" s="1"/>
  <c r="H62" i="9" s="1"/>
  <c r="G61" i="9" a="1"/>
  <c r="G61" i="9" s="1"/>
  <c r="H61" i="9" s="1"/>
  <c r="G60" i="9" a="1"/>
  <c r="G60" i="9" s="1"/>
  <c r="H60" i="9" s="1"/>
  <c r="G59" i="9" a="1"/>
  <c r="G59" i="9" s="1"/>
  <c r="H59" i="9" s="1"/>
  <c r="G58" i="9" a="1"/>
  <c r="G58" i="9" s="1"/>
  <c r="H58" i="9" s="1"/>
  <c r="G57" i="9" a="1"/>
  <c r="G57" i="9" s="1"/>
  <c r="H57" i="9" s="1"/>
  <c r="G55" i="9" a="1"/>
  <c r="G55" i="9" s="1"/>
  <c r="H55" i="9" s="1"/>
  <c r="G54" i="9" a="1"/>
  <c r="G54" i="9" s="1"/>
  <c r="H54" i="9" s="1"/>
  <c r="G53" i="9" a="1"/>
  <c r="G53" i="9" s="1"/>
  <c r="H53" i="9" s="1"/>
  <c r="G52" i="9" a="1"/>
  <c r="G52" i="9" s="1"/>
  <c r="H52" i="9" s="1"/>
  <c r="G51" i="9" a="1"/>
  <c r="G51" i="9" s="1"/>
  <c r="H51" i="9" s="1"/>
  <c r="G50" i="9" a="1"/>
  <c r="G50" i="9" s="1"/>
  <c r="H50" i="9" s="1"/>
  <c r="G49" i="9" a="1"/>
  <c r="G49" i="9" s="1"/>
  <c r="H49" i="9" s="1"/>
  <c r="G48" i="9" a="1"/>
  <c r="G48" i="9" s="1"/>
  <c r="H48" i="9" s="1"/>
  <c r="AC31" i="9" a="1"/>
  <c r="AC31" i="9" s="1"/>
  <c r="AA31" i="9" s="1"/>
  <c r="G47" i="9" a="1"/>
  <c r="G47" i="9" s="1"/>
  <c r="H47" i="9" s="1"/>
  <c r="G46" i="9" a="1"/>
  <c r="G46" i="9" s="1"/>
  <c r="H46" i="9" s="1"/>
  <c r="G45" i="9" a="1"/>
  <c r="G45" i="9" s="1"/>
  <c r="H45" i="9" s="1"/>
  <c r="G44" i="9" a="1"/>
  <c r="G44" i="9" s="1"/>
  <c r="H44" i="9" s="1"/>
  <c r="G43" i="9" a="1"/>
  <c r="G43" i="9" s="1"/>
  <c r="X4" i="9"/>
  <c r="AA29" i="9"/>
  <c r="N45" i="9"/>
  <c r="C11" i="12"/>
  <c r="C12" i="12"/>
  <c r="F12" i="12" s="1"/>
  <c r="C10" i="12"/>
  <c r="F6" i="12"/>
  <c r="F5" i="12"/>
  <c r="F4" i="12"/>
  <c r="E6" i="12"/>
  <c r="E5" i="12"/>
  <c r="E4" i="12"/>
  <c r="F11" i="12"/>
  <c r="E11" i="12"/>
  <c r="F10" i="12"/>
  <c r="E10" i="12"/>
  <c r="G56" i="9" l="1" a="1"/>
  <c r="G56" i="9" s="1"/>
  <c r="H56" i="9" s="1"/>
  <c r="L50" i="9"/>
  <c r="N50" i="9"/>
  <c r="E12" i="12"/>
  <c r="M52" i="9" l="1"/>
  <c r="I49" i="9" a="1"/>
  <c r="I49" i="9" s="1"/>
  <c r="I43" i="9" a="1"/>
  <c r="I43" i="9" s="1"/>
  <c r="C2" i="6"/>
  <c r="G11" i="6"/>
  <c r="I44" i="9" a="1"/>
  <c r="I44" i="9" s="1"/>
  <c r="Y19" i="9"/>
  <c r="M5" i="9"/>
  <c r="N5" i="9"/>
  <c r="O5" i="9"/>
  <c r="P5" i="9"/>
  <c r="M6" i="9"/>
  <c r="N6" i="9"/>
  <c r="O6" i="9"/>
  <c r="P6" i="9"/>
  <c r="M7" i="9"/>
  <c r="N7" i="9"/>
  <c r="O7" i="9"/>
  <c r="P7" i="9"/>
  <c r="M8" i="9"/>
  <c r="N8" i="9"/>
  <c r="O8" i="9"/>
  <c r="P8" i="9"/>
  <c r="M9" i="9"/>
  <c r="N9" i="9"/>
  <c r="O9" i="9"/>
  <c r="P9" i="9"/>
  <c r="L6" i="9"/>
  <c r="L7" i="9"/>
  <c r="L8" i="9"/>
  <c r="L9" i="9"/>
  <c r="L5" i="9"/>
  <c r="G38" i="9"/>
  <c r="F38" i="9"/>
  <c r="E38" i="9"/>
  <c r="D38" i="9"/>
  <c r="C38" i="9"/>
  <c r="I33" i="9"/>
  <c r="I34" i="9"/>
  <c r="I35" i="9"/>
  <c r="I36" i="9"/>
  <c r="I32" i="9"/>
  <c r="I9" i="9"/>
  <c r="I8" i="9"/>
  <c r="I7" i="9"/>
  <c r="I6" i="9"/>
  <c r="I5" i="9"/>
  <c r="D32" i="9"/>
  <c r="E32" i="9"/>
  <c r="F32" i="9"/>
  <c r="G32" i="9"/>
  <c r="D33" i="9"/>
  <c r="E33" i="9"/>
  <c r="F33" i="9"/>
  <c r="G33" i="9"/>
  <c r="D34" i="9"/>
  <c r="E34" i="9"/>
  <c r="F34" i="9"/>
  <c r="G34" i="9"/>
  <c r="D35" i="9"/>
  <c r="E35" i="9"/>
  <c r="F35" i="9"/>
  <c r="G35" i="9"/>
  <c r="D36" i="9"/>
  <c r="E36" i="9"/>
  <c r="F36" i="9"/>
  <c r="G36" i="9"/>
  <c r="C33" i="9"/>
  <c r="C34" i="9"/>
  <c r="C35" i="9"/>
  <c r="C36" i="9"/>
  <c r="C32" i="9"/>
  <c r="F18" i="9"/>
  <c r="E18" i="9"/>
  <c r="E17" i="9"/>
  <c r="D18" i="9"/>
  <c r="D17" i="9"/>
  <c r="D16" i="9"/>
  <c r="C18" i="9"/>
  <c r="C17" i="9"/>
  <c r="C16" i="9"/>
  <c r="D15" i="9"/>
  <c r="C15" i="9"/>
  <c r="C14" i="9"/>
  <c r="D9" i="9"/>
  <c r="C9" i="9"/>
  <c r="D1258" i="7"/>
  <c r="D1259" i="7"/>
  <c r="D1260" i="7"/>
  <c r="C1258" i="7"/>
  <c r="C1259" i="7"/>
  <c r="C1260" i="7"/>
  <c r="D1258" i="6"/>
  <c r="D1259" i="6"/>
  <c r="D1260" i="6"/>
  <c r="C1258" i="6"/>
  <c r="C1259" i="6"/>
  <c r="C1260" i="6"/>
  <c r="D1258" i="5"/>
  <c r="D1259" i="5"/>
  <c r="D1260" i="5"/>
  <c r="C1258" i="5"/>
  <c r="C1259" i="5"/>
  <c r="C1260" i="5"/>
  <c r="D1258" i="3"/>
  <c r="D1259" i="3"/>
  <c r="D1260" i="3"/>
  <c r="C1258" i="3"/>
  <c r="C1259" i="3"/>
  <c r="C1260" i="3"/>
  <c r="G9" i="3"/>
  <c r="G5" i="3"/>
  <c r="G4" i="3"/>
  <c r="G3" i="3"/>
  <c r="G2" i="3"/>
  <c r="F8" i="9"/>
  <c r="E8" i="9"/>
  <c r="D8" i="9"/>
  <c r="C8" i="9"/>
  <c r="E7" i="9"/>
  <c r="D7" i="9"/>
  <c r="C7" i="9"/>
  <c r="D6" i="9"/>
  <c r="C6" i="9"/>
  <c r="D5" i="9" s="1"/>
  <c r="C5" i="9"/>
  <c r="H9" i="7"/>
  <c r="H10" i="7"/>
  <c r="H11" i="7"/>
  <c r="H12" i="7" s="1"/>
  <c r="H13" i="7"/>
  <c r="H14" i="7" s="1"/>
  <c r="H15" i="7"/>
  <c r="H16" i="7" s="1"/>
  <c r="G15" i="7"/>
  <c r="G14" i="7"/>
  <c r="G13" i="7"/>
  <c r="G11" i="7"/>
  <c r="G10" i="7"/>
  <c r="G9" i="7"/>
  <c r="G5" i="7"/>
  <c r="G4" i="7"/>
  <c r="G3" i="7"/>
  <c r="G2" i="7"/>
  <c r="H15" i="6"/>
  <c r="G15" i="6"/>
  <c r="H13" i="6"/>
  <c r="G13" i="6"/>
  <c r="G14" i="6" s="1"/>
  <c r="H11" i="6"/>
  <c r="H10" i="6"/>
  <c r="G10" i="6"/>
  <c r="H9" i="6"/>
  <c r="G9" i="6"/>
  <c r="G5" i="6"/>
  <c r="G4" i="6"/>
  <c r="G3" i="6"/>
  <c r="G2" i="6"/>
  <c r="H15" i="5"/>
  <c r="G15" i="5"/>
  <c r="G14" i="5"/>
  <c r="H13" i="5"/>
  <c r="H14" i="5" s="1"/>
  <c r="G13" i="5"/>
  <c r="H11" i="5"/>
  <c r="G11" i="5"/>
  <c r="G10" i="5"/>
  <c r="H9" i="5"/>
  <c r="G9" i="5"/>
  <c r="G5" i="5"/>
  <c r="G4" i="5"/>
  <c r="G3" i="5"/>
  <c r="G2" i="5"/>
  <c r="H15" i="1"/>
  <c r="G15" i="1"/>
  <c r="H14" i="1"/>
  <c r="G14" i="1"/>
  <c r="H12" i="1"/>
  <c r="G12" i="1"/>
  <c r="H11" i="1"/>
  <c r="G11" i="1"/>
  <c r="H10" i="1"/>
  <c r="G10" i="1"/>
  <c r="H9" i="1"/>
  <c r="G9" i="1"/>
  <c r="G5" i="1"/>
  <c r="G4" i="1"/>
  <c r="G3" i="1"/>
  <c r="G2" i="1"/>
  <c r="L5" i="12" l="1"/>
  <c r="M5" i="12" s="1"/>
  <c r="L6" i="12"/>
  <c r="M6" i="12" s="1"/>
  <c r="L4" i="12"/>
  <c r="M4" i="12" s="1"/>
  <c r="D1258" i="1"/>
  <c r="D1259" i="1"/>
  <c r="D1260" i="1"/>
  <c r="C1258" i="1"/>
  <c r="C1259" i="1"/>
  <c r="C1260" i="1"/>
  <c r="G1" i="3" l="1"/>
  <c r="G1" i="7"/>
  <c r="G1" i="6"/>
  <c r="G1" i="5"/>
  <c r="G1" i="1"/>
  <c r="X19" i="9" l="1"/>
  <c r="L32" i="9" l="1" a="1"/>
  <c r="L32" i="9" s="1"/>
  <c r="P38" i="9" l="1"/>
  <c r="N36" i="9"/>
  <c r="L34" i="9"/>
  <c r="N37" i="9"/>
  <c r="L35" i="9"/>
  <c r="N38" i="9"/>
  <c r="M37" i="9"/>
  <c r="L36" i="9"/>
  <c r="Q33" i="9"/>
  <c r="P32" i="9"/>
  <c r="M38" i="9"/>
  <c r="R35" i="9"/>
  <c r="Q34" i="9"/>
  <c r="P33" i="9"/>
  <c r="O32" i="9"/>
  <c r="L38" i="9"/>
  <c r="R36" i="9"/>
  <c r="Q35" i="9"/>
  <c r="P34" i="9"/>
  <c r="O33" i="9"/>
  <c r="N32" i="9"/>
  <c r="Q38" i="9"/>
  <c r="P37" i="9"/>
  <c r="O36" i="9"/>
  <c r="N35" i="9"/>
  <c r="M34" i="9"/>
  <c r="L33" i="9"/>
  <c r="O37" i="9"/>
  <c r="M35" i="9"/>
  <c r="R32" i="9"/>
  <c r="O38" i="9"/>
  <c r="M36" i="9"/>
  <c r="R33" i="9"/>
  <c r="Q32" i="9"/>
  <c r="R34" i="9"/>
  <c r="L37" i="9"/>
  <c r="R37" i="9"/>
  <c r="Q36" i="9"/>
  <c r="P35" i="9"/>
  <c r="O34" i="9"/>
  <c r="N33" i="9"/>
  <c r="M32" i="9"/>
  <c r="R38" i="9"/>
  <c r="Q37" i="9"/>
  <c r="P36" i="9"/>
  <c r="O35" i="9"/>
  <c r="N34" i="9"/>
  <c r="M33" i="9"/>
  <c r="W4" i="9" a="1"/>
  <c r="W4" i="9" s="1"/>
  <c r="L18" i="9" a="1"/>
  <c r="O18" i="9" s="1"/>
  <c r="L21" i="9" l="1"/>
  <c r="P19" i="9"/>
  <c r="O23" i="9"/>
  <c r="M22" i="9"/>
  <c r="Q20" i="9"/>
  <c r="O19" i="9"/>
  <c r="M18" i="9"/>
  <c r="N23" i="9"/>
  <c r="L22" i="9"/>
  <c r="P20" i="9"/>
  <c r="N19" i="9"/>
  <c r="L18" i="9"/>
  <c r="M23" i="9"/>
  <c r="Q21" i="9"/>
  <c r="O20" i="9"/>
  <c r="M19" i="9"/>
  <c r="L19" i="9"/>
  <c r="L23" i="9"/>
  <c r="P21" i="9"/>
  <c r="N20" i="9"/>
  <c r="Q22" i="9"/>
  <c r="O21" i="9"/>
  <c r="M20" i="9"/>
  <c r="Q18" i="9"/>
  <c r="P22" i="9"/>
  <c r="N21" i="9"/>
  <c r="L20" i="9"/>
  <c r="P18" i="9"/>
  <c r="P23" i="9"/>
  <c r="N22" i="9"/>
  <c r="N18" i="9"/>
  <c r="Q23" i="9"/>
  <c r="O22" i="9"/>
  <c r="M21" i="9"/>
  <c r="Q19" i="9"/>
  <c r="U18" i="9" l="1" a="1"/>
  <c r="U23" i="9" l="1"/>
  <c r="U18" i="9"/>
  <c r="U22" i="9"/>
  <c r="U19" i="9"/>
  <c r="U20" i="9"/>
  <c r="U21" i="9"/>
  <c r="D1257" i="3" l="1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1257" i="7"/>
  <c r="C1257" i="7"/>
  <c r="D1256" i="7"/>
  <c r="C1256" i="7"/>
  <c r="D1255" i="7"/>
  <c r="C1255" i="7"/>
  <c r="D1254" i="7"/>
  <c r="C1254" i="7"/>
  <c r="D1253" i="7"/>
  <c r="C1253" i="7"/>
  <c r="D1252" i="7"/>
  <c r="C1252" i="7"/>
  <c r="D1251" i="7"/>
  <c r="C1251" i="7"/>
  <c r="D1250" i="7"/>
  <c r="C1250" i="7"/>
  <c r="D1249" i="7"/>
  <c r="C1249" i="7"/>
  <c r="D1248" i="7"/>
  <c r="C1248" i="7"/>
  <c r="D1247" i="7"/>
  <c r="C1247" i="7"/>
  <c r="D1246" i="7"/>
  <c r="C1246" i="7"/>
  <c r="D1245" i="7"/>
  <c r="C1245" i="7"/>
  <c r="D1244" i="7"/>
  <c r="C1244" i="7"/>
  <c r="D1243" i="7"/>
  <c r="C1243" i="7"/>
  <c r="D1242" i="7"/>
  <c r="C1242" i="7"/>
  <c r="D1241" i="7"/>
  <c r="C1241" i="7"/>
  <c r="D1240" i="7"/>
  <c r="C1240" i="7"/>
  <c r="D1239" i="7"/>
  <c r="C1239" i="7"/>
  <c r="D1238" i="7"/>
  <c r="C1238" i="7"/>
  <c r="D1237" i="7"/>
  <c r="C1237" i="7"/>
  <c r="D1236" i="7"/>
  <c r="C1236" i="7"/>
  <c r="D1235" i="7"/>
  <c r="C1235" i="7"/>
  <c r="D1234" i="7"/>
  <c r="C1234" i="7"/>
  <c r="D1233" i="7"/>
  <c r="C1233" i="7"/>
  <c r="D1232" i="7"/>
  <c r="C1232" i="7"/>
  <c r="D1231" i="7"/>
  <c r="C1231" i="7"/>
  <c r="D1230" i="7"/>
  <c r="C1230" i="7"/>
  <c r="D1229" i="7"/>
  <c r="C1229" i="7"/>
  <c r="D1228" i="7"/>
  <c r="C1228" i="7"/>
  <c r="D1227" i="7"/>
  <c r="C1227" i="7"/>
  <c r="D1226" i="7"/>
  <c r="C1226" i="7"/>
  <c r="D1225" i="7"/>
  <c r="C1225" i="7"/>
  <c r="D1224" i="7"/>
  <c r="C1224" i="7"/>
  <c r="D1223" i="7"/>
  <c r="C1223" i="7"/>
  <c r="D1222" i="7"/>
  <c r="C1222" i="7"/>
  <c r="D1221" i="7"/>
  <c r="C1221" i="7"/>
  <c r="D1220" i="7"/>
  <c r="C1220" i="7"/>
  <c r="D1219" i="7"/>
  <c r="C1219" i="7"/>
  <c r="D1218" i="7"/>
  <c r="C1218" i="7"/>
  <c r="D1217" i="7"/>
  <c r="C1217" i="7"/>
  <c r="D1216" i="7"/>
  <c r="C1216" i="7"/>
  <c r="D1215" i="7"/>
  <c r="C1215" i="7"/>
  <c r="D1214" i="7"/>
  <c r="C1214" i="7"/>
  <c r="D1213" i="7"/>
  <c r="C1213" i="7"/>
  <c r="D1212" i="7"/>
  <c r="C1212" i="7"/>
  <c r="D1211" i="7"/>
  <c r="C1211" i="7"/>
  <c r="D1210" i="7"/>
  <c r="C1210" i="7"/>
  <c r="D1209" i="7"/>
  <c r="C1209" i="7"/>
  <c r="D1208" i="7"/>
  <c r="C1208" i="7"/>
  <c r="D1207" i="7"/>
  <c r="C1207" i="7"/>
  <c r="D1206" i="7"/>
  <c r="C1206" i="7"/>
  <c r="D1205" i="7"/>
  <c r="C1205" i="7"/>
  <c r="D1204" i="7"/>
  <c r="C1204" i="7"/>
  <c r="D1203" i="7"/>
  <c r="C1203" i="7"/>
  <c r="D1202" i="7"/>
  <c r="C1202" i="7"/>
  <c r="D1201" i="7"/>
  <c r="C1201" i="7"/>
  <c r="D1200" i="7"/>
  <c r="C1200" i="7"/>
  <c r="D1199" i="7"/>
  <c r="C1199" i="7"/>
  <c r="D1198" i="7"/>
  <c r="C1198" i="7"/>
  <c r="D1197" i="7"/>
  <c r="C1197" i="7"/>
  <c r="D1196" i="7"/>
  <c r="C1196" i="7"/>
  <c r="D1195" i="7"/>
  <c r="C1195" i="7"/>
  <c r="D1194" i="7"/>
  <c r="C1194" i="7"/>
  <c r="D1193" i="7"/>
  <c r="C1193" i="7"/>
  <c r="D1192" i="7"/>
  <c r="C1192" i="7"/>
  <c r="D1191" i="7"/>
  <c r="C1191" i="7"/>
  <c r="D1190" i="7"/>
  <c r="C1190" i="7"/>
  <c r="D1189" i="7"/>
  <c r="C1189" i="7"/>
  <c r="D1188" i="7"/>
  <c r="C1188" i="7"/>
  <c r="D1187" i="7"/>
  <c r="C1187" i="7"/>
  <c r="D1186" i="7"/>
  <c r="C1186" i="7"/>
  <c r="D1185" i="7"/>
  <c r="C1185" i="7"/>
  <c r="D1184" i="7"/>
  <c r="C1184" i="7"/>
  <c r="D1183" i="7"/>
  <c r="C1183" i="7"/>
  <c r="D1182" i="7"/>
  <c r="C1182" i="7"/>
  <c r="D1181" i="7"/>
  <c r="C1181" i="7"/>
  <c r="D1180" i="7"/>
  <c r="C1180" i="7"/>
  <c r="D1179" i="7"/>
  <c r="C1179" i="7"/>
  <c r="D1178" i="7"/>
  <c r="C1178" i="7"/>
  <c r="D1177" i="7"/>
  <c r="C1177" i="7"/>
  <c r="D1176" i="7"/>
  <c r="C1176" i="7"/>
  <c r="D1175" i="7"/>
  <c r="C1175" i="7"/>
  <c r="D1174" i="7"/>
  <c r="C1174" i="7"/>
  <c r="D1173" i="7"/>
  <c r="C1173" i="7"/>
  <c r="D1172" i="7"/>
  <c r="C1172" i="7"/>
  <c r="D1171" i="7"/>
  <c r="C1171" i="7"/>
  <c r="D1170" i="7"/>
  <c r="C1170" i="7"/>
  <c r="D1169" i="7"/>
  <c r="C1169" i="7"/>
  <c r="D1168" i="7"/>
  <c r="C1168" i="7"/>
  <c r="D1167" i="7"/>
  <c r="C1167" i="7"/>
  <c r="D1166" i="7"/>
  <c r="C1166" i="7"/>
  <c r="D1165" i="7"/>
  <c r="C1165" i="7"/>
  <c r="D1164" i="7"/>
  <c r="C1164" i="7"/>
  <c r="D1163" i="7"/>
  <c r="C1163" i="7"/>
  <c r="D1162" i="7"/>
  <c r="C1162" i="7"/>
  <c r="D1161" i="7"/>
  <c r="C1161" i="7"/>
  <c r="D1160" i="7"/>
  <c r="C1160" i="7"/>
  <c r="D1159" i="7"/>
  <c r="C1159" i="7"/>
  <c r="D1158" i="7"/>
  <c r="C1158" i="7"/>
  <c r="D1157" i="7"/>
  <c r="C1157" i="7"/>
  <c r="D1156" i="7"/>
  <c r="C1156" i="7"/>
  <c r="D1155" i="7"/>
  <c r="C1155" i="7"/>
  <c r="D1154" i="7"/>
  <c r="C1154" i="7"/>
  <c r="D1153" i="7"/>
  <c r="C1153" i="7"/>
  <c r="D1152" i="7"/>
  <c r="C1152" i="7"/>
  <c r="D1151" i="7"/>
  <c r="C1151" i="7"/>
  <c r="D1150" i="7"/>
  <c r="C1150" i="7"/>
  <c r="D1149" i="7"/>
  <c r="C1149" i="7"/>
  <c r="D1148" i="7"/>
  <c r="C1148" i="7"/>
  <c r="D1147" i="7"/>
  <c r="C1147" i="7"/>
  <c r="D1146" i="7"/>
  <c r="C1146" i="7"/>
  <c r="D1145" i="7"/>
  <c r="C1145" i="7"/>
  <c r="D1144" i="7"/>
  <c r="C1144" i="7"/>
  <c r="D1143" i="7"/>
  <c r="C1143" i="7"/>
  <c r="D1142" i="7"/>
  <c r="C1142" i="7"/>
  <c r="D1141" i="7"/>
  <c r="C1141" i="7"/>
  <c r="D1140" i="7"/>
  <c r="C1140" i="7"/>
  <c r="D1139" i="7"/>
  <c r="C1139" i="7"/>
  <c r="D1138" i="7"/>
  <c r="C1138" i="7"/>
  <c r="D1137" i="7"/>
  <c r="C1137" i="7"/>
  <c r="D1136" i="7"/>
  <c r="C1136" i="7"/>
  <c r="D1135" i="7"/>
  <c r="C1135" i="7"/>
  <c r="D1134" i="7"/>
  <c r="C1134" i="7"/>
  <c r="D1133" i="7"/>
  <c r="C1133" i="7"/>
  <c r="D1132" i="7"/>
  <c r="C1132" i="7"/>
  <c r="D1131" i="7"/>
  <c r="C1131" i="7"/>
  <c r="D1130" i="7"/>
  <c r="C1130" i="7"/>
  <c r="D1129" i="7"/>
  <c r="C1129" i="7"/>
  <c r="D1128" i="7"/>
  <c r="C1128" i="7"/>
  <c r="D1127" i="7"/>
  <c r="C1127" i="7"/>
  <c r="D1126" i="7"/>
  <c r="C1126" i="7"/>
  <c r="D1125" i="7"/>
  <c r="C1125" i="7"/>
  <c r="D1124" i="7"/>
  <c r="C1124" i="7"/>
  <c r="D1123" i="7"/>
  <c r="C1123" i="7"/>
  <c r="D1122" i="7"/>
  <c r="C1122" i="7"/>
  <c r="D1121" i="7"/>
  <c r="C1121" i="7"/>
  <c r="D1120" i="7"/>
  <c r="C1120" i="7"/>
  <c r="D1119" i="7"/>
  <c r="C1119" i="7"/>
  <c r="D1118" i="7"/>
  <c r="C1118" i="7"/>
  <c r="D1117" i="7"/>
  <c r="C1117" i="7"/>
  <c r="D1116" i="7"/>
  <c r="C1116" i="7"/>
  <c r="D1115" i="7"/>
  <c r="C1115" i="7"/>
  <c r="D1114" i="7"/>
  <c r="C1114" i="7"/>
  <c r="D1113" i="7"/>
  <c r="C1113" i="7"/>
  <c r="D1112" i="7"/>
  <c r="C1112" i="7"/>
  <c r="D1111" i="7"/>
  <c r="C1111" i="7"/>
  <c r="D1110" i="7"/>
  <c r="C1110" i="7"/>
  <c r="D1109" i="7"/>
  <c r="C1109" i="7"/>
  <c r="D1108" i="7"/>
  <c r="C1108" i="7"/>
  <c r="D1107" i="7"/>
  <c r="C1107" i="7"/>
  <c r="D1106" i="7"/>
  <c r="C1106" i="7"/>
  <c r="D1105" i="7"/>
  <c r="C1105" i="7"/>
  <c r="D1104" i="7"/>
  <c r="C1104" i="7"/>
  <c r="D1103" i="7"/>
  <c r="C1103" i="7"/>
  <c r="D1102" i="7"/>
  <c r="C1102" i="7"/>
  <c r="D1101" i="7"/>
  <c r="C1101" i="7"/>
  <c r="D1100" i="7"/>
  <c r="C1100" i="7"/>
  <c r="D1099" i="7"/>
  <c r="C1099" i="7"/>
  <c r="D1098" i="7"/>
  <c r="C1098" i="7"/>
  <c r="D1097" i="7"/>
  <c r="C1097" i="7"/>
  <c r="D1096" i="7"/>
  <c r="C1096" i="7"/>
  <c r="D1095" i="7"/>
  <c r="C1095" i="7"/>
  <c r="D1094" i="7"/>
  <c r="C1094" i="7"/>
  <c r="D1093" i="7"/>
  <c r="C1093" i="7"/>
  <c r="D1092" i="7"/>
  <c r="C1092" i="7"/>
  <c r="D1091" i="7"/>
  <c r="C1091" i="7"/>
  <c r="D1090" i="7"/>
  <c r="C1090" i="7"/>
  <c r="D1089" i="7"/>
  <c r="C1089" i="7"/>
  <c r="D1088" i="7"/>
  <c r="C1088" i="7"/>
  <c r="D1087" i="7"/>
  <c r="C1087" i="7"/>
  <c r="D1086" i="7"/>
  <c r="C1086" i="7"/>
  <c r="D1085" i="7"/>
  <c r="C1085" i="7"/>
  <c r="D1084" i="7"/>
  <c r="C1084" i="7"/>
  <c r="D1083" i="7"/>
  <c r="C1083" i="7"/>
  <c r="D1082" i="7"/>
  <c r="C1082" i="7"/>
  <c r="D1081" i="7"/>
  <c r="C1081" i="7"/>
  <c r="D1080" i="7"/>
  <c r="C1080" i="7"/>
  <c r="D1079" i="7"/>
  <c r="C1079" i="7"/>
  <c r="D1078" i="7"/>
  <c r="C1078" i="7"/>
  <c r="D1077" i="7"/>
  <c r="C1077" i="7"/>
  <c r="D1076" i="7"/>
  <c r="C1076" i="7"/>
  <c r="D1075" i="7"/>
  <c r="C1075" i="7"/>
  <c r="D1074" i="7"/>
  <c r="C1074" i="7"/>
  <c r="D1073" i="7"/>
  <c r="C1073" i="7"/>
  <c r="D1072" i="7"/>
  <c r="C1072" i="7"/>
  <c r="D1071" i="7"/>
  <c r="C1071" i="7"/>
  <c r="D1070" i="7"/>
  <c r="C1070" i="7"/>
  <c r="D1069" i="7"/>
  <c r="C1069" i="7"/>
  <c r="D1068" i="7"/>
  <c r="C1068" i="7"/>
  <c r="D1067" i="7"/>
  <c r="C1067" i="7"/>
  <c r="D1066" i="7"/>
  <c r="C1066" i="7"/>
  <c r="D1065" i="7"/>
  <c r="C1065" i="7"/>
  <c r="D1064" i="7"/>
  <c r="C1064" i="7"/>
  <c r="D1063" i="7"/>
  <c r="C1063" i="7"/>
  <c r="D1062" i="7"/>
  <c r="C1062" i="7"/>
  <c r="D1061" i="7"/>
  <c r="C1061" i="7"/>
  <c r="D1060" i="7"/>
  <c r="C1060" i="7"/>
  <c r="D1059" i="7"/>
  <c r="C1059" i="7"/>
  <c r="D1058" i="7"/>
  <c r="C1058" i="7"/>
  <c r="D1057" i="7"/>
  <c r="C1057" i="7"/>
  <c r="D1056" i="7"/>
  <c r="C1056" i="7"/>
  <c r="D1055" i="7"/>
  <c r="C1055" i="7"/>
  <c r="D1054" i="7"/>
  <c r="C1054" i="7"/>
  <c r="D1053" i="7"/>
  <c r="C1053" i="7"/>
  <c r="D1052" i="7"/>
  <c r="C1052" i="7"/>
  <c r="D1051" i="7"/>
  <c r="C1051" i="7"/>
  <c r="D1050" i="7"/>
  <c r="C1050" i="7"/>
  <c r="D1049" i="7"/>
  <c r="C1049" i="7"/>
  <c r="D1048" i="7"/>
  <c r="C1048" i="7"/>
  <c r="D1047" i="7"/>
  <c r="C1047" i="7"/>
  <c r="D1046" i="7"/>
  <c r="C1046" i="7"/>
  <c r="D1045" i="7"/>
  <c r="C1045" i="7"/>
  <c r="D1044" i="7"/>
  <c r="C1044" i="7"/>
  <c r="D1043" i="7"/>
  <c r="C1043" i="7"/>
  <c r="D1042" i="7"/>
  <c r="C1042" i="7"/>
  <c r="D1041" i="7"/>
  <c r="C1041" i="7"/>
  <c r="D1040" i="7"/>
  <c r="C1040" i="7"/>
  <c r="D1039" i="7"/>
  <c r="C1039" i="7"/>
  <c r="D1038" i="7"/>
  <c r="C1038" i="7"/>
  <c r="D1037" i="7"/>
  <c r="C1037" i="7"/>
  <c r="D1036" i="7"/>
  <c r="C1036" i="7"/>
  <c r="D1035" i="7"/>
  <c r="C1035" i="7"/>
  <c r="D1034" i="7"/>
  <c r="C1034" i="7"/>
  <c r="D1033" i="7"/>
  <c r="C1033" i="7"/>
  <c r="D1032" i="7"/>
  <c r="C1032" i="7"/>
  <c r="D1031" i="7"/>
  <c r="C1031" i="7"/>
  <c r="D1030" i="7"/>
  <c r="C1030" i="7"/>
  <c r="D1029" i="7"/>
  <c r="C1029" i="7"/>
  <c r="D1028" i="7"/>
  <c r="C1028" i="7"/>
  <c r="D1027" i="7"/>
  <c r="C1027" i="7"/>
  <c r="D1026" i="7"/>
  <c r="C1026" i="7"/>
  <c r="D1025" i="7"/>
  <c r="C1025" i="7"/>
  <c r="D1024" i="7"/>
  <c r="C1024" i="7"/>
  <c r="D1023" i="7"/>
  <c r="C1023" i="7"/>
  <c r="D1022" i="7"/>
  <c r="C1022" i="7"/>
  <c r="D1021" i="7"/>
  <c r="C1021" i="7"/>
  <c r="D1020" i="7"/>
  <c r="C1020" i="7"/>
  <c r="D1019" i="7"/>
  <c r="C1019" i="7"/>
  <c r="D1018" i="7"/>
  <c r="C1018" i="7"/>
  <c r="D1017" i="7"/>
  <c r="C1017" i="7"/>
  <c r="D1016" i="7"/>
  <c r="C1016" i="7"/>
  <c r="D1015" i="7"/>
  <c r="C1015" i="7"/>
  <c r="D1014" i="7"/>
  <c r="C1014" i="7"/>
  <c r="D1013" i="7"/>
  <c r="C1013" i="7"/>
  <c r="D1012" i="7"/>
  <c r="C1012" i="7"/>
  <c r="D1011" i="7"/>
  <c r="C1011" i="7"/>
  <c r="D1010" i="7"/>
  <c r="C1010" i="7"/>
  <c r="D1009" i="7"/>
  <c r="C1009" i="7"/>
  <c r="D1008" i="7"/>
  <c r="C1008" i="7"/>
  <c r="D1007" i="7"/>
  <c r="C1007" i="7"/>
  <c r="D1006" i="7"/>
  <c r="C1006" i="7"/>
  <c r="D1005" i="7"/>
  <c r="C1005" i="7"/>
  <c r="D1004" i="7"/>
  <c r="C1004" i="7"/>
  <c r="D1003" i="7"/>
  <c r="C1003" i="7"/>
  <c r="D1002" i="7"/>
  <c r="C1002" i="7"/>
  <c r="D1001" i="7"/>
  <c r="C1001" i="7"/>
  <c r="D1000" i="7"/>
  <c r="C1000" i="7"/>
  <c r="D999" i="7"/>
  <c r="C999" i="7"/>
  <c r="D998" i="7"/>
  <c r="C998" i="7"/>
  <c r="D997" i="7"/>
  <c r="C997" i="7"/>
  <c r="D996" i="7"/>
  <c r="C996" i="7"/>
  <c r="D995" i="7"/>
  <c r="C995" i="7"/>
  <c r="D994" i="7"/>
  <c r="C994" i="7"/>
  <c r="D993" i="7"/>
  <c r="C993" i="7"/>
  <c r="D992" i="7"/>
  <c r="C992" i="7"/>
  <c r="D991" i="7"/>
  <c r="C991" i="7"/>
  <c r="D990" i="7"/>
  <c r="C990" i="7"/>
  <c r="D989" i="7"/>
  <c r="C989" i="7"/>
  <c r="D988" i="7"/>
  <c r="C988" i="7"/>
  <c r="D987" i="7"/>
  <c r="C987" i="7"/>
  <c r="D986" i="7"/>
  <c r="C986" i="7"/>
  <c r="D985" i="7"/>
  <c r="C985" i="7"/>
  <c r="D984" i="7"/>
  <c r="C984" i="7"/>
  <c r="D983" i="7"/>
  <c r="C983" i="7"/>
  <c r="D982" i="7"/>
  <c r="C982" i="7"/>
  <c r="D981" i="7"/>
  <c r="C981" i="7"/>
  <c r="D980" i="7"/>
  <c r="C980" i="7"/>
  <c r="D979" i="7"/>
  <c r="C979" i="7"/>
  <c r="D978" i="7"/>
  <c r="C978" i="7"/>
  <c r="D977" i="7"/>
  <c r="C977" i="7"/>
  <c r="D976" i="7"/>
  <c r="C976" i="7"/>
  <c r="D975" i="7"/>
  <c r="C975" i="7"/>
  <c r="D974" i="7"/>
  <c r="C974" i="7"/>
  <c r="D973" i="7"/>
  <c r="C973" i="7"/>
  <c r="D972" i="7"/>
  <c r="C972" i="7"/>
  <c r="D971" i="7"/>
  <c r="C971" i="7"/>
  <c r="D970" i="7"/>
  <c r="C970" i="7"/>
  <c r="D969" i="7"/>
  <c r="C969" i="7"/>
  <c r="D968" i="7"/>
  <c r="C968" i="7"/>
  <c r="D967" i="7"/>
  <c r="C967" i="7"/>
  <c r="D966" i="7"/>
  <c r="C966" i="7"/>
  <c r="D965" i="7"/>
  <c r="C965" i="7"/>
  <c r="D964" i="7"/>
  <c r="C964" i="7"/>
  <c r="D963" i="7"/>
  <c r="C963" i="7"/>
  <c r="D962" i="7"/>
  <c r="C962" i="7"/>
  <c r="D961" i="7"/>
  <c r="C961" i="7"/>
  <c r="D960" i="7"/>
  <c r="C960" i="7"/>
  <c r="D959" i="7"/>
  <c r="C959" i="7"/>
  <c r="D958" i="7"/>
  <c r="C958" i="7"/>
  <c r="D957" i="7"/>
  <c r="C957" i="7"/>
  <c r="D956" i="7"/>
  <c r="C956" i="7"/>
  <c r="D955" i="7"/>
  <c r="C955" i="7"/>
  <c r="D954" i="7"/>
  <c r="C954" i="7"/>
  <c r="D953" i="7"/>
  <c r="C953" i="7"/>
  <c r="D952" i="7"/>
  <c r="C952" i="7"/>
  <c r="D951" i="7"/>
  <c r="C951" i="7"/>
  <c r="D950" i="7"/>
  <c r="C950" i="7"/>
  <c r="D949" i="7"/>
  <c r="C949" i="7"/>
  <c r="D948" i="7"/>
  <c r="C948" i="7"/>
  <c r="D947" i="7"/>
  <c r="C947" i="7"/>
  <c r="D946" i="7"/>
  <c r="C946" i="7"/>
  <c r="D945" i="7"/>
  <c r="C945" i="7"/>
  <c r="D944" i="7"/>
  <c r="C944" i="7"/>
  <c r="D943" i="7"/>
  <c r="C943" i="7"/>
  <c r="D942" i="7"/>
  <c r="C942" i="7"/>
  <c r="D941" i="7"/>
  <c r="C941" i="7"/>
  <c r="D940" i="7"/>
  <c r="C940" i="7"/>
  <c r="D939" i="7"/>
  <c r="C939" i="7"/>
  <c r="D938" i="7"/>
  <c r="C938" i="7"/>
  <c r="D937" i="7"/>
  <c r="C937" i="7"/>
  <c r="D936" i="7"/>
  <c r="C936" i="7"/>
  <c r="D935" i="7"/>
  <c r="C935" i="7"/>
  <c r="D934" i="7"/>
  <c r="C934" i="7"/>
  <c r="D933" i="7"/>
  <c r="C933" i="7"/>
  <c r="D932" i="7"/>
  <c r="C932" i="7"/>
  <c r="D931" i="7"/>
  <c r="C931" i="7"/>
  <c r="D930" i="7"/>
  <c r="C930" i="7"/>
  <c r="D929" i="7"/>
  <c r="C929" i="7"/>
  <c r="D928" i="7"/>
  <c r="C928" i="7"/>
  <c r="D927" i="7"/>
  <c r="C927" i="7"/>
  <c r="D926" i="7"/>
  <c r="C926" i="7"/>
  <c r="D925" i="7"/>
  <c r="C925" i="7"/>
  <c r="D924" i="7"/>
  <c r="C924" i="7"/>
  <c r="D923" i="7"/>
  <c r="C923" i="7"/>
  <c r="D922" i="7"/>
  <c r="C922" i="7"/>
  <c r="D921" i="7"/>
  <c r="C921" i="7"/>
  <c r="D920" i="7"/>
  <c r="C920" i="7"/>
  <c r="D919" i="7"/>
  <c r="C919" i="7"/>
  <c r="D918" i="7"/>
  <c r="C918" i="7"/>
  <c r="D917" i="7"/>
  <c r="C917" i="7"/>
  <c r="D916" i="7"/>
  <c r="C916" i="7"/>
  <c r="D915" i="7"/>
  <c r="C915" i="7"/>
  <c r="D914" i="7"/>
  <c r="C914" i="7"/>
  <c r="D913" i="7"/>
  <c r="C913" i="7"/>
  <c r="D912" i="7"/>
  <c r="C912" i="7"/>
  <c r="D911" i="7"/>
  <c r="C911" i="7"/>
  <c r="D910" i="7"/>
  <c r="C910" i="7"/>
  <c r="D909" i="7"/>
  <c r="C909" i="7"/>
  <c r="D908" i="7"/>
  <c r="C908" i="7"/>
  <c r="D907" i="7"/>
  <c r="C907" i="7"/>
  <c r="D906" i="7"/>
  <c r="C906" i="7"/>
  <c r="D905" i="7"/>
  <c r="C905" i="7"/>
  <c r="D904" i="7"/>
  <c r="C904" i="7"/>
  <c r="D903" i="7"/>
  <c r="C903" i="7"/>
  <c r="D902" i="7"/>
  <c r="C902" i="7"/>
  <c r="D901" i="7"/>
  <c r="C901" i="7"/>
  <c r="D900" i="7"/>
  <c r="C900" i="7"/>
  <c r="D899" i="7"/>
  <c r="C899" i="7"/>
  <c r="D898" i="7"/>
  <c r="C898" i="7"/>
  <c r="D897" i="7"/>
  <c r="C897" i="7"/>
  <c r="D896" i="7"/>
  <c r="C896" i="7"/>
  <c r="D895" i="7"/>
  <c r="C895" i="7"/>
  <c r="D894" i="7"/>
  <c r="C894" i="7"/>
  <c r="D893" i="7"/>
  <c r="C893" i="7"/>
  <c r="D892" i="7"/>
  <c r="C892" i="7"/>
  <c r="D891" i="7"/>
  <c r="C891" i="7"/>
  <c r="D890" i="7"/>
  <c r="C890" i="7"/>
  <c r="D889" i="7"/>
  <c r="C889" i="7"/>
  <c r="D888" i="7"/>
  <c r="C888" i="7"/>
  <c r="D887" i="7"/>
  <c r="C887" i="7"/>
  <c r="D886" i="7"/>
  <c r="C886" i="7"/>
  <c r="D885" i="7"/>
  <c r="C885" i="7"/>
  <c r="D884" i="7"/>
  <c r="C884" i="7"/>
  <c r="D883" i="7"/>
  <c r="C883" i="7"/>
  <c r="D882" i="7"/>
  <c r="C882" i="7"/>
  <c r="D881" i="7"/>
  <c r="C881" i="7"/>
  <c r="D880" i="7"/>
  <c r="C880" i="7"/>
  <c r="D879" i="7"/>
  <c r="C879" i="7"/>
  <c r="D878" i="7"/>
  <c r="C878" i="7"/>
  <c r="D877" i="7"/>
  <c r="C877" i="7"/>
  <c r="D876" i="7"/>
  <c r="C876" i="7"/>
  <c r="D875" i="7"/>
  <c r="C875" i="7"/>
  <c r="D874" i="7"/>
  <c r="C874" i="7"/>
  <c r="D873" i="7"/>
  <c r="C873" i="7"/>
  <c r="D872" i="7"/>
  <c r="C872" i="7"/>
  <c r="D871" i="7"/>
  <c r="C871" i="7"/>
  <c r="D870" i="7"/>
  <c r="C870" i="7"/>
  <c r="D869" i="7"/>
  <c r="C869" i="7"/>
  <c r="D868" i="7"/>
  <c r="C868" i="7"/>
  <c r="D867" i="7"/>
  <c r="C867" i="7"/>
  <c r="D866" i="7"/>
  <c r="C866" i="7"/>
  <c r="D865" i="7"/>
  <c r="C865" i="7"/>
  <c r="D864" i="7"/>
  <c r="C864" i="7"/>
  <c r="D863" i="7"/>
  <c r="C863" i="7"/>
  <c r="D862" i="7"/>
  <c r="C862" i="7"/>
  <c r="D861" i="7"/>
  <c r="C861" i="7"/>
  <c r="D860" i="7"/>
  <c r="C860" i="7"/>
  <c r="D859" i="7"/>
  <c r="C859" i="7"/>
  <c r="D858" i="7"/>
  <c r="C858" i="7"/>
  <c r="D857" i="7"/>
  <c r="C857" i="7"/>
  <c r="D856" i="7"/>
  <c r="C856" i="7"/>
  <c r="D855" i="7"/>
  <c r="C855" i="7"/>
  <c r="D854" i="7"/>
  <c r="C854" i="7"/>
  <c r="D853" i="7"/>
  <c r="C853" i="7"/>
  <c r="D852" i="7"/>
  <c r="C852" i="7"/>
  <c r="D851" i="7"/>
  <c r="C851" i="7"/>
  <c r="D850" i="7"/>
  <c r="C850" i="7"/>
  <c r="D849" i="7"/>
  <c r="C849" i="7"/>
  <c r="D848" i="7"/>
  <c r="C848" i="7"/>
  <c r="D847" i="7"/>
  <c r="C847" i="7"/>
  <c r="D846" i="7"/>
  <c r="C846" i="7"/>
  <c r="D845" i="7"/>
  <c r="C845" i="7"/>
  <c r="D844" i="7"/>
  <c r="C844" i="7"/>
  <c r="D843" i="7"/>
  <c r="C843" i="7"/>
  <c r="D842" i="7"/>
  <c r="C842" i="7"/>
  <c r="D841" i="7"/>
  <c r="C841" i="7"/>
  <c r="D840" i="7"/>
  <c r="C840" i="7"/>
  <c r="D839" i="7"/>
  <c r="C839" i="7"/>
  <c r="D838" i="7"/>
  <c r="C838" i="7"/>
  <c r="D837" i="7"/>
  <c r="C837" i="7"/>
  <c r="D836" i="7"/>
  <c r="C836" i="7"/>
  <c r="D835" i="7"/>
  <c r="C835" i="7"/>
  <c r="D834" i="7"/>
  <c r="C834" i="7"/>
  <c r="D833" i="7"/>
  <c r="C833" i="7"/>
  <c r="D832" i="7"/>
  <c r="C832" i="7"/>
  <c r="D831" i="7"/>
  <c r="C831" i="7"/>
  <c r="D830" i="7"/>
  <c r="C830" i="7"/>
  <c r="D829" i="7"/>
  <c r="C829" i="7"/>
  <c r="D828" i="7"/>
  <c r="C828" i="7"/>
  <c r="D827" i="7"/>
  <c r="C827" i="7"/>
  <c r="D826" i="7"/>
  <c r="C826" i="7"/>
  <c r="D825" i="7"/>
  <c r="C825" i="7"/>
  <c r="D824" i="7"/>
  <c r="C824" i="7"/>
  <c r="D823" i="7"/>
  <c r="C823" i="7"/>
  <c r="D822" i="7"/>
  <c r="C822" i="7"/>
  <c r="D821" i="7"/>
  <c r="C821" i="7"/>
  <c r="D820" i="7"/>
  <c r="C820" i="7"/>
  <c r="D819" i="7"/>
  <c r="C819" i="7"/>
  <c r="D818" i="7"/>
  <c r="C818" i="7"/>
  <c r="D817" i="7"/>
  <c r="C817" i="7"/>
  <c r="D816" i="7"/>
  <c r="C816" i="7"/>
  <c r="D815" i="7"/>
  <c r="C815" i="7"/>
  <c r="D814" i="7"/>
  <c r="C814" i="7"/>
  <c r="D813" i="7"/>
  <c r="C813" i="7"/>
  <c r="D812" i="7"/>
  <c r="C812" i="7"/>
  <c r="D811" i="7"/>
  <c r="C811" i="7"/>
  <c r="D810" i="7"/>
  <c r="C810" i="7"/>
  <c r="D809" i="7"/>
  <c r="C809" i="7"/>
  <c r="D808" i="7"/>
  <c r="C808" i="7"/>
  <c r="D807" i="7"/>
  <c r="C807" i="7"/>
  <c r="D806" i="7"/>
  <c r="C806" i="7"/>
  <c r="D805" i="7"/>
  <c r="C805" i="7"/>
  <c r="D804" i="7"/>
  <c r="C804" i="7"/>
  <c r="D803" i="7"/>
  <c r="C803" i="7"/>
  <c r="D802" i="7"/>
  <c r="C802" i="7"/>
  <c r="D801" i="7"/>
  <c r="C801" i="7"/>
  <c r="D800" i="7"/>
  <c r="C800" i="7"/>
  <c r="D799" i="7"/>
  <c r="C799" i="7"/>
  <c r="D798" i="7"/>
  <c r="C798" i="7"/>
  <c r="D797" i="7"/>
  <c r="C797" i="7"/>
  <c r="D796" i="7"/>
  <c r="C796" i="7"/>
  <c r="D795" i="7"/>
  <c r="C795" i="7"/>
  <c r="D794" i="7"/>
  <c r="C794" i="7"/>
  <c r="D793" i="7"/>
  <c r="C793" i="7"/>
  <c r="D792" i="7"/>
  <c r="C792" i="7"/>
  <c r="D791" i="7"/>
  <c r="C791" i="7"/>
  <c r="D790" i="7"/>
  <c r="C790" i="7"/>
  <c r="D789" i="7"/>
  <c r="C789" i="7"/>
  <c r="D788" i="7"/>
  <c r="C788" i="7"/>
  <c r="D787" i="7"/>
  <c r="C787" i="7"/>
  <c r="D786" i="7"/>
  <c r="C786" i="7"/>
  <c r="D785" i="7"/>
  <c r="C785" i="7"/>
  <c r="D784" i="7"/>
  <c r="C784" i="7"/>
  <c r="D783" i="7"/>
  <c r="C783" i="7"/>
  <c r="D782" i="7"/>
  <c r="C782" i="7"/>
  <c r="D781" i="7"/>
  <c r="C781" i="7"/>
  <c r="D780" i="7"/>
  <c r="C780" i="7"/>
  <c r="D779" i="7"/>
  <c r="C779" i="7"/>
  <c r="D778" i="7"/>
  <c r="C778" i="7"/>
  <c r="D777" i="7"/>
  <c r="C777" i="7"/>
  <c r="D776" i="7"/>
  <c r="C776" i="7"/>
  <c r="D775" i="7"/>
  <c r="C775" i="7"/>
  <c r="D774" i="7"/>
  <c r="C774" i="7"/>
  <c r="D773" i="7"/>
  <c r="C773" i="7"/>
  <c r="D772" i="7"/>
  <c r="C772" i="7"/>
  <c r="D771" i="7"/>
  <c r="C771" i="7"/>
  <c r="D770" i="7"/>
  <c r="C770" i="7"/>
  <c r="D769" i="7"/>
  <c r="C769" i="7"/>
  <c r="D768" i="7"/>
  <c r="C768" i="7"/>
  <c r="D767" i="7"/>
  <c r="C767" i="7"/>
  <c r="D766" i="7"/>
  <c r="C766" i="7"/>
  <c r="D765" i="7"/>
  <c r="C765" i="7"/>
  <c r="D764" i="7"/>
  <c r="C764" i="7"/>
  <c r="D763" i="7"/>
  <c r="C763" i="7"/>
  <c r="D762" i="7"/>
  <c r="C762" i="7"/>
  <c r="D761" i="7"/>
  <c r="C761" i="7"/>
  <c r="D760" i="7"/>
  <c r="C760" i="7"/>
  <c r="D759" i="7"/>
  <c r="C759" i="7"/>
  <c r="D758" i="7"/>
  <c r="C758" i="7"/>
  <c r="D757" i="7"/>
  <c r="C757" i="7"/>
  <c r="D756" i="7"/>
  <c r="C756" i="7"/>
  <c r="D755" i="7"/>
  <c r="C755" i="7"/>
  <c r="D754" i="7"/>
  <c r="C754" i="7"/>
  <c r="D753" i="7"/>
  <c r="C753" i="7"/>
  <c r="D752" i="7"/>
  <c r="C752" i="7"/>
  <c r="D751" i="7"/>
  <c r="C751" i="7"/>
  <c r="D750" i="7"/>
  <c r="C750" i="7"/>
  <c r="D749" i="7"/>
  <c r="C749" i="7"/>
  <c r="D748" i="7"/>
  <c r="C748" i="7"/>
  <c r="D747" i="7"/>
  <c r="C747" i="7"/>
  <c r="D746" i="7"/>
  <c r="C746" i="7"/>
  <c r="D745" i="7"/>
  <c r="C745" i="7"/>
  <c r="D744" i="7"/>
  <c r="C744" i="7"/>
  <c r="D743" i="7"/>
  <c r="C743" i="7"/>
  <c r="D742" i="7"/>
  <c r="C742" i="7"/>
  <c r="D741" i="7"/>
  <c r="C741" i="7"/>
  <c r="D740" i="7"/>
  <c r="C740" i="7"/>
  <c r="D739" i="7"/>
  <c r="C739" i="7"/>
  <c r="D738" i="7"/>
  <c r="C738" i="7"/>
  <c r="D737" i="7"/>
  <c r="C737" i="7"/>
  <c r="D736" i="7"/>
  <c r="C736" i="7"/>
  <c r="D735" i="7"/>
  <c r="C735" i="7"/>
  <c r="D734" i="7"/>
  <c r="C734" i="7"/>
  <c r="D733" i="7"/>
  <c r="C733" i="7"/>
  <c r="D732" i="7"/>
  <c r="C732" i="7"/>
  <c r="D731" i="7"/>
  <c r="C731" i="7"/>
  <c r="D730" i="7"/>
  <c r="C730" i="7"/>
  <c r="D729" i="7"/>
  <c r="C729" i="7"/>
  <c r="D728" i="7"/>
  <c r="C728" i="7"/>
  <c r="D727" i="7"/>
  <c r="C727" i="7"/>
  <c r="D726" i="7"/>
  <c r="C726" i="7"/>
  <c r="D725" i="7"/>
  <c r="C725" i="7"/>
  <c r="D724" i="7"/>
  <c r="C724" i="7"/>
  <c r="D723" i="7"/>
  <c r="C723" i="7"/>
  <c r="D722" i="7"/>
  <c r="C722" i="7"/>
  <c r="D721" i="7"/>
  <c r="C721" i="7"/>
  <c r="D720" i="7"/>
  <c r="C720" i="7"/>
  <c r="D719" i="7"/>
  <c r="C719" i="7"/>
  <c r="D718" i="7"/>
  <c r="C718" i="7"/>
  <c r="D717" i="7"/>
  <c r="C717" i="7"/>
  <c r="D716" i="7"/>
  <c r="C716" i="7"/>
  <c r="D715" i="7"/>
  <c r="C715" i="7"/>
  <c r="D714" i="7"/>
  <c r="C714" i="7"/>
  <c r="D713" i="7"/>
  <c r="C713" i="7"/>
  <c r="D712" i="7"/>
  <c r="C712" i="7"/>
  <c r="D711" i="7"/>
  <c r="C711" i="7"/>
  <c r="D710" i="7"/>
  <c r="C710" i="7"/>
  <c r="D709" i="7"/>
  <c r="C709" i="7"/>
  <c r="D708" i="7"/>
  <c r="C708" i="7"/>
  <c r="D707" i="7"/>
  <c r="C707" i="7"/>
  <c r="D706" i="7"/>
  <c r="C706" i="7"/>
  <c r="D705" i="7"/>
  <c r="C705" i="7"/>
  <c r="D704" i="7"/>
  <c r="C704" i="7"/>
  <c r="D703" i="7"/>
  <c r="C703" i="7"/>
  <c r="D702" i="7"/>
  <c r="C702" i="7"/>
  <c r="D701" i="7"/>
  <c r="C701" i="7"/>
  <c r="D700" i="7"/>
  <c r="C700" i="7"/>
  <c r="D699" i="7"/>
  <c r="C699" i="7"/>
  <c r="D698" i="7"/>
  <c r="C698" i="7"/>
  <c r="D697" i="7"/>
  <c r="C697" i="7"/>
  <c r="D696" i="7"/>
  <c r="C696" i="7"/>
  <c r="D695" i="7"/>
  <c r="C695" i="7"/>
  <c r="D694" i="7"/>
  <c r="C694" i="7"/>
  <c r="D693" i="7"/>
  <c r="C693" i="7"/>
  <c r="D692" i="7"/>
  <c r="C692" i="7"/>
  <c r="D691" i="7"/>
  <c r="C691" i="7"/>
  <c r="D690" i="7"/>
  <c r="C690" i="7"/>
  <c r="D689" i="7"/>
  <c r="C689" i="7"/>
  <c r="D688" i="7"/>
  <c r="C688" i="7"/>
  <c r="D687" i="7"/>
  <c r="C687" i="7"/>
  <c r="D686" i="7"/>
  <c r="C686" i="7"/>
  <c r="D685" i="7"/>
  <c r="C685" i="7"/>
  <c r="D684" i="7"/>
  <c r="C684" i="7"/>
  <c r="D683" i="7"/>
  <c r="C683" i="7"/>
  <c r="D682" i="7"/>
  <c r="C682" i="7"/>
  <c r="D681" i="7"/>
  <c r="C681" i="7"/>
  <c r="D680" i="7"/>
  <c r="C680" i="7"/>
  <c r="D679" i="7"/>
  <c r="C679" i="7"/>
  <c r="D678" i="7"/>
  <c r="C678" i="7"/>
  <c r="D677" i="7"/>
  <c r="C677" i="7"/>
  <c r="D676" i="7"/>
  <c r="C676" i="7"/>
  <c r="D675" i="7"/>
  <c r="C675" i="7"/>
  <c r="D674" i="7"/>
  <c r="C674" i="7"/>
  <c r="D673" i="7"/>
  <c r="C673" i="7"/>
  <c r="D672" i="7"/>
  <c r="C672" i="7"/>
  <c r="D671" i="7"/>
  <c r="C671" i="7"/>
  <c r="D670" i="7"/>
  <c r="C670" i="7"/>
  <c r="D669" i="7"/>
  <c r="C669" i="7"/>
  <c r="D668" i="7"/>
  <c r="C668" i="7"/>
  <c r="D667" i="7"/>
  <c r="C667" i="7"/>
  <c r="D666" i="7"/>
  <c r="C666" i="7"/>
  <c r="D665" i="7"/>
  <c r="C665" i="7"/>
  <c r="D664" i="7"/>
  <c r="C664" i="7"/>
  <c r="D663" i="7"/>
  <c r="C663" i="7"/>
  <c r="D662" i="7"/>
  <c r="C662" i="7"/>
  <c r="D661" i="7"/>
  <c r="C661" i="7"/>
  <c r="D660" i="7"/>
  <c r="C660" i="7"/>
  <c r="D659" i="7"/>
  <c r="C659" i="7"/>
  <c r="D658" i="7"/>
  <c r="C658" i="7"/>
  <c r="D657" i="7"/>
  <c r="C657" i="7"/>
  <c r="D656" i="7"/>
  <c r="C656" i="7"/>
  <c r="D655" i="7"/>
  <c r="C655" i="7"/>
  <c r="D654" i="7"/>
  <c r="C654" i="7"/>
  <c r="D653" i="7"/>
  <c r="C653" i="7"/>
  <c r="D652" i="7"/>
  <c r="C652" i="7"/>
  <c r="D651" i="7"/>
  <c r="C651" i="7"/>
  <c r="D650" i="7"/>
  <c r="C650" i="7"/>
  <c r="D649" i="7"/>
  <c r="C649" i="7"/>
  <c r="D648" i="7"/>
  <c r="C648" i="7"/>
  <c r="D647" i="7"/>
  <c r="C647" i="7"/>
  <c r="D646" i="7"/>
  <c r="C646" i="7"/>
  <c r="D645" i="7"/>
  <c r="C645" i="7"/>
  <c r="D644" i="7"/>
  <c r="C644" i="7"/>
  <c r="D643" i="7"/>
  <c r="C643" i="7"/>
  <c r="D642" i="7"/>
  <c r="C642" i="7"/>
  <c r="D641" i="7"/>
  <c r="C641" i="7"/>
  <c r="D640" i="7"/>
  <c r="C640" i="7"/>
  <c r="D639" i="7"/>
  <c r="C639" i="7"/>
  <c r="D638" i="7"/>
  <c r="C638" i="7"/>
  <c r="D637" i="7"/>
  <c r="C637" i="7"/>
  <c r="D636" i="7"/>
  <c r="C636" i="7"/>
  <c r="D635" i="7"/>
  <c r="C635" i="7"/>
  <c r="D634" i="7"/>
  <c r="C634" i="7"/>
  <c r="D633" i="7"/>
  <c r="C633" i="7"/>
  <c r="D632" i="7"/>
  <c r="C632" i="7"/>
  <c r="D631" i="7"/>
  <c r="C631" i="7"/>
  <c r="D630" i="7"/>
  <c r="C630" i="7"/>
  <c r="D629" i="7"/>
  <c r="C629" i="7"/>
  <c r="D628" i="7"/>
  <c r="C628" i="7"/>
  <c r="D627" i="7"/>
  <c r="C627" i="7"/>
  <c r="D626" i="7"/>
  <c r="C626" i="7"/>
  <c r="D625" i="7"/>
  <c r="C625" i="7"/>
  <c r="D624" i="7"/>
  <c r="C624" i="7"/>
  <c r="D623" i="7"/>
  <c r="C623" i="7"/>
  <c r="D622" i="7"/>
  <c r="C622" i="7"/>
  <c r="D621" i="7"/>
  <c r="C621" i="7"/>
  <c r="D620" i="7"/>
  <c r="C620" i="7"/>
  <c r="D619" i="7"/>
  <c r="C619" i="7"/>
  <c r="D618" i="7"/>
  <c r="C618" i="7"/>
  <c r="D617" i="7"/>
  <c r="C617" i="7"/>
  <c r="D616" i="7"/>
  <c r="C616" i="7"/>
  <c r="D615" i="7"/>
  <c r="C615" i="7"/>
  <c r="D614" i="7"/>
  <c r="C614" i="7"/>
  <c r="D613" i="7"/>
  <c r="C613" i="7"/>
  <c r="D612" i="7"/>
  <c r="C612" i="7"/>
  <c r="D611" i="7"/>
  <c r="C611" i="7"/>
  <c r="D610" i="7"/>
  <c r="C610" i="7"/>
  <c r="D609" i="7"/>
  <c r="C609" i="7"/>
  <c r="D608" i="7"/>
  <c r="C608" i="7"/>
  <c r="D607" i="7"/>
  <c r="C607" i="7"/>
  <c r="D606" i="7"/>
  <c r="C606" i="7"/>
  <c r="D605" i="7"/>
  <c r="C605" i="7"/>
  <c r="D604" i="7"/>
  <c r="C604" i="7"/>
  <c r="D603" i="7"/>
  <c r="C603" i="7"/>
  <c r="D602" i="7"/>
  <c r="C602" i="7"/>
  <c r="D601" i="7"/>
  <c r="C601" i="7"/>
  <c r="D600" i="7"/>
  <c r="C600" i="7"/>
  <c r="D599" i="7"/>
  <c r="C599" i="7"/>
  <c r="D598" i="7"/>
  <c r="C598" i="7"/>
  <c r="D597" i="7"/>
  <c r="C597" i="7"/>
  <c r="D596" i="7"/>
  <c r="C596" i="7"/>
  <c r="D595" i="7"/>
  <c r="C595" i="7"/>
  <c r="D594" i="7"/>
  <c r="C594" i="7"/>
  <c r="D593" i="7"/>
  <c r="C593" i="7"/>
  <c r="D592" i="7"/>
  <c r="C592" i="7"/>
  <c r="D591" i="7"/>
  <c r="C591" i="7"/>
  <c r="D590" i="7"/>
  <c r="C590" i="7"/>
  <c r="D589" i="7"/>
  <c r="C589" i="7"/>
  <c r="D588" i="7"/>
  <c r="C588" i="7"/>
  <c r="D587" i="7"/>
  <c r="C587" i="7"/>
  <c r="D586" i="7"/>
  <c r="C586" i="7"/>
  <c r="D585" i="7"/>
  <c r="C585" i="7"/>
  <c r="D584" i="7"/>
  <c r="C584" i="7"/>
  <c r="D583" i="7"/>
  <c r="C583" i="7"/>
  <c r="D582" i="7"/>
  <c r="C582" i="7"/>
  <c r="D581" i="7"/>
  <c r="C581" i="7"/>
  <c r="D580" i="7"/>
  <c r="C580" i="7"/>
  <c r="D579" i="7"/>
  <c r="C579" i="7"/>
  <c r="D578" i="7"/>
  <c r="C578" i="7"/>
  <c r="D577" i="7"/>
  <c r="C577" i="7"/>
  <c r="D576" i="7"/>
  <c r="C576" i="7"/>
  <c r="D575" i="7"/>
  <c r="C575" i="7"/>
  <c r="D574" i="7"/>
  <c r="C574" i="7"/>
  <c r="D573" i="7"/>
  <c r="C573" i="7"/>
  <c r="D572" i="7"/>
  <c r="C572" i="7"/>
  <c r="D571" i="7"/>
  <c r="C571" i="7"/>
  <c r="D570" i="7"/>
  <c r="C570" i="7"/>
  <c r="D569" i="7"/>
  <c r="C569" i="7"/>
  <c r="D568" i="7"/>
  <c r="C568" i="7"/>
  <c r="D567" i="7"/>
  <c r="C567" i="7"/>
  <c r="D566" i="7"/>
  <c r="C566" i="7"/>
  <c r="D565" i="7"/>
  <c r="C565" i="7"/>
  <c r="D564" i="7"/>
  <c r="C564" i="7"/>
  <c r="D563" i="7"/>
  <c r="C563" i="7"/>
  <c r="D562" i="7"/>
  <c r="C562" i="7"/>
  <c r="D561" i="7"/>
  <c r="C561" i="7"/>
  <c r="D560" i="7"/>
  <c r="C560" i="7"/>
  <c r="D559" i="7"/>
  <c r="C559" i="7"/>
  <c r="D558" i="7"/>
  <c r="C558" i="7"/>
  <c r="D557" i="7"/>
  <c r="C557" i="7"/>
  <c r="D556" i="7"/>
  <c r="C556" i="7"/>
  <c r="D555" i="7"/>
  <c r="C555" i="7"/>
  <c r="D554" i="7"/>
  <c r="C554" i="7"/>
  <c r="D553" i="7"/>
  <c r="C553" i="7"/>
  <c r="D552" i="7"/>
  <c r="C552" i="7"/>
  <c r="D551" i="7"/>
  <c r="C551" i="7"/>
  <c r="D550" i="7"/>
  <c r="C550" i="7"/>
  <c r="D549" i="7"/>
  <c r="C549" i="7"/>
  <c r="D548" i="7"/>
  <c r="C548" i="7"/>
  <c r="D547" i="7"/>
  <c r="C547" i="7"/>
  <c r="D546" i="7"/>
  <c r="C546" i="7"/>
  <c r="D545" i="7"/>
  <c r="C545" i="7"/>
  <c r="D544" i="7"/>
  <c r="C544" i="7"/>
  <c r="D543" i="7"/>
  <c r="C543" i="7"/>
  <c r="D542" i="7"/>
  <c r="C542" i="7"/>
  <c r="D541" i="7"/>
  <c r="C541" i="7"/>
  <c r="D540" i="7"/>
  <c r="C540" i="7"/>
  <c r="D539" i="7"/>
  <c r="C539" i="7"/>
  <c r="D538" i="7"/>
  <c r="C538" i="7"/>
  <c r="D537" i="7"/>
  <c r="C537" i="7"/>
  <c r="D536" i="7"/>
  <c r="C536" i="7"/>
  <c r="D535" i="7"/>
  <c r="C535" i="7"/>
  <c r="D534" i="7"/>
  <c r="C534" i="7"/>
  <c r="D533" i="7"/>
  <c r="C533" i="7"/>
  <c r="D532" i="7"/>
  <c r="C532" i="7"/>
  <c r="D531" i="7"/>
  <c r="C531" i="7"/>
  <c r="D530" i="7"/>
  <c r="C530" i="7"/>
  <c r="D529" i="7"/>
  <c r="C529" i="7"/>
  <c r="D528" i="7"/>
  <c r="C528" i="7"/>
  <c r="D527" i="7"/>
  <c r="C527" i="7"/>
  <c r="D526" i="7"/>
  <c r="C526" i="7"/>
  <c r="D525" i="7"/>
  <c r="C525" i="7"/>
  <c r="D524" i="7"/>
  <c r="C524" i="7"/>
  <c r="D523" i="7"/>
  <c r="C523" i="7"/>
  <c r="D522" i="7"/>
  <c r="C522" i="7"/>
  <c r="D521" i="7"/>
  <c r="C521" i="7"/>
  <c r="D520" i="7"/>
  <c r="C520" i="7"/>
  <c r="D519" i="7"/>
  <c r="C519" i="7"/>
  <c r="D518" i="7"/>
  <c r="C518" i="7"/>
  <c r="D517" i="7"/>
  <c r="C517" i="7"/>
  <c r="D516" i="7"/>
  <c r="C516" i="7"/>
  <c r="D515" i="7"/>
  <c r="C515" i="7"/>
  <c r="D514" i="7"/>
  <c r="C514" i="7"/>
  <c r="D513" i="7"/>
  <c r="C513" i="7"/>
  <c r="D512" i="7"/>
  <c r="C512" i="7"/>
  <c r="D511" i="7"/>
  <c r="C511" i="7"/>
  <c r="D510" i="7"/>
  <c r="C510" i="7"/>
  <c r="D509" i="7"/>
  <c r="C509" i="7"/>
  <c r="D508" i="7"/>
  <c r="C508" i="7"/>
  <c r="D507" i="7"/>
  <c r="C507" i="7"/>
  <c r="D506" i="7"/>
  <c r="C506" i="7"/>
  <c r="D505" i="7"/>
  <c r="C505" i="7"/>
  <c r="D504" i="7"/>
  <c r="C504" i="7"/>
  <c r="D503" i="7"/>
  <c r="C503" i="7"/>
  <c r="D502" i="7"/>
  <c r="C502" i="7"/>
  <c r="D501" i="7"/>
  <c r="C501" i="7"/>
  <c r="D500" i="7"/>
  <c r="C500" i="7"/>
  <c r="D499" i="7"/>
  <c r="C499" i="7"/>
  <c r="D498" i="7"/>
  <c r="C498" i="7"/>
  <c r="D497" i="7"/>
  <c r="C497" i="7"/>
  <c r="D496" i="7"/>
  <c r="C496" i="7"/>
  <c r="D495" i="7"/>
  <c r="C495" i="7"/>
  <c r="D494" i="7"/>
  <c r="C494" i="7"/>
  <c r="D493" i="7"/>
  <c r="C493" i="7"/>
  <c r="D492" i="7"/>
  <c r="C492" i="7"/>
  <c r="D491" i="7"/>
  <c r="C491" i="7"/>
  <c r="D490" i="7"/>
  <c r="C490" i="7"/>
  <c r="D489" i="7"/>
  <c r="C489" i="7"/>
  <c r="D488" i="7"/>
  <c r="C488" i="7"/>
  <c r="D487" i="7"/>
  <c r="C487" i="7"/>
  <c r="D486" i="7"/>
  <c r="C486" i="7"/>
  <c r="D485" i="7"/>
  <c r="C485" i="7"/>
  <c r="D484" i="7"/>
  <c r="C484" i="7"/>
  <c r="D483" i="7"/>
  <c r="C483" i="7"/>
  <c r="D482" i="7"/>
  <c r="C482" i="7"/>
  <c r="D481" i="7"/>
  <c r="C481" i="7"/>
  <c r="D480" i="7"/>
  <c r="C480" i="7"/>
  <c r="D479" i="7"/>
  <c r="C479" i="7"/>
  <c r="D478" i="7"/>
  <c r="C478" i="7"/>
  <c r="D477" i="7"/>
  <c r="C477" i="7"/>
  <c r="D476" i="7"/>
  <c r="C476" i="7"/>
  <c r="D475" i="7"/>
  <c r="C475" i="7"/>
  <c r="D474" i="7"/>
  <c r="C474" i="7"/>
  <c r="D473" i="7"/>
  <c r="C473" i="7"/>
  <c r="D472" i="7"/>
  <c r="C472" i="7"/>
  <c r="D471" i="7"/>
  <c r="C471" i="7"/>
  <c r="D470" i="7"/>
  <c r="C470" i="7"/>
  <c r="D469" i="7"/>
  <c r="C469" i="7"/>
  <c r="D468" i="7"/>
  <c r="C468" i="7"/>
  <c r="D467" i="7"/>
  <c r="C467" i="7"/>
  <c r="D466" i="7"/>
  <c r="C466" i="7"/>
  <c r="D465" i="7"/>
  <c r="C465" i="7"/>
  <c r="D464" i="7"/>
  <c r="C464" i="7"/>
  <c r="D463" i="7"/>
  <c r="C463" i="7"/>
  <c r="D462" i="7"/>
  <c r="C462" i="7"/>
  <c r="D461" i="7"/>
  <c r="C461" i="7"/>
  <c r="D460" i="7"/>
  <c r="C460" i="7"/>
  <c r="D459" i="7"/>
  <c r="C459" i="7"/>
  <c r="D458" i="7"/>
  <c r="C458" i="7"/>
  <c r="D457" i="7"/>
  <c r="C457" i="7"/>
  <c r="D456" i="7"/>
  <c r="C456" i="7"/>
  <c r="D455" i="7"/>
  <c r="C455" i="7"/>
  <c r="D454" i="7"/>
  <c r="C454" i="7"/>
  <c r="D453" i="7"/>
  <c r="C453" i="7"/>
  <c r="D452" i="7"/>
  <c r="C452" i="7"/>
  <c r="D451" i="7"/>
  <c r="C451" i="7"/>
  <c r="D450" i="7"/>
  <c r="C450" i="7"/>
  <c r="D449" i="7"/>
  <c r="C449" i="7"/>
  <c r="D448" i="7"/>
  <c r="C448" i="7"/>
  <c r="D447" i="7"/>
  <c r="C447" i="7"/>
  <c r="D446" i="7"/>
  <c r="C446" i="7"/>
  <c r="D445" i="7"/>
  <c r="C445" i="7"/>
  <c r="D444" i="7"/>
  <c r="C444" i="7"/>
  <c r="D443" i="7"/>
  <c r="C443" i="7"/>
  <c r="D442" i="7"/>
  <c r="C442" i="7"/>
  <c r="D441" i="7"/>
  <c r="C441" i="7"/>
  <c r="D440" i="7"/>
  <c r="C440" i="7"/>
  <c r="D439" i="7"/>
  <c r="C439" i="7"/>
  <c r="D438" i="7"/>
  <c r="C438" i="7"/>
  <c r="D437" i="7"/>
  <c r="C437" i="7"/>
  <c r="D436" i="7"/>
  <c r="C436" i="7"/>
  <c r="D435" i="7"/>
  <c r="C435" i="7"/>
  <c r="D434" i="7"/>
  <c r="C434" i="7"/>
  <c r="D433" i="7"/>
  <c r="C433" i="7"/>
  <c r="D432" i="7"/>
  <c r="C432" i="7"/>
  <c r="D431" i="7"/>
  <c r="C431" i="7"/>
  <c r="D430" i="7"/>
  <c r="C430" i="7"/>
  <c r="D429" i="7"/>
  <c r="C429" i="7"/>
  <c r="D428" i="7"/>
  <c r="C428" i="7"/>
  <c r="D427" i="7"/>
  <c r="C427" i="7"/>
  <c r="D426" i="7"/>
  <c r="C426" i="7"/>
  <c r="D425" i="7"/>
  <c r="C425" i="7"/>
  <c r="D424" i="7"/>
  <c r="C424" i="7"/>
  <c r="D423" i="7"/>
  <c r="C423" i="7"/>
  <c r="D422" i="7"/>
  <c r="C422" i="7"/>
  <c r="D421" i="7"/>
  <c r="C421" i="7"/>
  <c r="D420" i="7"/>
  <c r="C420" i="7"/>
  <c r="D419" i="7"/>
  <c r="C419" i="7"/>
  <c r="D418" i="7"/>
  <c r="C418" i="7"/>
  <c r="D417" i="7"/>
  <c r="C417" i="7"/>
  <c r="D416" i="7"/>
  <c r="C416" i="7"/>
  <c r="D415" i="7"/>
  <c r="C415" i="7"/>
  <c r="D414" i="7"/>
  <c r="C414" i="7"/>
  <c r="D413" i="7"/>
  <c r="C413" i="7"/>
  <c r="D412" i="7"/>
  <c r="C412" i="7"/>
  <c r="D411" i="7"/>
  <c r="C411" i="7"/>
  <c r="D410" i="7"/>
  <c r="C410" i="7"/>
  <c r="D409" i="7"/>
  <c r="C409" i="7"/>
  <c r="D408" i="7"/>
  <c r="C408" i="7"/>
  <c r="D407" i="7"/>
  <c r="C407" i="7"/>
  <c r="D406" i="7"/>
  <c r="C406" i="7"/>
  <c r="D405" i="7"/>
  <c r="C405" i="7"/>
  <c r="D404" i="7"/>
  <c r="C404" i="7"/>
  <c r="D403" i="7"/>
  <c r="C403" i="7"/>
  <c r="D402" i="7"/>
  <c r="C402" i="7"/>
  <c r="D401" i="7"/>
  <c r="C401" i="7"/>
  <c r="D400" i="7"/>
  <c r="C400" i="7"/>
  <c r="D399" i="7"/>
  <c r="C399" i="7"/>
  <c r="D398" i="7"/>
  <c r="C398" i="7"/>
  <c r="D397" i="7"/>
  <c r="C397" i="7"/>
  <c r="D396" i="7"/>
  <c r="C396" i="7"/>
  <c r="D395" i="7"/>
  <c r="C395" i="7"/>
  <c r="D394" i="7"/>
  <c r="C394" i="7"/>
  <c r="D393" i="7"/>
  <c r="C393" i="7"/>
  <c r="D392" i="7"/>
  <c r="C392" i="7"/>
  <c r="D391" i="7"/>
  <c r="C391" i="7"/>
  <c r="D390" i="7"/>
  <c r="C390" i="7"/>
  <c r="D389" i="7"/>
  <c r="C389" i="7"/>
  <c r="D388" i="7"/>
  <c r="C388" i="7"/>
  <c r="D387" i="7"/>
  <c r="C387" i="7"/>
  <c r="D386" i="7"/>
  <c r="C386" i="7"/>
  <c r="D385" i="7"/>
  <c r="C385" i="7"/>
  <c r="D384" i="7"/>
  <c r="C384" i="7"/>
  <c r="D383" i="7"/>
  <c r="C383" i="7"/>
  <c r="D382" i="7"/>
  <c r="C382" i="7"/>
  <c r="D381" i="7"/>
  <c r="C381" i="7"/>
  <c r="D380" i="7"/>
  <c r="C380" i="7"/>
  <c r="D379" i="7"/>
  <c r="C379" i="7"/>
  <c r="D378" i="7"/>
  <c r="C378" i="7"/>
  <c r="D377" i="7"/>
  <c r="C377" i="7"/>
  <c r="D376" i="7"/>
  <c r="C376" i="7"/>
  <c r="D375" i="7"/>
  <c r="C375" i="7"/>
  <c r="D374" i="7"/>
  <c r="C374" i="7"/>
  <c r="D373" i="7"/>
  <c r="C373" i="7"/>
  <c r="D372" i="7"/>
  <c r="C372" i="7"/>
  <c r="D371" i="7"/>
  <c r="C371" i="7"/>
  <c r="D370" i="7"/>
  <c r="C370" i="7"/>
  <c r="D369" i="7"/>
  <c r="C369" i="7"/>
  <c r="D368" i="7"/>
  <c r="C368" i="7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1257" i="6"/>
  <c r="C1257" i="6"/>
  <c r="D1256" i="6"/>
  <c r="C1256" i="6"/>
  <c r="D1255" i="6"/>
  <c r="C1255" i="6"/>
  <c r="D1254" i="6"/>
  <c r="C1254" i="6"/>
  <c r="D1253" i="6"/>
  <c r="C1253" i="6"/>
  <c r="D1252" i="6"/>
  <c r="C1252" i="6"/>
  <c r="D1251" i="6"/>
  <c r="C1251" i="6"/>
  <c r="D1250" i="6"/>
  <c r="C1250" i="6"/>
  <c r="D1249" i="6"/>
  <c r="C1249" i="6"/>
  <c r="D1248" i="6"/>
  <c r="C1248" i="6"/>
  <c r="D1247" i="6"/>
  <c r="C1247" i="6"/>
  <c r="D1246" i="6"/>
  <c r="C1246" i="6"/>
  <c r="D1245" i="6"/>
  <c r="C1245" i="6"/>
  <c r="D1244" i="6"/>
  <c r="C1244" i="6"/>
  <c r="D1243" i="6"/>
  <c r="C1243" i="6"/>
  <c r="D1242" i="6"/>
  <c r="C1242" i="6"/>
  <c r="D1241" i="6"/>
  <c r="C1241" i="6"/>
  <c r="D1240" i="6"/>
  <c r="C1240" i="6"/>
  <c r="D1239" i="6"/>
  <c r="C1239" i="6"/>
  <c r="D1238" i="6"/>
  <c r="C1238" i="6"/>
  <c r="D1237" i="6"/>
  <c r="C1237" i="6"/>
  <c r="D1236" i="6"/>
  <c r="C1236" i="6"/>
  <c r="D1235" i="6"/>
  <c r="C1235" i="6"/>
  <c r="D1234" i="6"/>
  <c r="C1234" i="6"/>
  <c r="D1233" i="6"/>
  <c r="C1233" i="6"/>
  <c r="D1232" i="6"/>
  <c r="C1232" i="6"/>
  <c r="D1231" i="6"/>
  <c r="C1231" i="6"/>
  <c r="D1230" i="6"/>
  <c r="C1230" i="6"/>
  <c r="D1229" i="6"/>
  <c r="C1229" i="6"/>
  <c r="D1228" i="6"/>
  <c r="C1228" i="6"/>
  <c r="D1227" i="6"/>
  <c r="C1227" i="6"/>
  <c r="D1226" i="6"/>
  <c r="C1226" i="6"/>
  <c r="D1225" i="6"/>
  <c r="C1225" i="6"/>
  <c r="D1224" i="6"/>
  <c r="C1224" i="6"/>
  <c r="D1223" i="6"/>
  <c r="C1223" i="6"/>
  <c r="D1222" i="6"/>
  <c r="C1222" i="6"/>
  <c r="D1221" i="6"/>
  <c r="C1221" i="6"/>
  <c r="D1220" i="6"/>
  <c r="C1220" i="6"/>
  <c r="D1219" i="6"/>
  <c r="C1219" i="6"/>
  <c r="D1218" i="6"/>
  <c r="C1218" i="6"/>
  <c r="D1217" i="6"/>
  <c r="C1217" i="6"/>
  <c r="D1216" i="6"/>
  <c r="C1216" i="6"/>
  <c r="D1215" i="6"/>
  <c r="C1215" i="6"/>
  <c r="D1214" i="6"/>
  <c r="C1214" i="6"/>
  <c r="D1213" i="6"/>
  <c r="C1213" i="6"/>
  <c r="D1212" i="6"/>
  <c r="C1212" i="6"/>
  <c r="D1211" i="6"/>
  <c r="C1211" i="6"/>
  <c r="D1210" i="6"/>
  <c r="C1210" i="6"/>
  <c r="D1209" i="6"/>
  <c r="C1209" i="6"/>
  <c r="D1208" i="6"/>
  <c r="C1208" i="6"/>
  <c r="D1207" i="6"/>
  <c r="C1207" i="6"/>
  <c r="D1206" i="6"/>
  <c r="C1206" i="6"/>
  <c r="D1205" i="6"/>
  <c r="C1205" i="6"/>
  <c r="D1204" i="6"/>
  <c r="C1204" i="6"/>
  <c r="D1203" i="6"/>
  <c r="C1203" i="6"/>
  <c r="D1202" i="6"/>
  <c r="C1202" i="6"/>
  <c r="D1201" i="6"/>
  <c r="C1201" i="6"/>
  <c r="D1200" i="6"/>
  <c r="C1200" i="6"/>
  <c r="D1199" i="6"/>
  <c r="C1199" i="6"/>
  <c r="D1198" i="6"/>
  <c r="C1198" i="6"/>
  <c r="D1197" i="6"/>
  <c r="C1197" i="6"/>
  <c r="D1196" i="6"/>
  <c r="C1196" i="6"/>
  <c r="D1195" i="6"/>
  <c r="C1195" i="6"/>
  <c r="D1194" i="6"/>
  <c r="C1194" i="6"/>
  <c r="D1193" i="6"/>
  <c r="C1193" i="6"/>
  <c r="D1192" i="6"/>
  <c r="C1192" i="6"/>
  <c r="D1191" i="6"/>
  <c r="C1191" i="6"/>
  <c r="D1190" i="6"/>
  <c r="C1190" i="6"/>
  <c r="D1189" i="6"/>
  <c r="C1189" i="6"/>
  <c r="D1188" i="6"/>
  <c r="C1188" i="6"/>
  <c r="D1187" i="6"/>
  <c r="C1187" i="6"/>
  <c r="D1186" i="6"/>
  <c r="C1186" i="6"/>
  <c r="D1185" i="6"/>
  <c r="C1185" i="6"/>
  <c r="D1184" i="6"/>
  <c r="C1184" i="6"/>
  <c r="D1183" i="6"/>
  <c r="C1183" i="6"/>
  <c r="D1182" i="6"/>
  <c r="C1182" i="6"/>
  <c r="D1181" i="6"/>
  <c r="C1181" i="6"/>
  <c r="D1180" i="6"/>
  <c r="C1180" i="6"/>
  <c r="D1179" i="6"/>
  <c r="C1179" i="6"/>
  <c r="D1178" i="6"/>
  <c r="C1178" i="6"/>
  <c r="D1177" i="6"/>
  <c r="C1177" i="6"/>
  <c r="D1176" i="6"/>
  <c r="C1176" i="6"/>
  <c r="D1175" i="6"/>
  <c r="C1175" i="6"/>
  <c r="D1174" i="6"/>
  <c r="C1174" i="6"/>
  <c r="D1173" i="6"/>
  <c r="C1173" i="6"/>
  <c r="D1172" i="6"/>
  <c r="C1172" i="6"/>
  <c r="D1171" i="6"/>
  <c r="C1171" i="6"/>
  <c r="D1170" i="6"/>
  <c r="C1170" i="6"/>
  <c r="D1169" i="6"/>
  <c r="C1169" i="6"/>
  <c r="D1168" i="6"/>
  <c r="C1168" i="6"/>
  <c r="D1167" i="6"/>
  <c r="C1167" i="6"/>
  <c r="D1166" i="6"/>
  <c r="C1166" i="6"/>
  <c r="D1165" i="6"/>
  <c r="C1165" i="6"/>
  <c r="D1164" i="6"/>
  <c r="C1164" i="6"/>
  <c r="D1163" i="6"/>
  <c r="C1163" i="6"/>
  <c r="D1162" i="6"/>
  <c r="C1162" i="6"/>
  <c r="D1161" i="6"/>
  <c r="C1161" i="6"/>
  <c r="D1160" i="6"/>
  <c r="C1160" i="6"/>
  <c r="D1159" i="6"/>
  <c r="C1159" i="6"/>
  <c r="D1158" i="6"/>
  <c r="C1158" i="6"/>
  <c r="D1157" i="6"/>
  <c r="C1157" i="6"/>
  <c r="D1156" i="6"/>
  <c r="C1156" i="6"/>
  <c r="D1155" i="6"/>
  <c r="C1155" i="6"/>
  <c r="D1154" i="6"/>
  <c r="C1154" i="6"/>
  <c r="D1153" i="6"/>
  <c r="C1153" i="6"/>
  <c r="D1152" i="6"/>
  <c r="C1152" i="6"/>
  <c r="D1151" i="6"/>
  <c r="C1151" i="6"/>
  <c r="D1150" i="6"/>
  <c r="C1150" i="6"/>
  <c r="D1149" i="6"/>
  <c r="C1149" i="6"/>
  <c r="D1148" i="6"/>
  <c r="C1148" i="6"/>
  <c r="D1147" i="6"/>
  <c r="C1147" i="6"/>
  <c r="D1146" i="6"/>
  <c r="C1146" i="6"/>
  <c r="D1145" i="6"/>
  <c r="C1145" i="6"/>
  <c r="D1144" i="6"/>
  <c r="C1144" i="6"/>
  <c r="D1143" i="6"/>
  <c r="C1143" i="6"/>
  <c r="D1142" i="6"/>
  <c r="C1142" i="6"/>
  <c r="D1141" i="6"/>
  <c r="C1141" i="6"/>
  <c r="D1140" i="6"/>
  <c r="C1140" i="6"/>
  <c r="D1139" i="6"/>
  <c r="C1139" i="6"/>
  <c r="D1138" i="6"/>
  <c r="C1138" i="6"/>
  <c r="D1137" i="6"/>
  <c r="C1137" i="6"/>
  <c r="D1136" i="6"/>
  <c r="C1136" i="6"/>
  <c r="D1135" i="6"/>
  <c r="C1135" i="6"/>
  <c r="D1134" i="6"/>
  <c r="C1134" i="6"/>
  <c r="D1133" i="6"/>
  <c r="C1133" i="6"/>
  <c r="D1132" i="6"/>
  <c r="C1132" i="6"/>
  <c r="D1131" i="6"/>
  <c r="C1131" i="6"/>
  <c r="D1130" i="6"/>
  <c r="C1130" i="6"/>
  <c r="D1129" i="6"/>
  <c r="C1129" i="6"/>
  <c r="D1128" i="6"/>
  <c r="C1128" i="6"/>
  <c r="D1127" i="6"/>
  <c r="C1127" i="6"/>
  <c r="D1126" i="6"/>
  <c r="C1126" i="6"/>
  <c r="D1125" i="6"/>
  <c r="C1125" i="6"/>
  <c r="D1124" i="6"/>
  <c r="C1124" i="6"/>
  <c r="D1123" i="6"/>
  <c r="C1123" i="6"/>
  <c r="D1122" i="6"/>
  <c r="C1122" i="6"/>
  <c r="D1121" i="6"/>
  <c r="C1121" i="6"/>
  <c r="D1120" i="6"/>
  <c r="C1120" i="6"/>
  <c r="D1119" i="6"/>
  <c r="C1119" i="6"/>
  <c r="D1118" i="6"/>
  <c r="C1118" i="6"/>
  <c r="D1117" i="6"/>
  <c r="C1117" i="6"/>
  <c r="D1116" i="6"/>
  <c r="C1116" i="6"/>
  <c r="D1115" i="6"/>
  <c r="C1115" i="6"/>
  <c r="D1114" i="6"/>
  <c r="C1114" i="6"/>
  <c r="D1113" i="6"/>
  <c r="C1113" i="6"/>
  <c r="D1112" i="6"/>
  <c r="C1112" i="6"/>
  <c r="D1111" i="6"/>
  <c r="C1111" i="6"/>
  <c r="D1110" i="6"/>
  <c r="C1110" i="6"/>
  <c r="D1109" i="6"/>
  <c r="C1109" i="6"/>
  <c r="D1108" i="6"/>
  <c r="C1108" i="6"/>
  <c r="D1107" i="6"/>
  <c r="C1107" i="6"/>
  <c r="D1106" i="6"/>
  <c r="C1106" i="6"/>
  <c r="D1105" i="6"/>
  <c r="C1105" i="6"/>
  <c r="D1104" i="6"/>
  <c r="C1104" i="6"/>
  <c r="D1103" i="6"/>
  <c r="C1103" i="6"/>
  <c r="D1102" i="6"/>
  <c r="C1102" i="6"/>
  <c r="D1101" i="6"/>
  <c r="C1101" i="6"/>
  <c r="D1100" i="6"/>
  <c r="C1100" i="6"/>
  <c r="D1099" i="6"/>
  <c r="C1099" i="6"/>
  <c r="D1098" i="6"/>
  <c r="C1098" i="6"/>
  <c r="D1097" i="6"/>
  <c r="C1097" i="6"/>
  <c r="D1096" i="6"/>
  <c r="C1096" i="6"/>
  <c r="D1095" i="6"/>
  <c r="C1095" i="6"/>
  <c r="D1094" i="6"/>
  <c r="C1094" i="6"/>
  <c r="D1093" i="6"/>
  <c r="C1093" i="6"/>
  <c r="D1092" i="6"/>
  <c r="C1092" i="6"/>
  <c r="D1091" i="6"/>
  <c r="C1091" i="6"/>
  <c r="D1090" i="6"/>
  <c r="C1090" i="6"/>
  <c r="D1089" i="6"/>
  <c r="C1089" i="6"/>
  <c r="D1088" i="6"/>
  <c r="C1088" i="6"/>
  <c r="D1087" i="6"/>
  <c r="C1087" i="6"/>
  <c r="D1086" i="6"/>
  <c r="C1086" i="6"/>
  <c r="D1085" i="6"/>
  <c r="C1085" i="6"/>
  <c r="D1084" i="6"/>
  <c r="C1084" i="6"/>
  <c r="D1083" i="6"/>
  <c r="C1083" i="6"/>
  <c r="D1082" i="6"/>
  <c r="C1082" i="6"/>
  <c r="D1081" i="6"/>
  <c r="C1081" i="6"/>
  <c r="D1080" i="6"/>
  <c r="C1080" i="6"/>
  <c r="D1079" i="6"/>
  <c r="C1079" i="6"/>
  <c r="D1078" i="6"/>
  <c r="C1078" i="6"/>
  <c r="D1077" i="6"/>
  <c r="C1077" i="6"/>
  <c r="D1076" i="6"/>
  <c r="C1076" i="6"/>
  <c r="D1075" i="6"/>
  <c r="C1075" i="6"/>
  <c r="D1074" i="6"/>
  <c r="C1074" i="6"/>
  <c r="D1073" i="6"/>
  <c r="C1073" i="6"/>
  <c r="D1072" i="6"/>
  <c r="C1072" i="6"/>
  <c r="D1071" i="6"/>
  <c r="C1071" i="6"/>
  <c r="D1070" i="6"/>
  <c r="C1070" i="6"/>
  <c r="D1069" i="6"/>
  <c r="C1069" i="6"/>
  <c r="D1068" i="6"/>
  <c r="C1068" i="6"/>
  <c r="D1067" i="6"/>
  <c r="C1067" i="6"/>
  <c r="D1066" i="6"/>
  <c r="C1066" i="6"/>
  <c r="D1065" i="6"/>
  <c r="C1065" i="6"/>
  <c r="D1064" i="6"/>
  <c r="C1064" i="6"/>
  <c r="D1063" i="6"/>
  <c r="C1063" i="6"/>
  <c r="D1062" i="6"/>
  <c r="C1062" i="6"/>
  <c r="D1061" i="6"/>
  <c r="C1061" i="6"/>
  <c r="D1060" i="6"/>
  <c r="C1060" i="6"/>
  <c r="D1059" i="6"/>
  <c r="C1059" i="6"/>
  <c r="D1058" i="6"/>
  <c r="C1058" i="6"/>
  <c r="D1057" i="6"/>
  <c r="C1057" i="6"/>
  <c r="D1056" i="6"/>
  <c r="C1056" i="6"/>
  <c r="D1055" i="6"/>
  <c r="C1055" i="6"/>
  <c r="D1054" i="6"/>
  <c r="C1054" i="6"/>
  <c r="D1053" i="6"/>
  <c r="C1053" i="6"/>
  <c r="D1052" i="6"/>
  <c r="C1052" i="6"/>
  <c r="D1051" i="6"/>
  <c r="C1051" i="6"/>
  <c r="D1050" i="6"/>
  <c r="C1050" i="6"/>
  <c r="D1049" i="6"/>
  <c r="C1049" i="6"/>
  <c r="D1048" i="6"/>
  <c r="C1048" i="6"/>
  <c r="D1047" i="6"/>
  <c r="C1047" i="6"/>
  <c r="D1046" i="6"/>
  <c r="C1046" i="6"/>
  <c r="D1045" i="6"/>
  <c r="C1045" i="6"/>
  <c r="D1044" i="6"/>
  <c r="C1044" i="6"/>
  <c r="D1043" i="6"/>
  <c r="C1043" i="6"/>
  <c r="D1042" i="6"/>
  <c r="C1042" i="6"/>
  <c r="D1041" i="6"/>
  <c r="C1041" i="6"/>
  <c r="D1040" i="6"/>
  <c r="C1040" i="6"/>
  <c r="D1039" i="6"/>
  <c r="C1039" i="6"/>
  <c r="D1038" i="6"/>
  <c r="C1038" i="6"/>
  <c r="D1037" i="6"/>
  <c r="C1037" i="6"/>
  <c r="D1036" i="6"/>
  <c r="C1036" i="6"/>
  <c r="D1035" i="6"/>
  <c r="C1035" i="6"/>
  <c r="D1034" i="6"/>
  <c r="C1034" i="6"/>
  <c r="D1033" i="6"/>
  <c r="C1033" i="6"/>
  <c r="D1032" i="6"/>
  <c r="C1032" i="6"/>
  <c r="D1031" i="6"/>
  <c r="C1031" i="6"/>
  <c r="D1030" i="6"/>
  <c r="C1030" i="6"/>
  <c r="D1029" i="6"/>
  <c r="C1029" i="6"/>
  <c r="D1028" i="6"/>
  <c r="C1028" i="6"/>
  <c r="D1027" i="6"/>
  <c r="C1027" i="6"/>
  <c r="D1026" i="6"/>
  <c r="C1026" i="6"/>
  <c r="D1025" i="6"/>
  <c r="C1025" i="6"/>
  <c r="D1024" i="6"/>
  <c r="C1024" i="6"/>
  <c r="D1023" i="6"/>
  <c r="C1023" i="6"/>
  <c r="D1022" i="6"/>
  <c r="C1022" i="6"/>
  <c r="D1021" i="6"/>
  <c r="C1021" i="6"/>
  <c r="D1020" i="6"/>
  <c r="C1020" i="6"/>
  <c r="D1019" i="6"/>
  <c r="C1019" i="6"/>
  <c r="D1018" i="6"/>
  <c r="C1018" i="6"/>
  <c r="D1017" i="6"/>
  <c r="C1017" i="6"/>
  <c r="D1016" i="6"/>
  <c r="C1016" i="6"/>
  <c r="D1015" i="6"/>
  <c r="C1015" i="6"/>
  <c r="D1014" i="6"/>
  <c r="C1014" i="6"/>
  <c r="D1013" i="6"/>
  <c r="C1013" i="6"/>
  <c r="D1012" i="6"/>
  <c r="C1012" i="6"/>
  <c r="D1011" i="6"/>
  <c r="C1011" i="6"/>
  <c r="D1010" i="6"/>
  <c r="C1010" i="6"/>
  <c r="D1009" i="6"/>
  <c r="C1009" i="6"/>
  <c r="D1008" i="6"/>
  <c r="C1008" i="6"/>
  <c r="D1007" i="6"/>
  <c r="C1007" i="6"/>
  <c r="D1006" i="6"/>
  <c r="C1006" i="6"/>
  <c r="D1005" i="6"/>
  <c r="C1005" i="6"/>
  <c r="D1004" i="6"/>
  <c r="C1004" i="6"/>
  <c r="D1003" i="6"/>
  <c r="C1003" i="6"/>
  <c r="D1002" i="6"/>
  <c r="C1002" i="6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D1257" i="5"/>
  <c r="C1257" i="5"/>
  <c r="D1256" i="5"/>
  <c r="C1256" i="5"/>
  <c r="D1255" i="5"/>
  <c r="C1255" i="5"/>
  <c r="D1254" i="5"/>
  <c r="C1254" i="5"/>
  <c r="D1253" i="5"/>
  <c r="C1253" i="5"/>
  <c r="D1252" i="5"/>
  <c r="C1252" i="5"/>
  <c r="D1251" i="5"/>
  <c r="C1251" i="5"/>
  <c r="D1250" i="5"/>
  <c r="C1250" i="5"/>
  <c r="D1249" i="5"/>
  <c r="C1249" i="5"/>
  <c r="D1248" i="5"/>
  <c r="C1248" i="5"/>
  <c r="D1247" i="5"/>
  <c r="C1247" i="5"/>
  <c r="D1246" i="5"/>
  <c r="C1246" i="5"/>
  <c r="D1245" i="5"/>
  <c r="C1245" i="5"/>
  <c r="D1244" i="5"/>
  <c r="C1244" i="5"/>
  <c r="D1243" i="5"/>
  <c r="C1243" i="5"/>
  <c r="D1242" i="5"/>
  <c r="C1242" i="5"/>
  <c r="D1241" i="5"/>
  <c r="C1241" i="5"/>
  <c r="D1240" i="5"/>
  <c r="C1240" i="5"/>
  <c r="D1239" i="5"/>
  <c r="C1239" i="5"/>
  <c r="D1238" i="5"/>
  <c r="C1238" i="5"/>
  <c r="D1237" i="5"/>
  <c r="C1237" i="5"/>
  <c r="D1236" i="5"/>
  <c r="C1236" i="5"/>
  <c r="D1235" i="5"/>
  <c r="C1235" i="5"/>
  <c r="D1234" i="5"/>
  <c r="C1234" i="5"/>
  <c r="D1233" i="5"/>
  <c r="C1233" i="5"/>
  <c r="D1232" i="5"/>
  <c r="C1232" i="5"/>
  <c r="D1231" i="5"/>
  <c r="C1231" i="5"/>
  <c r="D1230" i="5"/>
  <c r="C1230" i="5"/>
  <c r="D1229" i="5"/>
  <c r="C1229" i="5"/>
  <c r="D1228" i="5"/>
  <c r="C1228" i="5"/>
  <c r="D1227" i="5"/>
  <c r="C1227" i="5"/>
  <c r="D1226" i="5"/>
  <c r="C1226" i="5"/>
  <c r="D1225" i="5"/>
  <c r="C1225" i="5"/>
  <c r="D1224" i="5"/>
  <c r="C1224" i="5"/>
  <c r="D1223" i="5"/>
  <c r="C1223" i="5"/>
  <c r="D1222" i="5"/>
  <c r="C1222" i="5"/>
  <c r="D1221" i="5"/>
  <c r="C1221" i="5"/>
  <c r="D1220" i="5"/>
  <c r="C1220" i="5"/>
  <c r="D1219" i="5"/>
  <c r="C1219" i="5"/>
  <c r="D1218" i="5"/>
  <c r="C1218" i="5"/>
  <c r="D1217" i="5"/>
  <c r="C1217" i="5"/>
  <c r="D1216" i="5"/>
  <c r="C1216" i="5"/>
  <c r="D1215" i="5"/>
  <c r="C1215" i="5"/>
  <c r="D1214" i="5"/>
  <c r="C1214" i="5"/>
  <c r="D1213" i="5"/>
  <c r="C1213" i="5"/>
  <c r="D1212" i="5"/>
  <c r="C1212" i="5"/>
  <c r="D1211" i="5"/>
  <c r="C1211" i="5"/>
  <c r="D1210" i="5"/>
  <c r="C1210" i="5"/>
  <c r="D1209" i="5"/>
  <c r="C1209" i="5"/>
  <c r="D1208" i="5"/>
  <c r="C1208" i="5"/>
  <c r="D1207" i="5"/>
  <c r="C1207" i="5"/>
  <c r="D1206" i="5"/>
  <c r="C1206" i="5"/>
  <c r="D1205" i="5"/>
  <c r="C1205" i="5"/>
  <c r="D1204" i="5"/>
  <c r="C1204" i="5"/>
  <c r="D1203" i="5"/>
  <c r="C1203" i="5"/>
  <c r="D1202" i="5"/>
  <c r="C1202" i="5"/>
  <c r="D1201" i="5"/>
  <c r="C1201" i="5"/>
  <c r="D1200" i="5"/>
  <c r="C1200" i="5"/>
  <c r="D1199" i="5"/>
  <c r="C1199" i="5"/>
  <c r="D1198" i="5"/>
  <c r="C1198" i="5"/>
  <c r="D1197" i="5"/>
  <c r="C1197" i="5"/>
  <c r="D1196" i="5"/>
  <c r="C1196" i="5"/>
  <c r="D1195" i="5"/>
  <c r="C1195" i="5"/>
  <c r="D1194" i="5"/>
  <c r="C1194" i="5"/>
  <c r="D1193" i="5"/>
  <c r="C1193" i="5"/>
  <c r="D1192" i="5"/>
  <c r="C1192" i="5"/>
  <c r="D1191" i="5"/>
  <c r="C1191" i="5"/>
  <c r="D1190" i="5"/>
  <c r="C1190" i="5"/>
  <c r="D1189" i="5"/>
  <c r="C1189" i="5"/>
  <c r="D1188" i="5"/>
  <c r="C1188" i="5"/>
  <c r="D1187" i="5"/>
  <c r="C1187" i="5"/>
  <c r="D1186" i="5"/>
  <c r="C1186" i="5"/>
  <c r="D1185" i="5"/>
  <c r="C1185" i="5"/>
  <c r="D1184" i="5"/>
  <c r="C1184" i="5"/>
  <c r="D1183" i="5"/>
  <c r="C1183" i="5"/>
  <c r="D1182" i="5"/>
  <c r="C1182" i="5"/>
  <c r="D1181" i="5"/>
  <c r="C1181" i="5"/>
  <c r="D1180" i="5"/>
  <c r="C1180" i="5"/>
  <c r="D1179" i="5"/>
  <c r="C1179" i="5"/>
  <c r="D1178" i="5"/>
  <c r="C1178" i="5"/>
  <c r="D1177" i="5"/>
  <c r="C1177" i="5"/>
  <c r="D1176" i="5"/>
  <c r="C1176" i="5"/>
  <c r="D1175" i="5"/>
  <c r="C1175" i="5"/>
  <c r="D1174" i="5"/>
  <c r="C1174" i="5"/>
  <c r="D1173" i="5"/>
  <c r="C1173" i="5"/>
  <c r="D1172" i="5"/>
  <c r="C1172" i="5"/>
  <c r="D1171" i="5"/>
  <c r="C1171" i="5"/>
  <c r="D1170" i="5"/>
  <c r="C1170" i="5"/>
  <c r="D1169" i="5"/>
  <c r="C1169" i="5"/>
  <c r="D1168" i="5"/>
  <c r="C1168" i="5"/>
  <c r="D1167" i="5"/>
  <c r="C1167" i="5"/>
  <c r="D1166" i="5"/>
  <c r="C1166" i="5"/>
  <c r="D1165" i="5"/>
  <c r="C1165" i="5"/>
  <c r="D1164" i="5"/>
  <c r="C1164" i="5"/>
  <c r="D1163" i="5"/>
  <c r="C1163" i="5"/>
  <c r="D1162" i="5"/>
  <c r="C1162" i="5"/>
  <c r="D1161" i="5"/>
  <c r="C1161" i="5"/>
  <c r="D1160" i="5"/>
  <c r="C1160" i="5"/>
  <c r="D1159" i="5"/>
  <c r="C1159" i="5"/>
  <c r="D1158" i="5"/>
  <c r="C1158" i="5"/>
  <c r="D1157" i="5"/>
  <c r="C1157" i="5"/>
  <c r="D1156" i="5"/>
  <c r="C1156" i="5"/>
  <c r="D1155" i="5"/>
  <c r="C1155" i="5"/>
  <c r="D1154" i="5"/>
  <c r="C1154" i="5"/>
  <c r="D1153" i="5"/>
  <c r="C1153" i="5"/>
  <c r="D1152" i="5"/>
  <c r="C1152" i="5"/>
  <c r="D1151" i="5"/>
  <c r="C1151" i="5"/>
  <c r="D1150" i="5"/>
  <c r="C1150" i="5"/>
  <c r="D1149" i="5"/>
  <c r="C1149" i="5"/>
  <c r="D1148" i="5"/>
  <c r="C1148" i="5"/>
  <c r="D1147" i="5"/>
  <c r="C1147" i="5"/>
  <c r="D1146" i="5"/>
  <c r="C1146" i="5"/>
  <c r="D1145" i="5"/>
  <c r="C1145" i="5"/>
  <c r="D1144" i="5"/>
  <c r="C1144" i="5"/>
  <c r="D1143" i="5"/>
  <c r="C1143" i="5"/>
  <c r="D1142" i="5"/>
  <c r="C1142" i="5"/>
  <c r="D1141" i="5"/>
  <c r="C1141" i="5"/>
  <c r="D1140" i="5"/>
  <c r="C1140" i="5"/>
  <c r="D1139" i="5"/>
  <c r="C1139" i="5"/>
  <c r="D1138" i="5"/>
  <c r="C1138" i="5"/>
  <c r="D1137" i="5"/>
  <c r="C1137" i="5"/>
  <c r="D1136" i="5"/>
  <c r="C1136" i="5"/>
  <c r="D1135" i="5"/>
  <c r="C1135" i="5"/>
  <c r="D1134" i="5"/>
  <c r="C1134" i="5"/>
  <c r="D1133" i="5"/>
  <c r="C1133" i="5"/>
  <c r="D1132" i="5"/>
  <c r="C1132" i="5"/>
  <c r="D1131" i="5"/>
  <c r="C1131" i="5"/>
  <c r="D1130" i="5"/>
  <c r="C1130" i="5"/>
  <c r="D1129" i="5"/>
  <c r="C1129" i="5"/>
  <c r="D1128" i="5"/>
  <c r="C1128" i="5"/>
  <c r="D1127" i="5"/>
  <c r="C1127" i="5"/>
  <c r="D1126" i="5"/>
  <c r="C1126" i="5"/>
  <c r="D1125" i="5"/>
  <c r="C1125" i="5"/>
  <c r="D1124" i="5"/>
  <c r="C1124" i="5"/>
  <c r="D1123" i="5"/>
  <c r="C1123" i="5"/>
  <c r="D1122" i="5"/>
  <c r="C1122" i="5"/>
  <c r="D1121" i="5"/>
  <c r="C1121" i="5"/>
  <c r="D1120" i="5"/>
  <c r="C1120" i="5"/>
  <c r="D1119" i="5"/>
  <c r="C1119" i="5"/>
  <c r="D1118" i="5"/>
  <c r="C1118" i="5"/>
  <c r="D1117" i="5"/>
  <c r="C1117" i="5"/>
  <c r="D1116" i="5"/>
  <c r="C1116" i="5"/>
  <c r="D1115" i="5"/>
  <c r="C1115" i="5"/>
  <c r="D1114" i="5"/>
  <c r="C1114" i="5"/>
  <c r="D1113" i="5"/>
  <c r="C1113" i="5"/>
  <c r="D1112" i="5"/>
  <c r="C1112" i="5"/>
  <c r="D1111" i="5"/>
  <c r="C1111" i="5"/>
  <c r="D1110" i="5"/>
  <c r="C1110" i="5"/>
  <c r="D1109" i="5"/>
  <c r="C1109" i="5"/>
  <c r="D1108" i="5"/>
  <c r="C1108" i="5"/>
  <c r="D1107" i="5"/>
  <c r="C1107" i="5"/>
  <c r="D1106" i="5"/>
  <c r="C1106" i="5"/>
  <c r="D1105" i="5"/>
  <c r="C1105" i="5"/>
  <c r="D1104" i="5"/>
  <c r="C1104" i="5"/>
  <c r="D1103" i="5"/>
  <c r="C1103" i="5"/>
  <c r="D1102" i="5"/>
  <c r="C1102" i="5"/>
  <c r="D1101" i="5"/>
  <c r="C1101" i="5"/>
  <c r="D1100" i="5"/>
  <c r="C1100" i="5"/>
  <c r="D1099" i="5"/>
  <c r="C1099" i="5"/>
  <c r="D1098" i="5"/>
  <c r="C1098" i="5"/>
  <c r="D1097" i="5"/>
  <c r="C1097" i="5"/>
  <c r="D1096" i="5"/>
  <c r="C1096" i="5"/>
  <c r="D1095" i="5"/>
  <c r="C1095" i="5"/>
  <c r="D1094" i="5"/>
  <c r="C1094" i="5"/>
  <c r="D1093" i="5"/>
  <c r="C1093" i="5"/>
  <c r="D1092" i="5"/>
  <c r="C1092" i="5"/>
  <c r="D1091" i="5"/>
  <c r="C1091" i="5"/>
  <c r="D1090" i="5"/>
  <c r="C1090" i="5"/>
  <c r="D1089" i="5"/>
  <c r="C1089" i="5"/>
  <c r="D1088" i="5"/>
  <c r="C1088" i="5"/>
  <c r="D1087" i="5"/>
  <c r="C1087" i="5"/>
  <c r="D1086" i="5"/>
  <c r="C1086" i="5"/>
  <c r="D1085" i="5"/>
  <c r="C1085" i="5"/>
  <c r="D1084" i="5"/>
  <c r="C1084" i="5"/>
  <c r="D1083" i="5"/>
  <c r="C1083" i="5"/>
  <c r="D1082" i="5"/>
  <c r="C1082" i="5"/>
  <c r="D1081" i="5"/>
  <c r="C1081" i="5"/>
  <c r="D1080" i="5"/>
  <c r="C1080" i="5"/>
  <c r="D1079" i="5"/>
  <c r="C1079" i="5"/>
  <c r="D1078" i="5"/>
  <c r="C1078" i="5"/>
  <c r="D1077" i="5"/>
  <c r="C1077" i="5"/>
  <c r="D1076" i="5"/>
  <c r="C1076" i="5"/>
  <c r="D1075" i="5"/>
  <c r="C1075" i="5"/>
  <c r="D1074" i="5"/>
  <c r="C1074" i="5"/>
  <c r="D1073" i="5"/>
  <c r="C1073" i="5"/>
  <c r="D1072" i="5"/>
  <c r="C1072" i="5"/>
  <c r="D1071" i="5"/>
  <c r="C1071" i="5"/>
  <c r="D1070" i="5"/>
  <c r="C1070" i="5"/>
  <c r="D1069" i="5"/>
  <c r="C1069" i="5"/>
  <c r="D1068" i="5"/>
  <c r="C1068" i="5"/>
  <c r="D1067" i="5"/>
  <c r="C1067" i="5"/>
  <c r="D1066" i="5"/>
  <c r="C1066" i="5"/>
  <c r="D1065" i="5"/>
  <c r="C1065" i="5"/>
  <c r="D1064" i="5"/>
  <c r="C1064" i="5"/>
  <c r="D1063" i="5"/>
  <c r="C1063" i="5"/>
  <c r="D1062" i="5"/>
  <c r="C1062" i="5"/>
  <c r="D1061" i="5"/>
  <c r="C1061" i="5"/>
  <c r="D1060" i="5"/>
  <c r="C1060" i="5"/>
  <c r="D1059" i="5"/>
  <c r="C1059" i="5"/>
  <c r="D1058" i="5"/>
  <c r="C1058" i="5"/>
  <c r="D1057" i="5"/>
  <c r="C1057" i="5"/>
  <c r="D1056" i="5"/>
  <c r="C1056" i="5"/>
  <c r="D1055" i="5"/>
  <c r="C1055" i="5"/>
  <c r="D1054" i="5"/>
  <c r="C1054" i="5"/>
  <c r="D1053" i="5"/>
  <c r="C1053" i="5"/>
  <c r="D1052" i="5"/>
  <c r="C1052" i="5"/>
  <c r="D1051" i="5"/>
  <c r="C1051" i="5"/>
  <c r="D1050" i="5"/>
  <c r="C1050" i="5"/>
  <c r="D1049" i="5"/>
  <c r="C1049" i="5"/>
  <c r="D1048" i="5"/>
  <c r="C1048" i="5"/>
  <c r="D1047" i="5"/>
  <c r="C1047" i="5"/>
  <c r="D1046" i="5"/>
  <c r="C1046" i="5"/>
  <c r="D1045" i="5"/>
  <c r="C1045" i="5"/>
  <c r="D1044" i="5"/>
  <c r="C1044" i="5"/>
  <c r="D1043" i="5"/>
  <c r="C1043" i="5"/>
  <c r="D1042" i="5"/>
  <c r="C1042" i="5"/>
  <c r="D1041" i="5"/>
  <c r="C1041" i="5"/>
  <c r="D1040" i="5"/>
  <c r="C1040" i="5"/>
  <c r="D1039" i="5"/>
  <c r="C1039" i="5"/>
  <c r="D1038" i="5"/>
  <c r="C1038" i="5"/>
  <c r="D1037" i="5"/>
  <c r="C1037" i="5"/>
  <c r="D1036" i="5"/>
  <c r="C1036" i="5"/>
  <c r="D1035" i="5"/>
  <c r="C1035" i="5"/>
  <c r="D1034" i="5"/>
  <c r="C1034" i="5"/>
  <c r="D1033" i="5"/>
  <c r="C1033" i="5"/>
  <c r="D1032" i="5"/>
  <c r="C1032" i="5"/>
  <c r="D1031" i="5"/>
  <c r="C1031" i="5"/>
  <c r="D1030" i="5"/>
  <c r="C1030" i="5"/>
  <c r="D1029" i="5"/>
  <c r="C1029" i="5"/>
  <c r="D1028" i="5"/>
  <c r="C1028" i="5"/>
  <c r="D1027" i="5"/>
  <c r="C1027" i="5"/>
  <c r="D1026" i="5"/>
  <c r="C1026" i="5"/>
  <c r="D1025" i="5"/>
  <c r="C1025" i="5"/>
  <c r="D1024" i="5"/>
  <c r="C1024" i="5"/>
  <c r="D1023" i="5"/>
  <c r="C1023" i="5"/>
  <c r="D1022" i="5"/>
  <c r="C1022" i="5"/>
  <c r="D1021" i="5"/>
  <c r="C1021" i="5"/>
  <c r="D1020" i="5"/>
  <c r="C1020" i="5"/>
  <c r="D1019" i="5"/>
  <c r="C1019" i="5"/>
  <c r="D1018" i="5"/>
  <c r="C1018" i="5"/>
  <c r="D1017" i="5"/>
  <c r="C1017" i="5"/>
  <c r="D1016" i="5"/>
  <c r="C1016" i="5"/>
  <c r="D1015" i="5"/>
  <c r="C1015" i="5"/>
  <c r="D1014" i="5"/>
  <c r="C1014" i="5"/>
  <c r="D1013" i="5"/>
  <c r="C1013" i="5"/>
  <c r="D1012" i="5"/>
  <c r="C1012" i="5"/>
  <c r="D1011" i="5"/>
  <c r="C1011" i="5"/>
  <c r="D1010" i="5"/>
  <c r="C1010" i="5"/>
  <c r="D1009" i="5"/>
  <c r="C1009" i="5"/>
  <c r="D1008" i="5"/>
  <c r="C1008" i="5"/>
  <c r="D1007" i="5"/>
  <c r="C1007" i="5"/>
  <c r="D1006" i="5"/>
  <c r="C1006" i="5"/>
  <c r="D1005" i="5"/>
  <c r="C1005" i="5"/>
  <c r="D1004" i="5"/>
  <c r="C1004" i="5"/>
  <c r="D1003" i="5"/>
  <c r="C1003" i="5"/>
  <c r="D1002" i="5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C1256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27" i="1"/>
  <c r="H9" i="3" l="1"/>
  <c r="H13" i="3"/>
  <c r="H14" i="3" s="1"/>
  <c r="H10" i="3"/>
  <c r="H15" i="3"/>
  <c r="H16" i="3" s="1"/>
  <c r="H11" i="3"/>
  <c r="H12" i="3" s="1"/>
  <c r="G6" i="9"/>
  <c r="G13" i="3"/>
  <c r="G14" i="3" s="1"/>
  <c r="G11" i="3"/>
  <c r="G12" i="3" s="1"/>
  <c r="E9" i="9"/>
  <c r="G7" i="9" s="1"/>
  <c r="G15" i="3"/>
  <c r="G10" i="3"/>
  <c r="G9" i="9"/>
  <c r="F9" i="9"/>
  <c r="G8" i="9" s="1"/>
  <c r="G15" i="9"/>
  <c r="F15" i="9"/>
  <c r="E15" i="9"/>
  <c r="U28" i="9"/>
  <c r="F6" i="9"/>
  <c r="E6" i="9"/>
  <c r="G16" i="5"/>
  <c r="G12" i="5"/>
  <c r="F7" i="9"/>
  <c r="U29" i="9"/>
  <c r="G16" i="9"/>
  <c r="F16" i="9"/>
  <c r="E16" i="9"/>
  <c r="G16" i="6"/>
  <c r="G12" i="6"/>
  <c r="U30" i="9"/>
  <c r="G17" i="9"/>
  <c r="F17" i="9"/>
  <c r="G16" i="7"/>
  <c r="G12" i="7"/>
  <c r="U31" i="9"/>
  <c r="G18" i="9"/>
  <c r="G16" i="3"/>
  <c r="H16" i="5"/>
  <c r="H12" i="5"/>
  <c r="H10" i="5"/>
  <c r="H16" i="6"/>
  <c r="H14" i="6"/>
  <c r="H12" i="6"/>
  <c r="D626" i="1"/>
  <c r="C626" i="1"/>
  <c r="D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E5" i="9" l="1"/>
  <c r="G14" i="9"/>
  <c r="F14" i="9"/>
  <c r="E14" i="9"/>
  <c r="G5" i="9"/>
  <c r="D14" i="9"/>
  <c r="F5" i="9"/>
  <c r="G16" i="1"/>
  <c r="G13" i="1"/>
  <c r="H13" i="1"/>
  <c r="H16" i="1" l="1"/>
  <c r="U27" i="9"/>
  <c r="W27" i="9" s="1" a="1"/>
  <c r="I65" i="9" a="1"/>
  <c r="I65" i="9" s="1"/>
  <c r="I63" i="9" a="1"/>
  <c r="I63" i="9" s="1"/>
  <c r="I55" i="9" a="1"/>
  <c r="I55" i="9" s="1"/>
  <c r="I53" i="9" a="1"/>
  <c r="I53" i="9" s="1"/>
  <c r="I51" i="9" a="1"/>
  <c r="I51" i="9" s="1"/>
  <c r="I47" i="9" a="1"/>
  <c r="I47" i="9" s="1"/>
  <c r="I45" i="9" a="1"/>
  <c r="I45" i="9" s="1"/>
  <c r="I66" i="9" a="1"/>
  <c r="I66" i="9" s="1"/>
  <c r="I62" i="9" a="1"/>
  <c r="I62" i="9" s="1"/>
  <c r="I60" i="9" a="1"/>
  <c r="I60" i="9" s="1"/>
  <c r="I58" i="9" a="1"/>
  <c r="I58" i="9" s="1"/>
  <c r="I54" i="9" a="1"/>
  <c r="I54" i="9" s="1"/>
  <c r="I52" i="9" a="1"/>
  <c r="I52" i="9" s="1"/>
  <c r="I50" i="9" a="1"/>
  <c r="I50" i="9" s="1"/>
  <c r="I48" i="9" a="1"/>
  <c r="I48" i="9" s="1"/>
  <c r="I67" i="9" a="1"/>
  <c r="I67" i="9" s="1"/>
  <c r="I61" i="9" a="1"/>
  <c r="I61" i="9" s="1"/>
  <c r="I59" i="9" a="1"/>
  <c r="I59" i="9" s="1"/>
  <c r="I57" i="9" a="1"/>
  <c r="I57" i="9" s="1"/>
  <c r="I64" i="9" a="1"/>
  <c r="I64" i="9" s="1"/>
  <c r="I56" i="9" a="1"/>
  <c r="I56" i="9" s="1"/>
  <c r="I46" i="9" a="1"/>
  <c r="I46" i="9" s="1"/>
  <c r="H43" i="9"/>
  <c r="W12" i="9" a="1"/>
  <c r="W12" i="9" s="1"/>
  <c r="W13" i="9" a="1"/>
  <c r="W13" i="9" s="1"/>
  <c r="W14" i="9" s="1"/>
  <c r="C23" i="9" a="1"/>
  <c r="W30" i="9" l="1"/>
  <c r="W29" i="9"/>
  <c r="W27" i="9"/>
  <c r="W31" i="9"/>
  <c r="W28" i="9"/>
  <c r="D23" i="9"/>
  <c r="G27" i="9"/>
  <c r="D26" i="9"/>
  <c r="D27" i="9"/>
  <c r="C27" i="9"/>
  <c r="E25" i="9"/>
  <c r="G23" i="9"/>
  <c r="E26" i="9"/>
  <c r="G26" i="9"/>
  <c r="E23" i="9"/>
  <c r="F24" i="9"/>
  <c r="C23" i="9"/>
  <c r="E27" i="9"/>
  <c r="D25" i="9"/>
  <c r="F26" i="9"/>
  <c r="F27" i="9"/>
  <c r="E24" i="9"/>
  <c r="G25" i="9"/>
  <c r="C25" i="9"/>
  <c r="C26" i="9"/>
  <c r="F25" i="9"/>
  <c r="C24" i="9"/>
  <c r="G24" i="9"/>
  <c r="D24" i="9"/>
  <c r="F23" i="9"/>
  <c r="Z27" i="9" l="1"/>
  <c r="Z30" i="9"/>
  <c r="Z26" i="9"/>
  <c r="Z28" i="9"/>
  <c r="Z29" i="9"/>
  <c r="X34" i="9" l="1" a="1"/>
  <c r="X34" i="9" s="1"/>
  <c r="W34" i="9" a="1"/>
  <c r="W34" i="9" s="1"/>
  <c r="X35" i="9" l="1"/>
  <c r="X38" i="9"/>
  <c r="X37" i="9"/>
  <c r="X40" i="9"/>
  <c r="X39" i="9"/>
  <c r="X36" i="9"/>
  <c r="Y3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<sst xmlns="http://schemas.openxmlformats.org/spreadsheetml/2006/main" count="6555" uniqueCount="1340">
  <si>
    <t>Ln</t>
  </si>
  <si>
    <t>Rend. (Día)</t>
  </si>
  <si>
    <t>Rend. (Ln)</t>
  </si>
  <si>
    <t>Precio.Act</t>
  </si>
  <si>
    <t>Min</t>
  </si>
  <si>
    <t>Max</t>
  </si>
  <si>
    <t>Prom</t>
  </si>
  <si>
    <t>Desv.</t>
  </si>
  <si>
    <t>RENDIMIENTO</t>
  </si>
  <si>
    <t>Diario</t>
  </si>
  <si>
    <t>Prom Anual</t>
  </si>
  <si>
    <t>Se consideran los daños de 252 días</t>
  </si>
  <si>
    <t>Desv. Anual</t>
  </si>
  <si>
    <t>Se considera la raíz de 252</t>
  </si>
  <si>
    <t>Varianza</t>
  </si>
  <si>
    <t>B</t>
  </si>
  <si>
    <t>Var</t>
  </si>
  <si>
    <t>Matriz de varianzas y covarianzas (MVC) muestrales</t>
  </si>
  <si>
    <t>Rendimiento E</t>
  </si>
  <si>
    <t>Coef correlacion</t>
  </si>
  <si>
    <t>MVC INVERSA</t>
  </si>
  <si>
    <t>MVC Extendida</t>
  </si>
  <si>
    <t>Portafolio min varianza</t>
  </si>
  <si>
    <t>w_AMZN</t>
  </si>
  <si>
    <t>w_BA</t>
  </si>
  <si>
    <t>w_SPOT</t>
  </si>
  <si>
    <t>w_MAT</t>
  </si>
  <si>
    <t>w_HLT</t>
  </si>
  <si>
    <t>MVC Inversa aumentada</t>
  </si>
  <si>
    <t>Activo libre de riesgo</t>
  </si>
  <si>
    <t>Cete a 28 dias</t>
  </si>
  <si>
    <t>Rendimiento anual</t>
  </si>
  <si>
    <t>Rendimiento diario</t>
  </si>
  <si>
    <t>Rendimiento</t>
  </si>
  <si>
    <t>Volatilidad</t>
  </si>
  <si>
    <t>W</t>
  </si>
  <si>
    <t>Portafolio optimo</t>
  </si>
  <si>
    <t>E-rf</t>
  </si>
  <si>
    <t>Z</t>
  </si>
  <si>
    <t>Rendimiento esperado</t>
  </si>
  <si>
    <t>MVC Aumentada X2</t>
  </si>
  <si>
    <t>MVC Aumentada X2 Inversa</t>
  </si>
  <si>
    <t>Frontera ef</t>
  </si>
  <si>
    <t>Volatillidad</t>
  </si>
  <si>
    <t>W Ef</t>
  </si>
  <si>
    <t>rend ef</t>
  </si>
  <si>
    <t>Portafolio op</t>
  </si>
  <si>
    <t>Prom (Rendimiento Esperado)</t>
  </si>
  <si>
    <t>Fecha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</si>
  <si>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</si>
  <si>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</si>
  <si>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</si>
  <si>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</si>
  <si>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</si>
  <si>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</si>
  <si>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</si>
  <si>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</si>
  <si>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</si>
  <si>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</si>
  <si>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</si>
  <si>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</si>
  <si>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</si>
  <si>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</si>
  <si>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</si>
  <si>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07.04.2025</t>
  </si>
  <si>
    <t>04.04.2025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</si>
  <si>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</si>
  <si>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</si>
  <si>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</si>
  <si>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</si>
  <si>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</si>
  <si>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</si>
  <si>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</si>
  <si>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>25.03.2025</t>
  </si>
  <si>
    <t>24.03.2025</t>
  </si>
  <si>
    <t>21.03.2025</t>
  </si>
  <si>
    <t>20.03.2025</t>
  </si>
  <si>
    <t>19.03.2025</t>
  </si>
  <si>
    <t>18.03.2025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</si>
  <si>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</si>
  <si>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</si>
  <si>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</si>
  <si>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</si>
  <si>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</si>
  <si>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</si>
  <si>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</si>
  <si>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</si>
  <si>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</si>
  <si>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</si>
  <si>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</si>
  <si>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</si>
  <si>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</si>
  <si>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</si>
  <si>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</si>
  <si>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</si>
  <si>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</si>
  <si>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</si>
  <si>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</si>
  <si>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</si>
  <si>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</si>
  <si>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</si>
  <si>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</si>
  <si>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</si>
  <si>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</si>
  <si>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</si>
  <si>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</si>
  <si>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</si>
  <si>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</si>
  <si>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31.01.2025</t>
  </si>
  <si>
    <t>30.01.2025</t>
  </si>
  <si>
    <t>29.01.2025</t>
  </si>
  <si>
    <t>28.01.2025</t>
  </si>
  <si>
    <t>27.01.2025</t>
  </si>
  <si>
    <t>24.01.2025</t>
  </si>
  <si>
    <t>23.01.2025</t>
  </si>
  <si>
    <t>22.01.2025</t>
  </si>
  <si>
    <t>21.01.2025</t>
  </si>
  <si>
    <t>20.01.2025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</si>
  <si>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</si>
  <si>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</si>
  <si>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</si>
  <si>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</si>
  <si>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</si>
  <si>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</si>
  <si>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</si>
  <si>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08.01.2025</t>
  </si>
  <si>
    <t>07.01.2025</t>
  </si>
  <si>
    <t>06.01.2025</t>
  </si>
  <si>
    <t>03.01.2025</t>
  </si>
  <si>
    <t>02.01.2025</t>
  </si>
  <si>
    <t>31.12.2024</t>
  </si>
  <si>
    <t>30.12.2024</t>
  </si>
  <si>
    <t>27.12.2024</t>
  </si>
  <si>
    <t>26.12.2024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</si>
  <si>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</si>
  <si>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</si>
  <si>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</si>
  <si>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</si>
  <si>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</si>
  <si>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</si>
  <si>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</si>
  <si>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</si>
  <si>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</si>
  <si>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</si>
  <si>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</si>
  <si>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</si>
  <si>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</si>
  <si>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</si>
  <si>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</si>
  <si>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</si>
  <si>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</si>
  <si>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</si>
  <si>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</si>
  <si>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</si>
  <si>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</si>
  <si>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22.11.2024</t>
  </si>
  <si>
    <t>21.11.2024</t>
  </si>
  <si>
    <t>20.11.2024</t>
  </si>
  <si>
    <t>19.11.2024</t>
  </si>
  <si>
    <t>15.11.2024</t>
  </si>
  <si>
    <t>14.11.2024</t>
  </si>
  <si>
    <t>13.11.2024</t>
  </si>
  <si>
    <t>12.11.2024</t>
  </si>
  <si>
    <t>11.11.2024</t>
  </si>
  <si>
    <t>08.11.2024</t>
  </si>
  <si>
    <t>07.11.2024</t>
  </si>
  <si>
    <t>06.11.2024</t>
  </si>
  <si>
    <t>05.11.2024</t>
  </si>
  <si>
    <t>04.11.2024</t>
  </si>
  <si>
    <t>01.11.2024</t>
  </si>
  <si>
    <t>31.10.2024</t>
  </si>
  <si>
    <t>30.10.2024</t>
  </si>
  <si>
    <t>29.10.2024</t>
  </si>
  <si>
    <t>28.10.2024</t>
  </si>
  <si>
    <t>25.10.2024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</si>
  <si>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</si>
  <si>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</si>
  <si>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</si>
  <si>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</si>
  <si>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</si>
  <si>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</si>
  <si>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</si>
  <si>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</si>
  <si>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</si>
  <si>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</si>
  <si>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</si>
  <si>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</si>
  <si>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</si>
  <si>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</si>
  <si>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</si>
  <si>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</si>
  <si>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</si>
  <si>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</si>
  <si>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</si>
  <si>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</si>
  <si>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</si>
  <si>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</si>
  <si>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</si>
  <si>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</si>
  <si>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</si>
  <si>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</si>
  <si>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</si>
  <si>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</si>
  <si>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</si>
  <si>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</si>
  <si>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</si>
  <si>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</si>
  <si>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</si>
  <si>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</si>
  <si>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</si>
  <si>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</si>
  <si>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</si>
  <si>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</si>
  <si>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</si>
  <si>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</si>
  <si>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</si>
  <si>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</si>
  <si>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</si>
  <si>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</si>
  <si>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</si>
  <si>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</si>
  <si>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</si>
  <si>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</si>
  <si>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</si>
  <si>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</si>
  <si>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</si>
  <si>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</si>
  <si>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</si>
  <si>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</si>
  <si>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</si>
  <si>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</si>
  <si>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</si>
  <si>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</si>
  <si>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</si>
  <si>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</si>
  <si>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</si>
  <si>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</si>
  <si>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</si>
  <si>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</si>
  <si>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</si>
  <si>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</si>
  <si>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</si>
  <si>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</si>
  <si>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</si>
  <si>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</si>
  <si>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</si>
  <si>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</si>
  <si>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</si>
  <si>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</si>
  <si>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</si>
  <si>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</si>
  <si>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</si>
  <si>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</si>
  <si>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</si>
  <si>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</si>
  <si>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</si>
  <si>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</si>
  <si>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</si>
  <si>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</si>
  <si>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26.06.2024</t>
  </si>
  <si>
    <t>25.06.2024</t>
  </si>
  <si>
    <t>24.06.2024</t>
  </si>
  <si>
    <t>21.06.2024</t>
  </si>
  <si>
    <t>20.06.2024</t>
  </si>
  <si>
    <t>19.06.2024</t>
  </si>
  <si>
    <t>18.06.2024</t>
  </si>
  <si>
    <t>17.06.2024</t>
  </si>
  <si>
    <t>14.06.2024</t>
  </si>
  <si>
    <t>13.06.2024</t>
  </si>
  <si>
    <t>12.06.2024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</si>
  <si>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</si>
  <si>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</si>
  <si>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</si>
  <si>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</si>
  <si>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</si>
  <si>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</si>
  <si>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</si>
  <si>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</si>
  <si>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</si>
  <si>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</si>
  <si>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28.05.2024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</si>
  <si>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</si>
  <si>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</si>
  <si>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</si>
  <si>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</si>
  <si>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</si>
  <si>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</si>
  <si>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</si>
  <si>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</si>
  <si>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</si>
  <si>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</si>
  <si>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</si>
  <si>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10.05.2024</t>
  </si>
  <si>
    <t>09.05.2024</t>
  </si>
  <si>
    <t>08.05.2024</t>
  </si>
  <si>
    <t>07.05.2024</t>
  </si>
  <si>
    <t>06.05.2024</t>
  </si>
  <si>
    <t>03.05.2024</t>
  </si>
  <si>
    <t>02.05.2024</t>
  </si>
  <si>
    <t>30.04.2024</t>
  </si>
  <si>
    <t>29.04.2024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</si>
  <si>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</si>
  <si>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</si>
  <si>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</si>
  <si>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</si>
  <si>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</si>
  <si>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</si>
  <si>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</si>
  <si>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</si>
  <si>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</si>
  <si>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</si>
  <si>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12.04.2024</t>
  </si>
  <si>
    <t>11.04.2024</t>
  </si>
  <si>
    <t>10.04.2024</t>
  </si>
  <si>
    <t>09.04.2024</t>
  </si>
  <si>
    <t>08.04.2024</t>
  </si>
  <si>
    <t>05.04.2024</t>
  </si>
  <si>
    <t>04.04.2024</t>
  </si>
  <si>
    <t>03.04.2024</t>
  </si>
  <si>
    <t>02.04.2024</t>
  </si>
  <si>
    <t>01.04.2024</t>
  </si>
  <si>
    <t>27.03.2024</t>
  </si>
  <si>
    <t>26.03.2024</t>
  </si>
  <si>
    <t>25.03.2024</t>
  </si>
  <si>
    <t>22.03.2024</t>
  </si>
  <si>
    <t>21.03.2024</t>
  </si>
  <si>
    <t>20.03.2024</t>
  </si>
  <si>
    <t>19.03.2024</t>
  </si>
  <si>
    <t>15.03.2024</t>
  </si>
  <si>
    <t>14.03.2024</t>
  </si>
  <si>
    <t>13.03.2024</t>
  </si>
  <si>
    <t>12.03.2024</t>
  </si>
  <si>
    <t>11.03.2024</t>
  </si>
  <si>
    <t>08.03.2024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</si>
  <si>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</si>
  <si>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</si>
  <si>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</si>
  <si>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</si>
  <si>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</si>
  <si>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</si>
  <si>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</si>
  <si>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</si>
  <si>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</si>
  <si>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23.02.2024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</si>
  <si>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</si>
  <si>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</si>
  <si>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</si>
  <si>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</si>
  <si>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</si>
  <si>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</si>
  <si>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</si>
  <si>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</si>
  <si>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</si>
  <si>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</si>
  <si>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</si>
  <si>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</si>
  <si>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</si>
  <si>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</si>
  <si>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</si>
  <si>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</si>
  <si>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</si>
  <si>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</si>
  <si>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</si>
  <si>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</si>
  <si>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</si>
  <si>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</si>
  <si>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</si>
  <si>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</si>
  <si>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</si>
  <si>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</si>
  <si>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</si>
  <si>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</si>
  <si>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</si>
  <si>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</si>
  <si>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</si>
  <si>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</si>
  <si>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</si>
  <si>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</si>
  <si>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</si>
  <si>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</si>
  <si>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02.01.2024</t>
  </si>
  <si>
    <t>29.12.2023</t>
  </si>
  <si>
    <t>28.12.2023</t>
  </si>
  <si>
    <t>27.12.2023</t>
  </si>
  <si>
    <t>26.12.2023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</si>
  <si>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</si>
  <si>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</si>
  <si>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</si>
  <si>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</si>
  <si>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</si>
  <si>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</si>
  <si>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</si>
  <si>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</si>
  <si>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</si>
  <si>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</si>
  <si>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</si>
  <si>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</si>
  <si>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</si>
  <si>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</si>
  <si>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</si>
  <si>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</si>
  <si>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</si>
  <si>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</si>
  <si>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</si>
  <si>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</si>
  <si>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</si>
  <si>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</si>
  <si>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</si>
  <si>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</si>
  <si>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</si>
  <si>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</si>
  <si>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</si>
  <si>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</si>
  <si>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</si>
  <si>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</si>
  <si>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</si>
  <si>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</si>
  <si>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</si>
  <si>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</si>
  <si>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</si>
  <si>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</si>
  <si>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</si>
  <si>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</si>
  <si>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</si>
  <si>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</si>
  <si>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</si>
  <si>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</si>
  <si>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</si>
  <si>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</si>
  <si>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</si>
  <si>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</si>
  <si>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</si>
  <si>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</si>
  <si>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</si>
  <si>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</si>
  <si>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</si>
  <si>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</si>
  <si>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</si>
  <si>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</si>
  <si>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</si>
  <si>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</si>
  <si>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</si>
  <si>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</si>
  <si>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</si>
  <si>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</si>
  <si>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</si>
  <si>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</si>
  <si>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</si>
  <si>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</si>
  <si>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</si>
  <si>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</si>
  <si>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</si>
  <si>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</si>
  <si>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</si>
  <si>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</si>
  <si>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</si>
  <si>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</si>
  <si>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</si>
  <si>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</si>
  <si>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</si>
  <si>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</si>
  <si>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</si>
  <si>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</si>
  <si>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</si>
  <si>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</si>
  <si>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</si>
  <si>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</si>
  <si>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</si>
  <si>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</si>
  <si>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</si>
  <si>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</si>
  <si>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</si>
  <si>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</si>
  <si>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</si>
  <si>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</si>
  <si>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</si>
  <si>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</si>
  <si>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</si>
  <si>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</si>
  <si>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</si>
  <si>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</si>
  <si>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</si>
  <si>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</si>
  <si>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</si>
  <si>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</si>
  <si>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</si>
  <si>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</si>
  <si>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</si>
  <si>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</si>
  <si>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</si>
  <si>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</si>
  <si>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</si>
  <si>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</si>
  <si>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</si>
  <si>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</si>
  <si>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</si>
  <si>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</si>
  <si>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</si>
  <si>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</si>
  <si>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</si>
  <si>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</si>
  <si>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</si>
  <si>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</si>
  <si>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</si>
  <si>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</si>
  <si>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</si>
  <si>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</si>
  <si>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</si>
  <si>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</si>
  <si>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</si>
  <si>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</si>
  <si>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</si>
  <si>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</si>
  <si>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</si>
  <si>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</si>
  <si>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</si>
  <si>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</si>
  <si>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</si>
  <si>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</si>
  <si>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</si>
  <si>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</si>
  <si>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</si>
  <si>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</si>
  <si>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</si>
  <si>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</si>
  <si>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</si>
  <si>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</si>
  <si>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</si>
  <si>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</si>
  <si>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</si>
  <si>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</si>
  <si>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</si>
  <si>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</si>
  <si>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</si>
  <si>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</si>
  <si>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</si>
  <si>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</si>
  <si>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</si>
  <si>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</si>
  <si>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</si>
  <si>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</si>
  <si>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</si>
  <si>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</si>
  <si>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</si>
  <si>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</si>
  <si>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09.05.2023</t>
  </si>
  <si>
    <t>08.05.2023</t>
  </si>
  <si>
    <t>05.05.2023</t>
  </si>
  <si>
    <t>04.05.2023</t>
  </si>
  <si>
    <t>03.05.2023</t>
  </si>
  <si>
    <t>02.05.2023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</si>
  <si>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</si>
  <si>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</si>
  <si>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</si>
  <si>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</si>
  <si>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</si>
  <si>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</si>
  <si>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</si>
  <si>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</si>
  <si>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</si>
  <si>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</si>
  <si>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</si>
  <si>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</si>
  <si>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</si>
  <si>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</si>
  <si>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</si>
  <si>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</si>
  <si>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</si>
  <si>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</si>
  <si>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</si>
  <si>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</si>
  <si>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</si>
  <si>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</si>
  <si>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</si>
  <si>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</si>
  <si>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</si>
  <si>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</si>
  <si>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</si>
  <si>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</si>
  <si>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</si>
  <si>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</si>
  <si>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</si>
  <si>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</si>
  <si>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</si>
  <si>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</si>
  <si>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08.03.2023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</si>
  <si>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</si>
  <si>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</si>
  <si>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</si>
  <si>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</si>
  <si>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</si>
  <si>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</si>
  <si>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</si>
  <si>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</si>
  <si>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</si>
  <si>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</si>
  <si>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</si>
  <si>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</si>
  <si>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</si>
  <si>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</si>
  <si>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</si>
  <si>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</si>
  <si>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</si>
  <si>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</si>
  <si>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</si>
  <si>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</si>
  <si>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</si>
  <si>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</si>
  <si>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</si>
  <si>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</si>
  <si>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</si>
  <si>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</si>
  <si>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</si>
  <si>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</si>
  <si>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</si>
  <si>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</si>
  <si>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</si>
  <si>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</si>
  <si>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</si>
  <si>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</si>
  <si>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</si>
  <si>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</si>
  <si>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</si>
  <si>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</si>
  <si>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</si>
  <si>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</si>
  <si>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</si>
  <si>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</si>
  <si>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</si>
  <si>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</si>
  <si>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</si>
  <si>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02.01.2023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</si>
  <si>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</si>
  <si>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</si>
  <si>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</si>
  <si>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</si>
  <si>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</si>
  <si>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</si>
  <si>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</si>
  <si>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</si>
  <si>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</si>
  <si>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</si>
  <si>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</si>
  <si>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</si>
  <si>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</si>
  <si>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</si>
  <si>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</si>
  <si>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</si>
  <si>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</si>
  <si>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</si>
  <si>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</si>
  <si>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</si>
  <si>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</si>
  <si>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</si>
  <si>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</si>
  <si>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</si>
  <si>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</si>
  <si>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</si>
  <si>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</si>
  <si>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</si>
  <si>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</si>
  <si>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</si>
  <si>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</si>
  <si>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</si>
  <si>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</si>
  <si>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</si>
  <si>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</si>
  <si>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</si>
  <si>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</si>
  <si>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</si>
  <si>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</si>
  <si>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</si>
  <si>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</si>
  <si>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</si>
  <si>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</si>
  <si>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</si>
  <si>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</si>
  <si>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</si>
  <si>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</si>
  <si>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</si>
  <si>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</si>
  <si>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</si>
  <si>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</si>
  <si>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</si>
  <si>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</si>
  <si>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</si>
  <si>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</si>
  <si>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</si>
  <si>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</si>
  <si>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</si>
  <si>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</si>
  <si>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</si>
  <si>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</si>
  <si>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</si>
  <si>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</si>
  <si>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</si>
  <si>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</si>
  <si>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</si>
  <si>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</si>
  <si>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</si>
  <si>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</si>
  <si>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</si>
  <si>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</si>
  <si>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</si>
  <si>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</si>
  <si>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</si>
  <si>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</si>
  <si>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</si>
  <si>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</si>
  <si>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</si>
  <si>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</si>
  <si>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</si>
  <si>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</si>
  <si>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</si>
  <si>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</si>
  <si>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</si>
  <si>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</si>
  <si>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</si>
  <si>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</si>
  <si>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</si>
  <si>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</si>
  <si>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</si>
  <si>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</si>
  <si>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</si>
  <si>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</si>
  <si>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</si>
  <si>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</si>
  <si>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</si>
  <si>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</si>
  <si>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</si>
  <si>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</si>
  <si>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</si>
  <si>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</si>
  <si>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</si>
  <si>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</si>
  <si>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</si>
  <si>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</si>
  <si>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</si>
  <si>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</si>
  <si>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</si>
  <si>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</si>
  <si>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</si>
  <si>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</si>
  <si>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</si>
  <si>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</si>
  <si>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</si>
  <si>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</si>
  <si>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</si>
  <si>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</si>
  <si>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</si>
  <si>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</si>
  <si>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</si>
  <si>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</si>
  <si>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</si>
  <si>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</si>
  <si>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</si>
  <si>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</si>
  <si>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</si>
  <si>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</si>
  <si>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</si>
  <si>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</si>
  <si>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</si>
  <si>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27.06.2022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</si>
  <si>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</si>
  <si>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</si>
  <si>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</si>
  <si>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</si>
  <si>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</si>
  <si>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</si>
  <si>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</si>
  <si>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</si>
  <si>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</si>
  <si>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13.06.2022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</si>
  <si>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</si>
  <si>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</si>
  <si>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</si>
  <si>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</si>
  <si>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</si>
  <si>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</si>
  <si>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</si>
  <si>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</si>
  <si>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</si>
  <si>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</si>
  <si>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</si>
  <si>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</si>
  <si>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</si>
  <si>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</si>
  <si>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</si>
  <si>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</si>
  <si>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</si>
  <si>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</si>
  <si>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</si>
  <si>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</si>
  <si>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</si>
  <si>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</si>
  <si>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</si>
  <si>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</si>
  <si>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09.05.2022</t>
  </si>
  <si>
    <t>06.05.2022</t>
  </si>
  <si>
    <t>05.05.2022</t>
  </si>
  <si>
    <t>04.05.2022</t>
  </si>
  <si>
    <t>03.05.2022</t>
  </si>
  <si>
    <t>02.05.2022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</si>
  <si>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</si>
  <si>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</si>
  <si>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</si>
  <si>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</si>
  <si>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</si>
  <si>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</si>
  <si>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</si>
  <si>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</si>
  <si>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</si>
  <si>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</si>
  <si>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</si>
  <si>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</si>
  <si>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</si>
  <si>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</si>
  <si>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</si>
  <si>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</si>
  <si>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</si>
  <si>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</si>
  <si>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</si>
  <si>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</si>
  <si>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</si>
  <si>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</si>
  <si>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</si>
  <si>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25.03.2022</t>
  </si>
  <si>
    <t>24.03.2022</t>
  </si>
  <si>
    <t>23.03.2022</t>
  </si>
  <si>
    <t>22.03.2022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</si>
  <si>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</si>
  <si>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</si>
  <si>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</si>
  <si>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</si>
  <si>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</si>
  <si>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</si>
  <si>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</si>
  <si>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</si>
  <si>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08.03.2022</t>
  </si>
  <si>
    <t>07.03.2022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</si>
  <si>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</si>
  <si>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</si>
  <si>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</si>
  <si>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</si>
  <si>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</si>
  <si>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</si>
  <si>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</si>
  <si>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</si>
  <si>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</si>
  <si>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</si>
  <si>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</si>
  <si>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</si>
  <si>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</si>
  <si>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</si>
  <si>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</si>
  <si>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</si>
  <si>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</si>
  <si>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</si>
  <si>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</si>
  <si>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</si>
  <si>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</si>
  <si>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</si>
  <si>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</si>
  <si>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</si>
  <si>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</si>
  <si>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</si>
  <si>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</si>
  <si>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</si>
  <si>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</si>
  <si>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</si>
  <si>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</si>
  <si>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</si>
  <si>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</si>
  <si>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</si>
  <si>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</si>
  <si>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</si>
  <si>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</si>
  <si>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</si>
  <si>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</si>
  <si>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07.01.2022</t>
  </si>
  <si>
    <t>06.01.2022</t>
  </si>
  <si>
    <t>05.01.2022</t>
  </si>
  <si>
    <t>04.01.2022</t>
  </si>
  <si>
    <t>03.01.2022</t>
  </si>
  <si>
    <t>31.12.2021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</si>
  <si>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</si>
  <si>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</si>
  <si>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</si>
  <si>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</si>
  <si>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</si>
  <si>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</si>
  <si>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</si>
  <si>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</si>
  <si>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</si>
  <si>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</si>
  <si>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</si>
  <si>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</si>
  <si>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</si>
  <si>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</si>
  <si>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</si>
  <si>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</si>
  <si>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</si>
  <si>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</si>
  <si>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</si>
  <si>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</si>
  <si>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</si>
  <si>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</si>
  <si>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</si>
  <si>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</si>
  <si>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</si>
  <si>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</si>
  <si>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</si>
  <si>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</si>
  <si>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</si>
  <si>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</si>
  <si>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</si>
  <si>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</si>
  <si>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</si>
  <si>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</si>
  <si>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</si>
  <si>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</si>
  <si>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</si>
  <si>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</si>
  <si>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</si>
  <si>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</si>
  <si>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</si>
  <si>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</si>
  <si>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</si>
  <si>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</si>
  <si>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</si>
  <si>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</si>
  <si>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</si>
  <si>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</si>
  <si>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</si>
  <si>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</si>
  <si>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</si>
  <si>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</si>
  <si>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</si>
  <si>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</si>
  <si>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</si>
  <si>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</si>
  <si>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</si>
  <si>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</si>
  <si>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</si>
  <si>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</si>
  <si>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</si>
  <si>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</si>
  <si>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</si>
  <si>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</si>
  <si>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</si>
  <si>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</si>
  <si>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</si>
  <si>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</si>
  <si>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</si>
  <si>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</si>
  <si>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</si>
  <si>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</si>
  <si>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</si>
  <si>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15.09.2021</t>
  </si>
  <si>
    <t>14.09.2021</t>
  </si>
  <si>
    <t>13.09.2021</t>
  </si>
  <si>
    <t>10.09.2021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</si>
  <si>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</si>
  <si>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</si>
  <si>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</si>
  <si>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</si>
  <si>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</si>
  <si>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</si>
  <si>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</si>
  <si>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</si>
  <si>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</si>
  <si>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</si>
  <si>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</si>
  <si>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</si>
  <si>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</si>
  <si>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</si>
  <si>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</si>
  <si>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</si>
  <si>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</si>
  <si>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</si>
  <si>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</si>
  <si>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</si>
  <si>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</si>
  <si>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</si>
  <si>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</si>
  <si>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</si>
  <si>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</si>
  <si>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</si>
  <si>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</si>
  <si>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</si>
  <si>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</si>
  <si>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</si>
  <si>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</si>
  <si>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</si>
  <si>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</si>
  <si>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</si>
  <si>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</si>
  <si>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</si>
  <si>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</si>
  <si>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</si>
  <si>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</si>
  <si>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</si>
  <si>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</si>
  <si>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</si>
  <si>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</si>
  <si>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</si>
  <si>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</si>
  <si>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</si>
  <si>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</si>
  <si>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</si>
  <si>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</si>
  <si>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</si>
  <si>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</si>
  <si>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</si>
  <si>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</si>
  <si>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</si>
  <si>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</si>
  <si>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</si>
  <si>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</si>
  <si>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</si>
  <si>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</si>
  <si>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</si>
  <si>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</si>
  <si>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</si>
  <si>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</si>
  <si>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14.06.2021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</si>
  <si>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</si>
  <si>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</si>
  <si>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</si>
  <si>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</si>
  <si>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</si>
  <si>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</si>
  <si>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</si>
  <si>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</si>
  <si>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</si>
  <si>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</si>
  <si>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28.05.2021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</si>
  <si>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</si>
  <si>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</si>
  <si>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</si>
  <si>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</si>
  <si>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</si>
  <si>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</si>
  <si>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</si>
  <si>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</si>
  <si>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</si>
  <si>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14.05.2021</t>
  </si>
  <si>
    <t>13.05.2021</t>
  </si>
  <si>
    <t>12.05.2021</t>
  </si>
  <si>
    <t>11.05.2021</t>
  </si>
  <si>
    <t>10.05.2021</t>
  </si>
  <si>
    <t>07.05.2021</t>
  </si>
  <si>
    <t>06.05.2021</t>
  </si>
  <si>
    <t>05.05.2021</t>
  </si>
  <si>
    <t>04.05.2021</t>
  </si>
  <si>
    <t>03.05.2021</t>
  </si>
  <si>
    <t>30.04.2021</t>
  </si>
  <si>
    <t>29.04.2021</t>
  </si>
  <si>
    <t>28.04.2021</t>
  </si>
  <si>
    <t>27.04.2021</t>
  </si>
  <si>
    <t>26.04.2021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</si>
  <si>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</si>
  <si>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</si>
  <si>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</si>
  <si>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</si>
  <si>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</si>
  <si>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</si>
  <si>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</si>
  <si>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</si>
  <si>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</si>
  <si>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</si>
  <si>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</si>
  <si>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</si>
  <si>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</si>
  <si>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</si>
  <si>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</si>
  <si>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31.03.2021</t>
  </si>
  <si>
    <t>30.03.2021</t>
  </si>
  <si>
    <t>29.03.2021</t>
  </si>
  <si>
    <t>26.03.2021</t>
  </si>
  <si>
    <t>25.03.2021</t>
  </si>
  <si>
    <t>24.03.2021</t>
  </si>
  <si>
    <t>23.03.2021</t>
  </si>
  <si>
    <t>22.03.2021</t>
  </si>
  <si>
    <t>19.03.2021</t>
  </si>
  <si>
    <t>18.03.2021</t>
  </si>
  <si>
    <t>17.03.2021</t>
  </si>
  <si>
    <t>16.03.2021</t>
  </si>
  <si>
    <t>12.03.2021</t>
  </si>
  <si>
    <t>11.03.2021</t>
  </si>
  <si>
    <t>10.03.2021</t>
  </si>
  <si>
    <t>09.03.2021</t>
  </si>
  <si>
    <t>08.03.2021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</si>
  <si>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</si>
  <si>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</si>
  <si>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</si>
  <si>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</si>
  <si>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</si>
  <si>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</si>
  <si>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</si>
  <si>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</si>
  <si>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23.02.2021</t>
  </si>
  <si>
    <t>22.02.2021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</si>
  <si>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</si>
  <si>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</si>
  <si>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</si>
  <si>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</si>
  <si>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</si>
  <si>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</si>
  <si>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</si>
  <si>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</si>
  <si>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</si>
  <si>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</si>
  <si>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</si>
  <si>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</si>
  <si>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</si>
  <si>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</si>
  <si>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</si>
  <si>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</si>
  <si>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</si>
  <si>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</si>
  <si>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</si>
  <si>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</si>
  <si>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</si>
  <si>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</si>
  <si>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</si>
  <si>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</si>
  <si>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</si>
  <si>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</si>
  <si>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</si>
  <si>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</si>
  <si>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</si>
  <si>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08.01.2021</t>
  </si>
  <si>
    <t>07.01.2021</t>
  </si>
  <si>
    <t>06.01.2021</t>
  </si>
  <si>
    <t>05.01.2021</t>
  </si>
  <si>
    <t>04.01.2021</t>
  </si>
  <si>
    <t>31.12.2020</t>
  </si>
  <si>
    <t>30.12.2020</t>
  </si>
  <si>
    <t>29.12.2020</t>
  </si>
  <si>
    <t>28.12.2020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</si>
  <si>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</si>
  <si>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</si>
  <si>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</si>
  <si>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</si>
  <si>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</si>
  <si>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</si>
  <si>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</si>
  <si>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</si>
  <si>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</si>
  <si>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</si>
  <si>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</si>
  <si>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</si>
  <si>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</si>
  <si>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</si>
  <si>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</si>
  <si>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</si>
  <si>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</si>
  <si>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</si>
  <si>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</si>
  <si>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</si>
  <si>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</si>
  <si>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</si>
  <si>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</si>
  <si>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</si>
  <si>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</si>
  <si>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</si>
  <si>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</si>
  <si>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</si>
  <si>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</si>
  <si>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</si>
  <si>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</si>
  <si>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</si>
  <si>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</si>
  <si>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</si>
  <si>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</si>
  <si>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</si>
  <si>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</si>
  <si>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</si>
  <si>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</si>
  <si>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</si>
  <si>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</si>
  <si>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</si>
  <si>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</si>
  <si>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</si>
  <si>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</si>
  <si>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</si>
  <si>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</si>
  <si>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</si>
  <si>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</si>
  <si>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</si>
  <si>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</si>
  <si>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</si>
  <si>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</si>
  <si>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</si>
  <si>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</si>
  <si>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</si>
  <si>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</si>
  <si>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</si>
  <si>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</si>
  <si>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</si>
  <si>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</si>
  <si>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</si>
  <si>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</si>
  <si>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</si>
  <si>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</si>
  <si>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</si>
  <si>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</si>
  <si>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</si>
  <si>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</si>
  <si>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</si>
  <si>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</si>
  <si>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</si>
  <si>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</si>
  <si>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</si>
  <si>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</si>
  <si>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</si>
  <si>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</si>
  <si>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</si>
  <si>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</si>
  <si>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</si>
  <si>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</si>
  <si>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</si>
  <si>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</si>
  <si>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</si>
  <si>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</si>
  <si>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</si>
  <si>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</si>
  <si>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</si>
  <si>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</si>
  <si>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</si>
  <si>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</si>
  <si>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</si>
  <si>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</si>
  <si>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</si>
  <si>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</si>
  <si>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</si>
  <si>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</si>
  <si>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</si>
  <si>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</si>
  <si>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</si>
  <si>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</si>
  <si>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</si>
  <si>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</si>
  <si>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</si>
  <si>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</si>
  <si>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</si>
  <si>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</si>
  <si>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</si>
  <si>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</si>
  <si>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</si>
  <si>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</si>
  <si>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</si>
  <si>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</si>
  <si>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</si>
  <si>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</si>
  <si>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</si>
  <si>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</si>
  <si>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</si>
  <si>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</si>
  <si>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</si>
  <si>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</si>
  <si>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</si>
  <si>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</si>
  <si>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01.07.2020</t>
  </si>
  <si>
    <t>30.06.2020</t>
  </si>
  <si>
    <t>29.06.2020</t>
  </si>
  <si>
    <t>26.06.2020</t>
  </si>
  <si>
    <t>25.06.2020</t>
  </si>
  <si>
    <t>24.06.2020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</si>
  <si>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</si>
  <si>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</si>
  <si>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</si>
  <si>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</si>
  <si>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</si>
  <si>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</si>
  <si>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</si>
  <si>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12.06.2020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</si>
  <si>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</si>
  <si>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</si>
  <si>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</si>
  <si>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</si>
  <si>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</si>
  <si>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</si>
  <si>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</si>
  <si>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</si>
  <si>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</si>
  <si>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29.05.2020</t>
  </si>
  <si>
    <t>28.05.2020</t>
  </si>
  <si>
    <t>27.05.2020</t>
  </si>
  <si>
    <t>26.05.2020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</si>
  <si>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</si>
  <si>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</si>
  <si>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</si>
  <si>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</si>
  <si>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</si>
  <si>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</si>
  <si>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</si>
  <si>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</si>
  <si>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</si>
  <si>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</si>
  <si>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11.05.2020</t>
  </si>
  <si>
    <t>08.05.2020</t>
  </si>
  <si>
    <t>07.05.2020</t>
  </si>
  <si>
    <t>06.05.2020</t>
  </si>
  <si>
    <t>05.05.2020</t>
  </si>
  <si>
    <t>04.05.2020</t>
  </si>
  <si>
    <t>30.04.2020</t>
  </si>
  <si>
    <t>Precio</t>
  </si>
  <si>
    <t>GFNORTEO</t>
  </si>
  <si>
    <t>KOFUBL</t>
  </si>
  <si>
    <t>TLEVISACPO</t>
  </si>
  <si>
    <t>WALMEX</t>
  </si>
  <si>
    <t>KIMBERA</t>
  </si>
  <si>
    <t>w_GFNORTEO</t>
  </si>
  <si>
    <t>w_KOFUBL</t>
  </si>
  <si>
    <t>w_TLEVISACPO</t>
  </si>
  <si>
    <t>w_WALMEX</t>
  </si>
  <si>
    <t>w_KIMBERA</t>
  </si>
  <si>
    <t>PORTAFOLIO MINIMA VARIANZA</t>
  </si>
  <si>
    <t>CAPITAL</t>
  </si>
  <si>
    <t>y</t>
  </si>
  <si>
    <t>rf</t>
  </si>
  <si>
    <t>PR</t>
  </si>
  <si>
    <t>premio al riesgo</t>
  </si>
  <si>
    <t>INV 1</t>
  </si>
  <si>
    <t>INV 2</t>
  </si>
  <si>
    <t>INV 3</t>
  </si>
  <si>
    <t xml:space="preserve">PORTAFOLIO OPTIMO </t>
  </si>
  <si>
    <t>INV_GFNORTEO</t>
  </si>
  <si>
    <t>INV_KOFUBL</t>
  </si>
  <si>
    <t>INV_TLEVISACPO</t>
  </si>
  <si>
    <t>INV_WALMEX</t>
  </si>
  <si>
    <t>INV_KIMBERA</t>
  </si>
  <si>
    <t>tasa de prestamo</t>
  </si>
  <si>
    <t>Tasa prestamo</t>
  </si>
  <si>
    <t>CAL</t>
  </si>
  <si>
    <t>Pendiente</t>
  </si>
  <si>
    <t>Pendiente prestamo y&gt;1</t>
  </si>
  <si>
    <t>Min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</si>
</sst>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"/>
    <numFmt numFmtId="165" formatCode="0.000"/>
    <numFmt numFmtId="166" formatCode="0.00000"/>
    <numFmt numFmtId="167" formatCode="0.000000"/>
    <numFmt numFmtId="168" formatCode="0.0000000"/>
    <numFmt numFmtId="169" formatCode="0.00000000"/>
    <numFmt numFmtId="170" formatCode="0.000%"/>
    <numFmt numFmtId="171" formatCode="_-[$$-409]* #,##0_ ;_-[$$-409]* \-#,##0\ ;_-[$$-409]* &quot;-&quot;??_ ;_-@_ "/>
    <numFmt numFmtId="172" formatCode="_-[$$-409]* #,##0.00000_ ;_-[$$-409]* \-#,##0.00000\ ;_-[$$-409]* &quot;-&quot;?????_ ;_-@_ "/>
    <numFmt numFmtId="173" formatCode="0.000000%"/>
    <numFmt numFmtId="174" formatCode="0.0%"/>
    <numFmt numFmtId="175" formatCode="0.00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0" fillId="0" borderId="0" xfId="0" applyNumberFormat="1"/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9" fontId="0" fillId="0" borderId="0" xfId="1" applyFont="1"/>
    <xf numFmtId="170" fontId="0" fillId="0" borderId="0" xfId="1" applyNumberFormat="1" applyFont="1"/>
    <xf numFmtId="169" fontId="0" fillId="3" borderId="0" xfId="0" applyNumberFormat="1" applyFill="1"/>
    <xf numFmtId="0" fontId="0" fillId="10" borderId="0" xfId="0" applyFill="1"/>
    <xf numFmtId="0" fontId="2" fillId="11" borderId="0" xfId="0" applyFon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67" fontId="0" fillId="0" borderId="0" xfId="0" applyNumberFormat="1"/>
    <xf numFmtId="9" fontId="0" fillId="0" borderId="0" xfId="0" applyNumberFormat="1"/>
    <xf numFmtId="174" fontId="0" fillId="0" borderId="0" xfId="1" applyNumberFormat="1" applyFont="1"/>
    <xf numFmtId="10" fontId="0" fillId="0" borderId="0" xfId="1" applyNumberFormat="1" applyFont="1"/>
    <xf numFmtId="175" fontId="0" fillId="0" borderId="0" xfId="1" applyNumberFormat="1" applyFont="1"/>
    <xf numFmtId="167" fontId="0" fillId="6" borderId="0" xfId="0" applyNumberFormat="1" applyFill="1"/>
    <xf numFmtId="0" fontId="0" fillId="13" borderId="0" xfId="0" applyFill="1"/>
    <xf numFmtId="0" fontId="0" fillId="0" borderId="0" xfId="0" applyAlignment="1">
      <alignment horizontal="center"/>
    </xf>
    <xf numFmtId="0" fontId="2" fillId="1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</cellXfs>
  <cellStyles count="3">
    <cellStyle name="Millares 2" xfId="2" xr:uid="{0489C989-D04D-49C1-A85D-DF3EB7CB6810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6699FF"/>
      <color rgb="FFFF66CC"/>
      <color rgb="FFCC99FF"/>
      <color rgb="FFFF99CC"/>
      <color rgb="FFD889FF"/>
      <color rgb="FFCC66FF"/>
      <color rgb="FFCC9900"/>
      <color rgb="FFFF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Todos</a:t>
            </a:r>
            <a:r>
              <a:rPr lang="es-MX" baseline="0"/>
              <a:t> los precios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GFNORTEO!$B$1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GFNORTEO!$A:$A</c:f>
              <c:strCache>
                <c:ptCount val="1260"/>
                <c:pt idx="0">
                  <c:v>Fecha</c:v>
                </c:pt>
                <c:pt idx="1">
                  <c:v>30.04.2025</c:v>
                </c:pt>
                <c:pt idx="2">
                  <c:v>29.04.2025</c:v>
                </c:pt>
                <c:pt idx="3">
                  <c:v>28.04.2025</c:v>
                </c:pt>
                <c:pt idx="4">
                  <c:v>25.04.2025</c:v>
                </c:pt>
                <c:pt idx="5">
                  <c:v>24.04.2025</c:v>
                </c:pt>
                <c:pt idx="6">
                  <c:v>23.04.2025</c:v>
                </c:pt>
                <c:pt idx="7">
                  <c:v>22.04.2025</c:v>
                </c:pt>
                <c:pt idx="8">
                  <c:v>21.04.2025</c:v>
                </c:pt>
                <c:pt idx="9">
                  <c:v>16.04.2025</c:v>
                </c:pt>
                <c:pt idx="10">
                  <c:v>15.04.2025</c:v>
                </c:pt>
                <c:pt idx="11">
                  <c:v>14.04.2025</c:v>
                </c:pt>
                <c:pt idx="12">
                  <c:v>11.04.2025</c:v>
                </c:pt>
                <c:pt idx="13">
                  <c:v>10.04.2025</c:v>
                </c:pt>
                <c:pt idx="14">
                  <c:v>09.04.2025</c:v>
                </c:pt>
                <c:pt idx="15">
                  <c:v>08.04.2025</c:v>
                </c:pt>
                <c:pt idx="16">
                  <c:v>07.04.2025</c:v>
                </c:pt>
                <c:pt idx="17">
                  <c:v>04.04.2025</c:v>
                </c:pt>
                <c:pt idx="18">
                  <c:v>03.04.2025</c:v>
                </c:pt>
                <c:pt idx="19">
                  <c:v>02.04.2025</c:v>
                </c:pt>
                <c:pt idx="20">
                  <c:v>01.04.2025</c:v>
                </c:pt>
                <c:pt idx="21">
                  <c:v>31.03.2025</c:v>
                </c:pt>
                <c:pt idx="22">
                  <c:v>28.03.2025</c:v>
                </c:pt>
                <c:pt idx="23">
                  <c:v>27.03.2025</c:v>
                </c:pt>
                <c:pt idx="24">
                  <c:v>26.03.2025</c:v>
                </c:pt>
                <c:pt idx="25">
                  <c:v>25.03.2025</c:v>
                </c:pt>
                <c:pt idx="26">
                  <c:v>24.03.2025</c:v>
                </c:pt>
                <c:pt idx="27">
                  <c:v>21.03.2025</c:v>
                </c:pt>
                <c:pt idx="28">
                  <c:v>20.03.2025</c:v>
                </c:pt>
                <c:pt idx="29">
                  <c:v>19.03.2025</c:v>
                </c:pt>
                <c:pt idx="30">
                  <c:v>18.03.2025</c:v>
                </c:pt>
                <c:pt idx="31">
                  <c:v>14.03.2025</c:v>
                </c:pt>
                <c:pt idx="32">
                  <c:v>13.03.2025</c:v>
                </c:pt>
                <c:pt idx="33">
                  <c:v>12.03.2025</c:v>
                </c:pt>
                <c:pt idx="34">
                  <c:v>11.03.2025</c:v>
                </c:pt>
                <c:pt idx="35">
                  <c:v>10.03.2025</c:v>
                </c:pt>
                <c:pt idx="36">
                  <c:v>07.03.2025</c:v>
                </c:pt>
                <c:pt idx="37">
                  <c:v>06.03.2025</c:v>
                </c:pt>
                <c:pt idx="38">
                  <c:v>05.03.2025</c:v>
                </c:pt>
                <c:pt idx="39">
                  <c:v>04.03.2025</c:v>
                </c:pt>
                <c:pt idx="40">
                  <c:v>03.03.2025</c:v>
                </c:pt>
                <c:pt idx="41">
                  <c:v>28.02.2025</c:v>
                </c:pt>
                <c:pt idx="42">
                  <c:v>27.02.2025</c:v>
                </c:pt>
                <c:pt idx="43">
                  <c:v>26.02.2025</c:v>
                </c:pt>
                <c:pt idx="44">
                  <c:v>25.02.2025</c:v>
                </c:pt>
                <c:pt idx="45">
                  <c:v>24.02.2025</c:v>
                </c:pt>
                <c:pt idx="46">
                  <c:v>21.02.2025</c:v>
                </c:pt>
                <c:pt idx="47">
                  <c:v>20.02.2025</c:v>
                </c:pt>
                <c:pt idx="48">
                  <c:v>19.02.2025</c:v>
                </c:pt>
                <c:pt idx="49">
                  <c:v>18.02.2025</c:v>
                </c:pt>
                <c:pt idx="50">
                  <c:v>17.02.2025</c:v>
                </c:pt>
                <c:pt idx="51">
                  <c:v>14.02.2025</c:v>
                </c:pt>
                <c:pt idx="52">
                  <c:v>13.02.2025</c:v>
                </c:pt>
                <c:pt idx="53">
                  <c:v>12.02.2025</c:v>
                </c:pt>
                <c:pt idx="54">
                  <c:v>11.02.2025</c:v>
                </c:pt>
                <c:pt idx="55">
                  <c:v>10.02.2025</c:v>
                </c:pt>
                <c:pt idx="56">
                  <c:v>07.02.2025</c:v>
                </c:pt>
                <c:pt idx="57">
                  <c:v>06.02.2025</c:v>
                </c:pt>
                <c:pt idx="58">
                  <c:v>05.02.2025</c:v>
                </c:pt>
                <c:pt idx="59">
                  <c:v>04.02.2025</c:v>
                </c:pt>
                <c:pt idx="60">
                  <c:v>31.01.2025</c:v>
                </c:pt>
                <c:pt idx="61">
                  <c:v>30.01.2025</c:v>
                </c:pt>
                <c:pt idx="62">
                  <c:v>29.01.2025</c:v>
                </c:pt>
                <c:pt idx="63">
                  <c:v>28.01.2025</c:v>
                </c:pt>
                <c:pt idx="64">
                  <c:v>27.01.2025</c:v>
                </c:pt>
                <c:pt idx="65">
                  <c:v>24.01.2025</c:v>
                </c:pt>
                <c:pt idx="66">
                  <c:v>23.01.2025</c:v>
                </c:pt>
                <c:pt idx="67">
                  <c:v>22.01.2025</c:v>
                </c:pt>
                <c:pt idx="68">
                  <c:v>21.01.2025</c:v>
                </c:pt>
                <c:pt idx="69">
                  <c:v>20.01.2025</c:v>
                </c:pt>
                <c:pt idx="70">
                  <c:v>17.01.2025</c:v>
                </c:pt>
                <c:pt idx="71">
                  <c:v>16.01.2025</c:v>
                </c:pt>
                <c:pt idx="72">
                  <c:v>15.01.2025</c:v>
                </c:pt>
                <c:pt idx="73">
                  <c:v>14.01.2025</c:v>
                </c:pt>
                <c:pt idx="74">
                  <c:v>13.01.2025</c:v>
                </c:pt>
                <c:pt idx="75">
                  <c:v>10.01.2025</c:v>
                </c:pt>
                <c:pt idx="76">
                  <c:v>09.01.2025</c:v>
                </c:pt>
                <c:pt idx="77">
                  <c:v>08.01.2025</c:v>
                </c:pt>
                <c:pt idx="78">
                  <c:v>07.01.2025</c:v>
                </c:pt>
                <c:pt idx="79">
                  <c:v>06.01.2025</c:v>
                </c:pt>
                <c:pt idx="80">
                  <c:v>03.01.2025</c:v>
                </c:pt>
                <c:pt idx="81">
                  <c:v>02.01.2025</c:v>
                </c:pt>
                <c:pt idx="82">
                  <c:v>31.12.2024</c:v>
                </c:pt>
                <c:pt idx="83">
                  <c:v>30.12.2024</c:v>
                </c:pt>
                <c:pt idx="84">
                  <c:v>27.12.2024</c:v>
                </c:pt>
                <c:pt idx="85">
                  <c:v>26.12.2024</c:v>
                </c:pt>
                <c:pt idx="86">
                  <c:v>24.12.2024</c:v>
                </c:pt>
                <c:pt idx="87">
                  <c:v>23.12.2024</c:v>
                </c:pt>
                <c:pt idx="88">
                  <c:v>20.12.2024</c:v>
                </c:pt>
                <c:pt idx="89">
                  <c:v>19.12.2024</c:v>
                </c:pt>
                <c:pt idx="90">
                  <c:v>18.12.2024</c:v>
                </c:pt>
                <c:pt idx="91">
                  <c:v>17.12.2024</c:v>
                </c:pt>
                <c:pt idx="92">
                  <c:v>16.12.2024</c:v>
                </c:pt>
                <c:pt idx="93">
                  <c:v>13.12.2024</c:v>
                </c:pt>
                <c:pt idx="94">
                  <c:v>11.12.2024</c:v>
                </c:pt>
                <c:pt idx="95">
                  <c:v>10.12.2024</c:v>
                </c:pt>
                <c:pt idx="96">
                  <c:v>09.12.2024</c:v>
                </c:pt>
                <c:pt idx="97">
                  <c:v>06.12.2024</c:v>
                </c:pt>
                <c:pt idx="98">
                  <c:v>05.12.2024</c:v>
                </c:pt>
                <c:pt idx="99">
                  <c:v>04.12.2024</c:v>
                </c:pt>
                <c:pt idx="100">
                  <c:v>03.12.2024</c:v>
                </c:pt>
                <c:pt idx="101">
                  <c:v>02.12.2024</c:v>
                </c:pt>
                <c:pt idx="102">
                  <c:v>29.11.2024</c:v>
                </c:pt>
                <c:pt idx="103">
                  <c:v>28.11.2024</c:v>
                </c:pt>
                <c:pt idx="104">
                  <c:v>27.11.2024</c:v>
                </c:pt>
                <c:pt idx="105">
                  <c:v>26.11.2024</c:v>
                </c:pt>
                <c:pt idx="106">
                  <c:v>25.11.2024</c:v>
                </c:pt>
                <c:pt idx="107">
                  <c:v>22.11.2024</c:v>
                </c:pt>
                <c:pt idx="108">
                  <c:v>21.11.2024</c:v>
                </c:pt>
                <c:pt idx="109">
                  <c:v>20.11.2024</c:v>
                </c:pt>
                <c:pt idx="110">
                  <c:v>19.11.2024</c:v>
                </c:pt>
                <c:pt idx="111">
                  <c:v>15.11.2024</c:v>
                </c:pt>
                <c:pt idx="112">
                  <c:v>14.11.2024</c:v>
                </c:pt>
                <c:pt idx="113">
                  <c:v>13.11.2024</c:v>
                </c:pt>
                <c:pt idx="114">
                  <c:v>12.11.2024</c:v>
                </c:pt>
                <c:pt idx="115">
                  <c:v>11.11.2024</c:v>
                </c:pt>
                <c:pt idx="116">
                  <c:v>08.11.2024</c:v>
                </c:pt>
                <c:pt idx="117">
                  <c:v>07.11.2024</c:v>
                </c:pt>
                <c:pt idx="118">
                  <c:v>06.11.2024</c:v>
                </c:pt>
                <c:pt idx="119">
                  <c:v>05.11.2024</c:v>
                </c:pt>
                <c:pt idx="120">
                  <c:v>04.11.2024</c:v>
                </c:pt>
                <c:pt idx="121">
                  <c:v>01.11.2024</c:v>
                </c:pt>
                <c:pt idx="122">
                  <c:v>31.10.2024</c:v>
                </c:pt>
                <c:pt idx="123">
                  <c:v>30.10.2024</c:v>
                </c:pt>
                <c:pt idx="124">
                  <c:v>29.10.2024</c:v>
                </c:pt>
                <c:pt idx="125">
                  <c:v>28.10.2024</c:v>
                </c:pt>
                <c:pt idx="126">
                  <c:v>25.10.2024</c:v>
                </c:pt>
                <c:pt idx="127">
                  <c:v>24.10.2024</c:v>
                </c:pt>
                <c:pt idx="128">
                  <c:v>23.10.2024</c:v>
                </c:pt>
                <c:pt idx="129">
                  <c:v>22.10.2024</c:v>
                </c:pt>
                <c:pt idx="130">
                  <c:v>21.10.2024</c:v>
                </c:pt>
                <c:pt idx="131">
                  <c:v>18.10.2024</c:v>
                </c:pt>
                <c:pt idx="132">
                  <c:v>17.10.2024</c:v>
                </c:pt>
                <c:pt idx="133">
                  <c:v>16.10.2024</c:v>
                </c:pt>
                <c:pt idx="134">
                  <c:v>15.10.2024</c:v>
                </c:pt>
                <c:pt idx="135">
                  <c:v>14.10.2024</c:v>
                </c:pt>
                <c:pt idx="136">
                  <c:v>11.10.2024</c:v>
                </c:pt>
                <c:pt idx="137">
                  <c:v>10.10.2024</c:v>
                </c:pt>
                <c:pt idx="138">
                  <c:v>09.10.2024</c:v>
                </c:pt>
                <c:pt idx="139">
                  <c:v>08.10.2024</c:v>
                </c:pt>
                <c:pt idx="140">
                  <c:v>07.10.2024</c:v>
                </c:pt>
                <c:pt idx="141">
                  <c:v>04.10.2024</c:v>
                </c:pt>
                <c:pt idx="142">
                  <c:v>03.10.2024</c:v>
                </c:pt>
                <c:pt idx="143">
                  <c:v>02.10.2024</c:v>
                </c:pt>
                <c:pt idx="144">
                  <c:v>30.09.2024</c:v>
                </c:pt>
                <c:pt idx="145">
                  <c:v>27.09.2024</c:v>
                </c:pt>
                <c:pt idx="146">
                  <c:v>26.09.2024</c:v>
                </c:pt>
                <c:pt idx="147">
                  <c:v>25.09.2024</c:v>
                </c:pt>
                <c:pt idx="148">
                  <c:v>24.09.2024</c:v>
                </c:pt>
                <c:pt idx="149">
                  <c:v>23.09.2024</c:v>
                </c:pt>
                <c:pt idx="150">
                  <c:v>20.09.2024</c:v>
                </c:pt>
                <c:pt idx="151">
                  <c:v>19.09.2024</c:v>
                </c:pt>
                <c:pt idx="152">
                  <c:v>18.09.2024</c:v>
                </c:pt>
                <c:pt idx="153">
                  <c:v>17.09.2024</c:v>
                </c:pt>
                <c:pt idx="154">
                  <c:v>13.09.2024</c:v>
                </c:pt>
                <c:pt idx="155">
                  <c:v>12.09.2024</c:v>
                </c:pt>
                <c:pt idx="156">
                  <c:v>11.09.2024</c:v>
                </c:pt>
                <c:pt idx="157">
                  <c:v>10.09.2024</c:v>
                </c:pt>
                <c:pt idx="158">
                  <c:v>09.09.2024</c:v>
                </c:pt>
                <c:pt idx="159">
                  <c:v>06.09.2024</c:v>
                </c:pt>
                <c:pt idx="160">
                  <c:v>05.09.2024</c:v>
                </c:pt>
                <c:pt idx="161">
                  <c:v>04.09.2024</c:v>
                </c:pt>
                <c:pt idx="162">
                  <c:v>03.09.2024</c:v>
                </c:pt>
                <c:pt idx="163">
                  <c:v>02.09.2024</c:v>
                </c:pt>
                <c:pt idx="164">
                  <c:v>30.08.2024</c:v>
                </c:pt>
                <c:pt idx="165">
                  <c:v>29.08.2024</c:v>
                </c:pt>
                <c:pt idx="166">
                  <c:v>28.08.2024</c:v>
                </c:pt>
                <c:pt idx="167">
                  <c:v>27.08.2024</c:v>
                </c:pt>
                <c:pt idx="168">
                  <c:v>26.08.2024</c:v>
                </c:pt>
                <c:pt idx="169">
                  <c:v>23.08.2024</c:v>
                </c:pt>
                <c:pt idx="170">
                  <c:v>22.08.2024</c:v>
                </c:pt>
                <c:pt idx="171">
                  <c:v>21.08.2024</c:v>
                </c:pt>
                <c:pt idx="172">
                  <c:v>20.08.2024</c:v>
                </c:pt>
                <c:pt idx="173">
                  <c:v>19.08.2024</c:v>
                </c:pt>
                <c:pt idx="174">
                  <c:v>16.08.2024</c:v>
                </c:pt>
                <c:pt idx="175">
                  <c:v>15.08.2024</c:v>
                </c:pt>
                <c:pt idx="176">
                  <c:v>14.08.2024</c:v>
                </c:pt>
                <c:pt idx="177">
                  <c:v>13.08.2024</c:v>
                </c:pt>
                <c:pt idx="178">
                  <c:v>12.08.2024</c:v>
                </c:pt>
                <c:pt idx="179">
                  <c:v>09.08.2024</c:v>
                </c:pt>
                <c:pt idx="180">
                  <c:v>08.08.2024</c:v>
                </c:pt>
                <c:pt idx="181">
                  <c:v>07.08.2024</c:v>
                </c:pt>
                <c:pt idx="182">
                  <c:v>06.08.2024</c:v>
                </c:pt>
                <c:pt idx="183">
                  <c:v>05.08.2024</c:v>
                </c:pt>
                <c:pt idx="184">
                  <c:v>02.08.2024</c:v>
                </c:pt>
                <c:pt idx="185">
                  <c:v>01.08.2024</c:v>
                </c:pt>
                <c:pt idx="186">
                  <c:v>31.07.2024</c:v>
                </c:pt>
                <c:pt idx="187">
                  <c:v>30.07.2024</c:v>
                </c:pt>
                <c:pt idx="188">
                  <c:v>29.07.2024</c:v>
                </c:pt>
                <c:pt idx="189">
                  <c:v>26.07.2024</c:v>
                </c:pt>
                <c:pt idx="190">
                  <c:v>25.07.2024</c:v>
                </c:pt>
                <c:pt idx="191">
                  <c:v>24.07.2024</c:v>
                </c:pt>
                <c:pt idx="192">
                  <c:v>23.07.2024</c:v>
                </c:pt>
                <c:pt idx="193">
                  <c:v>22.07.2024</c:v>
                </c:pt>
                <c:pt idx="194">
                  <c:v>19.07.2024</c:v>
                </c:pt>
                <c:pt idx="195">
                  <c:v>18.07.2024</c:v>
                </c:pt>
                <c:pt idx="196">
                  <c:v>17.07.2024</c:v>
                </c:pt>
                <c:pt idx="197">
                  <c:v>16.07.2024</c:v>
                </c:pt>
                <c:pt idx="198">
                  <c:v>15.07.2024</c:v>
                </c:pt>
                <c:pt idx="199">
                  <c:v>12.07.2024</c:v>
                </c:pt>
                <c:pt idx="200">
                  <c:v>11.07.2024</c:v>
                </c:pt>
                <c:pt idx="201">
                  <c:v>10.07.2024</c:v>
                </c:pt>
                <c:pt idx="202">
                  <c:v>09.07.2024</c:v>
                </c:pt>
                <c:pt idx="203">
                  <c:v>08.07.2024</c:v>
                </c:pt>
                <c:pt idx="204">
                  <c:v>05.07.2024</c:v>
                </c:pt>
                <c:pt idx="205">
                  <c:v>04.07.2024</c:v>
                </c:pt>
                <c:pt idx="206">
                  <c:v>03.07.2024</c:v>
                </c:pt>
                <c:pt idx="207">
                  <c:v>02.07.2024</c:v>
                </c:pt>
                <c:pt idx="208">
                  <c:v>01.07.2024</c:v>
                </c:pt>
                <c:pt idx="209">
                  <c:v>28.06.2024</c:v>
                </c:pt>
                <c:pt idx="210">
                  <c:v>27.06.2024</c:v>
                </c:pt>
                <c:pt idx="211">
                  <c:v>26.06.2024</c:v>
                </c:pt>
                <c:pt idx="212">
                  <c:v>25.06.2024</c:v>
                </c:pt>
                <c:pt idx="213">
                  <c:v>24.06.2024</c:v>
                </c:pt>
                <c:pt idx="214">
                  <c:v>21.06.2024</c:v>
                </c:pt>
                <c:pt idx="215">
                  <c:v>20.06.2024</c:v>
                </c:pt>
                <c:pt idx="216">
                  <c:v>19.06.2024</c:v>
                </c:pt>
                <c:pt idx="217">
                  <c:v>18.06.2024</c:v>
                </c:pt>
                <c:pt idx="218">
                  <c:v>17.06.2024</c:v>
                </c:pt>
                <c:pt idx="219">
                  <c:v>14.06.2024</c:v>
                </c:pt>
                <c:pt idx="220">
                  <c:v>13.06.2024</c:v>
                </c:pt>
                <c:pt idx="221">
                  <c:v>12.06.2024</c:v>
                </c:pt>
                <c:pt idx="222">
                  <c:v>11.06.2024</c:v>
                </c:pt>
                <c:pt idx="223">
                  <c:v>10.06.2024</c:v>
                </c:pt>
                <c:pt idx="224">
                  <c:v>07.06.2024</c:v>
                </c:pt>
                <c:pt idx="225">
                  <c:v>06.06.2024</c:v>
                </c:pt>
                <c:pt idx="226">
                  <c:v>05.06.2024</c:v>
                </c:pt>
                <c:pt idx="227">
                  <c:v>04.06.2024</c:v>
                </c:pt>
                <c:pt idx="228">
                  <c:v>03.06.2024</c:v>
                </c:pt>
                <c:pt idx="229">
                  <c:v>31.05.2024</c:v>
                </c:pt>
                <c:pt idx="230">
                  <c:v>30.05.2024</c:v>
                </c:pt>
                <c:pt idx="231">
                  <c:v>29.05.2024</c:v>
                </c:pt>
                <c:pt idx="232">
                  <c:v>28.05.2024</c:v>
                </c:pt>
                <c:pt idx="233">
                  <c:v>27.05.2024</c:v>
                </c:pt>
                <c:pt idx="234">
                  <c:v>24.05.2024</c:v>
                </c:pt>
                <c:pt idx="235">
                  <c:v>23.05.2024</c:v>
                </c:pt>
                <c:pt idx="236">
                  <c:v>22.05.2024</c:v>
                </c:pt>
                <c:pt idx="237">
                  <c:v>21.05.2024</c:v>
                </c:pt>
                <c:pt idx="238">
                  <c:v>20.05.2024</c:v>
                </c:pt>
                <c:pt idx="239">
                  <c:v>17.05.2024</c:v>
                </c:pt>
                <c:pt idx="240">
                  <c:v>16.05.2024</c:v>
                </c:pt>
                <c:pt idx="241">
                  <c:v>15.05.2024</c:v>
                </c:pt>
                <c:pt idx="242">
                  <c:v>14.05.2024</c:v>
                </c:pt>
                <c:pt idx="243">
                  <c:v>13.05.2024</c:v>
                </c:pt>
                <c:pt idx="244">
                  <c:v>10.05.2024</c:v>
                </c:pt>
                <c:pt idx="245">
                  <c:v>09.05.2024</c:v>
                </c:pt>
                <c:pt idx="246">
                  <c:v>08.05.2024</c:v>
                </c:pt>
                <c:pt idx="247">
                  <c:v>07.05.2024</c:v>
                </c:pt>
                <c:pt idx="248">
                  <c:v>06.05.2024</c:v>
                </c:pt>
                <c:pt idx="249">
                  <c:v>03.05.2024</c:v>
                </c:pt>
                <c:pt idx="250">
                  <c:v>02.05.2024</c:v>
                </c:pt>
                <c:pt idx="251">
                  <c:v>30.04.2024</c:v>
                </c:pt>
                <c:pt idx="252">
                  <c:v>29.04.2024</c:v>
                </c:pt>
                <c:pt idx="253">
                  <c:v>26.04.2024</c:v>
                </c:pt>
                <c:pt idx="254">
                  <c:v>25.04.2024</c:v>
                </c:pt>
                <c:pt idx="255">
                  <c:v>24.04.2024</c:v>
                </c:pt>
                <c:pt idx="256">
                  <c:v>23.04.2024</c:v>
                </c:pt>
                <c:pt idx="257">
                  <c:v>22.04.2024</c:v>
                </c:pt>
                <c:pt idx="258">
                  <c:v>19.04.2024</c:v>
                </c:pt>
                <c:pt idx="259">
                  <c:v>18.04.2024</c:v>
                </c:pt>
                <c:pt idx="260">
                  <c:v>17.04.2024</c:v>
                </c:pt>
                <c:pt idx="261">
                  <c:v>16.04.2024</c:v>
                </c:pt>
                <c:pt idx="262">
                  <c:v>15.04.2024</c:v>
                </c:pt>
                <c:pt idx="263">
                  <c:v>12.04.2024</c:v>
                </c:pt>
                <c:pt idx="264">
                  <c:v>11.04.2024</c:v>
                </c:pt>
                <c:pt idx="265">
                  <c:v>10.04.2024</c:v>
                </c:pt>
                <c:pt idx="266">
                  <c:v>09.04.2024</c:v>
                </c:pt>
                <c:pt idx="267">
                  <c:v>08.04.2024</c:v>
                </c:pt>
                <c:pt idx="268">
                  <c:v>05.04.2024</c:v>
                </c:pt>
                <c:pt idx="269">
                  <c:v>04.04.2024</c:v>
                </c:pt>
                <c:pt idx="270">
                  <c:v>03.04.2024</c:v>
                </c:pt>
                <c:pt idx="271">
                  <c:v>02.04.2024</c:v>
                </c:pt>
                <c:pt idx="272">
                  <c:v>01.04.2024</c:v>
                </c:pt>
                <c:pt idx="273">
                  <c:v>27.03.2024</c:v>
                </c:pt>
                <c:pt idx="274">
                  <c:v>26.03.2024</c:v>
                </c:pt>
                <c:pt idx="275">
                  <c:v>25.03.2024</c:v>
                </c:pt>
                <c:pt idx="276">
                  <c:v>22.03.2024</c:v>
                </c:pt>
                <c:pt idx="277">
                  <c:v>21.03.2024</c:v>
                </c:pt>
                <c:pt idx="278">
                  <c:v>20.03.2024</c:v>
                </c:pt>
                <c:pt idx="279">
                  <c:v>19.03.2024</c:v>
                </c:pt>
                <c:pt idx="280">
                  <c:v>15.03.2024</c:v>
                </c:pt>
                <c:pt idx="281">
                  <c:v>14.03.2024</c:v>
                </c:pt>
                <c:pt idx="282">
                  <c:v>13.03.2024</c:v>
                </c:pt>
                <c:pt idx="283">
                  <c:v>12.03.2024</c:v>
                </c:pt>
                <c:pt idx="284">
                  <c:v>11.03.2024</c:v>
                </c:pt>
                <c:pt idx="285">
                  <c:v>08.03.2024</c:v>
                </c:pt>
                <c:pt idx="286">
                  <c:v>07.03.2024</c:v>
                </c:pt>
                <c:pt idx="287">
                  <c:v>06.03.2024</c:v>
                </c:pt>
                <c:pt idx="288">
                  <c:v>05.03.2024</c:v>
                </c:pt>
                <c:pt idx="289">
                  <c:v>04.03.2024</c:v>
                </c:pt>
                <c:pt idx="290">
                  <c:v>01.03.2024</c:v>
                </c:pt>
                <c:pt idx="291">
                  <c:v>29.02.2024</c:v>
                </c:pt>
                <c:pt idx="292">
                  <c:v>28.02.2024</c:v>
                </c:pt>
                <c:pt idx="293">
                  <c:v>27.02.2024</c:v>
                </c:pt>
                <c:pt idx="294">
                  <c:v>26.02.2024</c:v>
                </c:pt>
                <c:pt idx="295">
                  <c:v>23.02.2024</c:v>
                </c:pt>
                <c:pt idx="296">
                  <c:v>22.02.2024</c:v>
                </c:pt>
                <c:pt idx="297">
                  <c:v>21.02.2024</c:v>
                </c:pt>
                <c:pt idx="298">
                  <c:v>20.02.2024</c:v>
                </c:pt>
                <c:pt idx="299">
                  <c:v>19.02.2024</c:v>
                </c:pt>
                <c:pt idx="300">
                  <c:v>16.02.2024</c:v>
                </c:pt>
                <c:pt idx="301">
                  <c:v>15.02.2024</c:v>
                </c:pt>
                <c:pt idx="302">
                  <c:v>14.02.2024</c:v>
                </c:pt>
                <c:pt idx="303">
                  <c:v>13.02.2024</c:v>
                </c:pt>
                <c:pt idx="304">
                  <c:v>12.02.2024</c:v>
                </c:pt>
                <c:pt idx="305">
                  <c:v>09.02.2024</c:v>
                </c:pt>
                <c:pt idx="306">
                  <c:v>08.02.2024</c:v>
                </c:pt>
                <c:pt idx="307">
                  <c:v>07.02.2024</c:v>
                </c:pt>
                <c:pt idx="308">
                  <c:v>06.02.2024</c:v>
                </c:pt>
                <c:pt idx="309">
                  <c:v>02.02.2024</c:v>
                </c:pt>
                <c:pt idx="310">
                  <c:v>01.02.2024</c:v>
                </c:pt>
                <c:pt idx="311">
                  <c:v>31.01.2024</c:v>
                </c:pt>
                <c:pt idx="312">
                  <c:v>30.01.2024</c:v>
                </c:pt>
                <c:pt idx="313">
                  <c:v>29.01.2024</c:v>
                </c:pt>
                <c:pt idx="314">
                  <c:v>26.01.2024</c:v>
                </c:pt>
                <c:pt idx="315">
                  <c:v>25.01.2024</c:v>
                </c:pt>
                <c:pt idx="316">
                  <c:v>24.01.2024</c:v>
                </c:pt>
                <c:pt idx="317">
                  <c:v>23.01.2024</c:v>
                </c:pt>
                <c:pt idx="318">
                  <c:v>22.01.2024</c:v>
                </c:pt>
                <c:pt idx="319">
                  <c:v>19.01.2024</c:v>
                </c:pt>
                <c:pt idx="320">
                  <c:v>18.01.2024</c:v>
                </c:pt>
                <c:pt idx="321">
                  <c:v>17.01.2024</c:v>
                </c:pt>
                <c:pt idx="322">
                  <c:v>16.01.2024</c:v>
                </c:pt>
                <c:pt idx="323">
                  <c:v>15.01.2024</c:v>
                </c:pt>
                <c:pt idx="324">
                  <c:v>12.01.2024</c:v>
                </c:pt>
                <c:pt idx="325">
                  <c:v>11.01.2024</c:v>
                </c:pt>
                <c:pt idx="326">
                  <c:v>10.01.2024</c:v>
                </c:pt>
                <c:pt idx="327">
                  <c:v>09.01.2024</c:v>
                </c:pt>
                <c:pt idx="328">
                  <c:v>08.01.2024</c:v>
                </c:pt>
                <c:pt idx="329">
                  <c:v>05.01.2024</c:v>
                </c:pt>
                <c:pt idx="330">
                  <c:v>04.01.2024</c:v>
                </c:pt>
                <c:pt idx="331">
                  <c:v>03.01.2024</c:v>
                </c:pt>
                <c:pt idx="332">
                  <c:v>02.01.2024</c:v>
                </c:pt>
                <c:pt idx="333">
                  <c:v>29.12.2023</c:v>
                </c:pt>
                <c:pt idx="334">
                  <c:v>28.12.2023</c:v>
                </c:pt>
                <c:pt idx="335">
                  <c:v>27.12.2023</c:v>
                </c:pt>
                <c:pt idx="336">
                  <c:v>26.12.2023</c:v>
                </c:pt>
                <c:pt idx="337">
                  <c:v>22.12.2023</c:v>
                </c:pt>
                <c:pt idx="338">
                  <c:v>21.12.2023</c:v>
                </c:pt>
                <c:pt idx="339">
                  <c:v>20.12.2023</c:v>
                </c:pt>
                <c:pt idx="340">
                  <c:v>19.12.2023</c:v>
                </c:pt>
                <c:pt idx="341">
                  <c:v>18.12.2023</c:v>
                </c:pt>
                <c:pt idx="342">
                  <c:v>15.12.2023</c:v>
                </c:pt>
                <c:pt idx="343">
                  <c:v>14.12.2023</c:v>
                </c:pt>
                <c:pt idx="344">
                  <c:v>13.12.2023</c:v>
                </c:pt>
                <c:pt idx="345">
                  <c:v>11.12.2023</c:v>
                </c:pt>
                <c:pt idx="346">
                  <c:v>08.12.2023</c:v>
                </c:pt>
                <c:pt idx="347">
                  <c:v>07.12.2023</c:v>
                </c:pt>
                <c:pt idx="348">
                  <c:v>06.12.2023</c:v>
                </c:pt>
                <c:pt idx="349">
                  <c:v>05.12.2023</c:v>
                </c:pt>
                <c:pt idx="350">
                  <c:v>04.12.2023</c:v>
                </c:pt>
                <c:pt idx="351">
                  <c:v>01.12.2023</c:v>
                </c:pt>
                <c:pt idx="352">
                  <c:v>30.11.2023</c:v>
                </c:pt>
                <c:pt idx="353">
                  <c:v>29.11.2023</c:v>
                </c:pt>
                <c:pt idx="354">
                  <c:v>28.11.2023</c:v>
                </c:pt>
                <c:pt idx="355">
                  <c:v>27.11.2023</c:v>
                </c:pt>
                <c:pt idx="356">
                  <c:v>24.11.2023</c:v>
                </c:pt>
                <c:pt idx="357">
                  <c:v>23.11.2023</c:v>
                </c:pt>
                <c:pt idx="358">
                  <c:v>22.11.2023</c:v>
                </c:pt>
                <c:pt idx="359">
                  <c:v>21.11.2023</c:v>
                </c:pt>
                <c:pt idx="360">
                  <c:v>17.11.2023</c:v>
                </c:pt>
                <c:pt idx="361">
                  <c:v>16.11.2023</c:v>
                </c:pt>
                <c:pt idx="362">
                  <c:v>15.11.2023</c:v>
                </c:pt>
                <c:pt idx="363">
                  <c:v>14.11.2023</c:v>
                </c:pt>
                <c:pt idx="364">
                  <c:v>13.11.2023</c:v>
                </c:pt>
                <c:pt idx="365">
                  <c:v>10.11.2023</c:v>
                </c:pt>
                <c:pt idx="366">
                  <c:v>09.11.2023</c:v>
                </c:pt>
                <c:pt idx="367">
                  <c:v>08.11.2023</c:v>
                </c:pt>
                <c:pt idx="368">
                  <c:v>07.11.2023</c:v>
                </c:pt>
                <c:pt idx="369">
                  <c:v>06.11.2023</c:v>
                </c:pt>
                <c:pt idx="370">
                  <c:v>03.11.2023</c:v>
                </c:pt>
                <c:pt idx="371">
                  <c:v>01.11.2023</c:v>
                </c:pt>
                <c:pt idx="372">
                  <c:v>31.10.2023</c:v>
                </c:pt>
                <c:pt idx="373">
                  <c:v>30.10.2023</c:v>
                </c:pt>
                <c:pt idx="374">
                  <c:v>27.10.2023</c:v>
                </c:pt>
                <c:pt idx="375">
                  <c:v>26.10.2023</c:v>
                </c:pt>
                <c:pt idx="376">
                  <c:v>25.10.2023</c:v>
                </c:pt>
                <c:pt idx="377">
                  <c:v>24.10.2023</c:v>
                </c:pt>
                <c:pt idx="378">
                  <c:v>23.10.2023</c:v>
                </c:pt>
                <c:pt idx="379">
                  <c:v>20.10.2023</c:v>
                </c:pt>
                <c:pt idx="380">
                  <c:v>19.10.2023</c:v>
                </c:pt>
                <c:pt idx="381">
                  <c:v>18.10.2023</c:v>
                </c:pt>
                <c:pt idx="382">
                  <c:v>17.10.2023</c:v>
                </c:pt>
                <c:pt idx="383">
                  <c:v>16.10.2023</c:v>
                </c:pt>
                <c:pt idx="384">
                  <c:v>13.10.2023</c:v>
                </c:pt>
                <c:pt idx="385">
                  <c:v>12.10.2023</c:v>
                </c:pt>
                <c:pt idx="386">
                  <c:v>11.10.2023</c:v>
                </c:pt>
                <c:pt idx="387">
                  <c:v>10.10.2023</c:v>
                </c:pt>
                <c:pt idx="388">
                  <c:v>09.10.2023</c:v>
                </c:pt>
                <c:pt idx="389">
                  <c:v>06.10.2023</c:v>
                </c:pt>
                <c:pt idx="390">
                  <c:v>05.10.2023</c:v>
                </c:pt>
                <c:pt idx="391">
                  <c:v>04.10.2023</c:v>
                </c:pt>
                <c:pt idx="392">
                  <c:v>03.10.2023</c:v>
                </c:pt>
                <c:pt idx="393">
                  <c:v>02.10.2023</c:v>
                </c:pt>
                <c:pt idx="394">
                  <c:v>29.09.2023</c:v>
                </c:pt>
                <c:pt idx="395">
                  <c:v>28.09.2023</c:v>
                </c:pt>
                <c:pt idx="396">
                  <c:v>27.09.2023</c:v>
                </c:pt>
                <c:pt idx="397">
                  <c:v>26.09.2023</c:v>
                </c:pt>
                <c:pt idx="398">
                  <c:v>25.09.2023</c:v>
                </c:pt>
                <c:pt idx="399">
                  <c:v>22.09.2023</c:v>
                </c:pt>
                <c:pt idx="400">
                  <c:v>21.09.2023</c:v>
                </c:pt>
                <c:pt idx="401">
                  <c:v>20.09.2023</c:v>
                </c:pt>
                <c:pt idx="402">
                  <c:v>19.09.2023</c:v>
                </c:pt>
                <c:pt idx="403">
                  <c:v>18.09.2023</c:v>
                </c:pt>
                <c:pt idx="404">
                  <c:v>15.09.2023</c:v>
                </c:pt>
                <c:pt idx="405">
                  <c:v>14.09.2023</c:v>
                </c:pt>
                <c:pt idx="406">
                  <c:v>13.09.2023</c:v>
                </c:pt>
                <c:pt idx="407">
                  <c:v>12.09.2023</c:v>
                </c:pt>
                <c:pt idx="408">
                  <c:v>11.09.2023</c:v>
                </c:pt>
                <c:pt idx="409">
                  <c:v>08.09.2023</c:v>
                </c:pt>
                <c:pt idx="410">
                  <c:v>07.09.2023</c:v>
                </c:pt>
                <c:pt idx="411">
                  <c:v>06.09.2023</c:v>
                </c:pt>
                <c:pt idx="412">
                  <c:v>05.09.2023</c:v>
                </c:pt>
                <c:pt idx="413">
                  <c:v>04.09.2023</c:v>
                </c:pt>
                <c:pt idx="414">
                  <c:v>01.09.2023</c:v>
                </c:pt>
                <c:pt idx="415">
                  <c:v>31.08.2023</c:v>
                </c:pt>
                <c:pt idx="416">
                  <c:v>30.08.2023</c:v>
                </c:pt>
                <c:pt idx="417">
                  <c:v>29.08.2023</c:v>
                </c:pt>
                <c:pt idx="418">
                  <c:v>28.08.2023</c:v>
                </c:pt>
                <c:pt idx="419">
                  <c:v>25.08.2023</c:v>
                </c:pt>
                <c:pt idx="420">
                  <c:v>24.08.2023</c:v>
                </c:pt>
                <c:pt idx="421">
                  <c:v>23.08.2023</c:v>
                </c:pt>
                <c:pt idx="422">
                  <c:v>22.08.2023</c:v>
                </c:pt>
                <c:pt idx="423">
                  <c:v>21.08.2023</c:v>
                </c:pt>
                <c:pt idx="424">
                  <c:v>18.08.2023</c:v>
                </c:pt>
                <c:pt idx="425">
                  <c:v>17.08.2023</c:v>
                </c:pt>
                <c:pt idx="426">
                  <c:v>16.08.2023</c:v>
                </c:pt>
                <c:pt idx="427">
                  <c:v>15.08.2023</c:v>
                </c:pt>
                <c:pt idx="428">
                  <c:v>14.08.2023</c:v>
                </c:pt>
                <c:pt idx="429">
                  <c:v>11.08.2023</c:v>
                </c:pt>
                <c:pt idx="430">
                  <c:v>10.08.2023</c:v>
                </c:pt>
                <c:pt idx="431">
                  <c:v>09.08.2023</c:v>
                </c:pt>
                <c:pt idx="432">
                  <c:v>08.08.2023</c:v>
                </c:pt>
                <c:pt idx="433">
                  <c:v>07.08.2023</c:v>
                </c:pt>
                <c:pt idx="434">
                  <c:v>04.08.2023</c:v>
                </c:pt>
                <c:pt idx="435">
                  <c:v>03.08.2023</c:v>
                </c:pt>
                <c:pt idx="436">
                  <c:v>02.08.2023</c:v>
                </c:pt>
                <c:pt idx="437">
                  <c:v>01.08.2023</c:v>
                </c:pt>
                <c:pt idx="438">
                  <c:v>31.07.2023</c:v>
                </c:pt>
                <c:pt idx="439">
                  <c:v>28.07.2023</c:v>
                </c:pt>
                <c:pt idx="440">
                  <c:v>27.07.2023</c:v>
                </c:pt>
                <c:pt idx="441">
                  <c:v>26.07.2023</c:v>
                </c:pt>
                <c:pt idx="442">
                  <c:v>25.07.2023</c:v>
                </c:pt>
                <c:pt idx="443">
                  <c:v>24.07.2023</c:v>
                </c:pt>
                <c:pt idx="444">
                  <c:v>21.07.2023</c:v>
                </c:pt>
                <c:pt idx="445">
                  <c:v>20.07.2023</c:v>
                </c:pt>
                <c:pt idx="446">
                  <c:v>19.07.2023</c:v>
                </c:pt>
                <c:pt idx="447">
                  <c:v>18.07.2023</c:v>
                </c:pt>
                <c:pt idx="448">
                  <c:v>17.07.2023</c:v>
                </c:pt>
                <c:pt idx="449">
                  <c:v>14.07.2023</c:v>
                </c:pt>
                <c:pt idx="450">
                  <c:v>13.07.2023</c:v>
                </c:pt>
                <c:pt idx="451">
                  <c:v>12.07.2023</c:v>
                </c:pt>
                <c:pt idx="452">
                  <c:v>11.07.2023</c:v>
                </c:pt>
                <c:pt idx="453">
                  <c:v>10.07.2023</c:v>
                </c:pt>
                <c:pt idx="454">
                  <c:v>07.07.2023</c:v>
                </c:pt>
                <c:pt idx="455">
                  <c:v>06.07.2023</c:v>
                </c:pt>
                <c:pt idx="456">
                  <c:v>05.07.2023</c:v>
                </c:pt>
                <c:pt idx="457">
                  <c:v>04.07.2023</c:v>
                </c:pt>
                <c:pt idx="458">
                  <c:v>03.07.2023</c:v>
                </c:pt>
                <c:pt idx="459">
                  <c:v>30.06.2023</c:v>
                </c:pt>
                <c:pt idx="460">
                  <c:v>29.06.2023</c:v>
                </c:pt>
                <c:pt idx="461">
                  <c:v>28.06.2023</c:v>
                </c:pt>
                <c:pt idx="462">
                  <c:v>27.06.2023</c:v>
                </c:pt>
                <c:pt idx="463">
                  <c:v>26.06.2023</c:v>
                </c:pt>
                <c:pt idx="464">
                  <c:v>23.06.2023</c:v>
                </c:pt>
                <c:pt idx="465">
                  <c:v>22.06.2023</c:v>
                </c:pt>
                <c:pt idx="466">
                  <c:v>21.06.2023</c:v>
                </c:pt>
                <c:pt idx="467">
                  <c:v>20.06.2023</c:v>
                </c:pt>
                <c:pt idx="468">
                  <c:v>19.06.2023</c:v>
                </c:pt>
                <c:pt idx="469">
                  <c:v>16.06.2023</c:v>
                </c:pt>
                <c:pt idx="470">
                  <c:v>15.06.2023</c:v>
                </c:pt>
                <c:pt idx="471">
                  <c:v>14.06.2023</c:v>
                </c:pt>
                <c:pt idx="472">
                  <c:v>13.06.2023</c:v>
                </c:pt>
                <c:pt idx="473">
                  <c:v>12.06.2023</c:v>
                </c:pt>
                <c:pt idx="474">
                  <c:v>09.06.2023</c:v>
                </c:pt>
                <c:pt idx="475">
                  <c:v>08.06.2023</c:v>
                </c:pt>
                <c:pt idx="476">
                  <c:v>07.06.2023</c:v>
                </c:pt>
                <c:pt idx="477">
                  <c:v>06.06.2023</c:v>
                </c:pt>
                <c:pt idx="478">
                  <c:v>05.06.2023</c:v>
                </c:pt>
                <c:pt idx="479">
                  <c:v>02.06.2023</c:v>
                </c:pt>
                <c:pt idx="480">
                  <c:v>01.06.2023</c:v>
                </c:pt>
                <c:pt idx="481">
                  <c:v>31.05.2023</c:v>
                </c:pt>
                <c:pt idx="482">
                  <c:v>30.05.2023</c:v>
                </c:pt>
                <c:pt idx="483">
                  <c:v>29.05.2023</c:v>
                </c:pt>
                <c:pt idx="484">
                  <c:v>26.05.2023</c:v>
                </c:pt>
                <c:pt idx="485">
                  <c:v>25.05.2023</c:v>
                </c:pt>
                <c:pt idx="486">
                  <c:v>24.05.2023</c:v>
                </c:pt>
                <c:pt idx="487">
                  <c:v>23.05.2023</c:v>
                </c:pt>
                <c:pt idx="488">
                  <c:v>22.05.2023</c:v>
                </c:pt>
                <c:pt idx="489">
                  <c:v>19.05.2023</c:v>
                </c:pt>
                <c:pt idx="490">
                  <c:v>18.05.2023</c:v>
                </c:pt>
                <c:pt idx="491">
                  <c:v>17.05.2023</c:v>
                </c:pt>
                <c:pt idx="492">
                  <c:v>16.05.2023</c:v>
                </c:pt>
                <c:pt idx="493">
                  <c:v>15.05.2023</c:v>
                </c:pt>
                <c:pt idx="494">
                  <c:v>12.05.2023</c:v>
                </c:pt>
                <c:pt idx="495">
                  <c:v>11.05.2023</c:v>
                </c:pt>
                <c:pt idx="496">
                  <c:v>10.05.2023</c:v>
                </c:pt>
                <c:pt idx="497">
                  <c:v>09.05.2023</c:v>
                </c:pt>
                <c:pt idx="498">
                  <c:v>08.05.2023</c:v>
                </c:pt>
                <c:pt idx="499">
                  <c:v>05.05.2023</c:v>
                </c:pt>
                <c:pt idx="500">
                  <c:v>04.05.2023</c:v>
                </c:pt>
                <c:pt idx="501">
                  <c:v>03.05.2023</c:v>
                </c:pt>
                <c:pt idx="502">
                  <c:v>02.05.2023</c:v>
                </c:pt>
                <c:pt idx="503">
                  <c:v>28.04.2023</c:v>
                </c:pt>
                <c:pt idx="504">
                  <c:v>27.04.2023</c:v>
                </c:pt>
                <c:pt idx="505">
                  <c:v>26.04.2023</c:v>
                </c:pt>
                <c:pt idx="506">
                  <c:v>25.04.2023</c:v>
                </c:pt>
                <c:pt idx="507">
                  <c:v>24.04.2023</c:v>
                </c:pt>
                <c:pt idx="508">
                  <c:v>21.04.2023</c:v>
                </c:pt>
                <c:pt idx="509">
                  <c:v>20.04.2023</c:v>
                </c:pt>
                <c:pt idx="510">
                  <c:v>19.04.2023</c:v>
                </c:pt>
                <c:pt idx="511">
                  <c:v>18.04.2023</c:v>
                </c:pt>
                <c:pt idx="512">
                  <c:v>17.04.2023</c:v>
                </c:pt>
                <c:pt idx="513">
                  <c:v>14.04.2023</c:v>
                </c:pt>
                <c:pt idx="514">
                  <c:v>13.04.2023</c:v>
                </c:pt>
                <c:pt idx="515">
                  <c:v>12.04.2023</c:v>
                </c:pt>
                <c:pt idx="516">
                  <c:v>11.04.2023</c:v>
                </c:pt>
                <c:pt idx="517">
                  <c:v>10.04.2023</c:v>
                </c:pt>
                <c:pt idx="518">
                  <c:v>05.04.2023</c:v>
                </c:pt>
                <c:pt idx="519">
                  <c:v>04.04.2023</c:v>
                </c:pt>
                <c:pt idx="520">
                  <c:v>03.04.2023</c:v>
                </c:pt>
                <c:pt idx="521">
                  <c:v>31.03.2023</c:v>
                </c:pt>
                <c:pt idx="522">
                  <c:v>30.03.2023</c:v>
                </c:pt>
                <c:pt idx="523">
                  <c:v>29.03.2023</c:v>
                </c:pt>
                <c:pt idx="524">
                  <c:v>28.03.2023</c:v>
                </c:pt>
                <c:pt idx="525">
                  <c:v>27.03.2023</c:v>
                </c:pt>
                <c:pt idx="526">
                  <c:v>24.03.2023</c:v>
                </c:pt>
                <c:pt idx="527">
                  <c:v>23.03.2023</c:v>
                </c:pt>
                <c:pt idx="528">
                  <c:v>22.03.2023</c:v>
                </c:pt>
                <c:pt idx="529">
                  <c:v>21.03.2023</c:v>
                </c:pt>
                <c:pt idx="530">
                  <c:v>17.03.2023</c:v>
                </c:pt>
                <c:pt idx="531">
                  <c:v>16.03.2023</c:v>
                </c:pt>
                <c:pt idx="532">
                  <c:v>15.03.2023</c:v>
                </c:pt>
                <c:pt idx="533">
                  <c:v>14.03.2023</c:v>
                </c:pt>
                <c:pt idx="534">
                  <c:v>13.03.2023</c:v>
                </c:pt>
                <c:pt idx="535">
                  <c:v>10.03.2023</c:v>
                </c:pt>
                <c:pt idx="536">
                  <c:v>09.03.2023</c:v>
                </c:pt>
                <c:pt idx="537">
                  <c:v>08.03.2023</c:v>
                </c:pt>
                <c:pt idx="538">
                  <c:v>07.03.2023</c:v>
                </c:pt>
                <c:pt idx="539">
                  <c:v>06.03.2023</c:v>
                </c:pt>
                <c:pt idx="540">
                  <c:v>03.03.2023</c:v>
                </c:pt>
                <c:pt idx="541">
                  <c:v>02.03.2023</c:v>
                </c:pt>
                <c:pt idx="542">
                  <c:v>01.03.2023</c:v>
                </c:pt>
                <c:pt idx="543">
                  <c:v>28.02.2023</c:v>
                </c:pt>
                <c:pt idx="544">
                  <c:v>27.02.2023</c:v>
                </c:pt>
                <c:pt idx="545">
                  <c:v>24.02.2023</c:v>
                </c:pt>
                <c:pt idx="546">
                  <c:v>23.02.2023</c:v>
                </c:pt>
                <c:pt idx="547">
                  <c:v>22.02.2023</c:v>
                </c:pt>
                <c:pt idx="548">
                  <c:v>21.02.2023</c:v>
                </c:pt>
                <c:pt idx="549">
                  <c:v>20.02.2023</c:v>
                </c:pt>
                <c:pt idx="550">
                  <c:v>17.02.2023</c:v>
                </c:pt>
                <c:pt idx="551">
                  <c:v>16.02.2023</c:v>
                </c:pt>
                <c:pt idx="552">
                  <c:v>15.02.2023</c:v>
                </c:pt>
                <c:pt idx="553">
                  <c:v>14.02.2023</c:v>
                </c:pt>
                <c:pt idx="554">
                  <c:v>13.02.2023</c:v>
                </c:pt>
                <c:pt idx="555">
                  <c:v>10.02.2023</c:v>
                </c:pt>
                <c:pt idx="556">
                  <c:v>09.02.2023</c:v>
                </c:pt>
                <c:pt idx="557">
                  <c:v>08.02.2023</c:v>
                </c:pt>
                <c:pt idx="558">
                  <c:v>07.02.2023</c:v>
                </c:pt>
                <c:pt idx="559">
                  <c:v>03.02.2023</c:v>
                </c:pt>
                <c:pt idx="560">
                  <c:v>02.02.2023</c:v>
                </c:pt>
                <c:pt idx="561">
                  <c:v>01.02.2023</c:v>
                </c:pt>
                <c:pt idx="562">
                  <c:v>31.01.2023</c:v>
                </c:pt>
                <c:pt idx="563">
                  <c:v>30.01.2023</c:v>
                </c:pt>
                <c:pt idx="564">
                  <c:v>27.01.2023</c:v>
                </c:pt>
                <c:pt idx="565">
                  <c:v>26.01.2023</c:v>
                </c:pt>
                <c:pt idx="566">
                  <c:v>25.01.2023</c:v>
                </c:pt>
                <c:pt idx="567">
                  <c:v>24.01.2023</c:v>
                </c:pt>
                <c:pt idx="568">
                  <c:v>23.01.2023</c:v>
                </c:pt>
                <c:pt idx="569">
                  <c:v>20.01.2023</c:v>
                </c:pt>
                <c:pt idx="570">
                  <c:v>19.01.2023</c:v>
                </c:pt>
                <c:pt idx="571">
                  <c:v>18.01.2023</c:v>
                </c:pt>
                <c:pt idx="572">
                  <c:v>17.01.2023</c:v>
                </c:pt>
                <c:pt idx="573">
                  <c:v>16.01.2023</c:v>
                </c:pt>
                <c:pt idx="574">
                  <c:v>13.01.2023</c:v>
                </c:pt>
                <c:pt idx="575">
                  <c:v>12.01.2023</c:v>
                </c:pt>
                <c:pt idx="576">
                  <c:v>11.01.2023</c:v>
                </c:pt>
                <c:pt idx="577">
                  <c:v>10.01.2023</c:v>
                </c:pt>
                <c:pt idx="578">
                  <c:v>09.01.2023</c:v>
                </c:pt>
                <c:pt idx="579">
                  <c:v>06.01.2023</c:v>
                </c:pt>
                <c:pt idx="580">
                  <c:v>05.01.2023</c:v>
                </c:pt>
                <c:pt idx="581">
                  <c:v>04.01.2023</c:v>
                </c:pt>
                <c:pt idx="582">
                  <c:v>03.01.2023</c:v>
                </c:pt>
                <c:pt idx="583">
                  <c:v>02.01.2023</c:v>
                </c:pt>
                <c:pt idx="584">
                  <c:v>30.12.2022</c:v>
                </c:pt>
                <c:pt idx="585">
                  <c:v>29.12.2022</c:v>
                </c:pt>
                <c:pt idx="586">
                  <c:v>28.12.2022</c:v>
                </c:pt>
                <c:pt idx="587">
                  <c:v>27.12.2022</c:v>
                </c:pt>
                <c:pt idx="588">
                  <c:v>26.12.2022</c:v>
                </c:pt>
                <c:pt idx="589">
                  <c:v>23.12.2022</c:v>
                </c:pt>
                <c:pt idx="590">
                  <c:v>22.12.2022</c:v>
                </c:pt>
                <c:pt idx="591">
                  <c:v>21.12.2022</c:v>
                </c:pt>
                <c:pt idx="592">
                  <c:v>20.12.2022</c:v>
                </c:pt>
                <c:pt idx="593">
                  <c:v>19.12.2022</c:v>
                </c:pt>
                <c:pt idx="594">
                  <c:v>16.12.2022</c:v>
                </c:pt>
                <c:pt idx="595">
                  <c:v>15.12.2022</c:v>
                </c:pt>
                <c:pt idx="596">
                  <c:v>14.12.2022</c:v>
                </c:pt>
                <c:pt idx="597">
                  <c:v>13.12.2022</c:v>
                </c:pt>
                <c:pt idx="598">
                  <c:v>09.12.2022</c:v>
                </c:pt>
                <c:pt idx="599">
                  <c:v>08.12.2022</c:v>
                </c:pt>
                <c:pt idx="600">
                  <c:v>07.12.2022</c:v>
                </c:pt>
                <c:pt idx="601">
                  <c:v>06.12.2022</c:v>
                </c:pt>
                <c:pt idx="602">
                  <c:v>05.12.2022</c:v>
                </c:pt>
                <c:pt idx="603">
                  <c:v>02.12.2022</c:v>
                </c:pt>
                <c:pt idx="604">
                  <c:v>01.12.2022</c:v>
                </c:pt>
                <c:pt idx="605">
                  <c:v>30.11.2022</c:v>
                </c:pt>
                <c:pt idx="606">
                  <c:v>29.11.2022</c:v>
                </c:pt>
                <c:pt idx="607">
                  <c:v>28.11.2022</c:v>
                </c:pt>
                <c:pt idx="608">
                  <c:v>25.11.2022</c:v>
                </c:pt>
                <c:pt idx="609">
                  <c:v>24.11.2022</c:v>
                </c:pt>
                <c:pt idx="610">
                  <c:v>23.11.2022</c:v>
                </c:pt>
                <c:pt idx="611">
                  <c:v>22.11.2022</c:v>
                </c:pt>
                <c:pt idx="612">
                  <c:v>18.11.2022</c:v>
                </c:pt>
                <c:pt idx="613">
                  <c:v>17.11.2022</c:v>
                </c:pt>
                <c:pt idx="614">
                  <c:v>16.11.2022</c:v>
                </c:pt>
                <c:pt idx="615">
                  <c:v>15.11.2022</c:v>
                </c:pt>
                <c:pt idx="616">
                  <c:v>14.11.2022</c:v>
                </c:pt>
                <c:pt idx="617">
                  <c:v>11.11.2022</c:v>
                </c:pt>
                <c:pt idx="618">
                  <c:v>10.11.2022</c:v>
                </c:pt>
                <c:pt idx="619">
                  <c:v>09.11.2022</c:v>
                </c:pt>
                <c:pt idx="620">
                  <c:v>08.11.2022</c:v>
                </c:pt>
                <c:pt idx="621">
                  <c:v>07.11.2022</c:v>
                </c:pt>
                <c:pt idx="622">
                  <c:v>04.11.2022</c:v>
                </c:pt>
                <c:pt idx="623">
                  <c:v>03.11.2022</c:v>
                </c:pt>
                <c:pt idx="624">
                  <c:v>01.11.2022</c:v>
                </c:pt>
                <c:pt idx="625">
                  <c:v>31.10.2022</c:v>
                </c:pt>
                <c:pt idx="626">
                  <c:v>28.10.2022</c:v>
                </c:pt>
                <c:pt idx="627">
                  <c:v>27.10.2022</c:v>
                </c:pt>
                <c:pt idx="628">
                  <c:v>26.10.2022</c:v>
                </c:pt>
                <c:pt idx="629">
                  <c:v>25.10.2022</c:v>
                </c:pt>
                <c:pt idx="630">
                  <c:v>24.10.2022</c:v>
                </c:pt>
                <c:pt idx="631">
                  <c:v>21.10.2022</c:v>
                </c:pt>
                <c:pt idx="632">
                  <c:v>20.10.2022</c:v>
                </c:pt>
                <c:pt idx="633">
                  <c:v>19.10.2022</c:v>
                </c:pt>
                <c:pt idx="634">
                  <c:v>18.10.2022</c:v>
                </c:pt>
                <c:pt idx="635">
                  <c:v>17.10.2022</c:v>
                </c:pt>
                <c:pt idx="636">
                  <c:v>14.10.2022</c:v>
                </c:pt>
                <c:pt idx="637">
                  <c:v>13.10.2022</c:v>
                </c:pt>
                <c:pt idx="638">
                  <c:v>12.10.2022</c:v>
                </c:pt>
                <c:pt idx="639">
                  <c:v>11.10.2022</c:v>
                </c:pt>
                <c:pt idx="640">
                  <c:v>10.10.2022</c:v>
                </c:pt>
                <c:pt idx="641">
                  <c:v>07.10.2022</c:v>
                </c:pt>
                <c:pt idx="642">
                  <c:v>06.10.2022</c:v>
                </c:pt>
                <c:pt idx="643">
                  <c:v>05.10.2022</c:v>
                </c:pt>
                <c:pt idx="644">
                  <c:v>04.10.2022</c:v>
                </c:pt>
                <c:pt idx="645">
                  <c:v>03.10.2022</c:v>
                </c:pt>
                <c:pt idx="646">
                  <c:v>30.09.2022</c:v>
                </c:pt>
                <c:pt idx="647">
                  <c:v>29.09.2022</c:v>
                </c:pt>
                <c:pt idx="648">
                  <c:v>28.09.2022</c:v>
                </c:pt>
                <c:pt idx="649">
                  <c:v>27.09.2022</c:v>
                </c:pt>
                <c:pt idx="650">
                  <c:v>26.09.2022</c:v>
                </c:pt>
                <c:pt idx="651">
                  <c:v>23.09.2022</c:v>
                </c:pt>
                <c:pt idx="652">
                  <c:v>22.09.2022</c:v>
                </c:pt>
                <c:pt idx="653">
                  <c:v>21.09.2022</c:v>
                </c:pt>
                <c:pt idx="654">
                  <c:v>20.09.2022</c:v>
                </c:pt>
                <c:pt idx="655">
                  <c:v>19.09.2022</c:v>
                </c:pt>
                <c:pt idx="656">
                  <c:v>15.09.2022</c:v>
                </c:pt>
                <c:pt idx="657">
                  <c:v>14.09.2022</c:v>
                </c:pt>
                <c:pt idx="658">
                  <c:v>13.09.2022</c:v>
                </c:pt>
                <c:pt idx="659">
                  <c:v>12.09.2022</c:v>
                </c:pt>
                <c:pt idx="660">
                  <c:v>09.09.2022</c:v>
                </c:pt>
                <c:pt idx="661">
                  <c:v>08.09.2022</c:v>
                </c:pt>
                <c:pt idx="662">
                  <c:v>07.09.2022</c:v>
                </c:pt>
                <c:pt idx="663">
                  <c:v>06.09.2022</c:v>
                </c:pt>
                <c:pt idx="664">
                  <c:v>05.09.2022</c:v>
                </c:pt>
                <c:pt idx="665">
                  <c:v>02.09.2022</c:v>
                </c:pt>
                <c:pt idx="666">
                  <c:v>01.09.2022</c:v>
                </c:pt>
                <c:pt idx="667">
                  <c:v>31.08.2022</c:v>
                </c:pt>
                <c:pt idx="668">
                  <c:v>30.08.2022</c:v>
                </c:pt>
                <c:pt idx="669">
                  <c:v>29.08.2022</c:v>
                </c:pt>
                <c:pt idx="670">
                  <c:v>26.08.2022</c:v>
                </c:pt>
                <c:pt idx="671">
                  <c:v>25.08.2022</c:v>
                </c:pt>
                <c:pt idx="672">
                  <c:v>24.08.2022</c:v>
                </c:pt>
                <c:pt idx="673">
                  <c:v>23.08.2022</c:v>
                </c:pt>
                <c:pt idx="674">
                  <c:v>22.08.2022</c:v>
                </c:pt>
                <c:pt idx="675">
                  <c:v>19.08.2022</c:v>
                </c:pt>
                <c:pt idx="676">
                  <c:v>18.08.2022</c:v>
                </c:pt>
                <c:pt idx="677">
                  <c:v>17.08.2022</c:v>
                </c:pt>
                <c:pt idx="678">
                  <c:v>16.08.2022</c:v>
                </c:pt>
                <c:pt idx="679">
                  <c:v>15.08.2022</c:v>
                </c:pt>
                <c:pt idx="680">
                  <c:v>12.08.2022</c:v>
                </c:pt>
                <c:pt idx="681">
                  <c:v>11.08.2022</c:v>
                </c:pt>
                <c:pt idx="682">
                  <c:v>10.08.2022</c:v>
                </c:pt>
                <c:pt idx="683">
                  <c:v>09.08.2022</c:v>
                </c:pt>
                <c:pt idx="684">
                  <c:v>08.08.2022</c:v>
                </c:pt>
                <c:pt idx="685">
                  <c:v>05.08.2022</c:v>
                </c:pt>
                <c:pt idx="686">
                  <c:v>04.08.2022</c:v>
                </c:pt>
                <c:pt idx="687">
                  <c:v>03.08.2022</c:v>
                </c:pt>
                <c:pt idx="688">
                  <c:v>02.08.2022</c:v>
                </c:pt>
                <c:pt idx="689">
                  <c:v>01.08.2022</c:v>
                </c:pt>
                <c:pt idx="690">
                  <c:v>29.07.2022</c:v>
                </c:pt>
                <c:pt idx="691">
                  <c:v>28.07.2022</c:v>
                </c:pt>
                <c:pt idx="692">
                  <c:v>27.07.2022</c:v>
                </c:pt>
                <c:pt idx="693">
                  <c:v>26.07.2022</c:v>
                </c:pt>
                <c:pt idx="694">
                  <c:v>25.07.2022</c:v>
                </c:pt>
                <c:pt idx="695">
                  <c:v>22.07.2022</c:v>
                </c:pt>
                <c:pt idx="696">
                  <c:v>21.07.2022</c:v>
                </c:pt>
                <c:pt idx="697">
                  <c:v>20.07.2022</c:v>
                </c:pt>
                <c:pt idx="698">
                  <c:v>19.07.2022</c:v>
                </c:pt>
                <c:pt idx="699">
                  <c:v>18.07.2022</c:v>
                </c:pt>
                <c:pt idx="700">
                  <c:v>15.07.2022</c:v>
                </c:pt>
                <c:pt idx="701">
                  <c:v>14.07.2022</c:v>
                </c:pt>
                <c:pt idx="702">
                  <c:v>13.07.2022</c:v>
                </c:pt>
                <c:pt idx="703">
                  <c:v>12.07.2022</c:v>
                </c:pt>
                <c:pt idx="704">
                  <c:v>11.07.2022</c:v>
                </c:pt>
                <c:pt idx="705">
                  <c:v>08.07.2022</c:v>
                </c:pt>
                <c:pt idx="706">
                  <c:v>07.07.2022</c:v>
                </c:pt>
                <c:pt idx="707">
                  <c:v>06.07.2022</c:v>
                </c:pt>
                <c:pt idx="708">
                  <c:v>05.07.2022</c:v>
                </c:pt>
                <c:pt idx="709">
                  <c:v>04.07.2022</c:v>
                </c:pt>
                <c:pt idx="710">
                  <c:v>01.07.2022</c:v>
                </c:pt>
                <c:pt idx="711">
                  <c:v>30.06.2022</c:v>
                </c:pt>
                <c:pt idx="712">
                  <c:v>29.06.2022</c:v>
                </c:pt>
                <c:pt idx="713">
                  <c:v>28.06.2022</c:v>
                </c:pt>
                <c:pt idx="714">
                  <c:v>27.06.2022</c:v>
                </c:pt>
                <c:pt idx="715">
                  <c:v>24.06.2022</c:v>
                </c:pt>
                <c:pt idx="716">
                  <c:v>23.06.2022</c:v>
                </c:pt>
                <c:pt idx="717">
                  <c:v>22.06.2022</c:v>
                </c:pt>
                <c:pt idx="718">
                  <c:v>21.06.2022</c:v>
                </c:pt>
                <c:pt idx="719">
                  <c:v>20.06.2022</c:v>
                </c:pt>
                <c:pt idx="720">
                  <c:v>17.06.2022</c:v>
                </c:pt>
                <c:pt idx="721">
                  <c:v>16.06.2022</c:v>
                </c:pt>
                <c:pt idx="722">
                  <c:v>15.06.2022</c:v>
                </c:pt>
                <c:pt idx="723">
                  <c:v>14.06.2022</c:v>
                </c:pt>
                <c:pt idx="724">
                  <c:v>13.06.2022</c:v>
                </c:pt>
                <c:pt idx="725">
                  <c:v>10.06.2022</c:v>
                </c:pt>
                <c:pt idx="726">
                  <c:v>09.06.2022</c:v>
                </c:pt>
                <c:pt idx="727">
                  <c:v>08.06.2022</c:v>
                </c:pt>
                <c:pt idx="728">
                  <c:v>07.06.2022</c:v>
                </c:pt>
                <c:pt idx="729">
                  <c:v>06.06.2022</c:v>
                </c:pt>
                <c:pt idx="730">
                  <c:v>03.06.2022</c:v>
                </c:pt>
                <c:pt idx="731">
                  <c:v>02.06.2022</c:v>
                </c:pt>
                <c:pt idx="732">
                  <c:v>01.06.2022</c:v>
                </c:pt>
                <c:pt idx="733">
                  <c:v>31.05.2022</c:v>
                </c:pt>
                <c:pt idx="734">
                  <c:v>30.05.2022</c:v>
                </c:pt>
                <c:pt idx="735">
                  <c:v>27.05.2022</c:v>
                </c:pt>
                <c:pt idx="736">
                  <c:v>26.05.2022</c:v>
                </c:pt>
                <c:pt idx="737">
                  <c:v>25.05.2022</c:v>
                </c:pt>
                <c:pt idx="738">
                  <c:v>24.05.2022</c:v>
                </c:pt>
                <c:pt idx="739">
                  <c:v>23.05.2022</c:v>
                </c:pt>
                <c:pt idx="740">
                  <c:v>20.05.2022</c:v>
                </c:pt>
                <c:pt idx="741">
                  <c:v>19.05.2022</c:v>
                </c:pt>
                <c:pt idx="742">
                  <c:v>18.05.2022</c:v>
                </c:pt>
                <c:pt idx="743">
                  <c:v>17.05.2022</c:v>
                </c:pt>
                <c:pt idx="744">
                  <c:v>16.05.2022</c:v>
                </c:pt>
                <c:pt idx="745">
                  <c:v>13.05.2022</c:v>
                </c:pt>
                <c:pt idx="746">
                  <c:v>12.05.2022</c:v>
                </c:pt>
                <c:pt idx="747">
                  <c:v>11.05.2022</c:v>
                </c:pt>
                <c:pt idx="748">
                  <c:v>10.05.2022</c:v>
                </c:pt>
                <c:pt idx="749">
                  <c:v>09.05.2022</c:v>
                </c:pt>
                <c:pt idx="750">
                  <c:v>06.05.2022</c:v>
                </c:pt>
                <c:pt idx="751">
                  <c:v>05.05.2022</c:v>
                </c:pt>
                <c:pt idx="752">
                  <c:v>04.05.2022</c:v>
                </c:pt>
                <c:pt idx="753">
                  <c:v>03.05.2022</c:v>
                </c:pt>
                <c:pt idx="754">
                  <c:v>02.05.2022</c:v>
                </c:pt>
                <c:pt idx="755">
                  <c:v>29.04.2022</c:v>
                </c:pt>
                <c:pt idx="756">
                  <c:v>28.04.2022</c:v>
                </c:pt>
                <c:pt idx="757">
                  <c:v>27.04.2022</c:v>
                </c:pt>
                <c:pt idx="758">
                  <c:v>26.04.2022</c:v>
                </c:pt>
                <c:pt idx="759">
                  <c:v>25.04.2022</c:v>
                </c:pt>
                <c:pt idx="760">
                  <c:v>22.04.2022</c:v>
                </c:pt>
                <c:pt idx="761">
                  <c:v>21.04.2022</c:v>
                </c:pt>
                <c:pt idx="762">
                  <c:v>20.04.2022</c:v>
                </c:pt>
                <c:pt idx="763">
                  <c:v>19.04.2022</c:v>
                </c:pt>
                <c:pt idx="764">
                  <c:v>18.04.2022</c:v>
                </c:pt>
                <c:pt idx="765">
                  <c:v>13.04.2022</c:v>
                </c:pt>
                <c:pt idx="766">
                  <c:v>12.04.2022</c:v>
                </c:pt>
                <c:pt idx="767">
                  <c:v>11.04.2022</c:v>
                </c:pt>
                <c:pt idx="768">
                  <c:v>08.04.2022</c:v>
                </c:pt>
                <c:pt idx="769">
                  <c:v>07.04.2022</c:v>
                </c:pt>
                <c:pt idx="770">
                  <c:v>06.04.2022</c:v>
                </c:pt>
                <c:pt idx="771">
                  <c:v>05.04.2022</c:v>
                </c:pt>
                <c:pt idx="772">
                  <c:v>04.04.2022</c:v>
                </c:pt>
                <c:pt idx="773">
                  <c:v>01.04.2022</c:v>
                </c:pt>
                <c:pt idx="774">
                  <c:v>31.03.2022</c:v>
                </c:pt>
                <c:pt idx="775">
                  <c:v>30.03.2022</c:v>
                </c:pt>
                <c:pt idx="776">
                  <c:v>29.03.2022</c:v>
                </c:pt>
                <c:pt idx="777">
                  <c:v>28.03.2022</c:v>
                </c:pt>
                <c:pt idx="778">
                  <c:v>25.03.2022</c:v>
                </c:pt>
                <c:pt idx="779">
                  <c:v>24.03.2022</c:v>
                </c:pt>
                <c:pt idx="780">
                  <c:v>23.03.2022</c:v>
                </c:pt>
                <c:pt idx="781">
                  <c:v>22.03.2022</c:v>
                </c:pt>
                <c:pt idx="782">
                  <c:v>18.03.2022</c:v>
                </c:pt>
                <c:pt idx="783">
                  <c:v>17.03.2022</c:v>
                </c:pt>
                <c:pt idx="784">
                  <c:v>16.03.2022</c:v>
                </c:pt>
                <c:pt idx="785">
                  <c:v>15.03.2022</c:v>
                </c:pt>
                <c:pt idx="786">
                  <c:v>14.03.2022</c:v>
                </c:pt>
                <c:pt idx="787">
                  <c:v>11.03.2022</c:v>
                </c:pt>
                <c:pt idx="788">
                  <c:v>10.03.2022</c:v>
                </c:pt>
                <c:pt idx="789">
                  <c:v>09.03.2022</c:v>
                </c:pt>
                <c:pt idx="790">
                  <c:v>08.03.2022</c:v>
                </c:pt>
                <c:pt idx="791">
                  <c:v>07.03.2022</c:v>
                </c:pt>
                <c:pt idx="792">
                  <c:v>04.03.2022</c:v>
                </c:pt>
                <c:pt idx="793">
                  <c:v>03.03.2022</c:v>
                </c:pt>
                <c:pt idx="794">
                  <c:v>02.03.2022</c:v>
                </c:pt>
                <c:pt idx="795">
                  <c:v>01.03.2022</c:v>
                </c:pt>
                <c:pt idx="796">
                  <c:v>28.02.2022</c:v>
                </c:pt>
                <c:pt idx="797">
                  <c:v>25.02.2022</c:v>
                </c:pt>
                <c:pt idx="798">
                  <c:v>24.02.2022</c:v>
                </c:pt>
                <c:pt idx="799">
                  <c:v>23.02.2022</c:v>
                </c:pt>
                <c:pt idx="800">
                  <c:v>22.02.2022</c:v>
                </c:pt>
                <c:pt idx="801">
                  <c:v>21.02.2022</c:v>
                </c:pt>
                <c:pt idx="802">
                  <c:v>18.02.2022</c:v>
                </c:pt>
                <c:pt idx="803">
                  <c:v>17.02.2022</c:v>
                </c:pt>
                <c:pt idx="804">
                  <c:v>16.02.2022</c:v>
                </c:pt>
                <c:pt idx="805">
                  <c:v>15.02.2022</c:v>
                </c:pt>
                <c:pt idx="806">
                  <c:v>14.02.2022</c:v>
                </c:pt>
                <c:pt idx="807">
                  <c:v>11.02.2022</c:v>
                </c:pt>
                <c:pt idx="808">
                  <c:v>10.02.2022</c:v>
                </c:pt>
                <c:pt idx="809">
                  <c:v>09.02.2022</c:v>
                </c:pt>
                <c:pt idx="810">
                  <c:v>08.02.2022</c:v>
                </c:pt>
                <c:pt idx="811">
                  <c:v>04.02.2022</c:v>
                </c:pt>
                <c:pt idx="812">
                  <c:v>03.02.2022</c:v>
                </c:pt>
                <c:pt idx="813">
                  <c:v>02.02.2022</c:v>
                </c:pt>
                <c:pt idx="814">
                  <c:v>01.02.2022</c:v>
                </c:pt>
                <c:pt idx="815">
                  <c:v>31.01.2022</c:v>
                </c:pt>
                <c:pt idx="816">
                  <c:v>28.01.2022</c:v>
                </c:pt>
                <c:pt idx="817">
                  <c:v>27.01.2022</c:v>
                </c:pt>
                <c:pt idx="818">
                  <c:v>26.01.2022</c:v>
                </c:pt>
                <c:pt idx="819">
                  <c:v>25.01.2022</c:v>
                </c:pt>
                <c:pt idx="820">
                  <c:v>24.01.2022</c:v>
                </c:pt>
                <c:pt idx="821">
                  <c:v>21.01.2022</c:v>
                </c:pt>
                <c:pt idx="822">
                  <c:v>20.01.2022</c:v>
                </c:pt>
                <c:pt idx="823">
                  <c:v>19.01.2022</c:v>
                </c:pt>
                <c:pt idx="824">
                  <c:v>18.01.2022</c:v>
                </c:pt>
                <c:pt idx="825">
                  <c:v>17.01.2022</c:v>
                </c:pt>
                <c:pt idx="826">
                  <c:v>14.01.2022</c:v>
                </c:pt>
                <c:pt idx="827">
                  <c:v>13.01.2022</c:v>
                </c:pt>
                <c:pt idx="828">
                  <c:v>12.01.2022</c:v>
                </c:pt>
                <c:pt idx="829">
                  <c:v>11.01.2022</c:v>
                </c:pt>
                <c:pt idx="830">
                  <c:v>10.01.2022</c:v>
                </c:pt>
                <c:pt idx="831">
                  <c:v>07.01.2022</c:v>
                </c:pt>
                <c:pt idx="832">
                  <c:v>06.01.2022</c:v>
                </c:pt>
                <c:pt idx="833">
                  <c:v>05.01.2022</c:v>
                </c:pt>
                <c:pt idx="834">
                  <c:v>04.01.2022</c:v>
                </c:pt>
                <c:pt idx="835">
                  <c:v>03.01.2022</c:v>
                </c:pt>
                <c:pt idx="836">
                  <c:v>31.12.2021</c:v>
                </c:pt>
                <c:pt idx="837">
                  <c:v>30.12.2021</c:v>
                </c:pt>
                <c:pt idx="838">
                  <c:v>29.12.2021</c:v>
                </c:pt>
                <c:pt idx="839">
                  <c:v>28.12.2021</c:v>
                </c:pt>
                <c:pt idx="840">
                  <c:v>27.12.2021</c:v>
                </c:pt>
                <c:pt idx="841">
                  <c:v>24.12.2021</c:v>
                </c:pt>
                <c:pt idx="842">
                  <c:v>23.12.2021</c:v>
                </c:pt>
                <c:pt idx="843">
                  <c:v>22.12.2021</c:v>
                </c:pt>
                <c:pt idx="844">
                  <c:v>21.12.2021</c:v>
                </c:pt>
                <c:pt idx="845">
                  <c:v>20.12.2021</c:v>
                </c:pt>
                <c:pt idx="846">
                  <c:v>17.12.2021</c:v>
                </c:pt>
                <c:pt idx="847">
                  <c:v>16.12.2021</c:v>
                </c:pt>
                <c:pt idx="848">
                  <c:v>15.12.2021</c:v>
                </c:pt>
                <c:pt idx="849">
                  <c:v>14.12.2021</c:v>
                </c:pt>
                <c:pt idx="850">
                  <c:v>13.12.2021</c:v>
                </c:pt>
                <c:pt idx="851">
                  <c:v>10.12.2021</c:v>
                </c:pt>
                <c:pt idx="852">
                  <c:v>09.12.2021</c:v>
                </c:pt>
                <c:pt idx="853">
                  <c:v>08.12.2021</c:v>
                </c:pt>
                <c:pt idx="854">
                  <c:v>07.12.2021</c:v>
                </c:pt>
                <c:pt idx="855">
                  <c:v>06.12.2021</c:v>
                </c:pt>
                <c:pt idx="856">
                  <c:v>03.12.2021</c:v>
                </c:pt>
                <c:pt idx="857">
                  <c:v>02.12.2021</c:v>
                </c:pt>
                <c:pt idx="858">
                  <c:v>01.12.2021</c:v>
                </c:pt>
                <c:pt idx="859">
                  <c:v>30.11.2021</c:v>
                </c:pt>
                <c:pt idx="860">
                  <c:v>29.11.2021</c:v>
                </c:pt>
                <c:pt idx="861">
                  <c:v>26.11.2021</c:v>
                </c:pt>
                <c:pt idx="862">
                  <c:v>25.11.2021</c:v>
                </c:pt>
                <c:pt idx="863">
                  <c:v>24.11.2021</c:v>
                </c:pt>
                <c:pt idx="864">
                  <c:v>23.11.2021</c:v>
                </c:pt>
                <c:pt idx="865">
                  <c:v>22.11.2021</c:v>
                </c:pt>
                <c:pt idx="866">
                  <c:v>19.11.2021</c:v>
                </c:pt>
                <c:pt idx="867">
                  <c:v>18.11.2021</c:v>
                </c:pt>
                <c:pt idx="868">
                  <c:v>17.11.2021</c:v>
                </c:pt>
                <c:pt idx="869">
                  <c:v>16.11.2021</c:v>
                </c:pt>
                <c:pt idx="870">
                  <c:v>12.11.2021</c:v>
                </c:pt>
                <c:pt idx="871">
                  <c:v>11.11.2021</c:v>
                </c:pt>
                <c:pt idx="872">
                  <c:v>10.11.2021</c:v>
                </c:pt>
                <c:pt idx="873">
                  <c:v>09.11.2021</c:v>
                </c:pt>
                <c:pt idx="874">
                  <c:v>08.11.2021</c:v>
                </c:pt>
                <c:pt idx="875">
                  <c:v>05.11.2021</c:v>
                </c:pt>
                <c:pt idx="876">
                  <c:v>04.11.2021</c:v>
                </c:pt>
                <c:pt idx="877">
                  <c:v>03.11.2021</c:v>
                </c:pt>
                <c:pt idx="878">
                  <c:v>01.11.2021</c:v>
                </c:pt>
                <c:pt idx="879">
                  <c:v>29.10.2021</c:v>
                </c:pt>
                <c:pt idx="880">
                  <c:v>28.10.2021</c:v>
                </c:pt>
                <c:pt idx="881">
                  <c:v>27.10.2021</c:v>
                </c:pt>
                <c:pt idx="882">
                  <c:v>26.10.2021</c:v>
                </c:pt>
                <c:pt idx="883">
                  <c:v>25.10.2021</c:v>
                </c:pt>
                <c:pt idx="884">
                  <c:v>22.10.2021</c:v>
                </c:pt>
                <c:pt idx="885">
                  <c:v>21.10.2021</c:v>
                </c:pt>
                <c:pt idx="886">
                  <c:v>20.10.2021</c:v>
                </c:pt>
                <c:pt idx="887">
                  <c:v>19.10.2021</c:v>
                </c:pt>
                <c:pt idx="888">
                  <c:v>18.10.2021</c:v>
                </c:pt>
                <c:pt idx="889">
                  <c:v>15.10.2021</c:v>
                </c:pt>
                <c:pt idx="890">
                  <c:v>14.10.2021</c:v>
                </c:pt>
                <c:pt idx="891">
                  <c:v>13.10.2021</c:v>
                </c:pt>
                <c:pt idx="892">
                  <c:v>12.10.2021</c:v>
                </c:pt>
                <c:pt idx="893">
                  <c:v>11.10.2021</c:v>
                </c:pt>
                <c:pt idx="894">
                  <c:v>08.10.2021</c:v>
                </c:pt>
                <c:pt idx="895">
                  <c:v>07.10.2021</c:v>
                </c:pt>
                <c:pt idx="896">
                  <c:v>06.10.2021</c:v>
                </c:pt>
                <c:pt idx="897">
                  <c:v>05.10.2021</c:v>
                </c:pt>
                <c:pt idx="898">
                  <c:v>04.10.2021</c:v>
                </c:pt>
                <c:pt idx="899">
                  <c:v>01.10.2021</c:v>
                </c:pt>
                <c:pt idx="900">
                  <c:v>30.09.2021</c:v>
                </c:pt>
                <c:pt idx="901">
                  <c:v>29.09.2021</c:v>
                </c:pt>
                <c:pt idx="902">
                  <c:v>28.09.2021</c:v>
                </c:pt>
                <c:pt idx="903">
                  <c:v>27.09.2021</c:v>
                </c:pt>
                <c:pt idx="904">
                  <c:v>24.09.2021</c:v>
                </c:pt>
                <c:pt idx="905">
                  <c:v>23.09.2021</c:v>
                </c:pt>
                <c:pt idx="906">
                  <c:v>22.09.2021</c:v>
                </c:pt>
                <c:pt idx="907">
                  <c:v>21.09.2021</c:v>
                </c:pt>
                <c:pt idx="908">
                  <c:v>20.09.2021</c:v>
                </c:pt>
                <c:pt idx="909">
                  <c:v>17.09.2021</c:v>
                </c:pt>
                <c:pt idx="910">
                  <c:v>15.09.2021</c:v>
                </c:pt>
                <c:pt idx="911">
                  <c:v>14.09.2021</c:v>
                </c:pt>
                <c:pt idx="912">
                  <c:v>13.09.2021</c:v>
                </c:pt>
                <c:pt idx="913">
                  <c:v>10.09.2021</c:v>
                </c:pt>
                <c:pt idx="914">
                  <c:v>09.09.2021</c:v>
                </c:pt>
                <c:pt idx="915">
                  <c:v>08.09.2021</c:v>
                </c:pt>
                <c:pt idx="916">
                  <c:v>07.09.2021</c:v>
                </c:pt>
                <c:pt idx="917">
                  <c:v>06.09.2021</c:v>
                </c:pt>
                <c:pt idx="918">
                  <c:v>03.09.2021</c:v>
                </c:pt>
                <c:pt idx="919">
                  <c:v>02.09.2021</c:v>
                </c:pt>
                <c:pt idx="920">
                  <c:v>01.09.2021</c:v>
                </c:pt>
                <c:pt idx="921">
                  <c:v>31.08.2021</c:v>
                </c:pt>
                <c:pt idx="922">
                  <c:v>30.08.2021</c:v>
                </c:pt>
                <c:pt idx="923">
                  <c:v>27.08.2021</c:v>
                </c:pt>
                <c:pt idx="924">
                  <c:v>26.08.2021</c:v>
                </c:pt>
                <c:pt idx="925">
                  <c:v>25.08.2021</c:v>
                </c:pt>
                <c:pt idx="926">
                  <c:v>24.08.2021</c:v>
                </c:pt>
                <c:pt idx="927">
                  <c:v>23.08.2021</c:v>
                </c:pt>
                <c:pt idx="928">
                  <c:v>20.08.2021</c:v>
                </c:pt>
                <c:pt idx="929">
                  <c:v>19.08.2021</c:v>
                </c:pt>
                <c:pt idx="930">
                  <c:v>18.08.2021</c:v>
                </c:pt>
                <c:pt idx="931">
                  <c:v>17.08.2021</c:v>
                </c:pt>
                <c:pt idx="932">
                  <c:v>16.08.2021</c:v>
                </c:pt>
                <c:pt idx="933">
                  <c:v>13.08.2021</c:v>
                </c:pt>
                <c:pt idx="934">
                  <c:v>12.08.2021</c:v>
                </c:pt>
                <c:pt idx="935">
                  <c:v>11.08.2021</c:v>
                </c:pt>
                <c:pt idx="936">
                  <c:v>10.08.2021</c:v>
                </c:pt>
                <c:pt idx="937">
                  <c:v>09.08.2021</c:v>
                </c:pt>
                <c:pt idx="938">
                  <c:v>06.08.2021</c:v>
                </c:pt>
                <c:pt idx="939">
                  <c:v>05.08.2021</c:v>
                </c:pt>
                <c:pt idx="940">
                  <c:v>04.08.2021</c:v>
                </c:pt>
                <c:pt idx="941">
                  <c:v>03.08.2021</c:v>
                </c:pt>
                <c:pt idx="942">
                  <c:v>02.08.2021</c:v>
                </c:pt>
                <c:pt idx="943">
                  <c:v>30.07.2021</c:v>
                </c:pt>
                <c:pt idx="944">
                  <c:v>29.07.2021</c:v>
                </c:pt>
                <c:pt idx="945">
                  <c:v>28.07.2021</c:v>
                </c:pt>
                <c:pt idx="946">
                  <c:v>27.07.2021</c:v>
                </c:pt>
                <c:pt idx="947">
                  <c:v>26.07.2021</c:v>
                </c:pt>
                <c:pt idx="948">
                  <c:v>23.07.2021</c:v>
                </c:pt>
                <c:pt idx="949">
                  <c:v>22.07.2021</c:v>
                </c:pt>
                <c:pt idx="950">
                  <c:v>21.07.2021</c:v>
                </c:pt>
                <c:pt idx="951">
                  <c:v>20.07.2021</c:v>
                </c:pt>
                <c:pt idx="952">
                  <c:v>19.07.2021</c:v>
                </c:pt>
                <c:pt idx="953">
                  <c:v>16.07.2021</c:v>
                </c:pt>
                <c:pt idx="954">
                  <c:v>15.07.2021</c:v>
                </c:pt>
                <c:pt idx="955">
                  <c:v>14.07.2021</c:v>
                </c:pt>
                <c:pt idx="956">
                  <c:v>13.07.2021</c:v>
                </c:pt>
                <c:pt idx="957">
                  <c:v>12.07.2021</c:v>
                </c:pt>
                <c:pt idx="958">
                  <c:v>09.07.2021</c:v>
                </c:pt>
                <c:pt idx="959">
                  <c:v>08.07.2021</c:v>
                </c:pt>
                <c:pt idx="960">
                  <c:v>07.07.2021</c:v>
                </c:pt>
                <c:pt idx="961">
                  <c:v>06.07.2021</c:v>
                </c:pt>
                <c:pt idx="962">
                  <c:v>05.07.2021</c:v>
                </c:pt>
                <c:pt idx="963">
                  <c:v>02.07.2021</c:v>
                </c:pt>
                <c:pt idx="964">
                  <c:v>01.07.2021</c:v>
                </c:pt>
                <c:pt idx="965">
                  <c:v>30.06.2021</c:v>
                </c:pt>
                <c:pt idx="966">
                  <c:v>29.06.2021</c:v>
                </c:pt>
                <c:pt idx="967">
                  <c:v>28.06.2021</c:v>
                </c:pt>
                <c:pt idx="968">
                  <c:v>25.06.2021</c:v>
                </c:pt>
                <c:pt idx="969">
                  <c:v>24.06.2021</c:v>
                </c:pt>
                <c:pt idx="970">
                  <c:v>23.06.2021</c:v>
                </c:pt>
                <c:pt idx="971">
                  <c:v>22.06.2021</c:v>
                </c:pt>
                <c:pt idx="972">
                  <c:v>21.06.2021</c:v>
                </c:pt>
                <c:pt idx="973">
                  <c:v>18.06.2021</c:v>
                </c:pt>
                <c:pt idx="974">
                  <c:v>17.06.2021</c:v>
                </c:pt>
                <c:pt idx="975">
                  <c:v>16.06.2021</c:v>
                </c:pt>
                <c:pt idx="976">
                  <c:v>15.06.2021</c:v>
                </c:pt>
                <c:pt idx="977">
                  <c:v>14.06.2021</c:v>
                </c:pt>
                <c:pt idx="978">
                  <c:v>11.06.2021</c:v>
                </c:pt>
                <c:pt idx="979">
                  <c:v>10.06.2021</c:v>
                </c:pt>
                <c:pt idx="980">
                  <c:v>09.06.2021</c:v>
                </c:pt>
                <c:pt idx="981">
                  <c:v>08.06.2021</c:v>
                </c:pt>
                <c:pt idx="982">
                  <c:v>07.06.2021</c:v>
                </c:pt>
                <c:pt idx="983">
                  <c:v>04.06.2021</c:v>
                </c:pt>
                <c:pt idx="984">
                  <c:v>03.06.2021</c:v>
                </c:pt>
                <c:pt idx="985">
                  <c:v>02.06.2021</c:v>
                </c:pt>
                <c:pt idx="986">
                  <c:v>01.06.2021</c:v>
                </c:pt>
                <c:pt idx="987">
                  <c:v>31.05.2021</c:v>
                </c:pt>
                <c:pt idx="988">
                  <c:v>28.05.2021</c:v>
                </c:pt>
                <c:pt idx="989">
                  <c:v>27.05.2021</c:v>
                </c:pt>
                <c:pt idx="990">
                  <c:v>26.05.2021</c:v>
                </c:pt>
                <c:pt idx="991">
                  <c:v>25.05.2021</c:v>
                </c:pt>
                <c:pt idx="992">
                  <c:v>24.05.2021</c:v>
                </c:pt>
                <c:pt idx="993">
                  <c:v>21.05.2021</c:v>
                </c:pt>
                <c:pt idx="994">
                  <c:v>20.05.2021</c:v>
                </c:pt>
                <c:pt idx="995">
                  <c:v>19.05.2021</c:v>
                </c:pt>
                <c:pt idx="996">
                  <c:v>18.05.2021</c:v>
                </c:pt>
                <c:pt idx="997">
                  <c:v>17.05.2021</c:v>
                </c:pt>
                <c:pt idx="998">
                  <c:v>14.05.2021</c:v>
                </c:pt>
                <c:pt idx="999">
                  <c:v>13.05.2021</c:v>
                </c:pt>
                <c:pt idx="1000">
                  <c:v>12.05.2021</c:v>
                </c:pt>
                <c:pt idx="1001">
                  <c:v>11.05.2021</c:v>
                </c:pt>
                <c:pt idx="1002">
                  <c:v>10.05.2021</c:v>
                </c:pt>
                <c:pt idx="1003">
                  <c:v>07.05.2021</c:v>
                </c:pt>
                <c:pt idx="1004">
                  <c:v>06.05.2021</c:v>
                </c:pt>
                <c:pt idx="1005">
                  <c:v>05.05.2021</c:v>
                </c:pt>
                <c:pt idx="1006">
                  <c:v>04.05.2021</c:v>
                </c:pt>
                <c:pt idx="1007">
                  <c:v>03.05.2021</c:v>
                </c:pt>
                <c:pt idx="1008">
                  <c:v>30.04.2021</c:v>
                </c:pt>
                <c:pt idx="1009">
                  <c:v>29.04.2021</c:v>
                </c:pt>
                <c:pt idx="1010">
                  <c:v>28.04.2021</c:v>
                </c:pt>
                <c:pt idx="1011">
                  <c:v>27.04.2021</c:v>
                </c:pt>
                <c:pt idx="1012">
                  <c:v>26.04.2021</c:v>
                </c:pt>
                <c:pt idx="1013">
                  <c:v>23.04.2021</c:v>
                </c:pt>
                <c:pt idx="1014">
                  <c:v>22.04.2021</c:v>
                </c:pt>
                <c:pt idx="1015">
                  <c:v>21.04.2021</c:v>
                </c:pt>
                <c:pt idx="1016">
                  <c:v>20.04.2021</c:v>
                </c:pt>
                <c:pt idx="1017">
                  <c:v>19.04.2021</c:v>
                </c:pt>
                <c:pt idx="1018">
                  <c:v>16.04.2021</c:v>
                </c:pt>
                <c:pt idx="1019">
                  <c:v>15.04.2021</c:v>
                </c:pt>
                <c:pt idx="1020">
                  <c:v>14.04.2021</c:v>
                </c:pt>
                <c:pt idx="1021">
                  <c:v>13.04.2021</c:v>
                </c:pt>
                <c:pt idx="1022">
                  <c:v>12.04.2021</c:v>
                </c:pt>
                <c:pt idx="1023">
                  <c:v>09.04.2021</c:v>
                </c:pt>
                <c:pt idx="1024">
                  <c:v>08.04.2021</c:v>
                </c:pt>
                <c:pt idx="1025">
                  <c:v>07.04.2021</c:v>
                </c:pt>
                <c:pt idx="1026">
                  <c:v>06.04.2021</c:v>
                </c:pt>
                <c:pt idx="1027">
                  <c:v>05.04.2021</c:v>
                </c:pt>
                <c:pt idx="1028">
                  <c:v>31.03.2021</c:v>
                </c:pt>
                <c:pt idx="1029">
                  <c:v>30.03.2021</c:v>
                </c:pt>
                <c:pt idx="1030">
                  <c:v>29.03.2021</c:v>
                </c:pt>
                <c:pt idx="1031">
                  <c:v>26.03.2021</c:v>
                </c:pt>
                <c:pt idx="1032">
                  <c:v>25.03.2021</c:v>
                </c:pt>
                <c:pt idx="1033">
                  <c:v>24.03.2021</c:v>
                </c:pt>
                <c:pt idx="1034">
                  <c:v>23.03.2021</c:v>
                </c:pt>
                <c:pt idx="1035">
                  <c:v>22.03.2021</c:v>
                </c:pt>
                <c:pt idx="1036">
                  <c:v>19.03.2021</c:v>
                </c:pt>
                <c:pt idx="1037">
                  <c:v>18.03.2021</c:v>
                </c:pt>
                <c:pt idx="1038">
                  <c:v>17.03.2021</c:v>
                </c:pt>
                <c:pt idx="1039">
                  <c:v>16.03.2021</c:v>
                </c:pt>
                <c:pt idx="1040">
                  <c:v>12.03.2021</c:v>
                </c:pt>
                <c:pt idx="1041">
                  <c:v>11.03.2021</c:v>
                </c:pt>
                <c:pt idx="1042">
                  <c:v>10.03.2021</c:v>
                </c:pt>
                <c:pt idx="1043">
                  <c:v>09.03.2021</c:v>
                </c:pt>
                <c:pt idx="1044">
                  <c:v>08.03.2021</c:v>
                </c:pt>
                <c:pt idx="1045">
                  <c:v>05.03.2021</c:v>
                </c:pt>
                <c:pt idx="1046">
                  <c:v>04.03.2021</c:v>
                </c:pt>
                <c:pt idx="1047">
                  <c:v>03.03.2021</c:v>
                </c:pt>
                <c:pt idx="1048">
                  <c:v>02.03.2021</c:v>
                </c:pt>
                <c:pt idx="1049">
                  <c:v>01.03.2021</c:v>
                </c:pt>
                <c:pt idx="1050">
                  <c:v>26.02.2021</c:v>
                </c:pt>
                <c:pt idx="1051">
                  <c:v>25.02.2021</c:v>
                </c:pt>
                <c:pt idx="1052">
                  <c:v>24.02.2021</c:v>
                </c:pt>
                <c:pt idx="1053">
                  <c:v>23.02.2021</c:v>
                </c:pt>
                <c:pt idx="1054">
                  <c:v>22.02.2021</c:v>
                </c:pt>
                <c:pt idx="1055">
                  <c:v>19.02.2021</c:v>
                </c:pt>
                <c:pt idx="1056">
                  <c:v>18.02.2021</c:v>
                </c:pt>
                <c:pt idx="1057">
                  <c:v>17.02.2021</c:v>
                </c:pt>
                <c:pt idx="1058">
                  <c:v>16.02.2021</c:v>
                </c:pt>
                <c:pt idx="1059">
                  <c:v>15.02.2021</c:v>
                </c:pt>
                <c:pt idx="1060">
                  <c:v>12.02.2021</c:v>
                </c:pt>
                <c:pt idx="1061">
                  <c:v>11.02.2021</c:v>
                </c:pt>
                <c:pt idx="1062">
                  <c:v>10.02.2021</c:v>
                </c:pt>
                <c:pt idx="1063">
                  <c:v>09.02.2021</c:v>
                </c:pt>
                <c:pt idx="1064">
                  <c:v>08.02.2021</c:v>
                </c:pt>
                <c:pt idx="1065">
                  <c:v>05.02.2021</c:v>
                </c:pt>
                <c:pt idx="1066">
                  <c:v>04.02.2021</c:v>
                </c:pt>
                <c:pt idx="1067">
                  <c:v>03.02.2021</c:v>
                </c:pt>
                <c:pt idx="1068">
                  <c:v>02.02.2021</c:v>
                </c:pt>
                <c:pt idx="1069">
                  <c:v>29.01.2021</c:v>
                </c:pt>
                <c:pt idx="1070">
                  <c:v>28.01.2021</c:v>
                </c:pt>
                <c:pt idx="1071">
                  <c:v>27.01.2021</c:v>
                </c:pt>
                <c:pt idx="1072">
                  <c:v>26.01.2021</c:v>
                </c:pt>
                <c:pt idx="1073">
                  <c:v>25.01.2021</c:v>
                </c:pt>
                <c:pt idx="1074">
                  <c:v>22.01.2021</c:v>
                </c:pt>
                <c:pt idx="1075">
                  <c:v>21.01.2021</c:v>
                </c:pt>
                <c:pt idx="1076">
                  <c:v>20.01.2021</c:v>
                </c:pt>
                <c:pt idx="1077">
                  <c:v>19.01.2021</c:v>
                </c:pt>
                <c:pt idx="1078">
                  <c:v>18.01.2021</c:v>
                </c:pt>
                <c:pt idx="1079">
                  <c:v>15.01.2021</c:v>
                </c:pt>
                <c:pt idx="1080">
                  <c:v>14.01.2021</c:v>
                </c:pt>
                <c:pt idx="1081">
                  <c:v>13.01.2021</c:v>
                </c:pt>
                <c:pt idx="1082">
                  <c:v>12.01.2021</c:v>
                </c:pt>
                <c:pt idx="1083">
                  <c:v>11.01.2021</c:v>
                </c:pt>
                <c:pt idx="1084">
                  <c:v>08.01.2021</c:v>
                </c:pt>
                <c:pt idx="1085">
                  <c:v>07.01.2021</c:v>
                </c:pt>
                <c:pt idx="1086">
                  <c:v>06.01.2021</c:v>
                </c:pt>
                <c:pt idx="1087">
                  <c:v>05.01.2021</c:v>
                </c:pt>
                <c:pt idx="1088">
                  <c:v>04.01.2021</c:v>
                </c:pt>
                <c:pt idx="1089">
                  <c:v>31.12.2020</c:v>
                </c:pt>
                <c:pt idx="1090">
                  <c:v>30.12.2020</c:v>
                </c:pt>
                <c:pt idx="1091">
                  <c:v>29.12.2020</c:v>
                </c:pt>
                <c:pt idx="1092">
                  <c:v>28.12.2020</c:v>
                </c:pt>
                <c:pt idx="1093">
                  <c:v>24.12.2020</c:v>
                </c:pt>
                <c:pt idx="1094">
                  <c:v>23.12.2020</c:v>
                </c:pt>
                <c:pt idx="1095">
                  <c:v>22.12.2020</c:v>
                </c:pt>
                <c:pt idx="1096">
                  <c:v>21.12.2020</c:v>
                </c:pt>
                <c:pt idx="1097">
                  <c:v>18.12.2020</c:v>
                </c:pt>
                <c:pt idx="1098">
                  <c:v>17.12.2020</c:v>
                </c:pt>
                <c:pt idx="1099">
                  <c:v>16.12.2020</c:v>
                </c:pt>
                <c:pt idx="1100">
                  <c:v>15.12.2020</c:v>
                </c:pt>
                <c:pt idx="1101">
                  <c:v>14.12.2020</c:v>
                </c:pt>
                <c:pt idx="1102">
                  <c:v>11.12.2020</c:v>
                </c:pt>
                <c:pt idx="1103">
                  <c:v>10.12.2020</c:v>
                </c:pt>
                <c:pt idx="1104">
                  <c:v>09.12.2020</c:v>
                </c:pt>
                <c:pt idx="1105">
                  <c:v>08.12.2020</c:v>
                </c:pt>
                <c:pt idx="1106">
                  <c:v>07.12.2020</c:v>
                </c:pt>
                <c:pt idx="1107">
                  <c:v>04.12.2020</c:v>
                </c:pt>
                <c:pt idx="1108">
                  <c:v>03.12.2020</c:v>
                </c:pt>
                <c:pt idx="1109">
                  <c:v>02.12.2020</c:v>
                </c:pt>
                <c:pt idx="1110">
                  <c:v>01.12.2020</c:v>
                </c:pt>
                <c:pt idx="1111">
                  <c:v>30.11.2020</c:v>
                </c:pt>
                <c:pt idx="1112">
                  <c:v>27.11.2020</c:v>
                </c:pt>
                <c:pt idx="1113">
                  <c:v>26.11.2020</c:v>
                </c:pt>
                <c:pt idx="1114">
                  <c:v>25.11.2020</c:v>
                </c:pt>
                <c:pt idx="1115">
                  <c:v>24.11.2020</c:v>
                </c:pt>
                <c:pt idx="1116">
                  <c:v>23.11.2020</c:v>
                </c:pt>
                <c:pt idx="1117">
                  <c:v>20.11.2020</c:v>
                </c:pt>
                <c:pt idx="1118">
                  <c:v>19.11.2020</c:v>
                </c:pt>
                <c:pt idx="1119">
                  <c:v>18.11.2020</c:v>
                </c:pt>
                <c:pt idx="1120">
                  <c:v>17.11.2020</c:v>
                </c:pt>
                <c:pt idx="1121">
                  <c:v>13.11.2020</c:v>
                </c:pt>
                <c:pt idx="1122">
                  <c:v>12.11.2020</c:v>
                </c:pt>
                <c:pt idx="1123">
                  <c:v>11.11.2020</c:v>
                </c:pt>
                <c:pt idx="1124">
                  <c:v>10.11.2020</c:v>
                </c:pt>
                <c:pt idx="1125">
                  <c:v>09.11.2020</c:v>
                </c:pt>
                <c:pt idx="1126">
                  <c:v>06.11.2020</c:v>
                </c:pt>
                <c:pt idx="1127">
                  <c:v>05.11.2020</c:v>
                </c:pt>
                <c:pt idx="1128">
                  <c:v>04.11.2020</c:v>
                </c:pt>
                <c:pt idx="1129">
                  <c:v>03.11.2020</c:v>
                </c:pt>
                <c:pt idx="1130">
                  <c:v>30.10.2020</c:v>
                </c:pt>
                <c:pt idx="1131">
                  <c:v>29.10.2020</c:v>
                </c:pt>
                <c:pt idx="1132">
                  <c:v>28.10.2020</c:v>
                </c:pt>
                <c:pt idx="1133">
                  <c:v>27.10.2020</c:v>
                </c:pt>
                <c:pt idx="1134">
                  <c:v>26.10.2020</c:v>
                </c:pt>
                <c:pt idx="1135">
                  <c:v>23.10.2020</c:v>
                </c:pt>
                <c:pt idx="1136">
                  <c:v>22.10.2020</c:v>
                </c:pt>
                <c:pt idx="1137">
                  <c:v>21.10.2020</c:v>
                </c:pt>
                <c:pt idx="1138">
                  <c:v>20.10.2020</c:v>
                </c:pt>
                <c:pt idx="1139">
                  <c:v>19.10.2020</c:v>
                </c:pt>
                <c:pt idx="1140">
                  <c:v>16.10.2020</c:v>
                </c:pt>
                <c:pt idx="1141">
                  <c:v>15.10.2020</c:v>
                </c:pt>
                <c:pt idx="1142">
                  <c:v>14.10.2020</c:v>
                </c:pt>
                <c:pt idx="1143">
                  <c:v>13.10.2020</c:v>
                </c:pt>
                <c:pt idx="1144">
                  <c:v>12.10.2020</c:v>
                </c:pt>
                <c:pt idx="1145">
                  <c:v>09.10.2020</c:v>
                </c:pt>
                <c:pt idx="1146">
                  <c:v>08.10.2020</c:v>
                </c:pt>
                <c:pt idx="1147">
                  <c:v>07.10.2020</c:v>
                </c:pt>
                <c:pt idx="1148">
                  <c:v>06.10.2020</c:v>
                </c:pt>
                <c:pt idx="1149">
                  <c:v>05.10.2020</c:v>
                </c:pt>
                <c:pt idx="1150">
                  <c:v>02.10.2020</c:v>
                </c:pt>
                <c:pt idx="1151">
                  <c:v>01.10.2020</c:v>
                </c:pt>
                <c:pt idx="1152">
                  <c:v>30.09.2020</c:v>
                </c:pt>
                <c:pt idx="1153">
                  <c:v>29.09.2020</c:v>
                </c:pt>
                <c:pt idx="1154">
                  <c:v>28.09.2020</c:v>
                </c:pt>
                <c:pt idx="1155">
                  <c:v>25.09.2020</c:v>
                </c:pt>
                <c:pt idx="1156">
                  <c:v>24.09.2020</c:v>
                </c:pt>
                <c:pt idx="1157">
                  <c:v>23.09.2020</c:v>
                </c:pt>
                <c:pt idx="1158">
                  <c:v>22.09.2020</c:v>
                </c:pt>
                <c:pt idx="1159">
                  <c:v>21.09.2020</c:v>
                </c:pt>
                <c:pt idx="1160">
                  <c:v>18.09.2020</c:v>
                </c:pt>
                <c:pt idx="1161">
                  <c:v>17.09.2020</c:v>
                </c:pt>
                <c:pt idx="1162">
                  <c:v>15.09.2020</c:v>
                </c:pt>
                <c:pt idx="1163">
                  <c:v>14.09.2020</c:v>
                </c:pt>
                <c:pt idx="1164">
                  <c:v>11.09.2020</c:v>
                </c:pt>
                <c:pt idx="1165">
                  <c:v>10.09.2020</c:v>
                </c:pt>
                <c:pt idx="1166">
                  <c:v>09.09.2020</c:v>
                </c:pt>
                <c:pt idx="1167">
                  <c:v>08.09.2020</c:v>
                </c:pt>
                <c:pt idx="1168">
                  <c:v>07.09.2020</c:v>
                </c:pt>
                <c:pt idx="1169">
                  <c:v>04.09.2020</c:v>
                </c:pt>
                <c:pt idx="1170">
                  <c:v>03.09.2020</c:v>
                </c:pt>
                <c:pt idx="1171">
                  <c:v>02.09.2020</c:v>
                </c:pt>
                <c:pt idx="1172">
                  <c:v>01.09.2020</c:v>
                </c:pt>
                <c:pt idx="1173">
                  <c:v>31.08.2020</c:v>
                </c:pt>
                <c:pt idx="1174">
                  <c:v>28.08.2020</c:v>
                </c:pt>
                <c:pt idx="1175">
                  <c:v>27.08.2020</c:v>
                </c:pt>
                <c:pt idx="1176">
                  <c:v>26.08.2020</c:v>
                </c:pt>
                <c:pt idx="1177">
                  <c:v>25.08.2020</c:v>
                </c:pt>
                <c:pt idx="1178">
                  <c:v>24.08.2020</c:v>
                </c:pt>
                <c:pt idx="1179">
                  <c:v>21.08.2020</c:v>
                </c:pt>
                <c:pt idx="1180">
                  <c:v>20.08.2020</c:v>
                </c:pt>
                <c:pt idx="1181">
                  <c:v>19.08.2020</c:v>
                </c:pt>
                <c:pt idx="1182">
                  <c:v>18.08.2020</c:v>
                </c:pt>
                <c:pt idx="1183">
                  <c:v>17.08.2020</c:v>
                </c:pt>
                <c:pt idx="1184">
                  <c:v>14.08.2020</c:v>
                </c:pt>
                <c:pt idx="1185">
                  <c:v>13.08.2020</c:v>
                </c:pt>
                <c:pt idx="1186">
                  <c:v>12.08.2020</c:v>
                </c:pt>
                <c:pt idx="1187">
                  <c:v>11.08.2020</c:v>
                </c:pt>
                <c:pt idx="1188">
                  <c:v>10.08.2020</c:v>
                </c:pt>
                <c:pt idx="1189">
                  <c:v>07.08.2020</c:v>
                </c:pt>
                <c:pt idx="1190">
                  <c:v>06.08.2020</c:v>
                </c:pt>
                <c:pt idx="1191">
                  <c:v>05.08.2020</c:v>
                </c:pt>
                <c:pt idx="1192">
                  <c:v>04.08.2020</c:v>
                </c:pt>
                <c:pt idx="1193">
                  <c:v>03.08.2020</c:v>
                </c:pt>
                <c:pt idx="1194">
                  <c:v>31.07.2020</c:v>
                </c:pt>
                <c:pt idx="1195">
                  <c:v>30.07.2020</c:v>
                </c:pt>
                <c:pt idx="1196">
                  <c:v>29.07.2020</c:v>
                </c:pt>
                <c:pt idx="1197">
                  <c:v>28.07.2020</c:v>
                </c:pt>
                <c:pt idx="1198">
                  <c:v>27.07.2020</c:v>
                </c:pt>
                <c:pt idx="1199">
                  <c:v>24.07.2020</c:v>
                </c:pt>
                <c:pt idx="1200">
                  <c:v>23.07.2020</c:v>
                </c:pt>
                <c:pt idx="1201">
                  <c:v>22.07.2020</c:v>
                </c:pt>
                <c:pt idx="1202">
                  <c:v>21.07.2020</c:v>
                </c:pt>
                <c:pt idx="1203">
                  <c:v>20.07.2020</c:v>
                </c:pt>
                <c:pt idx="1204">
                  <c:v>17.07.2020</c:v>
                </c:pt>
                <c:pt idx="1205">
                  <c:v>16.07.2020</c:v>
                </c:pt>
                <c:pt idx="1206">
                  <c:v>15.07.2020</c:v>
                </c:pt>
                <c:pt idx="1207">
                  <c:v>14.07.2020</c:v>
                </c:pt>
                <c:pt idx="1208">
                  <c:v>13.07.2020</c:v>
                </c:pt>
                <c:pt idx="1209">
                  <c:v>10.07.2020</c:v>
                </c:pt>
                <c:pt idx="1210">
                  <c:v>09.07.2020</c:v>
                </c:pt>
                <c:pt idx="1211">
                  <c:v>08.07.2020</c:v>
                </c:pt>
                <c:pt idx="1212">
                  <c:v>07.07.2020</c:v>
                </c:pt>
                <c:pt idx="1213">
                  <c:v>06.07.2020</c:v>
                </c:pt>
                <c:pt idx="1214">
                  <c:v>03.07.2020</c:v>
                </c:pt>
                <c:pt idx="1215">
                  <c:v>02.07.2020</c:v>
                </c:pt>
                <c:pt idx="1216">
                  <c:v>01.07.2020</c:v>
                </c:pt>
                <c:pt idx="1217">
                  <c:v>30.06.2020</c:v>
                </c:pt>
                <c:pt idx="1218">
                  <c:v>29.06.2020</c:v>
                </c:pt>
                <c:pt idx="1219">
                  <c:v>26.06.2020</c:v>
                </c:pt>
                <c:pt idx="1220">
                  <c:v>25.06.2020</c:v>
                </c:pt>
                <c:pt idx="1221">
                  <c:v>24.06.2020</c:v>
                </c:pt>
                <c:pt idx="1222">
                  <c:v>23.06.2020</c:v>
                </c:pt>
                <c:pt idx="1223">
                  <c:v>22.06.2020</c:v>
                </c:pt>
                <c:pt idx="1224">
                  <c:v>19.06.2020</c:v>
                </c:pt>
                <c:pt idx="1225">
                  <c:v>18.06.2020</c:v>
                </c:pt>
                <c:pt idx="1226">
                  <c:v>17.06.2020</c:v>
                </c:pt>
                <c:pt idx="1227">
                  <c:v>16.06.2020</c:v>
                </c:pt>
                <c:pt idx="1228">
                  <c:v>15.06.2020</c:v>
                </c:pt>
                <c:pt idx="1229">
                  <c:v>12.06.2020</c:v>
                </c:pt>
                <c:pt idx="1230">
                  <c:v>11.06.2020</c:v>
                </c:pt>
                <c:pt idx="1231">
                  <c:v>10.06.2020</c:v>
                </c:pt>
                <c:pt idx="1232">
                  <c:v>09.06.2020</c:v>
                </c:pt>
                <c:pt idx="1233">
                  <c:v>08.06.2020</c:v>
                </c:pt>
                <c:pt idx="1234">
                  <c:v>05.06.2020</c:v>
                </c:pt>
                <c:pt idx="1235">
                  <c:v>04.06.2020</c:v>
                </c:pt>
                <c:pt idx="1236">
                  <c:v>03.06.2020</c:v>
                </c:pt>
                <c:pt idx="1237">
                  <c:v>02.06.2020</c:v>
                </c:pt>
                <c:pt idx="1238">
                  <c:v>01.06.2020</c:v>
                </c:pt>
                <c:pt idx="1239">
                  <c:v>29.05.2020</c:v>
                </c:pt>
                <c:pt idx="1240">
                  <c:v>28.05.2020</c:v>
                </c:pt>
                <c:pt idx="1241">
                  <c:v>27.05.2020</c:v>
                </c:pt>
                <c:pt idx="1242">
                  <c:v>26.05.2020</c:v>
                </c:pt>
                <c:pt idx="1243">
                  <c:v>25.05.2020</c:v>
                </c:pt>
                <c:pt idx="1244">
                  <c:v>22.05.2020</c:v>
                </c:pt>
                <c:pt idx="1245">
                  <c:v>21.05.2020</c:v>
                </c:pt>
                <c:pt idx="1246">
                  <c:v>20.05.2020</c:v>
                </c:pt>
                <c:pt idx="1247">
                  <c:v>19.05.2020</c:v>
                </c:pt>
                <c:pt idx="1248">
                  <c:v>18.05.2020</c:v>
                </c:pt>
                <c:pt idx="1249">
                  <c:v>15.05.2020</c:v>
                </c:pt>
                <c:pt idx="1250">
                  <c:v>14.05.2020</c:v>
                </c:pt>
                <c:pt idx="1251">
                  <c:v>13.05.2020</c:v>
                </c:pt>
                <c:pt idx="1252">
                  <c:v>12.05.2020</c:v>
                </c:pt>
                <c:pt idx="1253">
                  <c:v>11.05.2020</c:v>
                </c:pt>
                <c:pt idx="1254">
                  <c:v>08.05.2020</c:v>
                </c:pt>
                <c:pt idx="1255">
                  <c:v>07.05.2020</c:v>
                </c:pt>
                <c:pt idx="1256">
                  <c:v>06.05.2020</c:v>
                </c:pt>
                <c:pt idx="1257">
                  <c:v>05.05.2020</c:v>
                </c:pt>
                <c:pt idx="1258">
                  <c:v>04.05.2020</c:v>
                </c:pt>
                <c:pt idx="1259">
                  <c:v>30.04.2020</c:v>
                </c:pt>
              </c:strCache>
            </c:strRef>
          </c:cat>
          <c:val>
            <c:numRef>
              <c:f>GFNORTEO!$B$2:$B$1260</c:f>
              <c:numCache>
                <c:formatCode>General</c:formatCode>
                <c:ptCount val="1259"/>
                <c:pt idx="0">
                  <c:v>168.52</c:v>
                </c:pt>
                <c:pt idx="1">
                  <c:v>165.33</c:v>
                </c:pt>
                <c:pt idx="2">
                  <c:v>167.2</c:v>
                </c:pt>
                <c:pt idx="3">
                  <c:v>163.75</c:v>
                </c:pt>
                <c:pt idx="4">
                  <c:v>160.88</c:v>
                </c:pt>
                <c:pt idx="5">
                  <c:v>159.79</c:v>
                </c:pt>
                <c:pt idx="6">
                  <c:v>157.26</c:v>
                </c:pt>
                <c:pt idx="7">
                  <c:v>150.53</c:v>
                </c:pt>
                <c:pt idx="8">
                  <c:v>147.21</c:v>
                </c:pt>
                <c:pt idx="9">
                  <c:v>148.05000000000001</c:v>
                </c:pt>
                <c:pt idx="10">
                  <c:v>144.97999999999999</c:v>
                </c:pt>
                <c:pt idx="11">
                  <c:v>141.62</c:v>
                </c:pt>
                <c:pt idx="12">
                  <c:v>145.19</c:v>
                </c:pt>
                <c:pt idx="13">
                  <c:v>150.41999999999999</c:v>
                </c:pt>
                <c:pt idx="14">
                  <c:v>138.16</c:v>
                </c:pt>
                <c:pt idx="15">
                  <c:v>136</c:v>
                </c:pt>
                <c:pt idx="16">
                  <c:v>143.93</c:v>
                </c:pt>
                <c:pt idx="17">
                  <c:v>154.41</c:v>
                </c:pt>
                <c:pt idx="18">
                  <c:v>145.01</c:v>
                </c:pt>
                <c:pt idx="19">
                  <c:v>144.41999999999999</c:v>
                </c:pt>
                <c:pt idx="20">
                  <c:v>141.93</c:v>
                </c:pt>
                <c:pt idx="21">
                  <c:v>145.91</c:v>
                </c:pt>
                <c:pt idx="22">
                  <c:v>147.31</c:v>
                </c:pt>
                <c:pt idx="23">
                  <c:v>144.31</c:v>
                </c:pt>
                <c:pt idx="24">
                  <c:v>147.76</c:v>
                </c:pt>
                <c:pt idx="25">
                  <c:v>149.37</c:v>
                </c:pt>
                <c:pt idx="26">
                  <c:v>151.01</c:v>
                </c:pt>
                <c:pt idx="27">
                  <c:v>150.32</c:v>
                </c:pt>
                <c:pt idx="28">
                  <c:v>149.44999999999999</c:v>
                </c:pt>
                <c:pt idx="29">
                  <c:v>148.94</c:v>
                </c:pt>
                <c:pt idx="30">
                  <c:v>146.63</c:v>
                </c:pt>
                <c:pt idx="31">
                  <c:v>145.24</c:v>
                </c:pt>
                <c:pt idx="32">
                  <c:v>146.08000000000001</c:v>
                </c:pt>
                <c:pt idx="33">
                  <c:v>143.51</c:v>
                </c:pt>
                <c:pt idx="34">
                  <c:v>142.41</c:v>
                </c:pt>
                <c:pt idx="35">
                  <c:v>148.01</c:v>
                </c:pt>
                <c:pt idx="36">
                  <c:v>146.88</c:v>
                </c:pt>
                <c:pt idx="37">
                  <c:v>147.77000000000001</c:v>
                </c:pt>
                <c:pt idx="38">
                  <c:v>149.88</c:v>
                </c:pt>
                <c:pt idx="39">
                  <c:v>147.11000000000001</c:v>
                </c:pt>
                <c:pt idx="40">
                  <c:v>144.84</c:v>
                </c:pt>
                <c:pt idx="41">
                  <c:v>147.27000000000001</c:v>
                </c:pt>
                <c:pt idx="42">
                  <c:v>151.06</c:v>
                </c:pt>
                <c:pt idx="43">
                  <c:v>147.54</c:v>
                </c:pt>
                <c:pt idx="44">
                  <c:v>151.46</c:v>
                </c:pt>
                <c:pt idx="45">
                  <c:v>152.83000000000001</c:v>
                </c:pt>
                <c:pt idx="46">
                  <c:v>155.1</c:v>
                </c:pt>
                <c:pt idx="47">
                  <c:v>155.69999999999999</c:v>
                </c:pt>
                <c:pt idx="48">
                  <c:v>156.94999999999999</c:v>
                </c:pt>
                <c:pt idx="49">
                  <c:v>152.54</c:v>
                </c:pt>
                <c:pt idx="50">
                  <c:v>151.66999999999999</c:v>
                </c:pt>
                <c:pt idx="51">
                  <c:v>149.66999999999999</c:v>
                </c:pt>
                <c:pt idx="52">
                  <c:v>149.32</c:v>
                </c:pt>
                <c:pt idx="53">
                  <c:v>150.44999999999999</c:v>
                </c:pt>
                <c:pt idx="54">
                  <c:v>147.80000000000001</c:v>
                </c:pt>
                <c:pt idx="55">
                  <c:v>146.81</c:v>
                </c:pt>
                <c:pt idx="56">
                  <c:v>146.47999999999999</c:v>
                </c:pt>
                <c:pt idx="57">
                  <c:v>145.47</c:v>
                </c:pt>
                <c:pt idx="58">
                  <c:v>147.66999999999999</c:v>
                </c:pt>
                <c:pt idx="59">
                  <c:v>143.19999999999999</c:v>
                </c:pt>
                <c:pt idx="60">
                  <c:v>146.71</c:v>
                </c:pt>
                <c:pt idx="61">
                  <c:v>145.88999999999999</c:v>
                </c:pt>
                <c:pt idx="62">
                  <c:v>147.9</c:v>
                </c:pt>
                <c:pt idx="63">
                  <c:v>149.6</c:v>
                </c:pt>
                <c:pt idx="64">
                  <c:v>148.47999999999999</c:v>
                </c:pt>
                <c:pt idx="65">
                  <c:v>148.72999999999999</c:v>
                </c:pt>
                <c:pt idx="66">
                  <c:v>145.94999999999999</c:v>
                </c:pt>
                <c:pt idx="67">
                  <c:v>144.21</c:v>
                </c:pt>
                <c:pt idx="68">
                  <c:v>146.07</c:v>
                </c:pt>
                <c:pt idx="69">
                  <c:v>143.9</c:v>
                </c:pt>
                <c:pt idx="70">
                  <c:v>143.59</c:v>
                </c:pt>
                <c:pt idx="71">
                  <c:v>146.57</c:v>
                </c:pt>
                <c:pt idx="72">
                  <c:v>143.74</c:v>
                </c:pt>
                <c:pt idx="73">
                  <c:v>141.81</c:v>
                </c:pt>
                <c:pt idx="74">
                  <c:v>139.66</c:v>
                </c:pt>
                <c:pt idx="75">
                  <c:v>140.35</c:v>
                </c:pt>
                <c:pt idx="76">
                  <c:v>140.13</c:v>
                </c:pt>
                <c:pt idx="77">
                  <c:v>141.16</c:v>
                </c:pt>
                <c:pt idx="78">
                  <c:v>142.94</c:v>
                </c:pt>
                <c:pt idx="79">
                  <c:v>137.30000000000001</c:v>
                </c:pt>
                <c:pt idx="80">
                  <c:v>136.93</c:v>
                </c:pt>
                <c:pt idx="81">
                  <c:v>133.97</c:v>
                </c:pt>
                <c:pt idx="82">
                  <c:v>133.44999999999999</c:v>
                </c:pt>
                <c:pt idx="83">
                  <c:v>134.69</c:v>
                </c:pt>
                <c:pt idx="84">
                  <c:v>136.85</c:v>
                </c:pt>
                <c:pt idx="85">
                  <c:v>135.68</c:v>
                </c:pt>
                <c:pt idx="86">
                  <c:v>137.81</c:v>
                </c:pt>
                <c:pt idx="87">
                  <c:v>137.29</c:v>
                </c:pt>
                <c:pt idx="88">
                  <c:v>132</c:v>
                </c:pt>
                <c:pt idx="89">
                  <c:v>135.41</c:v>
                </c:pt>
                <c:pt idx="90">
                  <c:v>135.13</c:v>
                </c:pt>
                <c:pt idx="91">
                  <c:v>141.13</c:v>
                </c:pt>
                <c:pt idx="92">
                  <c:v>143.30000000000001</c:v>
                </c:pt>
                <c:pt idx="93">
                  <c:v>139.91999999999999</c:v>
                </c:pt>
                <c:pt idx="94">
                  <c:v>139.05000000000001</c:v>
                </c:pt>
                <c:pt idx="95">
                  <c:v>142.53</c:v>
                </c:pt>
                <c:pt idx="96">
                  <c:v>142.25</c:v>
                </c:pt>
                <c:pt idx="97">
                  <c:v>140.35</c:v>
                </c:pt>
                <c:pt idx="98">
                  <c:v>142.5</c:v>
                </c:pt>
                <c:pt idx="99">
                  <c:v>141.78</c:v>
                </c:pt>
                <c:pt idx="100">
                  <c:v>137.25</c:v>
                </c:pt>
                <c:pt idx="101">
                  <c:v>135.33000000000001</c:v>
                </c:pt>
                <c:pt idx="102">
                  <c:v>135.75</c:v>
                </c:pt>
                <c:pt idx="103">
                  <c:v>133.56</c:v>
                </c:pt>
                <c:pt idx="104">
                  <c:v>134.05000000000001</c:v>
                </c:pt>
                <c:pt idx="105">
                  <c:v>138.63</c:v>
                </c:pt>
                <c:pt idx="106">
                  <c:v>140.43</c:v>
                </c:pt>
                <c:pt idx="107">
                  <c:v>143.15</c:v>
                </c:pt>
                <c:pt idx="108">
                  <c:v>142.06</c:v>
                </c:pt>
                <c:pt idx="109">
                  <c:v>141.41</c:v>
                </c:pt>
                <c:pt idx="110">
                  <c:v>140.22999999999999</c:v>
                </c:pt>
                <c:pt idx="111">
                  <c:v>143.78</c:v>
                </c:pt>
                <c:pt idx="112">
                  <c:v>144</c:v>
                </c:pt>
                <c:pt idx="113">
                  <c:v>145.93</c:v>
                </c:pt>
                <c:pt idx="114">
                  <c:v>145.33000000000001</c:v>
                </c:pt>
                <c:pt idx="115">
                  <c:v>146.33000000000001</c:v>
                </c:pt>
                <c:pt idx="116">
                  <c:v>149.43</c:v>
                </c:pt>
                <c:pt idx="117">
                  <c:v>149.16</c:v>
                </c:pt>
                <c:pt idx="118">
                  <c:v>142.55000000000001</c:v>
                </c:pt>
                <c:pt idx="119">
                  <c:v>143.22</c:v>
                </c:pt>
                <c:pt idx="120">
                  <c:v>141.78</c:v>
                </c:pt>
                <c:pt idx="121">
                  <c:v>139.33000000000001</c:v>
                </c:pt>
                <c:pt idx="122">
                  <c:v>137.94999999999999</c:v>
                </c:pt>
                <c:pt idx="123">
                  <c:v>139.09</c:v>
                </c:pt>
                <c:pt idx="124">
                  <c:v>140.99</c:v>
                </c:pt>
                <c:pt idx="125">
                  <c:v>140.62</c:v>
                </c:pt>
                <c:pt idx="126">
                  <c:v>142.1</c:v>
                </c:pt>
                <c:pt idx="127">
                  <c:v>144.44</c:v>
                </c:pt>
                <c:pt idx="128">
                  <c:v>142.08000000000001</c:v>
                </c:pt>
                <c:pt idx="129">
                  <c:v>144.28</c:v>
                </c:pt>
                <c:pt idx="130">
                  <c:v>146.28</c:v>
                </c:pt>
                <c:pt idx="131">
                  <c:v>144.81</c:v>
                </c:pt>
                <c:pt idx="132">
                  <c:v>144.83000000000001</c:v>
                </c:pt>
                <c:pt idx="133">
                  <c:v>149</c:v>
                </c:pt>
                <c:pt idx="134">
                  <c:v>145.59</c:v>
                </c:pt>
                <c:pt idx="135">
                  <c:v>149.52000000000001</c:v>
                </c:pt>
                <c:pt idx="136">
                  <c:v>150.66</c:v>
                </c:pt>
                <c:pt idx="137">
                  <c:v>150.54</c:v>
                </c:pt>
                <c:pt idx="138">
                  <c:v>150.71</c:v>
                </c:pt>
                <c:pt idx="139">
                  <c:v>152.63</c:v>
                </c:pt>
                <c:pt idx="140">
                  <c:v>156.28</c:v>
                </c:pt>
                <c:pt idx="141">
                  <c:v>149.91</c:v>
                </c:pt>
                <c:pt idx="142">
                  <c:v>149.85</c:v>
                </c:pt>
                <c:pt idx="143">
                  <c:v>139.5</c:v>
                </c:pt>
                <c:pt idx="144">
                  <c:v>140.61000000000001</c:v>
                </c:pt>
                <c:pt idx="145">
                  <c:v>144.6</c:v>
                </c:pt>
                <c:pt idx="146">
                  <c:v>143.51</c:v>
                </c:pt>
                <c:pt idx="147">
                  <c:v>144.22</c:v>
                </c:pt>
                <c:pt idx="148">
                  <c:v>137.76</c:v>
                </c:pt>
                <c:pt idx="149">
                  <c:v>136.6</c:v>
                </c:pt>
                <c:pt idx="150">
                  <c:v>139.56</c:v>
                </c:pt>
                <c:pt idx="151">
                  <c:v>140.81</c:v>
                </c:pt>
                <c:pt idx="152">
                  <c:v>140.74</c:v>
                </c:pt>
                <c:pt idx="153">
                  <c:v>142.08000000000001</c:v>
                </c:pt>
                <c:pt idx="154">
                  <c:v>138.93</c:v>
                </c:pt>
                <c:pt idx="155">
                  <c:v>134.08000000000001</c:v>
                </c:pt>
                <c:pt idx="156">
                  <c:v>134.08000000000001</c:v>
                </c:pt>
                <c:pt idx="157">
                  <c:v>135.02000000000001</c:v>
                </c:pt>
                <c:pt idx="158">
                  <c:v>136.69</c:v>
                </c:pt>
                <c:pt idx="159">
                  <c:v>139.05000000000001</c:v>
                </c:pt>
                <c:pt idx="160">
                  <c:v>139.57</c:v>
                </c:pt>
                <c:pt idx="161">
                  <c:v>138.22</c:v>
                </c:pt>
                <c:pt idx="162">
                  <c:v>138.08000000000001</c:v>
                </c:pt>
                <c:pt idx="163">
                  <c:v>136.21</c:v>
                </c:pt>
                <c:pt idx="164">
                  <c:v>136.28</c:v>
                </c:pt>
                <c:pt idx="165">
                  <c:v>132.53</c:v>
                </c:pt>
                <c:pt idx="166">
                  <c:v>132.19</c:v>
                </c:pt>
                <c:pt idx="167">
                  <c:v>134.16999999999999</c:v>
                </c:pt>
                <c:pt idx="168">
                  <c:v>136.71</c:v>
                </c:pt>
                <c:pt idx="169">
                  <c:v>135.93</c:v>
                </c:pt>
                <c:pt idx="170">
                  <c:v>141.68</c:v>
                </c:pt>
                <c:pt idx="171">
                  <c:v>143.58000000000001</c:v>
                </c:pt>
                <c:pt idx="172">
                  <c:v>141.77000000000001</c:v>
                </c:pt>
                <c:pt idx="173">
                  <c:v>143.6</c:v>
                </c:pt>
                <c:pt idx="174">
                  <c:v>143.59</c:v>
                </c:pt>
                <c:pt idx="175">
                  <c:v>141.5</c:v>
                </c:pt>
                <c:pt idx="176">
                  <c:v>139.97999999999999</c:v>
                </c:pt>
                <c:pt idx="177">
                  <c:v>137.81</c:v>
                </c:pt>
                <c:pt idx="178">
                  <c:v>137.01</c:v>
                </c:pt>
                <c:pt idx="179">
                  <c:v>135.35</c:v>
                </c:pt>
                <c:pt idx="180">
                  <c:v>137.31</c:v>
                </c:pt>
                <c:pt idx="181">
                  <c:v>134.06</c:v>
                </c:pt>
                <c:pt idx="182">
                  <c:v>132.91</c:v>
                </c:pt>
                <c:pt idx="183">
                  <c:v>135.91</c:v>
                </c:pt>
                <c:pt idx="184">
                  <c:v>139.49</c:v>
                </c:pt>
                <c:pt idx="185">
                  <c:v>139.61000000000001</c:v>
                </c:pt>
                <c:pt idx="186">
                  <c:v>140.1</c:v>
                </c:pt>
                <c:pt idx="187">
                  <c:v>139.86000000000001</c:v>
                </c:pt>
                <c:pt idx="188">
                  <c:v>142.33000000000001</c:v>
                </c:pt>
                <c:pt idx="189">
                  <c:v>143.30000000000001</c:v>
                </c:pt>
                <c:pt idx="190">
                  <c:v>144.85</c:v>
                </c:pt>
                <c:pt idx="191">
                  <c:v>149.21</c:v>
                </c:pt>
                <c:pt idx="192">
                  <c:v>150.49</c:v>
                </c:pt>
                <c:pt idx="193">
                  <c:v>149.81</c:v>
                </c:pt>
                <c:pt idx="194">
                  <c:v>147.36000000000001</c:v>
                </c:pt>
                <c:pt idx="195">
                  <c:v>147.24</c:v>
                </c:pt>
                <c:pt idx="196">
                  <c:v>148.46</c:v>
                </c:pt>
                <c:pt idx="197">
                  <c:v>147.87</c:v>
                </c:pt>
                <c:pt idx="198">
                  <c:v>149.52000000000001</c:v>
                </c:pt>
                <c:pt idx="199">
                  <c:v>149.06</c:v>
                </c:pt>
                <c:pt idx="200">
                  <c:v>149.79</c:v>
                </c:pt>
                <c:pt idx="201">
                  <c:v>147.02000000000001</c:v>
                </c:pt>
                <c:pt idx="202">
                  <c:v>147.35</c:v>
                </c:pt>
                <c:pt idx="203">
                  <c:v>148.22</c:v>
                </c:pt>
                <c:pt idx="204">
                  <c:v>147.56</c:v>
                </c:pt>
                <c:pt idx="205">
                  <c:v>147.31</c:v>
                </c:pt>
                <c:pt idx="206">
                  <c:v>146.41999999999999</c:v>
                </c:pt>
                <c:pt idx="207">
                  <c:v>146.51</c:v>
                </c:pt>
                <c:pt idx="208">
                  <c:v>142.56</c:v>
                </c:pt>
                <c:pt idx="209">
                  <c:v>142.78</c:v>
                </c:pt>
                <c:pt idx="210">
                  <c:v>149.28</c:v>
                </c:pt>
                <c:pt idx="211">
                  <c:v>152.16</c:v>
                </c:pt>
                <c:pt idx="212">
                  <c:v>150.04</c:v>
                </c:pt>
                <c:pt idx="213">
                  <c:v>151.81</c:v>
                </c:pt>
                <c:pt idx="214">
                  <c:v>146.91999999999999</c:v>
                </c:pt>
                <c:pt idx="215">
                  <c:v>146.59</c:v>
                </c:pt>
                <c:pt idx="216">
                  <c:v>144.61000000000001</c:v>
                </c:pt>
                <c:pt idx="217">
                  <c:v>140.09</c:v>
                </c:pt>
                <c:pt idx="218">
                  <c:v>137.43</c:v>
                </c:pt>
                <c:pt idx="219">
                  <c:v>132.68</c:v>
                </c:pt>
                <c:pt idx="220">
                  <c:v>136.19</c:v>
                </c:pt>
                <c:pt idx="221">
                  <c:v>136.9</c:v>
                </c:pt>
                <c:pt idx="222">
                  <c:v>138.61000000000001</c:v>
                </c:pt>
                <c:pt idx="223">
                  <c:v>139.31</c:v>
                </c:pt>
                <c:pt idx="224">
                  <c:v>149.03</c:v>
                </c:pt>
                <c:pt idx="225">
                  <c:v>155</c:v>
                </c:pt>
                <c:pt idx="226">
                  <c:v>149.12</c:v>
                </c:pt>
                <c:pt idx="227">
                  <c:v>143.4</c:v>
                </c:pt>
                <c:pt idx="228">
                  <c:v>161.37</c:v>
                </c:pt>
                <c:pt idx="229">
                  <c:v>155.62</c:v>
                </c:pt>
                <c:pt idx="230">
                  <c:v>160.76</c:v>
                </c:pt>
                <c:pt idx="231">
                  <c:v>163.22</c:v>
                </c:pt>
                <c:pt idx="232">
                  <c:v>166.92</c:v>
                </c:pt>
                <c:pt idx="233">
                  <c:v>164.44</c:v>
                </c:pt>
                <c:pt idx="234">
                  <c:v>160.21</c:v>
                </c:pt>
                <c:pt idx="235">
                  <c:v>165.83</c:v>
                </c:pt>
                <c:pt idx="236">
                  <c:v>167.47</c:v>
                </c:pt>
                <c:pt idx="237">
                  <c:v>169.66</c:v>
                </c:pt>
                <c:pt idx="238">
                  <c:v>174.67</c:v>
                </c:pt>
                <c:pt idx="239">
                  <c:v>175.25</c:v>
                </c:pt>
                <c:pt idx="240">
                  <c:v>175.31</c:v>
                </c:pt>
                <c:pt idx="241">
                  <c:v>173.96</c:v>
                </c:pt>
                <c:pt idx="242">
                  <c:v>178.23</c:v>
                </c:pt>
                <c:pt idx="243">
                  <c:v>175.73</c:v>
                </c:pt>
                <c:pt idx="244">
                  <c:v>175.25</c:v>
                </c:pt>
                <c:pt idx="245">
                  <c:v>175.11</c:v>
                </c:pt>
                <c:pt idx="246">
                  <c:v>173.27</c:v>
                </c:pt>
                <c:pt idx="247">
                  <c:v>173.07</c:v>
                </c:pt>
                <c:pt idx="248">
                  <c:v>173.33</c:v>
                </c:pt>
                <c:pt idx="249">
                  <c:v>172.6</c:v>
                </c:pt>
                <c:pt idx="250">
                  <c:v>169.55</c:v>
                </c:pt>
                <c:pt idx="251">
                  <c:v>169.22</c:v>
                </c:pt>
                <c:pt idx="252">
                  <c:v>173.2</c:v>
                </c:pt>
                <c:pt idx="253">
                  <c:v>175.09</c:v>
                </c:pt>
                <c:pt idx="254">
                  <c:v>174.73</c:v>
                </c:pt>
                <c:pt idx="255">
                  <c:v>178</c:v>
                </c:pt>
                <c:pt idx="256">
                  <c:v>181.08</c:v>
                </c:pt>
                <c:pt idx="257">
                  <c:v>173.36</c:v>
                </c:pt>
                <c:pt idx="258">
                  <c:v>174.57</c:v>
                </c:pt>
                <c:pt idx="259">
                  <c:v>171.46</c:v>
                </c:pt>
                <c:pt idx="260">
                  <c:v>170.1</c:v>
                </c:pt>
                <c:pt idx="261">
                  <c:v>173.24</c:v>
                </c:pt>
                <c:pt idx="262">
                  <c:v>175.55</c:v>
                </c:pt>
                <c:pt idx="263">
                  <c:v>174.81</c:v>
                </c:pt>
                <c:pt idx="264">
                  <c:v>173.38</c:v>
                </c:pt>
                <c:pt idx="265">
                  <c:v>173.91</c:v>
                </c:pt>
                <c:pt idx="266">
                  <c:v>178.46</c:v>
                </c:pt>
                <c:pt idx="267">
                  <c:v>181.87</c:v>
                </c:pt>
                <c:pt idx="268">
                  <c:v>181.86</c:v>
                </c:pt>
                <c:pt idx="269">
                  <c:v>177.57</c:v>
                </c:pt>
                <c:pt idx="270">
                  <c:v>178.64</c:v>
                </c:pt>
                <c:pt idx="271">
                  <c:v>176.4</c:v>
                </c:pt>
                <c:pt idx="272">
                  <c:v>176.37</c:v>
                </c:pt>
                <c:pt idx="273">
                  <c:v>177.3</c:v>
                </c:pt>
                <c:pt idx="274">
                  <c:v>170.01</c:v>
                </c:pt>
                <c:pt idx="275">
                  <c:v>172.59</c:v>
                </c:pt>
                <c:pt idx="276">
                  <c:v>175.58</c:v>
                </c:pt>
                <c:pt idx="277">
                  <c:v>174.98</c:v>
                </c:pt>
                <c:pt idx="278">
                  <c:v>170.13</c:v>
                </c:pt>
                <c:pt idx="279">
                  <c:v>169.87</c:v>
                </c:pt>
                <c:pt idx="280">
                  <c:v>173.26</c:v>
                </c:pt>
                <c:pt idx="281">
                  <c:v>175.15</c:v>
                </c:pt>
                <c:pt idx="282">
                  <c:v>170.22</c:v>
                </c:pt>
                <c:pt idx="283">
                  <c:v>173.79</c:v>
                </c:pt>
                <c:pt idx="284">
                  <c:v>172.03</c:v>
                </c:pt>
                <c:pt idx="285">
                  <c:v>176.09</c:v>
                </c:pt>
                <c:pt idx="286">
                  <c:v>178.76</c:v>
                </c:pt>
                <c:pt idx="287">
                  <c:v>180.05</c:v>
                </c:pt>
                <c:pt idx="288">
                  <c:v>179.06</c:v>
                </c:pt>
                <c:pt idx="289">
                  <c:v>176.9</c:v>
                </c:pt>
                <c:pt idx="290">
                  <c:v>176.22</c:v>
                </c:pt>
                <c:pt idx="291">
                  <c:v>176.86</c:v>
                </c:pt>
                <c:pt idx="292">
                  <c:v>178.68</c:v>
                </c:pt>
                <c:pt idx="293">
                  <c:v>178.77</c:v>
                </c:pt>
                <c:pt idx="294">
                  <c:v>183.09</c:v>
                </c:pt>
                <c:pt idx="295">
                  <c:v>183.14</c:v>
                </c:pt>
                <c:pt idx="296">
                  <c:v>183.96</c:v>
                </c:pt>
                <c:pt idx="297">
                  <c:v>186.97</c:v>
                </c:pt>
                <c:pt idx="298">
                  <c:v>187.59</c:v>
                </c:pt>
                <c:pt idx="299">
                  <c:v>187.58</c:v>
                </c:pt>
                <c:pt idx="300">
                  <c:v>184.21</c:v>
                </c:pt>
                <c:pt idx="301">
                  <c:v>184.3</c:v>
                </c:pt>
                <c:pt idx="302">
                  <c:v>182.36</c:v>
                </c:pt>
                <c:pt idx="303">
                  <c:v>184.21</c:v>
                </c:pt>
                <c:pt idx="304">
                  <c:v>184.12</c:v>
                </c:pt>
                <c:pt idx="305">
                  <c:v>184.33</c:v>
                </c:pt>
                <c:pt idx="306">
                  <c:v>189.85</c:v>
                </c:pt>
                <c:pt idx="307">
                  <c:v>185.33</c:v>
                </c:pt>
                <c:pt idx="308">
                  <c:v>181.14</c:v>
                </c:pt>
                <c:pt idx="309">
                  <c:v>176.67</c:v>
                </c:pt>
                <c:pt idx="310">
                  <c:v>175.06</c:v>
                </c:pt>
                <c:pt idx="311">
                  <c:v>176.52</c:v>
                </c:pt>
                <c:pt idx="312">
                  <c:v>170.78</c:v>
                </c:pt>
                <c:pt idx="313">
                  <c:v>170.56</c:v>
                </c:pt>
                <c:pt idx="314">
                  <c:v>169.42</c:v>
                </c:pt>
                <c:pt idx="315">
                  <c:v>168.31</c:v>
                </c:pt>
                <c:pt idx="316">
                  <c:v>167.86</c:v>
                </c:pt>
                <c:pt idx="317">
                  <c:v>166.91</c:v>
                </c:pt>
                <c:pt idx="318">
                  <c:v>167.05</c:v>
                </c:pt>
                <c:pt idx="319">
                  <c:v>163.55000000000001</c:v>
                </c:pt>
                <c:pt idx="320">
                  <c:v>164.69</c:v>
                </c:pt>
                <c:pt idx="321">
                  <c:v>164.18</c:v>
                </c:pt>
                <c:pt idx="322">
                  <c:v>164.9</c:v>
                </c:pt>
                <c:pt idx="323">
                  <c:v>165.51</c:v>
                </c:pt>
                <c:pt idx="324">
                  <c:v>165.24</c:v>
                </c:pt>
                <c:pt idx="325">
                  <c:v>165.42</c:v>
                </c:pt>
                <c:pt idx="326">
                  <c:v>164.96</c:v>
                </c:pt>
                <c:pt idx="327">
                  <c:v>166.95</c:v>
                </c:pt>
                <c:pt idx="328">
                  <c:v>170.6</c:v>
                </c:pt>
                <c:pt idx="329">
                  <c:v>164.62</c:v>
                </c:pt>
                <c:pt idx="330">
                  <c:v>163.21</c:v>
                </c:pt>
                <c:pt idx="331">
                  <c:v>168.08</c:v>
                </c:pt>
                <c:pt idx="332">
                  <c:v>170.76</c:v>
                </c:pt>
                <c:pt idx="333">
                  <c:v>171.62</c:v>
                </c:pt>
                <c:pt idx="334">
                  <c:v>168.25</c:v>
                </c:pt>
                <c:pt idx="335">
                  <c:v>173.64</c:v>
                </c:pt>
                <c:pt idx="336">
                  <c:v>167.29</c:v>
                </c:pt>
                <c:pt idx="337">
                  <c:v>171.46</c:v>
                </c:pt>
                <c:pt idx="338">
                  <c:v>170.57</c:v>
                </c:pt>
                <c:pt idx="339">
                  <c:v>174.03</c:v>
                </c:pt>
                <c:pt idx="340">
                  <c:v>174.68</c:v>
                </c:pt>
                <c:pt idx="341">
                  <c:v>171.15</c:v>
                </c:pt>
                <c:pt idx="342">
                  <c:v>172.19</c:v>
                </c:pt>
                <c:pt idx="343">
                  <c:v>169.2</c:v>
                </c:pt>
                <c:pt idx="344">
                  <c:v>166.29</c:v>
                </c:pt>
                <c:pt idx="345">
                  <c:v>166.06</c:v>
                </c:pt>
                <c:pt idx="346">
                  <c:v>163.79</c:v>
                </c:pt>
                <c:pt idx="347">
                  <c:v>160.38</c:v>
                </c:pt>
                <c:pt idx="348">
                  <c:v>159.88</c:v>
                </c:pt>
                <c:pt idx="349">
                  <c:v>159.88</c:v>
                </c:pt>
                <c:pt idx="350">
                  <c:v>159.61000000000001</c:v>
                </c:pt>
                <c:pt idx="351">
                  <c:v>161.51</c:v>
                </c:pt>
                <c:pt idx="352">
                  <c:v>157.75</c:v>
                </c:pt>
                <c:pt idx="353">
                  <c:v>159.81</c:v>
                </c:pt>
                <c:pt idx="354">
                  <c:v>159.41</c:v>
                </c:pt>
                <c:pt idx="355">
                  <c:v>162.30000000000001</c:v>
                </c:pt>
                <c:pt idx="356">
                  <c:v>163.92</c:v>
                </c:pt>
                <c:pt idx="357">
                  <c:v>162.05000000000001</c:v>
                </c:pt>
                <c:pt idx="358">
                  <c:v>162.16999999999999</c:v>
                </c:pt>
                <c:pt idx="359">
                  <c:v>161</c:v>
                </c:pt>
                <c:pt idx="360">
                  <c:v>161.82</c:v>
                </c:pt>
                <c:pt idx="361">
                  <c:v>162.28</c:v>
                </c:pt>
                <c:pt idx="362">
                  <c:v>159.80000000000001</c:v>
                </c:pt>
                <c:pt idx="363">
                  <c:v>155.18</c:v>
                </c:pt>
                <c:pt idx="364">
                  <c:v>157.47</c:v>
                </c:pt>
                <c:pt idx="365">
                  <c:v>152.96</c:v>
                </c:pt>
                <c:pt idx="366">
                  <c:v>153.38</c:v>
                </c:pt>
                <c:pt idx="367">
                  <c:v>153.09</c:v>
                </c:pt>
                <c:pt idx="368">
                  <c:v>153.58000000000001</c:v>
                </c:pt>
                <c:pt idx="369">
                  <c:v>157.55000000000001</c:v>
                </c:pt>
                <c:pt idx="370">
                  <c:v>151.65</c:v>
                </c:pt>
                <c:pt idx="371">
                  <c:v>146.32</c:v>
                </c:pt>
                <c:pt idx="372">
                  <c:v>150.35</c:v>
                </c:pt>
                <c:pt idx="373">
                  <c:v>146.69</c:v>
                </c:pt>
                <c:pt idx="374">
                  <c:v>145.81</c:v>
                </c:pt>
                <c:pt idx="375">
                  <c:v>148.54</c:v>
                </c:pt>
                <c:pt idx="376">
                  <c:v>145.78</c:v>
                </c:pt>
                <c:pt idx="377">
                  <c:v>143.41</c:v>
                </c:pt>
                <c:pt idx="378">
                  <c:v>142.80000000000001</c:v>
                </c:pt>
                <c:pt idx="379">
                  <c:v>147.85</c:v>
                </c:pt>
                <c:pt idx="380">
                  <c:v>148.82</c:v>
                </c:pt>
                <c:pt idx="381">
                  <c:v>148.37</c:v>
                </c:pt>
                <c:pt idx="382">
                  <c:v>149.78</c:v>
                </c:pt>
                <c:pt idx="383">
                  <c:v>150.68</c:v>
                </c:pt>
                <c:pt idx="384">
                  <c:v>148.88999999999999</c:v>
                </c:pt>
                <c:pt idx="385">
                  <c:v>152.94999999999999</c:v>
                </c:pt>
                <c:pt idx="386">
                  <c:v>151.09</c:v>
                </c:pt>
                <c:pt idx="387">
                  <c:v>147.55000000000001</c:v>
                </c:pt>
                <c:pt idx="388">
                  <c:v>144.51</c:v>
                </c:pt>
                <c:pt idx="389">
                  <c:v>140.9</c:v>
                </c:pt>
                <c:pt idx="390">
                  <c:v>143.5</c:v>
                </c:pt>
                <c:pt idx="391">
                  <c:v>144.07</c:v>
                </c:pt>
                <c:pt idx="392">
                  <c:v>149.81</c:v>
                </c:pt>
                <c:pt idx="393">
                  <c:v>146.11000000000001</c:v>
                </c:pt>
                <c:pt idx="394">
                  <c:v>147.96</c:v>
                </c:pt>
                <c:pt idx="395">
                  <c:v>147.24</c:v>
                </c:pt>
                <c:pt idx="396">
                  <c:v>144.25</c:v>
                </c:pt>
                <c:pt idx="397">
                  <c:v>143.46</c:v>
                </c:pt>
                <c:pt idx="398">
                  <c:v>146.61000000000001</c:v>
                </c:pt>
                <c:pt idx="399">
                  <c:v>148.56</c:v>
                </c:pt>
                <c:pt idx="400">
                  <c:v>151.44999999999999</c:v>
                </c:pt>
                <c:pt idx="401">
                  <c:v>148.63</c:v>
                </c:pt>
                <c:pt idx="402">
                  <c:v>147.19999999999999</c:v>
                </c:pt>
                <c:pt idx="403">
                  <c:v>147.4</c:v>
                </c:pt>
                <c:pt idx="404">
                  <c:v>146.05000000000001</c:v>
                </c:pt>
                <c:pt idx="405">
                  <c:v>142.99</c:v>
                </c:pt>
                <c:pt idx="406">
                  <c:v>143.09</c:v>
                </c:pt>
                <c:pt idx="407">
                  <c:v>143.25</c:v>
                </c:pt>
                <c:pt idx="408">
                  <c:v>143.47</c:v>
                </c:pt>
                <c:pt idx="409">
                  <c:v>142.82</c:v>
                </c:pt>
                <c:pt idx="410">
                  <c:v>144.84</c:v>
                </c:pt>
                <c:pt idx="411">
                  <c:v>145.15</c:v>
                </c:pt>
                <c:pt idx="412">
                  <c:v>145.18</c:v>
                </c:pt>
                <c:pt idx="413">
                  <c:v>145.53</c:v>
                </c:pt>
                <c:pt idx="414">
                  <c:v>144.41999999999999</c:v>
                </c:pt>
                <c:pt idx="415">
                  <c:v>148.44</c:v>
                </c:pt>
                <c:pt idx="416">
                  <c:v>148.15</c:v>
                </c:pt>
                <c:pt idx="417">
                  <c:v>145.83000000000001</c:v>
                </c:pt>
                <c:pt idx="418">
                  <c:v>145.02000000000001</c:v>
                </c:pt>
                <c:pt idx="419">
                  <c:v>144.41</c:v>
                </c:pt>
                <c:pt idx="420">
                  <c:v>147.46</c:v>
                </c:pt>
                <c:pt idx="421">
                  <c:v>146.78</c:v>
                </c:pt>
                <c:pt idx="422">
                  <c:v>146.22</c:v>
                </c:pt>
                <c:pt idx="423">
                  <c:v>145.16999999999999</c:v>
                </c:pt>
                <c:pt idx="424">
                  <c:v>146.03</c:v>
                </c:pt>
                <c:pt idx="425">
                  <c:v>148.65</c:v>
                </c:pt>
                <c:pt idx="426">
                  <c:v>149.82</c:v>
                </c:pt>
                <c:pt idx="427">
                  <c:v>149.86000000000001</c:v>
                </c:pt>
                <c:pt idx="428">
                  <c:v>148.44</c:v>
                </c:pt>
                <c:pt idx="429">
                  <c:v>150.38999999999999</c:v>
                </c:pt>
                <c:pt idx="430">
                  <c:v>149.52000000000001</c:v>
                </c:pt>
                <c:pt idx="431">
                  <c:v>146.41999999999999</c:v>
                </c:pt>
                <c:pt idx="432">
                  <c:v>149.41</c:v>
                </c:pt>
                <c:pt idx="433">
                  <c:v>152.62</c:v>
                </c:pt>
                <c:pt idx="434">
                  <c:v>148.75</c:v>
                </c:pt>
                <c:pt idx="435">
                  <c:v>151.13999999999999</c:v>
                </c:pt>
                <c:pt idx="436">
                  <c:v>155.21</c:v>
                </c:pt>
                <c:pt idx="437">
                  <c:v>158.71</c:v>
                </c:pt>
                <c:pt idx="438">
                  <c:v>156.34</c:v>
                </c:pt>
                <c:pt idx="439">
                  <c:v>156.27000000000001</c:v>
                </c:pt>
                <c:pt idx="440">
                  <c:v>154.91</c:v>
                </c:pt>
                <c:pt idx="441">
                  <c:v>151.55000000000001</c:v>
                </c:pt>
                <c:pt idx="442">
                  <c:v>148.51</c:v>
                </c:pt>
                <c:pt idx="443">
                  <c:v>145.97</c:v>
                </c:pt>
                <c:pt idx="444">
                  <c:v>148.15</c:v>
                </c:pt>
                <c:pt idx="445">
                  <c:v>150.07</c:v>
                </c:pt>
                <c:pt idx="446">
                  <c:v>147.91</c:v>
                </c:pt>
                <c:pt idx="447">
                  <c:v>147.13</c:v>
                </c:pt>
                <c:pt idx="448">
                  <c:v>147.51</c:v>
                </c:pt>
                <c:pt idx="449">
                  <c:v>146.72</c:v>
                </c:pt>
                <c:pt idx="450">
                  <c:v>146.16999999999999</c:v>
                </c:pt>
                <c:pt idx="451">
                  <c:v>146.63</c:v>
                </c:pt>
                <c:pt idx="452">
                  <c:v>146.07</c:v>
                </c:pt>
                <c:pt idx="453">
                  <c:v>147.47999999999999</c:v>
                </c:pt>
                <c:pt idx="454">
                  <c:v>144.51</c:v>
                </c:pt>
                <c:pt idx="455">
                  <c:v>146.15</c:v>
                </c:pt>
                <c:pt idx="456">
                  <c:v>141.05000000000001</c:v>
                </c:pt>
                <c:pt idx="457">
                  <c:v>142.18</c:v>
                </c:pt>
                <c:pt idx="458">
                  <c:v>141.21</c:v>
                </c:pt>
                <c:pt idx="459">
                  <c:v>142.04</c:v>
                </c:pt>
                <c:pt idx="460">
                  <c:v>139.46</c:v>
                </c:pt>
                <c:pt idx="461">
                  <c:v>139.55000000000001</c:v>
                </c:pt>
                <c:pt idx="462">
                  <c:v>137.6</c:v>
                </c:pt>
                <c:pt idx="463">
                  <c:v>137.97</c:v>
                </c:pt>
                <c:pt idx="464">
                  <c:v>137.29</c:v>
                </c:pt>
                <c:pt idx="465">
                  <c:v>139.30000000000001</c:v>
                </c:pt>
                <c:pt idx="466">
                  <c:v>140.69999999999999</c:v>
                </c:pt>
                <c:pt idx="467">
                  <c:v>143.91999999999999</c:v>
                </c:pt>
                <c:pt idx="468">
                  <c:v>143.94</c:v>
                </c:pt>
                <c:pt idx="469">
                  <c:v>145.11000000000001</c:v>
                </c:pt>
                <c:pt idx="470">
                  <c:v>143.32</c:v>
                </c:pt>
                <c:pt idx="471">
                  <c:v>143.16</c:v>
                </c:pt>
                <c:pt idx="472">
                  <c:v>141.94999999999999</c:v>
                </c:pt>
                <c:pt idx="473">
                  <c:v>140.87</c:v>
                </c:pt>
                <c:pt idx="474">
                  <c:v>139.79</c:v>
                </c:pt>
                <c:pt idx="475">
                  <c:v>143.52000000000001</c:v>
                </c:pt>
                <c:pt idx="476">
                  <c:v>146.11000000000001</c:v>
                </c:pt>
                <c:pt idx="477">
                  <c:v>142.19999999999999</c:v>
                </c:pt>
                <c:pt idx="478">
                  <c:v>141.28</c:v>
                </c:pt>
                <c:pt idx="479">
                  <c:v>140.87</c:v>
                </c:pt>
                <c:pt idx="480">
                  <c:v>141.79</c:v>
                </c:pt>
                <c:pt idx="481">
                  <c:v>148.47999999999999</c:v>
                </c:pt>
                <c:pt idx="482">
                  <c:v>151.25</c:v>
                </c:pt>
                <c:pt idx="483">
                  <c:v>151.47</c:v>
                </c:pt>
                <c:pt idx="484">
                  <c:v>147.41999999999999</c:v>
                </c:pt>
                <c:pt idx="485">
                  <c:v>145.44999999999999</c:v>
                </c:pt>
                <c:pt idx="486">
                  <c:v>142.11000000000001</c:v>
                </c:pt>
                <c:pt idx="487">
                  <c:v>143.5</c:v>
                </c:pt>
                <c:pt idx="488">
                  <c:v>145.33000000000001</c:v>
                </c:pt>
                <c:pt idx="489">
                  <c:v>149.75</c:v>
                </c:pt>
                <c:pt idx="490">
                  <c:v>148.43</c:v>
                </c:pt>
                <c:pt idx="491">
                  <c:v>148.5</c:v>
                </c:pt>
                <c:pt idx="492">
                  <c:v>152.35</c:v>
                </c:pt>
                <c:pt idx="493">
                  <c:v>149.30000000000001</c:v>
                </c:pt>
                <c:pt idx="494">
                  <c:v>152.38</c:v>
                </c:pt>
                <c:pt idx="495">
                  <c:v>157.15</c:v>
                </c:pt>
                <c:pt idx="496">
                  <c:v>157.56</c:v>
                </c:pt>
                <c:pt idx="497">
                  <c:v>155.21</c:v>
                </c:pt>
                <c:pt idx="498">
                  <c:v>152.91</c:v>
                </c:pt>
                <c:pt idx="499">
                  <c:v>153.46</c:v>
                </c:pt>
                <c:pt idx="500">
                  <c:v>155.77000000000001</c:v>
                </c:pt>
                <c:pt idx="501">
                  <c:v>155.71</c:v>
                </c:pt>
                <c:pt idx="502">
                  <c:v>155.47999999999999</c:v>
                </c:pt>
                <c:pt idx="503">
                  <c:v>153.35</c:v>
                </c:pt>
                <c:pt idx="504">
                  <c:v>151.13</c:v>
                </c:pt>
                <c:pt idx="505">
                  <c:v>156.78</c:v>
                </c:pt>
                <c:pt idx="506">
                  <c:v>158.01</c:v>
                </c:pt>
                <c:pt idx="507">
                  <c:v>151.69</c:v>
                </c:pt>
                <c:pt idx="508">
                  <c:v>152.33000000000001</c:v>
                </c:pt>
                <c:pt idx="509">
                  <c:v>152.68</c:v>
                </c:pt>
                <c:pt idx="510">
                  <c:v>149.74</c:v>
                </c:pt>
                <c:pt idx="511">
                  <c:v>150.28</c:v>
                </c:pt>
                <c:pt idx="512">
                  <c:v>147.83000000000001</c:v>
                </c:pt>
                <c:pt idx="513">
                  <c:v>147.58000000000001</c:v>
                </c:pt>
                <c:pt idx="514">
                  <c:v>145.69</c:v>
                </c:pt>
                <c:pt idx="515">
                  <c:v>149.66</c:v>
                </c:pt>
                <c:pt idx="516">
                  <c:v>149.27000000000001</c:v>
                </c:pt>
                <c:pt idx="517">
                  <c:v>149.61000000000001</c:v>
                </c:pt>
                <c:pt idx="518">
                  <c:v>152.44</c:v>
                </c:pt>
                <c:pt idx="519">
                  <c:v>150.71</c:v>
                </c:pt>
                <c:pt idx="520">
                  <c:v>151.9</c:v>
                </c:pt>
                <c:pt idx="521">
                  <c:v>149.16999999999999</c:v>
                </c:pt>
                <c:pt idx="522">
                  <c:v>149.31</c:v>
                </c:pt>
                <c:pt idx="523">
                  <c:v>142.56</c:v>
                </c:pt>
                <c:pt idx="524">
                  <c:v>143.66</c:v>
                </c:pt>
                <c:pt idx="525">
                  <c:v>149.01</c:v>
                </c:pt>
                <c:pt idx="526">
                  <c:v>152.16999999999999</c:v>
                </c:pt>
                <c:pt idx="527">
                  <c:v>150.09</c:v>
                </c:pt>
                <c:pt idx="528">
                  <c:v>150.63999999999999</c:v>
                </c:pt>
                <c:pt idx="529">
                  <c:v>144.52000000000001</c:v>
                </c:pt>
                <c:pt idx="530">
                  <c:v>149.03</c:v>
                </c:pt>
                <c:pt idx="531">
                  <c:v>138.28</c:v>
                </c:pt>
                <c:pt idx="532">
                  <c:v>145.19999999999999</c:v>
                </c:pt>
                <c:pt idx="533">
                  <c:v>149.11000000000001</c:v>
                </c:pt>
                <c:pt idx="534">
                  <c:v>152.41999999999999</c:v>
                </c:pt>
                <c:pt idx="535">
                  <c:v>163.08000000000001</c:v>
                </c:pt>
                <c:pt idx="536">
                  <c:v>160.41999999999999</c:v>
                </c:pt>
                <c:pt idx="537">
                  <c:v>157.88</c:v>
                </c:pt>
                <c:pt idx="538">
                  <c:v>160.87</c:v>
                </c:pt>
                <c:pt idx="539">
                  <c:v>159.84</c:v>
                </c:pt>
                <c:pt idx="540">
                  <c:v>158.47</c:v>
                </c:pt>
                <c:pt idx="541">
                  <c:v>161.94</c:v>
                </c:pt>
                <c:pt idx="542">
                  <c:v>154.44</c:v>
                </c:pt>
                <c:pt idx="543">
                  <c:v>156.16</c:v>
                </c:pt>
                <c:pt idx="544">
                  <c:v>156.72</c:v>
                </c:pt>
                <c:pt idx="545">
                  <c:v>157.68</c:v>
                </c:pt>
                <c:pt idx="546">
                  <c:v>154.69999999999999</c:v>
                </c:pt>
                <c:pt idx="547">
                  <c:v>158.88999999999999</c:v>
                </c:pt>
                <c:pt idx="548">
                  <c:v>163.06</c:v>
                </c:pt>
                <c:pt idx="549">
                  <c:v>162.75</c:v>
                </c:pt>
                <c:pt idx="550">
                  <c:v>164.06</c:v>
                </c:pt>
                <c:pt idx="551">
                  <c:v>163</c:v>
                </c:pt>
                <c:pt idx="552">
                  <c:v>156.31</c:v>
                </c:pt>
                <c:pt idx="553">
                  <c:v>156.09</c:v>
                </c:pt>
                <c:pt idx="554">
                  <c:v>154.57</c:v>
                </c:pt>
                <c:pt idx="555">
                  <c:v>153.44999999999999</c:v>
                </c:pt>
                <c:pt idx="556">
                  <c:v>153.16</c:v>
                </c:pt>
                <c:pt idx="557">
                  <c:v>154.09</c:v>
                </c:pt>
                <c:pt idx="558">
                  <c:v>153.75</c:v>
                </c:pt>
                <c:pt idx="559">
                  <c:v>152.9</c:v>
                </c:pt>
                <c:pt idx="560">
                  <c:v>157.54</c:v>
                </c:pt>
                <c:pt idx="561">
                  <c:v>156.19</c:v>
                </c:pt>
                <c:pt idx="562">
                  <c:v>155.63999999999999</c:v>
                </c:pt>
                <c:pt idx="563">
                  <c:v>156.22</c:v>
                </c:pt>
                <c:pt idx="564">
                  <c:v>155.37</c:v>
                </c:pt>
                <c:pt idx="565">
                  <c:v>157.22999999999999</c:v>
                </c:pt>
                <c:pt idx="566">
                  <c:v>159.32</c:v>
                </c:pt>
                <c:pt idx="567">
                  <c:v>156.22999999999999</c:v>
                </c:pt>
                <c:pt idx="568">
                  <c:v>154.71</c:v>
                </c:pt>
                <c:pt idx="569">
                  <c:v>153.96</c:v>
                </c:pt>
                <c:pt idx="570">
                  <c:v>152.93</c:v>
                </c:pt>
                <c:pt idx="571">
                  <c:v>155.85</c:v>
                </c:pt>
                <c:pt idx="572">
                  <c:v>155.1</c:v>
                </c:pt>
                <c:pt idx="573">
                  <c:v>157.47</c:v>
                </c:pt>
                <c:pt idx="574">
                  <c:v>156.28</c:v>
                </c:pt>
                <c:pt idx="575">
                  <c:v>154.75</c:v>
                </c:pt>
                <c:pt idx="576">
                  <c:v>153.41999999999999</c:v>
                </c:pt>
                <c:pt idx="577">
                  <c:v>154.65</c:v>
                </c:pt>
                <c:pt idx="578">
                  <c:v>150.72</c:v>
                </c:pt>
                <c:pt idx="579">
                  <c:v>145.94</c:v>
                </c:pt>
                <c:pt idx="580">
                  <c:v>145.43</c:v>
                </c:pt>
                <c:pt idx="581">
                  <c:v>142.30000000000001</c:v>
                </c:pt>
                <c:pt idx="582">
                  <c:v>142.86000000000001</c:v>
                </c:pt>
                <c:pt idx="583">
                  <c:v>139.91</c:v>
                </c:pt>
                <c:pt idx="584">
                  <c:v>143.68</c:v>
                </c:pt>
                <c:pt idx="585">
                  <c:v>145</c:v>
                </c:pt>
                <c:pt idx="586">
                  <c:v>146.80000000000001</c:v>
                </c:pt>
                <c:pt idx="587">
                  <c:v>147.31</c:v>
                </c:pt>
                <c:pt idx="588">
                  <c:v>148.46</c:v>
                </c:pt>
                <c:pt idx="589">
                  <c:v>146.49</c:v>
                </c:pt>
                <c:pt idx="590">
                  <c:v>147.1</c:v>
                </c:pt>
                <c:pt idx="591">
                  <c:v>147.5</c:v>
                </c:pt>
                <c:pt idx="592">
                  <c:v>148.71</c:v>
                </c:pt>
                <c:pt idx="593">
                  <c:v>145.96</c:v>
                </c:pt>
                <c:pt idx="594">
                  <c:v>143.13</c:v>
                </c:pt>
                <c:pt idx="595">
                  <c:v>143.35</c:v>
                </c:pt>
                <c:pt idx="596">
                  <c:v>144.03</c:v>
                </c:pt>
                <c:pt idx="597">
                  <c:v>143.32</c:v>
                </c:pt>
                <c:pt idx="598">
                  <c:v>147.32</c:v>
                </c:pt>
                <c:pt idx="599">
                  <c:v>145.43</c:v>
                </c:pt>
                <c:pt idx="600">
                  <c:v>147.57</c:v>
                </c:pt>
                <c:pt idx="601">
                  <c:v>150.33000000000001</c:v>
                </c:pt>
                <c:pt idx="602">
                  <c:v>149.82</c:v>
                </c:pt>
                <c:pt idx="603">
                  <c:v>152.06</c:v>
                </c:pt>
                <c:pt idx="604">
                  <c:v>154.30000000000001</c:v>
                </c:pt>
                <c:pt idx="605">
                  <c:v>149.63999999999999</c:v>
                </c:pt>
                <c:pt idx="606">
                  <c:v>153.22</c:v>
                </c:pt>
                <c:pt idx="607">
                  <c:v>156.54</c:v>
                </c:pt>
                <c:pt idx="608">
                  <c:v>153.49</c:v>
                </c:pt>
                <c:pt idx="609">
                  <c:v>153.94999999999999</c:v>
                </c:pt>
                <c:pt idx="610">
                  <c:v>152.41</c:v>
                </c:pt>
                <c:pt idx="611">
                  <c:v>152.84</c:v>
                </c:pt>
                <c:pt idx="612">
                  <c:v>149.16999999999999</c:v>
                </c:pt>
                <c:pt idx="613">
                  <c:v>150.72</c:v>
                </c:pt>
                <c:pt idx="614">
                  <c:v>152.94</c:v>
                </c:pt>
                <c:pt idx="615">
                  <c:v>150.44</c:v>
                </c:pt>
                <c:pt idx="616">
                  <c:v>151.54</c:v>
                </c:pt>
                <c:pt idx="617">
                  <c:v>154.22</c:v>
                </c:pt>
                <c:pt idx="618">
                  <c:v>152.94</c:v>
                </c:pt>
                <c:pt idx="619">
                  <c:v>156.19999999999999</c:v>
                </c:pt>
                <c:pt idx="620">
                  <c:v>160.31</c:v>
                </c:pt>
                <c:pt idx="621">
                  <c:v>166.33</c:v>
                </c:pt>
                <c:pt idx="622">
                  <c:v>163.38</c:v>
                </c:pt>
                <c:pt idx="623">
                  <c:v>163.47999999999999</c:v>
                </c:pt>
                <c:pt idx="624">
                  <c:v>161.05000000000001</c:v>
                </c:pt>
                <c:pt idx="625">
                  <c:v>157.58000000000001</c:v>
                </c:pt>
                <c:pt idx="626">
                  <c:v>156.31</c:v>
                </c:pt>
                <c:pt idx="627">
                  <c:v>159.81</c:v>
                </c:pt>
                <c:pt idx="628">
                  <c:v>165.02</c:v>
                </c:pt>
                <c:pt idx="629">
                  <c:v>161.13999999999999</c:v>
                </c:pt>
                <c:pt idx="630">
                  <c:v>156.30000000000001</c:v>
                </c:pt>
                <c:pt idx="631">
                  <c:v>152.13999999999999</c:v>
                </c:pt>
                <c:pt idx="632">
                  <c:v>150.59</c:v>
                </c:pt>
                <c:pt idx="633">
                  <c:v>151.62</c:v>
                </c:pt>
                <c:pt idx="634">
                  <c:v>153.26</c:v>
                </c:pt>
                <c:pt idx="635">
                  <c:v>147.59</c:v>
                </c:pt>
                <c:pt idx="636">
                  <c:v>146.77000000000001</c:v>
                </c:pt>
                <c:pt idx="637">
                  <c:v>145.03</c:v>
                </c:pt>
                <c:pt idx="638">
                  <c:v>143.87</c:v>
                </c:pt>
                <c:pt idx="639">
                  <c:v>140.83000000000001</c:v>
                </c:pt>
                <c:pt idx="640">
                  <c:v>140.80000000000001</c:v>
                </c:pt>
                <c:pt idx="641">
                  <c:v>138.53</c:v>
                </c:pt>
                <c:pt idx="642">
                  <c:v>133.34</c:v>
                </c:pt>
                <c:pt idx="643">
                  <c:v>132.41999999999999</c:v>
                </c:pt>
                <c:pt idx="644">
                  <c:v>131.5</c:v>
                </c:pt>
                <c:pt idx="645">
                  <c:v>129.32</c:v>
                </c:pt>
                <c:pt idx="646">
                  <c:v>128.66</c:v>
                </c:pt>
                <c:pt idx="647">
                  <c:v>132.15</c:v>
                </c:pt>
                <c:pt idx="648">
                  <c:v>129.43</c:v>
                </c:pt>
                <c:pt idx="649">
                  <c:v>130.47999999999999</c:v>
                </c:pt>
                <c:pt idx="650">
                  <c:v>131.33000000000001</c:v>
                </c:pt>
                <c:pt idx="651">
                  <c:v>134.26</c:v>
                </c:pt>
                <c:pt idx="652">
                  <c:v>136.29</c:v>
                </c:pt>
                <c:pt idx="653">
                  <c:v>135.38999999999999</c:v>
                </c:pt>
                <c:pt idx="654">
                  <c:v>138.63999999999999</c:v>
                </c:pt>
                <c:pt idx="655">
                  <c:v>133.94</c:v>
                </c:pt>
                <c:pt idx="656">
                  <c:v>129.43</c:v>
                </c:pt>
                <c:pt idx="657">
                  <c:v>125.04</c:v>
                </c:pt>
                <c:pt idx="658">
                  <c:v>127.64</c:v>
                </c:pt>
                <c:pt idx="659">
                  <c:v>124.99</c:v>
                </c:pt>
                <c:pt idx="660">
                  <c:v>122.28</c:v>
                </c:pt>
                <c:pt idx="661">
                  <c:v>123.4</c:v>
                </c:pt>
                <c:pt idx="662">
                  <c:v>121.66</c:v>
                </c:pt>
                <c:pt idx="663">
                  <c:v>123.86</c:v>
                </c:pt>
                <c:pt idx="664">
                  <c:v>122.28</c:v>
                </c:pt>
                <c:pt idx="665">
                  <c:v>119.97</c:v>
                </c:pt>
                <c:pt idx="666">
                  <c:v>118.98</c:v>
                </c:pt>
                <c:pt idx="667">
                  <c:v>121.41</c:v>
                </c:pt>
                <c:pt idx="668">
                  <c:v>121.11</c:v>
                </c:pt>
                <c:pt idx="669">
                  <c:v>123.86</c:v>
                </c:pt>
                <c:pt idx="670">
                  <c:v>125.8</c:v>
                </c:pt>
                <c:pt idx="671">
                  <c:v>126.21</c:v>
                </c:pt>
                <c:pt idx="672">
                  <c:v>127.25</c:v>
                </c:pt>
                <c:pt idx="673">
                  <c:v>126.52</c:v>
                </c:pt>
                <c:pt idx="674">
                  <c:v>127.11</c:v>
                </c:pt>
                <c:pt idx="675">
                  <c:v>125.22</c:v>
                </c:pt>
                <c:pt idx="676">
                  <c:v>125.98</c:v>
                </c:pt>
                <c:pt idx="677">
                  <c:v>123.86</c:v>
                </c:pt>
                <c:pt idx="678">
                  <c:v>124.25</c:v>
                </c:pt>
                <c:pt idx="679">
                  <c:v>123.49</c:v>
                </c:pt>
                <c:pt idx="680">
                  <c:v>121.36</c:v>
                </c:pt>
                <c:pt idx="681">
                  <c:v>120.75</c:v>
                </c:pt>
                <c:pt idx="682">
                  <c:v>116.04</c:v>
                </c:pt>
                <c:pt idx="683">
                  <c:v>115.29</c:v>
                </c:pt>
                <c:pt idx="684">
                  <c:v>110.2</c:v>
                </c:pt>
                <c:pt idx="685">
                  <c:v>110.93</c:v>
                </c:pt>
                <c:pt idx="686">
                  <c:v>112.01</c:v>
                </c:pt>
                <c:pt idx="687">
                  <c:v>111.37</c:v>
                </c:pt>
                <c:pt idx="688">
                  <c:v>112.19</c:v>
                </c:pt>
                <c:pt idx="689">
                  <c:v>115.99</c:v>
                </c:pt>
                <c:pt idx="690">
                  <c:v>117.65</c:v>
                </c:pt>
                <c:pt idx="691">
                  <c:v>113.01</c:v>
                </c:pt>
                <c:pt idx="692">
                  <c:v>114.3</c:v>
                </c:pt>
                <c:pt idx="693">
                  <c:v>116.17</c:v>
                </c:pt>
                <c:pt idx="694">
                  <c:v>113.56</c:v>
                </c:pt>
                <c:pt idx="695">
                  <c:v>119.61</c:v>
                </c:pt>
                <c:pt idx="696">
                  <c:v>117.58</c:v>
                </c:pt>
                <c:pt idx="697">
                  <c:v>114.28</c:v>
                </c:pt>
                <c:pt idx="698">
                  <c:v>111.6</c:v>
                </c:pt>
                <c:pt idx="699">
                  <c:v>113.06</c:v>
                </c:pt>
                <c:pt idx="700">
                  <c:v>113.54</c:v>
                </c:pt>
                <c:pt idx="701">
                  <c:v>114.96</c:v>
                </c:pt>
                <c:pt idx="702">
                  <c:v>115.05</c:v>
                </c:pt>
                <c:pt idx="703">
                  <c:v>111.57</c:v>
                </c:pt>
                <c:pt idx="704">
                  <c:v>113.73</c:v>
                </c:pt>
                <c:pt idx="705">
                  <c:v>112.18</c:v>
                </c:pt>
                <c:pt idx="706">
                  <c:v>112.89</c:v>
                </c:pt>
                <c:pt idx="707">
                  <c:v>112.06</c:v>
                </c:pt>
                <c:pt idx="708">
                  <c:v>112.56</c:v>
                </c:pt>
                <c:pt idx="709">
                  <c:v>112.71</c:v>
                </c:pt>
                <c:pt idx="710">
                  <c:v>112.17</c:v>
                </c:pt>
                <c:pt idx="711">
                  <c:v>113.91</c:v>
                </c:pt>
                <c:pt idx="712">
                  <c:v>116.7</c:v>
                </c:pt>
                <c:pt idx="713">
                  <c:v>117.28</c:v>
                </c:pt>
                <c:pt idx="714">
                  <c:v>114.59</c:v>
                </c:pt>
                <c:pt idx="715">
                  <c:v>111.69</c:v>
                </c:pt>
                <c:pt idx="716">
                  <c:v>113.08</c:v>
                </c:pt>
                <c:pt idx="717">
                  <c:v>118.77</c:v>
                </c:pt>
                <c:pt idx="718">
                  <c:v>115.01</c:v>
                </c:pt>
                <c:pt idx="719">
                  <c:v>117.69</c:v>
                </c:pt>
                <c:pt idx="720">
                  <c:v>116.64</c:v>
                </c:pt>
                <c:pt idx="721">
                  <c:v>117.94</c:v>
                </c:pt>
                <c:pt idx="722">
                  <c:v>118.78</c:v>
                </c:pt>
                <c:pt idx="723">
                  <c:v>118.26</c:v>
                </c:pt>
                <c:pt idx="724">
                  <c:v>117.67</c:v>
                </c:pt>
                <c:pt idx="725">
                  <c:v>120.85</c:v>
                </c:pt>
                <c:pt idx="726">
                  <c:v>120.74</c:v>
                </c:pt>
                <c:pt idx="727">
                  <c:v>121.83</c:v>
                </c:pt>
                <c:pt idx="728">
                  <c:v>121.44</c:v>
                </c:pt>
                <c:pt idx="729">
                  <c:v>123.12</c:v>
                </c:pt>
                <c:pt idx="730">
                  <c:v>124.52</c:v>
                </c:pt>
                <c:pt idx="731">
                  <c:v>125.83</c:v>
                </c:pt>
                <c:pt idx="732">
                  <c:v>127.59</c:v>
                </c:pt>
                <c:pt idx="733">
                  <c:v>129.04</c:v>
                </c:pt>
                <c:pt idx="734">
                  <c:v>131.02000000000001</c:v>
                </c:pt>
                <c:pt idx="735">
                  <c:v>134.25</c:v>
                </c:pt>
                <c:pt idx="736">
                  <c:v>131.01</c:v>
                </c:pt>
                <c:pt idx="737">
                  <c:v>129.96</c:v>
                </c:pt>
                <c:pt idx="738">
                  <c:v>127.75</c:v>
                </c:pt>
                <c:pt idx="739">
                  <c:v>126.91</c:v>
                </c:pt>
                <c:pt idx="740">
                  <c:v>128.47</c:v>
                </c:pt>
                <c:pt idx="741">
                  <c:v>127.02</c:v>
                </c:pt>
                <c:pt idx="742">
                  <c:v>133.88999999999999</c:v>
                </c:pt>
                <c:pt idx="743">
                  <c:v>133.38999999999999</c:v>
                </c:pt>
                <c:pt idx="744">
                  <c:v>129.56</c:v>
                </c:pt>
                <c:pt idx="745">
                  <c:v>120.03</c:v>
                </c:pt>
                <c:pt idx="746">
                  <c:v>126.42</c:v>
                </c:pt>
                <c:pt idx="747">
                  <c:v>130.5</c:v>
                </c:pt>
                <c:pt idx="748">
                  <c:v>133.15</c:v>
                </c:pt>
                <c:pt idx="749">
                  <c:v>135.78</c:v>
                </c:pt>
                <c:pt idx="750">
                  <c:v>138.06</c:v>
                </c:pt>
                <c:pt idx="751">
                  <c:v>141.53</c:v>
                </c:pt>
                <c:pt idx="752">
                  <c:v>137.49</c:v>
                </c:pt>
                <c:pt idx="753">
                  <c:v>141.08000000000001</c:v>
                </c:pt>
                <c:pt idx="754">
                  <c:v>134.71</c:v>
                </c:pt>
                <c:pt idx="755">
                  <c:v>140</c:v>
                </c:pt>
                <c:pt idx="756">
                  <c:v>139.22999999999999</c:v>
                </c:pt>
                <c:pt idx="757">
                  <c:v>138.44999999999999</c:v>
                </c:pt>
                <c:pt idx="758">
                  <c:v>141.22</c:v>
                </c:pt>
                <c:pt idx="759">
                  <c:v>148.31</c:v>
                </c:pt>
                <c:pt idx="760">
                  <c:v>137.11000000000001</c:v>
                </c:pt>
                <c:pt idx="761">
                  <c:v>136.38999999999999</c:v>
                </c:pt>
                <c:pt idx="762">
                  <c:v>136.78</c:v>
                </c:pt>
                <c:pt idx="763">
                  <c:v>136.94</c:v>
                </c:pt>
                <c:pt idx="764">
                  <c:v>136.77000000000001</c:v>
                </c:pt>
                <c:pt idx="765">
                  <c:v>138.1</c:v>
                </c:pt>
                <c:pt idx="766">
                  <c:v>137.02000000000001</c:v>
                </c:pt>
                <c:pt idx="767">
                  <c:v>139.31</c:v>
                </c:pt>
                <c:pt idx="768">
                  <c:v>143.32</c:v>
                </c:pt>
                <c:pt idx="769">
                  <c:v>147.57</c:v>
                </c:pt>
                <c:pt idx="770">
                  <c:v>144.66999999999999</c:v>
                </c:pt>
                <c:pt idx="771">
                  <c:v>146.56</c:v>
                </c:pt>
                <c:pt idx="772">
                  <c:v>148.06</c:v>
                </c:pt>
                <c:pt idx="773">
                  <c:v>149.55000000000001</c:v>
                </c:pt>
                <c:pt idx="774">
                  <c:v>150.66</c:v>
                </c:pt>
                <c:pt idx="775">
                  <c:v>152.6</c:v>
                </c:pt>
                <c:pt idx="776">
                  <c:v>151.26</c:v>
                </c:pt>
                <c:pt idx="777">
                  <c:v>149.93</c:v>
                </c:pt>
                <c:pt idx="778">
                  <c:v>152.66</c:v>
                </c:pt>
                <c:pt idx="779">
                  <c:v>148.82</c:v>
                </c:pt>
                <c:pt idx="780">
                  <c:v>149.34</c:v>
                </c:pt>
                <c:pt idx="781">
                  <c:v>160.93</c:v>
                </c:pt>
                <c:pt idx="782">
                  <c:v>149.97</c:v>
                </c:pt>
                <c:pt idx="783">
                  <c:v>142.11000000000001</c:v>
                </c:pt>
                <c:pt idx="784">
                  <c:v>139.94999999999999</c:v>
                </c:pt>
                <c:pt idx="785">
                  <c:v>141.19999999999999</c:v>
                </c:pt>
                <c:pt idx="786">
                  <c:v>140.16</c:v>
                </c:pt>
                <c:pt idx="787">
                  <c:v>136.66</c:v>
                </c:pt>
                <c:pt idx="788">
                  <c:v>139.91</c:v>
                </c:pt>
                <c:pt idx="789">
                  <c:v>136.04</c:v>
                </c:pt>
                <c:pt idx="790">
                  <c:v>131.79</c:v>
                </c:pt>
                <c:pt idx="791">
                  <c:v>133.38</c:v>
                </c:pt>
                <c:pt idx="792">
                  <c:v>133.78</c:v>
                </c:pt>
                <c:pt idx="793">
                  <c:v>130.34</c:v>
                </c:pt>
                <c:pt idx="794">
                  <c:v>137.51</c:v>
                </c:pt>
                <c:pt idx="795">
                  <c:v>138.54</c:v>
                </c:pt>
                <c:pt idx="796">
                  <c:v>132.19999999999999</c:v>
                </c:pt>
                <c:pt idx="797">
                  <c:v>129.59</c:v>
                </c:pt>
                <c:pt idx="798">
                  <c:v>128.16999999999999</c:v>
                </c:pt>
                <c:pt idx="799">
                  <c:v>132.78</c:v>
                </c:pt>
                <c:pt idx="800">
                  <c:v>131.41</c:v>
                </c:pt>
                <c:pt idx="801">
                  <c:v>130.25</c:v>
                </c:pt>
                <c:pt idx="802">
                  <c:v>133.19</c:v>
                </c:pt>
                <c:pt idx="803">
                  <c:v>136.97</c:v>
                </c:pt>
                <c:pt idx="804">
                  <c:v>137.38999999999999</c:v>
                </c:pt>
                <c:pt idx="805">
                  <c:v>135.56</c:v>
                </c:pt>
                <c:pt idx="806">
                  <c:v>139.19999999999999</c:v>
                </c:pt>
                <c:pt idx="807">
                  <c:v>138.43</c:v>
                </c:pt>
                <c:pt idx="808">
                  <c:v>134.26</c:v>
                </c:pt>
                <c:pt idx="809">
                  <c:v>135.38999999999999</c:v>
                </c:pt>
                <c:pt idx="810">
                  <c:v>130.18</c:v>
                </c:pt>
                <c:pt idx="811">
                  <c:v>131.68</c:v>
                </c:pt>
                <c:pt idx="812">
                  <c:v>129.37</c:v>
                </c:pt>
                <c:pt idx="813">
                  <c:v>131.21</c:v>
                </c:pt>
                <c:pt idx="814">
                  <c:v>130.74</c:v>
                </c:pt>
                <c:pt idx="815">
                  <c:v>131.07</c:v>
                </c:pt>
                <c:pt idx="816">
                  <c:v>130.47</c:v>
                </c:pt>
                <c:pt idx="817">
                  <c:v>131.31</c:v>
                </c:pt>
                <c:pt idx="818">
                  <c:v>129.96</c:v>
                </c:pt>
                <c:pt idx="819">
                  <c:v>130.05000000000001</c:v>
                </c:pt>
                <c:pt idx="820">
                  <c:v>135.1</c:v>
                </c:pt>
                <c:pt idx="821">
                  <c:v>140.65</c:v>
                </c:pt>
                <c:pt idx="822">
                  <c:v>141.08000000000001</c:v>
                </c:pt>
                <c:pt idx="823">
                  <c:v>143.11000000000001</c:v>
                </c:pt>
                <c:pt idx="824">
                  <c:v>147.97</c:v>
                </c:pt>
                <c:pt idx="825">
                  <c:v>146</c:v>
                </c:pt>
                <c:pt idx="826">
                  <c:v>149.96</c:v>
                </c:pt>
                <c:pt idx="827">
                  <c:v>147.81</c:v>
                </c:pt>
                <c:pt idx="828">
                  <c:v>142.99</c:v>
                </c:pt>
                <c:pt idx="829">
                  <c:v>146.13999999999999</c:v>
                </c:pt>
                <c:pt idx="830">
                  <c:v>147.97999999999999</c:v>
                </c:pt>
                <c:pt idx="831">
                  <c:v>140.65</c:v>
                </c:pt>
                <c:pt idx="832">
                  <c:v>136.43</c:v>
                </c:pt>
                <c:pt idx="833">
                  <c:v>135.6</c:v>
                </c:pt>
                <c:pt idx="834">
                  <c:v>135.11000000000001</c:v>
                </c:pt>
                <c:pt idx="835">
                  <c:v>133.02000000000001</c:v>
                </c:pt>
                <c:pt idx="836">
                  <c:v>133.86000000000001</c:v>
                </c:pt>
                <c:pt idx="837">
                  <c:v>132.81</c:v>
                </c:pt>
                <c:pt idx="838">
                  <c:v>133.34</c:v>
                </c:pt>
                <c:pt idx="839">
                  <c:v>132.29</c:v>
                </c:pt>
                <c:pt idx="840">
                  <c:v>130.03</c:v>
                </c:pt>
                <c:pt idx="841">
                  <c:v>130.13999999999999</c:v>
                </c:pt>
                <c:pt idx="842">
                  <c:v>129.62</c:v>
                </c:pt>
                <c:pt idx="843">
                  <c:v>128.99</c:v>
                </c:pt>
                <c:pt idx="844">
                  <c:v>127.91</c:v>
                </c:pt>
                <c:pt idx="845">
                  <c:v>129.9</c:v>
                </c:pt>
                <c:pt idx="846">
                  <c:v>128.54</c:v>
                </c:pt>
                <c:pt idx="847">
                  <c:v>124.52</c:v>
                </c:pt>
                <c:pt idx="848">
                  <c:v>126.12</c:v>
                </c:pt>
                <c:pt idx="849">
                  <c:v>126.63</c:v>
                </c:pt>
                <c:pt idx="850">
                  <c:v>132.49</c:v>
                </c:pt>
                <c:pt idx="851">
                  <c:v>135.41999999999999</c:v>
                </c:pt>
                <c:pt idx="852">
                  <c:v>130.47</c:v>
                </c:pt>
                <c:pt idx="853">
                  <c:v>130.91999999999999</c:v>
                </c:pt>
                <c:pt idx="854">
                  <c:v>130.13999999999999</c:v>
                </c:pt>
                <c:pt idx="855">
                  <c:v>132.97</c:v>
                </c:pt>
                <c:pt idx="856">
                  <c:v>134.87</c:v>
                </c:pt>
                <c:pt idx="857">
                  <c:v>128.69</c:v>
                </c:pt>
                <c:pt idx="858">
                  <c:v>128.13</c:v>
                </c:pt>
                <c:pt idx="859">
                  <c:v>125.96</c:v>
                </c:pt>
                <c:pt idx="860">
                  <c:v>125.2</c:v>
                </c:pt>
                <c:pt idx="861">
                  <c:v>133.94999999999999</c:v>
                </c:pt>
                <c:pt idx="862">
                  <c:v>135.47999999999999</c:v>
                </c:pt>
                <c:pt idx="863">
                  <c:v>137.38999999999999</c:v>
                </c:pt>
                <c:pt idx="864">
                  <c:v>134.93</c:v>
                </c:pt>
                <c:pt idx="865">
                  <c:v>137.53</c:v>
                </c:pt>
                <c:pt idx="866">
                  <c:v>136.63</c:v>
                </c:pt>
                <c:pt idx="867">
                  <c:v>134.76</c:v>
                </c:pt>
                <c:pt idx="868">
                  <c:v>131.57</c:v>
                </c:pt>
                <c:pt idx="869">
                  <c:v>128.86000000000001</c:v>
                </c:pt>
                <c:pt idx="870">
                  <c:v>131.18</c:v>
                </c:pt>
                <c:pt idx="871">
                  <c:v>129.61000000000001</c:v>
                </c:pt>
                <c:pt idx="872">
                  <c:v>134.33000000000001</c:v>
                </c:pt>
                <c:pt idx="873">
                  <c:v>132.46</c:v>
                </c:pt>
                <c:pt idx="874">
                  <c:v>133.44999999999999</c:v>
                </c:pt>
                <c:pt idx="875">
                  <c:v>131.86000000000001</c:v>
                </c:pt>
                <c:pt idx="876">
                  <c:v>132.9</c:v>
                </c:pt>
                <c:pt idx="877">
                  <c:v>127</c:v>
                </c:pt>
                <c:pt idx="878">
                  <c:v>130.35</c:v>
                </c:pt>
                <c:pt idx="879">
                  <c:v>130.74</c:v>
                </c:pt>
                <c:pt idx="880">
                  <c:v>133.11000000000001</c:v>
                </c:pt>
                <c:pt idx="881">
                  <c:v>140.11000000000001</c:v>
                </c:pt>
                <c:pt idx="882">
                  <c:v>137.1</c:v>
                </c:pt>
                <c:pt idx="883">
                  <c:v>138.85</c:v>
                </c:pt>
                <c:pt idx="884">
                  <c:v>139.27000000000001</c:v>
                </c:pt>
                <c:pt idx="885">
                  <c:v>140.04</c:v>
                </c:pt>
                <c:pt idx="886">
                  <c:v>138.91999999999999</c:v>
                </c:pt>
                <c:pt idx="887">
                  <c:v>138.41999999999999</c:v>
                </c:pt>
                <c:pt idx="888">
                  <c:v>139.96</c:v>
                </c:pt>
                <c:pt idx="889">
                  <c:v>135.97</c:v>
                </c:pt>
                <c:pt idx="890">
                  <c:v>138.13</c:v>
                </c:pt>
                <c:pt idx="891">
                  <c:v>137.16</c:v>
                </c:pt>
                <c:pt idx="892">
                  <c:v>136.12</c:v>
                </c:pt>
                <c:pt idx="893">
                  <c:v>134.96</c:v>
                </c:pt>
                <c:pt idx="894">
                  <c:v>132.82</c:v>
                </c:pt>
                <c:pt idx="895">
                  <c:v>135.47</c:v>
                </c:pt>
                <c:pt idx="896">
                  <c:v>135.32</c:v>
                </c:pt>
                <c:pt idx="897">
                  <c:v>134.1</c:v>
                </c:pt>
                <c:pt idx="898">
                  <c:v>133.56</c:v>
                </c:pt>
                <c:pt idx="899">
                  <c:v>132.57</c:v>
                </c:pt>
                <c:pt idx="900">
                  <c:v>131.88999999999999</c:v>
                </c:pt>
                <c:pt idx="901">
                  <c:v>130.58000000000001</c:v>
                </c:pt>
                <c:pt idx="902">
                  <c:v>132.62</c:v>
                </c:pt>
                <c:pt idx="903">
                  <c:v>128.46</c:v>
                </c:pt>
                <c:pt idx="904">
                  <c:v>126.05</c:v>
                </c:pt>
                <c:pt idx="905">
                  <c:v>126.35</c:v>
                </c:pt>
                <c:pt idx="906">
                  <c:v>123.14</c:v>
                </c:pt>
                <c:pt idx="907">
                  <c:v>122.93</c:v>
                </c:pt>
                <c:pt idx="908">
                  <c:v>126.08</c:v>
                </c:pt>
                <c:pt idx="909">
                  <c:v>130.75</c:v>
                </c:pt>
                <c:pt idx="910">
                  <c:v>128.52000000000001</c:v>
                </c:pt>
                <c:pt idx="911">
                  <c:v>127.58</c:v>
                </c:pt>
                <c:pt idx="912">
                  <c:v>127.48</c:v>
                </c:pt>
                <c:pt idx="913">
                  <c:v>126.11</c:v>
                </c:pt>
                <c:pt idx="914">
                  <c:v>125.45</c:v>
                </c:pt>
                <c:pt idx="915">
                  <c:v>128.79</c:v>
                </c:pt>
                <c:pt idx="916">
                  <c:v>127.38</c:v>
                </c:pt>
                <c:pt idx="917">
                  <c:v>125.91</c:v>
                </c:pt>
                <c:pt idx="918">
                  <c:v>126.28</c:v>
                </c:pt>
                <c:pt idx="919">
                  <c:v>128.06</c:v>
                </c:pt>
                <c:pt idx="920">
                  <c:v>132.58000000000001</c:v>
                </c:pt>
                <c:pt idx="921">
                  <c:v>128.53</c:v>
                </c:pt>
                <c:pt idx="922">
                  <c:v>128.43</c:v>
                </c:pt>
                <c:pt idx="923">
                  <c:v>129.11000000000001</c:v>
                </c:pt>
                <c:pt idx="924">
                  <c:v>128.33000000000001</c:v>
                </c:pt>
                <c:pt idx="925">
                  <c:v>125.58</c:v>
                </c:pt>
                <c:pt idx="926">
                  <c:v>127.94</c:v>
                </c:pt>
                <c:pt idx="927">
                  <c:v>125.03</c:v>
                </c:pt>
                <c:pt idx="928">
                  <c:v>126.59</c:v>
                </c:pt>
                <c:pt idx="929">
                  <c:v>130.99</c:v>
                </c:pt>
                <c:pt idx="930">
                  <c:v>132.91</c:v>
                </c:pt>
                <c:pt idx="931">
                  <c:v>130.55000000000001</c:v>
                </c:pt>
                <c:pt idx="932">
                  <c:v>131.29</c:v>
                </c:pt>
                <c:pt idx="933">
                  <c:v>130.08000000000001</c:v>
                </c:pt>
                <c:pt idx="934">
                  <c:v>129.57</c:v>
                </c:pt>
                <c:pt idx="935">
                  <c:v>129.62</c:v>
                </c:pt>
                <c:pt idx="936">
                  <c:v>129.03</c:v>
                </c:pt>
                <c:pt idx="937">
                  <c:v>129.22</c:v>
                </c:pt>
                <c:pt idx="938">
                  <c:v>128.34</c:v>
                </c:pt>
                <c:pt idx="939">
                  <c:v>129.09</c:v>
                </c:pt>
                <c:pt idx="940">
                  <c:v>133.28</c:v>
                </c:pt>
                <c:pt idx="941">
                  <c:v>129.18</c:v>
                </c:pt>
                <c:pt idx="942">
                  <c:v>129.05000000000001</c:v>
                </c:pt>
                <c:pt idx="943">
                  <c:v>131.63</c:v>
                </c:pt>
                <c:pt idx="944">
                  <c:v>129.97999999999999</c:v>
                </c:pt>
                <c:pt idx="945">
                  <c:v>129.91999999999999</c:v>
                </c:pt>
                <c:pt idx="946">
                  <c:v>129.46</c:v>
                </c:pt>
                <c:pt idx="947">
                  <c:v>127.32</c:v>
                </c:pt>
                <c:pt idx="948">
                  <c:v>127.45</c:v>
                </c:pt>
                <c:pt idx="949">
                  <c:v>127.44</c:v>
                </c:pt>
                <c:pt idx="950">
                  <c:v>124.17</c:v>
                </c:pt>
                <c:pt idx="951">
                  <c:v>123.18</c:v>
                </c:pt>
                <c:pt idx="952">
                  <c:v>126.8</c:v>
                </c:pt>
                <c:pt idx="953">
                  <c:v>126.78</c:v>
                </c:pt>
                <c:pt idx="954">
                  <c:v>125.81</c:v>
                </c:pt>
                <c:pt idx="955">
                  <c:v>126.06</c:v>
                </c:pt>
                <c:pt idx="956">
                  <c:v>127.5</c:v>
                </c:pt>
                <c:pt idx="957">
                  <c:v>127.52</c:v>
                </c:pt>
                <c:pt idx="958">
                  <c:v>125.02</c:v>
                </c:pt>
                <c:pt idx="959">
                  <c:v>129.26</c:v>
                </c:pt>
                <c:pt idx="960">
                  <c:v>128.63999999999999</c:v>
                </c:pt>
                <c:pt idx="961">
                  <c:v>130.03</c:v>
                </c:pt>
                <c:pt idx="962">
                  <c:v>130.38</c:v>
                </c:pt>
                <c:pt idx="963">
                  <c:v>131.78</c:v>
                </c:pt>
                <c:pt idx="964">
                  <c:v>128.76</c:v>
                </c:pt>
                <c:pt idx="965">
                  <c:v>129.35</c:v>
                </c:pt>
                <c:pt idx="966">
                  <c:v>129.22999999999999</c:v>
                </c:pt>
                <c:pt idx="967">
                  <c:v>130.71</c:v>
                </c:pt>
                <c:pt idx="968">
                  <c:v>129.58000000000001</c:v>
                </c:pt>
                <c:pt idx="969">
                  <c:v>129.38</c:v>
                </c:pt>
                <c:pt idx="970">
                  <c:v>128.56</c:v>
                </c:pt>
                <c:pt idx="971">
                  <c:v>129.51</c:v>
                </c:pt>
                <c:pt idx="972">
                  <c:v>131.69</c:v>
                </c:pt>
                <c:pt idx="973">
                  <c:v>131.24</c:v>
                </c:pt>
                <c:pt idx="974">
                  <c:v>132.52000000000001</c:v>
                </c:pt>
                <c:pt idx="975">
                  <c:v>132.11000000000001</c:v>
                </c:pt>
                <c:pt idx="976">
                  <c:v>130.66999999999999</c:v>
                </c:pt>
                <c:pt idx="977">
                  <c:v>130.69999999999999</c:v>
                </c:pt>
                <c:pt idx="978">
                  <c:v>131.63</c:v>
                </c:pt>
                <c:pt idx="979">
                  <c:v>132.79</c:v>
                </c:pt>
                <c:pt idx="980">
                  <c:v>132.81</c:v>
                </c:pt>
                <c:pt idx="981">
                  <c:v>138.99</c:v>
                </c:pt>
                <c:pt idx="982">
                  <c:v>131.83000000000001</c:v>
                </c:pt>
                <c:pt idx="983">
                  <c:v>132.96</c:v>
                </c:pt>
                <c:pt idx="984">
                  <c:v>133.91</c:v>
                </c:pt>
                <c:pt idx="985">
                  <c:v>132.11000000000001</c:v>
                </c:pt>
                <c:pt idx="986">
                  <c:v>137.47999999999999</c:v>
                </c:pt>
                <c:pt idx="987">
                  <c:v>136.19999999999999</c:v>
                </c:pt>
                <c:pt idx="988">
                  <c:v>138.02000000000001</c:v>
                </c:pt>
                <c:pt idx="989">
                  <c:v>131.37</c:v>
                </c:pt>
                <c:pt idx="990">
                  <c:v>131.11000000000001</c:v>
                </c:pt>
                <c:pt idx="991">
                  <c:v>130.44999999999999</c:v>
                </c:pt>
                <c:pt idx="992">
                  <c:v>137.30000000000001</c:v>
                </c:pt>
                <c:pt idx="993">
                  <c:v>136</c:v>
                </c:pt>
                <c:pt idx="994">
                  <c:v>129.29</c:v>
                </c:pt>
                <c:pt idx="995">
                  <c:v>129.44</c:v>
                </c:pt>
                <c:pt idx="996">
                  <c:v>125.9</c:v>
                </c:pt>
                <c:pt idx="997">
                  <c:v>123.26</c:v>
                </c:pt>
                <c:pt idx="998">
                  <c:v>118.11</c:v>
                </c:pt>
                <c:pt idx="999">
                  <c:v>116.58</c:v>
                </c:pt>
                <c:pt idx="1000">
                  <c:v>117.66</c:v>
                </c:pt>
                <c:pt idx="1001">
                  <c:v>120.1</c:v>
                </c:pt>
                <c:pt idx="1002">
                  <c:v>119.57</c:v>
                </c:pt>
                <c:pt idx="1003">
                  <c:v>119.16</c:v>
                </c:pt>
                <c:pt idx="1004">
                  <c:v>118.08</c:v>
                </c:pt>
                <c:pt idx="1005">
                  <c:v>119.81</c:v>
                </c:pt>
                <c:pt idx="1006">
                  <c:v>120.29</c:v>
                </c:pt>
                <c:pt idx="1007">
                  <c:v>115.25</c:v>
                </c:pt>
                <c:pt idx="1008">
                  <c:v>121.25</c:v>
                </c:pt>
                <c:pt idx="1009">
                  <c:v>119.23</c:v>
                </c:pt>
                <c:pt idx="1010">
                  <c:v>118.81</c:v>
                </c:pt>
                <c:pt idx="1011">
                  <c:v>120.67</c:v>
                </c:pt>
                <c:pt idx="1012">
                  <c:v>121.96</c:v>
                </c:pt>
                <c:pt idx="1013">
                  <c:v>121.99</c:v>
                </c:pt>
                <c:pt idx="1014">
                  <c:v>118.72</c:v>
                </c:pt>
                <c:pt idx="1015">
                  <c:v>118.6</c:v>
                </c:pt>
                <c:pt idx="1016">
                  <c:v>119.76</c:v>
                </c:pt>
                <c:pt idx="1017">
                  <c:v>121.67</c:v>
                </c:pt>
                <c:pt idx="1018">
                  <c:v>121.72</c:v>
                </c:pt>
                <c:pt idx="1019">
                  <c:v>120.99</c:v>
                </c:pt>
                <c:pt idx="1020">
                  <c:v>117.21</c:v>
                </c:pt>
                <c:pt idx="1021">
                  <c:v>116.79</c:v>
                </c:pt>
                <c:pt idx="1022">
                  <c:v>116.81</c:v>
                </c:pt>
                <c:pt idx="1023">
                  <c:v>118.89</c:v>
                </c:pt>
                <c:pt idx="1024">
                  <c:v>118.51</c:v>
                </c:pt>
                <c:pt idx="1025">
                  <c:v>120.08</c:v>
                </c:pt>
                <c:pt idx="1026">
                  <c:v>122.72</c:v>
                </c:pt>
                <c:pt idx="1027">
                  <c:v>115.13</c:v>
                </c:pt>
                <c:pt idx="1028">
                  <c:v>117.32</c:v>
                </c:pt>
                <c:pt idx="1029">
                  <c:v>117.1</c:v>
                </c:pt>
                <c:pt idx="1030">
                  <c:v>115.12</c:v>
                </c:pt>
                <c:pt idx="1031">
                  <c:v>117.63</c:v>
                </c:pt>
                <c:pt idx="1032">
                  <c:v>112.41</c:v>
                </c:pt>
                <c:pt idx="1033">
                  <c:v>112.36</c:v>
                </c:pt>
                <c:pt idx="1034">
                  <c:v>115.95</c:v>
                </c:pt>
                <c:pt idx="1035">
                  <c:v>111.33</c:v>
                </c:pt>
                <c:pt idx="1036">
                  <c:v>116.42</c:v>
                </c:pt>
                <c:pt idx="1037">
                  <c:v>116.44</c:v>
                </c:pt>
                <c:pt idx="1038">
                  <c:v>119.9</c:v>
                </c:pt>
                <c:pt idx="1039">
                  <c:v>118.35</c:v>
                </c:pt>
                <c:pt idx="1040">
                  <c:v>117.8</c:v>
                </c:pt>
                <c:pt idx="1041">
                  <c:v>119.45</c:v>
                </c:pt>
                <c:pt idx="1042">
                  <c:v>113.68</c:v>
                </c:pt>
                <c:pt idx="1043">
                  <c:v>112.22</c:v>
                </c:pt>
                <c:pt idx="1044">
                  <c:v>105.64</c:v>
                </c:pt>
                <c:pt idx="1045">
                  <c:v>108.25</c:v>
                </c:pt>
                <c:pt idx="1046">
                  <c:v>112.82</c:v>
                </c:pt>
                <c:pt idx="1047">
                  <c:v>107.8</c:v>
                </c:pt>
                <c:pt idx="1048">
                  <c:v>105.34</c:v>
                </c:pt>
                <c:pt idx="1049">
                  <c:v>105.06</c:v>
                </c:pt>
                <c:pt idx="1050">
                  <c:v>104</c:v>
                </c:pt>
                <c:pt idx="1051">
                  <c:v>109.13</c:v>
                </c:pt>
                <c:pt idx="1052">
                  <c:v>110.28</c:v>
                </c:pt>
                <c:pt idx="1053">
                  <c:v>106.35</c:v>
                </c:pt>
                <c:pt idx="1054">
                  <c:v>106.03</c:v>
                </c:pt>
                <c:pt idx="1055">
                  <c:v>108.9</c:v>
                </c:pt>
                <c:pt idx="1056">
                  <c:v>109.98</c:v>
                </c:pt>
                <c:pt idx="1057">
                  <c:v>107.75</c:v>
                </c:pt>
                <c:pt idx="1058">
                  <c:v>107.99</c:v>
                </c:pt>
                <c:pt idx="1059">
                  <c:v>109.83</c:v>
                </c:pt>
                <c:pt idx="1060">
                  <c:v>109.54</c:v>
                </c:pt>
                <c:pt idx="1061">
                  <c:v>112.51</c:v>
                </c:pt>
                <c:pt idx="1062">
                  <c:v>114.6</c:v>
                </c:pt>
                <c:pt idx="1063">
                  <c:v>110.05</c:v>
                </c:pt>
                <c:pt idx="1064">
                  <c:v>109.69</c:v>
                </c:pt>
                <c:pt idx="1065">
                  <c:v>107.56</c:v>
                </c:pt>
                <c:pt idx="1066">
                  <c:v>106.81</c:v>
                </c:pt>
                <c:pt idx="1067">
                  <c:v>103.3</c:v>
                </c:pt>
                <c:pt idx="1068">
                  <c:v>101.57</c:v>
                </c:pt>
                <c:pt idx="1069">
                  <c:v>106.45</c:v>
                </c:pt>
                <c:pt idx="1070">
                  <c:v>103.78</c:v>
                </c:pt>
                <c:pt idx="1071">
                  <c:v>105.34</c:v>
                </c:pt>
                <c:pt idx="1072">
                  <c:v>105.77</c:v>
                </c:pt>
                <c:pt idx="1073">
                  <c:v>107.72</c:v>
                </c:pt>
                <c:pt idx="1074">
                  <c:v>109.05</c:v>
                </c:pt>
                <c:pt idx="1075">
                  <c:v>110.64</c:v>
                </c:pt>
                <c:pt idx="1076">
                  <c:v>115.05</c:v>
                </c:pt>
                <c:pt idx="1077">
                  <c:v>117.47</c:v>
                </c:pt>
                <c:pt idx="1078">
                  <c:v>116.82</c:v>
                </c:pt>
                <c:pt idx="1079">
                  <c:v>118.63</c:v>
                </c:pt>
                <c:pt idx="1080">
                  <c:v>117.02</c:v>
                </c:pt>
                <c:pt idx="1081">
                  <c:v>115.54</c:v>
                </c:pt>
                <c:pt idx="1082">
                  <c:v>118.55</c:v>
                </c:pt>
                <c:pt idx="1083">
                  <c:v>117.63</c:v>
                </c:pt>
                <c:pt idx="1084">
                  <c:v>117.24</c:v>
                </c:pt>
                <c:pt idx="1085">
                  <c:v>111.2</c:v>
                </c:pt>
                <c:pt idx="1086">
                  <c:v>109.54</c:v>
                </c:pt>
                <c:pt idx="1087">
                  <c:v>111.41</c:v>
                </c:pt>
                <c:pt idx="1088">
                  <c:v>109.93</c:v>
                </c:pt>
                <c:pt idx="1089">
                  <c:v>110.99</c:v>
                </c:pt>
                <c:pt idx="1090">
                  <c:v>113.82</c:v>
                </c:pt>
                <c:pt idx="1091">
                  <c:v>108.23</c:v>
                </c:pt>
                <c:pt idx="1092">
                  <c:v>108.28</c:v>
                </c:pt>
                <c:pt idx="1093">
                  <c:v>110.32</c:v>
                </c:pt>
                <c:pt idx="1094">
                  <c:v>104.34</c:v>
                </c:pt>
                <c:pt idx="1095">
                  <c:v>107.59</c:v>
                </c:pt>
                <c:pt idx="1096">
                  <c:v>108.38</c:v>
                </c:pt>
                <c:pt idx="1097">
                  <c:v>114.94</c:v>
                </c:pt>
                <c:pt idx="1098">
                  <c:v>109.67</c:v>
                </c:pt>
                <c:pt idx="1099">
                  <c:v>108.22</c:v>
                </c:pt>
                <c:pt idx="1100">
                  <c:v>110.78</c:v>
                </c:pt>
                <c:pt idx="1101">
                  <c:v>110.88</c:v>
                </c:pt>
                <c:pt idx="1102">
                  <c:v>112.74</c:v>
                </c:pt>
                <c:pt idx="1103">
                  <c:v>107.78</c:v>
                </c:pt>
                <c:pt idx="1104">
                  <c:v>106.41</c:v>
                </c:pt>
                <c:pt idx="1105">
                  <c:v>105.76</c:v>
                </c:pt>
                <c:pt idx="1106">
                  <c:v>109.05</c:v>
                </c:pt>
                <c:pt idx="1107">
                  <c:v>110.7</c:v>
                </c:pt>
                <c:pt idx="1108">
                  <c:v>109.56</c:v>
                </c:pt>
                <c:pt idx="1109">
                  <c:v>106.94</c:v>
                </c:pt>
                <c:pt idx="1110">
                  <c:v>101.19</c:v>
                </c:pt>
                <c:pt idx="1111">
                  <c:v>105.05</c:v>
                </c:pt>
                <c:pt idx="1112">
                  <c:v>108.38</c:v>
                </c:pt>
                <c:pt idx="1113">
                  <c:v>108.76</c:v>
                </c:pt>
                <c:pt idx="1114">
                  <c:v>115.11</c:v>
                </c:pt>
                <c:pt idx="1115">
                  <c:v>114.18</c:v>
                </c:pt>
                <c:pt idx="1116">
                  <c:v>109.87</c:v>
                </c:pt>
                <c:pt idx="1117">
                  <c:v>108.66</c:v>
                </c:pt>
                <c:pt idx="1118">
                  <c:v>107.77</c:v>
                </c:pt>
                <c:pt idx="1119">
                  <c:v>105.9</c:v>
                </c:pt>
                <c:pt idx="1120">
                  <c:v>101.41</c:v>
                </c:pt>
                <c:pt idx="1121">
                  <c:v>101.83</c:v>
                </c:pt>
                <c:pt idx="1122">
                  <c:v>108.51</c:v>
                </c:pt>
                <c:pt idx="1123">
                  <c:v>105.89</c:v>
                </c:pt>
                <c:pt idx="1124">
                  <c:v>102.97</c:v>
                </c:pt>
                <c:pt idx="1125">
                  <c:v>97.24</c:v>
                </c:pt>
                <c:pt idx="1126">
                  <c:v>95.43</c:v>
                </c:pt>
                <c:pt idx="1127">
                  <c:v>92.87</c:v>
                </c:pt>
                <c:pt idx="1128">
                  <c:v>92.76</c:v>
                </c:pt>
                <c:pt idx="1129">
                  <c:v>94.5</c:v>
                </c:pt>
                <c:pt idx="1130">
                  <c:v>89.34</c:v>
                </c:pt>
                <c:pt idx="1131">
                  <c:v>89.76</c:v>
                </c:pt>
                <c:pt idx="1132">
                  <c:v>92.26</c:v>
                </c:pt>
                <c:pt idx="1133">
                  <c:v>93.69</c:v>
                </c:pt>
                <c:pt idx="1134">
                  <c:v>93.28</c:v>
                </c:pt>
                <c:pt idx="1135">
                  <c:v>92.9</c:v>
                </c:pt>
                <c:pt idx="1136">
                  <c:v>92.34</c:v>
                </c:pt>
                <c:pt idx="1137">
                  <c:v>89.76</c:v>
                </c:pt>
                <c:pt idx="1138">
                  <c:v>89.94</c:v>
                </c:pt>
                <c:pt idx="1139">
                  <c:v>89.45</c:v>
                </c:pt>
                <c:pt idx="1140">
                  <c:v>88.8</c:v>
                </c:pt>
                <c:pt idx="1141">
                  <c:v>86.93</c:v>
                </c:pt>
                <c:pt idx="1142">
                  <c:v>86.28</c:v>
                </c:pt>
                <c:pt idx="1143">
                  <c:v>87.05</c:v>
                </c:pt>
                <c:pt idx="1144">
                  <c:v>85.85</c:v>
                </c:pt>
                <c:pt idx="1145">
                  <c:v>84.2</c:v>
                </c:pt>
                <c:pt idx="1146">
                  <c:v>80.010000000000005</c:v>
                </c:pt>
                <c:pt idx="1147">
                  <c:v>78.13</c:v>
                </c:pt>
                <c:pt idx="1148">
                  <c:v>75.989999999999995</c:v>
                </c:pt>
                <c:pt idx="1149">
                  <c:v>76.41</c:v>
                </c:pt>
                <c:pt idx="1150">
                  <c:v>75.78</c:v>
                </c:pt>
                <c:pt idx="1151">
                  <c:v>76.62</c:v>
                </c:pt>
                <c:pt idx="1152">
                  <c:v>75.77</c:v>
                </c:pt>
                <c:pt idx="1153">
                  <c:v>76.989999999999995</c:v>
                </c:pt>
                <c:pt idx="1154">
                  <c:v>74.28</c:v>
                </c:pt>
                <c:pt idx="1155">
                  <c:v>74.36</c:v>
                </c:pt>
                <c:pt idx="1156">
                  <c:v>73.34</c:v>
                </c:pt>
                <c:pt idx="1157">
                  <c:v>74.52</c:v>
                </c:pt>
                <c:pt idx="1158">
                  <c:v>74.39</c:v>
                </c:pt>
                <c:pt idx="1159">
                  <c:v>77.44</c:v>
                </c:pt>
                <c:pt idx="1160">
                  <c:v>74.87</c:v>
                </c:pt>
                <c:pt idx="1161">
                  <c:v>77.72</c:v>
                </c:pt>
                <c:pt idx="1162">
                  <c:v>77.56</c:v>
                </c:pt>
                <c:pt idx="1163">
                  <c:v>75.23</c:v>
                </c:pt>
                <c:pt idx="1164">
                  <c:v>75.06</c:v>
                </c:pt>
                <c:pt idx="1165">
                  <c:v>74.150000000000006</c:v>
                </c:pt>
                <c:pt idx="1166">
                  <c:v>74.06</c:v>
                </c:pt>
                <c:pt idx="1167">
                  <c:v>75.19</c:v>
                </c:pt>
                <c:pt idx="1168">
                  <c:v>74.72</c:v>
                </c:pt>
                <c:pt idx="1169">
                  <c:v>73.91</c:v>
                </c:pt>
                <c:pt idx="1170">
                  <c:v>74.78</c:v>
                </c:pt>
                <c:pt idx="1171">
                  <c:v>77</c:v>
                </c:pt>
                <c:pt idx="1172">
                  <c:v>75.67</c:v>
                </c:pt>
                <c:pt idx="1173">
                  <c:v>78.31</c:v>
                </c:pt>
                <c:pt idx="1174">
                  <c:v>78.37</c:v>
                </c:pt>
                <c:pt idx="1175">
                  <c:v>78.09</c:v>
                </c:pt>
                <c:pt idx="1176">
                  <c:v>78.97</c:v>
                </c:pt>
                <c:pt idx="1177">
                  <c:v>78.239999999999995</c:v>
                </c:pt>
                <c:pt idx="1178">
                  <c:v>80.59</c:v>
                </c:pt>
                <c:pt idx="1179">
                  <c:v>83.65</c:v>
                </c:pt>
                <c:pt idx="1180">
                  <c:v>83.96</c:v>
                </c:pt>
                <c:pt idx="1181">
                  <c:v>84.32</c:v>
                </c:pt>
                <c:pt idx="1182">
                  <c:v>82.79</c:v>
                </c:pt>
                <c:pt idx="1183">
                  <c:v>82.15</c:v>
                </c:pt>
                <c:pt idx="1184">
                  <c:v>81.92</c:v>
                </c:pt>
                <c:pt idx="1185">
                  <c:v>82.37</c:v>
                </c:pt>
                <c:pt idx="1186">
                  <c:v>80.52</c:v>
                </c:pt>
                <c:pt idx="1187">
                  <c:v>78.47</c:v>
                </c:pt>
                <c:pt idx="1188">
                  <c:v>79.22</c:v>
                </c:pt>
                <c:pt idx="1189">
                  <c:v>78.11</c:v>
                </c:pt>
                <c:pt idx="1190">
                  <c:v>78.27</c:v>
                </c:pt>
                <c:pt idx="1191">
                  <c:v>77.56</c:v>
                </c:pt>
                <c:pt idx="1192">
                  <c:v>80.260000000000005</c:v>
                </c:pt>
                <c:pt idx="1193">
                  <c:v>79.900000000000006</c:v>
                </c:pt>
                <c:pt idx="1194">
                  <c:v>82.25</c:v>
                </c:pt>
                <c:pt idx="1195">
                  <c:v>84.24</c:v>
                </c:pt>
                <c:pt idx="1196">
                  <c:v>82.9</c:v>
                </c:pt>
                <c:pt idx="1197">
                  <c:v>79.27</c:v>
                </c:pt>
                <c:pt idx="1198">
                  <c:v>79.78</c:v>
                </c:pt>
                <c:pt idx="1199">
                  <c:v>77.930000000000007</c:v>
                </c:pt>
                <c:pt idx="1200">
                  <c:v>79.08</c:v>
                </c:pt>
                <c:pt idx="1201">
                  <c:v>76.53</c:v>
                </c:pt>
                <c:pt idx="1202">
                  <c:v>75.27</c:v>
                </c:pt>
                <c:pt idx="1203">
                  <c:v>75.64</c:v>
                </c:pt>
                <c:pt idx="1204">
                  <c:v>78.3</c:v>
                </c:pt>
                <c:pt idx="1205">
                  <c:v>79.92</c:v>
                </c:pt>
                <c:pt idx="1206">
                  <c:v>79.78</c:v>
                </c:pt>
                <c:pt idx="1207">
                  <c:v>80.099999999999994</c:v>
                </c:pt>
                <c:pt idx="1208">
                  <c:v>79.39</c:v>
                </c:pt>
                <c:pt idx="1209">
                  <c:v>81.27</c:v>
                </c:pt>
                <c:pt idx="1210">
                  <c:v>81.760000000000005</c:v>
                </c:pt>
                <c:pt idx="1211">
                  <c:v>82.1</c:v>
                </c:pt>
                <c:pt idx="1212">
                  <c:v>81.48</c:v>
                </c:pt>
                <c:pt idx="1213">
                  <c:v>80.900000000000006</c:v>
                </c:pt>
                <c:pt idx="1214">
                  <c:v>80.66</c:v>
                </c:pt>
                <c:pt idx="1215">
                  <c:v>79.87</c:v>
                </c:pt>
                <c:pt idx="1216">
                  <c:v>79.72</c:v>
                </c:pt>
                <c:pt idx="1217">
                  <c:v>78.39</c:v>
                </c:pt>
                <c:pt idx="1218">
                  <c:v>79.099999999999994</c:v>
                </c:pt>
                <c:pt idx="1219">
                  <c:v>81.34</c:v>
                </c:pt>
                <c:pt idx="1220">
                  <c:v>81.94</c:v>
                </c:pt>
                <c:pt idx="1221">
                  <c:v>82.31</c:v>
                </c:pt>
                <c:pt idx="1222">
                  <c:v>82.54</c:v>
                </c:pt>
                <c:pt idx="1223">
                  <c:v>85.89</c:v>
                </c:pt>
                <c:pt idx="1224">
                  <c:v>81.400000000000006</c:v>
                </c:pt>
                <c:pt idx="1225">
                  <c:v>83.47</c:v>
                </c:pt>
                <c:pt idx="1226">
                  <c:v>79.53</c:v>
                </c:pt>
                <c:pt idx="1227">
                  <c:v>77.900000000000006</c:v>
                </c:pt>
                <c:pt idx="1228">
                  <c:v>78.31</c:v>
                </c:pt>
                <c:pt idx="1229">
                  <c:v>74.680000000000007</c:v>
                </c:pt>
                <c:pt idx="1230">
                  <c:v>81.63</c:v>
                </c:pt>
                <c:pt idx="1231">
                  <c:v>84.86</c:v>
                </c:pt>
                <c:pt idx="1232">
                  <c:v>85.07</c:v>
                </c:pt>
                <c:pt idx="1233">
                  <c:v>80.44</c:v>
                </c:pt>
                <c:pt idx="1234">
                  <c:v>78.209999999999994</c:v>
                </c:pt>
                <c:pt idx="1235">
                  <c:v>77.48</c:v>
                </c:pt>
                <c:pt idx="1236">
                  <c:v>72.11</c:v>
                </c:pt>
                <c:pt idx="1237">
                  <c:v>69.739999999999995</c:v>
                </c:pt>
                <c:pt idx="1238">
                  <c:v>67.25</c:v>
                </c:pt>
                <c:pt idx="1239">
                  <c:v>70.02</c:v>
                </c:pt>
                <c:pt idx="1240">
                  <c:v>71.05</c:v>
                </c:pt>
                <c:pt idx="1241">
                  <c:v>68.349999999999994</c:v>
                </c:pt>
                <c:pt idx="1242">
                  <c:v>66.540000000000006</c:v>
                </c:pt>
                <c:pt idx="1243">
                  <c:v>67.64</c:v>
                </c:pt>
                <c:pt idx="1244">
                  <c:v>66.099999999999994</c:v>
                </c:pt>
                <c:pt idx="1245">
                  <c:v>66.349999999999994</c:v>
                </c:pt>
                <c:pt idx="1246">
                  <c:v>67.06</c:v>
                </c:pt>
                <c:pt idx="1247">
                  <c:v>69.03</c:v>
                </c:pt>
                <c:pt idx="1248">
                  <c:v>67.48</c:v>
                </c:pt>
                <c:pt idx="1249">
                  <c:v>70.08</c:v>
                </c:pt>
                <c:pt idx="1250">
                  <c:v>69.459999999999994</c:v>
                </c:pt>
                <c:pt idx="1251">
                  <c:v>72.849999999999994</c:v>
                </c:pt>
                <c:pt idx="1252">
                  <c:v>76.260000000000005</c:v>
                </c:pt>
                <c:pt idx="1253">
                  <c:v>75.64</c:v>
                </c:pt>
                <c:pt idx="1254">
                  <c:v>70.349999999999994</c:v>
                </c:pt>
                <c:pt idx="1255">
                  <c:v>68.64</c:v>
                </c:pt>
                <c:pt idx="1256">
                  <c:v>68.56</c:v>
                </c:pt>
                <c:pt idx="1257">
                  <c:v>67.72</c:v>
                </c:pt>
                <c:pt idx="1258">
                  <c:v>65.91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0-492D-BF1E-F921CF3E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808767"/>
        <c:axId val="237807807"/>
      </c:lineChart>
      <c:catAx>
        <c:axId val="2378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7807807"/>
        <c:crosses val="autoZero"/>
        <c:auto val="1"/>
        <c:lblAlgn val="ctr"/>
        <c:lblOffset val="100"/>
        <c:noMultiLvlLbl val="0"/>
      </c:catAx>
      <c:valAx>
        <c:axId val="2378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780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Precios último</a:t>
            </a:r>
            <a:r>
              <a:rPr lang="es-MX" baseline="0"/>
              <a:t> año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GFNORTEO!$B$1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GFNORTEO!$A$1:$A$252</c:f>
              <c:strCache>
                <c:ptCount val="252"/>
                <c:pt idx="0">
                  <c:v>Fecha</c:v>
                </c:pt>
                <c:pt idx="1">
                  <c:v>30.04.2025</c:v>
                </c:pt>
                <c:pt idx="2">
                  <c:v>29.04.2025</c:v>
                </c:pt>
                <c:pt idx="3">
                  <c:v>28.04.2025</c:v>
                </c:pt>
                <c:pt idx="4">
                  <c:v>25.04.2025</c:v>
                </c:pt>
                <c:pt idx="5">
                  <c:v>24.04.2025</c:v>
                </c:pt>
                <c:pt idx="6">
                  <c:v>23.04.2025</c:v>
                </c:pt>
                <c:pt idx="7">
                  <c:v>22.04.2025</c:v>
                </c:pt>
                <c:pt idx="8">
                  <c:v>21.04.2025</c:v>
                </c:pt>
                <c:pt idx="9">
                  <c:v>16.04.2025</c:v>
                </c:pt>
                <c:pt idx="10">
                  <c:v>15.04.2025</c:v>
                </c:pt>
                <c:pt idx="11">
                  <c:v>14.04.2025</c:v>
                </c:pt>
                <c:pt idx="12">
                  <c:v>11.04.2025</c:v>
                </c:pt>
                <c:pt idx="13">
                  <c:v>10.04.2025</c:v>
                </c:pt>
                <c:pt idx="14">
                  <c:v>09.04.2025</c:v>
                </c:pt>
                <c:pt idx="15">
                  <c:v>08.04.2025</c:v>
                </c:pt>
                <c:pt idx="16">
                  <c:v>07.04.2025</c:v>
                </c:pt>
                <c:pt idx="17">
                  <c:v>04.04.2025</c:v>
                </c:pt>
                <c:pt idx="18">
                  <c:v>03.04.2025</c:v>
                </c:pt>
                <c:pt idx="19">
                  <c:v>02.04.2025</c:v>
                </c:pt>
                <c:pt idx="20">
                  <c:v>01.04.2025</c:v>
                </c:pt>
                <c:pt idx="21">
                  <c:v>31.03.2025</c:v>
                </c:pt>
                <c:pt idx="22">
                  <c:v>28.03.2025</c:v>
                </c:pt>
                <c:pt idx="23">
                  <c:v>27.03.2025</c:v>
                </c:pt>
                <c:pt idx="24">
                  <c:v>26.03.2025</c:v>
                </c:pt>
                <c:pt idx="25">
                  <c:v>25.03.2025</c:v>
                </c:pt>
                <c:pt idx="26">
                  <c:v>24.03.2025</c:v>
                </c:pt>
                <c:pt idx="27">
                  <c:v>21.03.2025</c:v>
                </c:pt>
                <c:pt idx="28">
                  <c:v>20.03.2025</c:v>
                </c:pt>
                <c:pt idx="29">
                  <c:v>19.03.2025</c:v>
                </c:pt>
                <c:pt idx="30">
                  <c:v>18.03.2025</c:v>
                </c:pt>
                <c:pt idx="31">
                  <c:v>14.03.2025</c:v>
                </c:pt>
                <c:pt idx="32">
                  <c:v>13.03.2025</c:v>
                </c:pt>
                <c:pt idx="33">
                  <c:v>12.03.2025</c:v>
                </c:pt>
                <c:pt idx="34">
                  <c:v>11.03.2025</c:v>
                </c:pt>
                <c:pt idx="35">
                  <c:v>10.03.2025</c:v>
                </c:pt>
                <c:pt idx="36">
                  <c:v>07.03.2025</c:v>
                </c:pt>
                <c:pt idx="37">
                  <c:v>06.03.2025</c:v>
                </c:pt>
                <c:pt idx="38">
                  <c:v>05.03.2025</c:v>
                </c:pt>
                <c:pt idx="39">
                  <c:v>04.03.2025</c:v>
                </c:pt>
                <c:pt idx="40">
                  <c:v>03.03.2025</c:v>
                </c:pt>
                <c:pt idx="41">
                  <c:v>28.02.2025</c:v>
                </c:pt>
                <c:pt idx="42">
                  <c:v>27.02.2025</c:v>
                </c:pt>
                <c:pt idx="43">
                  <c:v>26.02.2025</c:v>
                </c:pt>
                <c:pt idx="44">
                  <c:v>25.02.2025</c:v>
                </c:pt>
                <c:pt idx="45">
                  <c:v>24.02.2025</c:v>
                </c:pt>
                <c:pt idx="46">
                  <c:v>21.02.2025</c:v>
                </c:pt>
                <c:pt idx="47">
                  <c:v>20.02.2025</c:v>
                </c:pt>
                <c:pt idx="48">
                  <c:v>19.02.2025</c:v>
                </c:pt>
                <c:pt idx="49">
                  <c:v>18.02.2025</c:v>
                </c:pt>
                <c:pt idx="50">
                  <c:v>17.02.2025</c:v>
                </c:pt>
                <c:pt idx="51">
                  <c:v>14.02.2025</c:v>
                </c:pt>
                <c:pt idx="52">
                  <c:v>13.02.2025</c:v>
                </c:pt>
                <c:pt idx="53">
                  <c:v>12.02.2025</c:v>
                </c:pt>
                <c:pt idx="54">
                  <c:v>11.02.2025</c:v>
                </c:pt>
                <c:pt idx="55">
                  <c:v>10.02.2025</c:v>
                </c:pt>
                <c:pt idx="56">
                  <c:v>07.02.2025</c:v>
                </c:pt>
                <c:pt idx="57">
                  <c:v>06.02.2025</c:v>
                </c:pt>
                <c:pt idx="58">
                  <c:v>05.02.2025</c:v>
                </c:pt>
                <c:pt idx="59">
                  <c:v>04.02.2025</c:v>
                </c:pt>
                <c:pt idx="60">
                  <c:v>31.01.2025</c:v>
                </c:pt>
                <c:pt idx="61">
                  <c:v>30.01.2025</c:v>
                </c:pt>
                <c:pt idx="62">
                  <c:v>29.01.2025</c:v>
                </c:pt>
                <c:pt idx="63">
                  <c:v>28.01.2025</c:v>
                </c:pt>
                <c:pt idx="64">
                  <c:v>27.01.2025</c:v>
                </c:pt>
                <c:pt idx="65">
                  <c:v>24.01.2025</c:v>
                </c:pt>
                <c:pt idx="66">
                  <c:v>23.01.2025</c:v>
                </c:pt>
                <c:pt idx="67">
                  <c:v>22.01.2025</c:v>
                </c:pt>
                <c:pt idx="68">
                  <c:v>21.01.2025</c:v>
                </c:pt>
                <c:pt idx="69">
                  <c:v>20.01.2025</c:v>
                </c:pt>
                <c:pt idx="70">
                  <c:v>17.01.2025</c:v>
                </c:pt>
                <c:pt idx="71">
                  <c:v>16.01.2025</c:v>
                </c:pt>
                <c:pt idx="72">
                  <c:v>15.01.2025</c:v>
                </c:pt>
                <c:pt idx="73">
                  <c:v>14.01.2025</c:v>
                </c:pt>
                <c:pt idx="74">
                  <c:v>13.01.2025</c:v>
                </c:pt>
                <c:pt idx="75">
                  <c:v>10.01.2025</c:v>
                </c:pt>
                <c:pt idx="76">
                  <c:v>09.01.2025</c:v>
                </c:pt>
                <c:pt idx="77">
                  <c:v>08.01.2025</c:v>
                </c:pt>
                <c:pt idx="78">
                  <c:v>07.01.2025</c:v>
                </c:pt>
                <c:pt idx="79">
                  <c:v>06.01.2025</c:v>
                </c:pt>
                <c:pt idx="80">
                  <c:v>03.01.2025</c:v>
                </c:pt>
                <c:pt idx="81">
                  <c:v>02.01.2025</c:v>
                </c:pt>
                <c:pt idx="82">
                  <c:v>31.12.2024</c:v>
                </c:pt>
                <c:pt idx="83">
                  <c:v>30.12.2024</c:v>
                </c:pt>
                <c:pt idx="84">
                  <c:v>27.12.2024</c:v>
                </c:pt>
                <c:pt idx="85">
                  <c:v>26.12.2024</c:v>
                </c:pt>
                <c:pt idx="86">
                  <c:v>24.12.2024</c:v>
                </c:pt>
                <c:pt idx="87">
                  <c:v>23.12.2024</c:v>
                </c:pt>
                <c:pt idx="88">
                  <c:v>20.12.2024</c:v>
                </c:pt>
                <c:pt idx="89">
                  <c:v>19.12.2024</c:v>
                </c:pt>
                <c:pt idx="90">
                  <c:v>18.12.2024</c:v>
                </c:pt>
                <c:pt idx="91">
                  <c:v>17.12.2024</c:v>
                </c:pt>
                <c:pt idx="92">
                  <c:v>16.12.2024</c:v>
                </c:pt>
                <c:pt idx="93">
                  <c:v>13.12.2024</c:v>
                </c:pt>
                <c:pt idx="94">
                  <c:v>11.12.2024</c:v>
                </c:pt>
                <c:pt idx="95">
                  <c:v>10.12.2024</c:v>
                </c:pt>
                <c:pt idx="96">
                  <c:v>09.12.2024</c:v>
                </c:pt>
                <c:pt idx="97">
                  <c:v>06.12.2024</c:v>
                </c:pt>
                <c:pt idx="98">
                  <c:v>05.12.2024</c:v>
                </c:pt>
                <c:pt idx="99">
                  <c:v>04.12.2024</c:v>
                </c:pt>
                <c:pt idx="100">
                  <c:v>03.12.2024</c:v>
                </c:pt>
                <c:pt idx="101">
                  <c:v>02.12.2024</c:v>
                </c:pt>
                <c:pt idx="102">
                  <c:v>29.11.2024</c:v>
                </c:pt>
                <c:pt idx="103">
                  <c:v>28.11.2024</c:v>
                </c:pt>
                <c:pt idx="104">
                  <c:v>27.11.2024</c:v>
                </c:pt>
                <c:pt idx="105">
                  <c:v>26.11.2024</c:v>
                </c:pt>
                <c:pt idx="106">
                  <c:v>25.11.2024</c:v>
                </c:pt>
                <c:pt idx="107">
                  <c:v>22.11.2024</c:v>
                </c:pt>
                <c:pt idx="108">
                  <c:v>21.11.2024</c:v>
                </c:pt>
                <c:pt idx="109">
                  <c:v>20.11.2024</c:v>
                </c:pt>
                <c:pt idx="110">
                  <c:v>19.11.2024</c:v>
                </c:pt>
                <c:pt idx="111">
                  <c:v>15.11.2024</c:v>
                </c:pt>
                <c:pt idx="112">
                  <c:v>14.11.2024</c:v>
                </c:pt>
                <c:pt idx="113">
                  <c:v>13.11.2024</c:v>
                </c:pt>
                <c:pt idx="114">
                  <c:v>12.11.2024</c:v>
                </c:pt>
                <c:pt idx="115">
                  <c:v>11.11.2024</c:v>
                </c:pt>
                <c:pt idx="116">
                  <c:v>08.11.2024</c:v>
                </c:pt>
                <c:pt idx="117">
                  <c:v>07.11.2024</c:v>
                </c:pt>
                <c:pt idx="118">
                  <c:v>06.11.2024</c:v>
                </c:pt>
                <c:pt idx="119">
                  <c:v>05.11.2024</c:v>
                </c:pt>
                <c:pt idx="120">
                  <c:v>04.11.2024</c:v>
                </c:pt>
                <c:pt idx="121">
                  <c:v>01.11.2024</c:v>
                </c:pt>
                <c:pt idx="122">
                  <c:v>31.10.2024</c:v>
                </c:pt>
                <c:pt idx="123">
                  <c:v>30.10.2024</c:v>
                </c:pt>
                <c:pt idx="124">
                  <c:v>29.10.2024</c:v>
                </c:pt>
                <c:pt idx="125">
                  <c:v>28.10.2024</c:v>
                </c:pt>
                <c:pt idx="126">
                  <c:v>25.10.2024</c:v>
                </c:pt>
                <c:pt idx="127">
                  <c:v>24.10.2024</c:v>
                </c:pt>
                <c:pt idx="128">
                  <c:v>23.10.2024</c:v>
                </c:pt>
                <c:pt idx="129">
                  <c:v>22.10.2024</c:v>
                </c:pt>
                <c:pt idx="130">
                  <c:v>21.10.2024</c:v>
                </c:pt>
                <c:pt idx="131">
                  <c:v>18.10.2024</c:v>
                </c:pt>
                <c:pt idx="132">
                  <c:v>17.10.2024</c:v>
                </c:pt>
                <c:pt idx="133">
                  <c:v>16.10.2024</c:v>
                </c:pt>
                <c:pt idx="134">
                  <c:v>15.10.2024</c:v>
                </c:pt>
                <c:pt idx="135">
                  <c:v>14.10.2024</c:v>
                </c:pt>
                <c:pt idx="136">
                  <c:v>11.10.2024</c:v>
                </c:pt>
                <c:pt idx="137">
                  <c:v>10.10.2024</c:v>
                </c:pt>
                <c:pt idx="138">
                  <c:v>09.10.2024</c:v>
                </c:pt>
                <c:pt idx="139">
                  <c:v>08.10.2024</c:v>
                </c:pt>
                <c:pt idx="140">
                  <c:v>07.10.2024</c:v>
                </c:pt>
                <c:pt idx="141">
                  <c:v>04.10.2024</c:v>
                </c:pt>
                <c:pt idx="142">
                  <c:v>03.10.2024</c:v>
                </c:pt>
                <c:pt idx="143">
                  <c:v>02.10.2024</c:v>
                </c:pt>
                <c:pt idx="144">
                  <c:v>30.09.2024</c:v>
                </c:pt>
                <c:pt idx="145">
                  <c:v>27.09.2024</c:v>
                </c:pt>
                <c:pt idx="146">
                  <c:v>26.09.2024</c:v>
                </c:pt>
                <c:pt idx="147">
                  <c:v>25.09.2024</c:v>
                </c:pt>
                <c:pt idx="148">
                  <c:v>24.09.2024</c:v>
                </c:pt>
                <c:pt idx="149">
                  <c:v>23.09.2024</c:v>
                </c:pt>
                <c:pt idx="150">
                  <c:v>20.09.2024</c:v>
                </c:pt>
                <c:pt idx="151">
                  <c:v>19.09.2024</c:v>
                </c:pt>
                <c:pt idx="152">
                  <c:v>18.09.2024</c:v>
                </c:pt>
                <c:pt idx="153">
                  <c:v>17.09.2024</c:v>
                </c:pt>
                <c:pt idx="154">
                  <c:v>13.09.2024</c:v>
                </c:pt>
                <c:pt idx="155">
                  <c:v>12.09.2024</c:v>
                </c:pt>
                <c:pt idx="156">
                  <c:v>11.09.2024</c:v>
                </c:pt>
                <c:pt idx="157">
                  <c:v>10.09.2024</c:v>
                </c:pt>
                <c:pt idx="158">
                  <c:v>09.09.2024</c:v>
                </c:pt>
                <c:pt idx="159">
                  <c:v>06.09.2024</c:v>
                </c:pt>
                <c:pt idx="160">
                  <c:v>05.09.2024</c:v>
                </c:pt>
                <c:pt idx="161">
                  <c:v>04.09.2024</c:v>
                </c:pt>
                <c:pt idx="162">
                  <c:v>03.09.2024</c:v>
                </c:pt>
                <c:pt idx="163">
                  <c:v>02.09.2024</c:v>
                </c:pt>
                <c:pt idx="164">
                  <c:v>30.08.2024</c:v>
                </c:pt>
                <c:pt idx="165">
                  <c:v>29.08.2024</c:v>
                </c:pt>
                <c:pt idx="166">
                  <c:v>28.08.2024</c:v>
                </c:pt>
                <c:pt idx="167">
                  <c:v>27.08.2024</c:v>
                </c:pt>
                <c:pt idx="168">
                  <c:v>26.08.2024</c:v>
                </c:pt>
                <c:pt idx="169">
                  <c:v>23.08.2024</c:v>
                </c:pt>
                <c:pt idx="170">
                  <c:v>22.08.2024</c:v>
                </c:pt>
                <c:pt idx="171">
                  <c:v>21.08.2024</c:v>
                </c:pt>
                <c:pt idx="172">
                  <c:v>20.08.2024</c:v>
                </c:pt>
                <c:pt idx="173">
                  <c:v>19.08.2024</c:v>
                </c:pt>
                <c:pt idx="174">
                  <c:v>16.08.2024</c:v>
                </c:pt>
                <c:pt idx="175">
                  <c:v>15.08.2024</c:v>
                </c:pt>
                <c:pt idx="176">
                  <c:v>14.08.2024</c:v>
                </c:pt>
                <c:pt idx="177">
                  <c:v>13.08.2024</c:v>
                </c:pt>
                <c:pt idx="178">
                  <c:v>12.08.2024</c:v>
                </c:pt>
                <c:pt idx="179">
                  <c:v>09.08.2024</c:v>
                </c:pt>
                <c:pt idx="180">
                  <c:v>08.08.2024</c:v>
                </c:pt>
                <c:pt idx="181">
                  <c:v>07.08.2024</c:v>
                </c:pt>
                <c:pt idx="182">
                  <c:v>06.08.2024</c:v>
                </c:pt>
                <c:pt idx="183">
                  <c:v>05.08.2024</c:v>
                </c:pt>
                <c:pt idx="184">
                  <c:v>02.08.2024</c:v>
                </c:pt>
                <c:pt idx="185">
                  <c:v>01.08.2024</c:v>
                </c:pt>
                <c:pt idx="186">
                  <c:v>31.07.2024</c:v>
                </c:pt>
                <c:pt idx="187">
                  <c:v>30.07.2024</c:v>
                </c:pt>
                <c:pt idx="188">
                  <c:v>29.07.2024</c:v>
                </c:pt>
                <c:pt idx="189">
                  <c:v>26.07.2024</c:v>
                </c:pt>
                <c:pt idx="190">
                  <c:v>25.07.2024</c:v>
                </c:pt>
                <c:pt idx="191">
                  <c:v>24.07.2024</c:v>
                </c:pt>
                <c:pt idx="192">
                  <c:v>23.07.2024</c:v>
                </c:pt>
                <c:pt idx="193">
                  <c:v>22.07.2024</c:v>
                </c:pt>
                <c:pt idx="194">
                  <c:v>19.07.2024</c:v>
                </c:pt>
                <c:pt idx="195">
                  <c:v>18.07.2024</c:v>
                </c:pt>
                <c:pt idx="196">
                  <c:v>17.07.2024</c:v>
                </c:pt>
                <c:pt idx="197">
                  <c:v>16.07.2024</c:v>
                </c:pt>
                <c:pt idx="198">
                  <c:v>15.07.2024</c:v>
                </c:pt>
                <c:pt idx="199">
                  <c:v>12.07.2024</c:v>
                </c:pt>
                <c:pt idx="200">
                  <c:v>11.07.2024</c:v>
                </c:pt>
                <c:pt idx="201">
                  <c:v>10.07.2024</c:v>
                </c:pt>
                <c:pt idx="202">
                  <c:v>09.07.2024</c:v>
                </c:pt>
                <c:pt idx="203">
                  <c:v>08.07.2024</c:v>
                </c:pt>
                <c:pt idx="204">
                  <c:v>05.07.2024</c:v>
                </c:pt>
                <c:pt idx="205">
                  <c:v>04.07.2024</c:v>
                </c:pt>
                <c:pt idx="206">
                  <c:v>03.07.2024</c:v>
                </c:pt>
                <c:pt idx="207">
                  <c:v>02.07.2024</c:v>
                </c:pt>
                <c:pt idx="208">
                  <c:v>01.07.2024</c:v>
                </c:pt>
                <c:pt idx="209">
                  <c:v>28.06.2024</c:v>
                </c:pt>
                <c:pt idx="210">
                  <c:v>27.06.2024</c:v>
                </c:pt>
                <c:pt idx="211">
                  <c:v>26.06.2024</c:v>
                </c:pt>
                <c:pt idx="212">
                  <c:v>25.06.2024</c:v>
                </c:pt>
                <c:pt idx="213">
                  <c:v>24.06.2024</c:v>
                </c:pt>
                <c:pt idx="214">
                  <c:v>21.06.2024</c:v>
                </c:pt>
                <c:pt idx="215">
                  <c:v>20.06.2024</c:v>
                </c:pt>
                <c:pt idx="216">
                  <c:v>19.06.2024</c:v>
                </c:pt>
                <c:pt idx="217">
                  <c:v>18.06.2024</c:v>
                </c:pt>
                <c:pt idx="218">
                  <c:v>17.06.2024</c:v>
                </c:pt>
                <c:pt idx="219">
                  <c:v>14.06.2024</c:v>
                </c:pt>
                <c:pt idx="220">
                  <c:v>13.06.2024</c:v>
                </c:pt>
                <c:pt idx="221">
                  <c:v>12.06.2024</c:v>
                </c:pt>
                <c:pt idx="222">
                  <c:v>11.06.2024</c:v>
                </c:pt>
                <c:pt idx="223">
                  <c:v>10.06.2024</c:v>
                </c:pt>
                <c:pt idx="224">
                  <c:v>07.06.2024</c:v>
                </c:pt>
                <c:pt idx="225">
                  <c:v>06.06.2024</c:v>
                </c:pt>
                <c:pt idx="226">
                  <c:v>05.06.2024</c:v>
                </c:pt>
                <c:pt idx="227">
                  <c:v>04.06.2024</c:v>
                </c:pt>
                <c:pt idx="228">
                  <c:v>03.06.2024</c:v>
                </c:pt>
                <c:pt idx="229">
                  <c:v>31.05.2024</c:v>
                </c:pt>
                <c:pt idx="230">
                  <c:v>30.05.2024</c:v>
                </c:pt>
                <c:pt idx="231">
                  <c:v>29.05.2024</c:v>
                </c:pt>
                <c:pt idx="232">
                  <c:v>28.05.2024</c:v>
                </c:pt>
                <c:pt idx="233">
                  <c:v>27.05.2024</c:v>
                </c:pt>
                <c:pt idx="234">
                  <c:v>24.05.2024</c:v>
                </c:pt>
                <c:pt idx="235">
                  <c:v>23.05.2024</c:v>
                </c:pt>
                <c:pt idx="236">
                  <c:v>22.05.2024</c:v>
                </c:pt>
                <c:pt idx="237">
                  <c:v>21.05.2024</c:v>
                </c:pt>
                <c:pt idx="238">
                  <c:v>20.05.2024</c:v>
                </c:pt>
                <c:pt idx="239">
                  <c:v>17.05.2024</c:v>
                </c:pt>
                <c:pt idx="240">
                  <c:v>16.05.2024</c:v>
                </c:pt>
                <c:pt idx="241">
                  <c:v>15.05.2024</c:v>
                </c:pt>
                <c:pt idx="242">
                  <c:v>14.05.2024</c:v>
                </c:pt>
                <c:pt idx="243">
                  <c:v>13.05.2024</c:v>
                </c:pt>
                <c:pt idx="244">
                  <c:v>10.05.2024</c:v>
                </c:pt>
                <c:pt idx="245">
                  <c:v>09.05.2024</c:v>
                </c:pt>
                <c:pt idx="246">
                  <c:v>08.05.2024</c:v>
                </c:pt>
                <c:pt idx="247">
                  <c:v>07.05.2024</c:v>
                </c:pt>
                <c:pt idx="248">
                  <c:v>06.05.2024</c:v>
                </c:pt>
                <c:pt idx="249">
                  <c:v>03.05.2024</c:v>
                </c:pt>
                <c:pt idx="250">
                  <c:v>02.05.2024</c:v>
                </c:pt>
                <c:pt idx="251">
                  <c:v>30.04.2024</c:v>
                </c:pt>
              </c:strCache>
            </c:strRef>
          </c:cat>
          <c:val>
            <c:numRef>
              <c:f>GFNORTEO!$B$2:$B$252</c:f>
              <c:numCache>
                <c:formatCode>General</c:formatCode>
                <c:ptCount val="251"/>
                <c:pt idx="0">
                  <c:v>168.52</c:v>
                </c:pt>
                <c:pt idx="1">
                  <c:v>165.33</c:v>
                </c:pt>
                <c:pt idx="2">
                  <c:v>167.2</c:v>
                </c:pt>
                <c:pt idx="3">
                  <c:v>163.75</c:v>
                </c:pt>
                <c:pt idx="4">
                  <c:v>160.88</c:v>
                </c:pt>
                <c:pt idx="5">
                  <c:v>159.79</c:v>
                </c:pt>
                <c:pt idx="6">
                  <c:v>157.26</c:v>
                </c:pt>
                <c:pt idx="7">
                  <c:v>150.53</c:v>
                </c:pt>
                <c:pt idx="8">
                  <c:v>147.21</c:v>
                </c:pt>
                <c:pt idx="9">
                  <c:v>148.05000000000001</c:v>
                </c:pt>
                <c:pt idx="10">
                  <c:v>144.97999999999999</c:v>
                </c:pt>
                <c:pt idx="11">
                  <c:v>141.62</c:v>
                </c:pt>
                <c:pt idx="12">
                  <c:v>145.19</c:v>
                </c:pt>
                <c:pt idx="13">
                  <c:v>150.41999999999999</c:v>
                </c:pt>
                <c:pt idx="14">
                  <c:v>138.16</c:v>
                </c:pt>
                <c:pt idx="15">
                  <c:v>136</c:v>
                </c:pt>
                <c:pt idx="16">
                  <c:v>143.93</c:v>
                </c:pt>
                <c:pt idx="17">
                  <c:v>154.41</c:v>
                </c:pt>
                <c:pt idx="18">
                  <c:v>145.01</c:v>
                </c:pt>
                <c:pt idx="19">
                  <c:v>144.41999999999999</c:v>
                </c:pt>
                <c:pt idx="20">
                  <c:v>141.93</c:v>
                </c:pt>
                <c:pt idx="21">
                  <c:v>145.91</c:v>
                </c:pt>
                <c:pt idx="22">
                  <c:v>147.31</c:v>
                </c:pt>
                <c:pt idx="23">
                  <c:v>144.31</c:v>
                </c:pt>
                <c:pt idx="24">
                  <c:v>147.76</c:v>
                </c:pt>
                <c:pt idx="25">
                  <c:v>149.37</c:v>
                </c:pt>
                <c:pt idx="26">
                  <c:v>151.01</c:v>
                </c:pt>
                <c:pt idx="27">
                  <c:v>150.32</c:v>
                </c:pt>
                <c:pt idx="28">
                  <c:v>149.44999999999999</c:v>
                </c:pt>
                <c:pt idx="29">
                  <c:v>148.94</c:v>
                </c:pt>
                <c:pt idx="30">
                  <c:v>146.63</c:v>
                </c:pt>
                <c:pt idx="31">
                  <c:v>145.24</c:v>
                </c:pt>
                <c:pt idx="32">
                  <c:v>146.08000000000001</c:v>
                </c:pt>
                <c:pt idx="33">
                  <c:v>143.51</c:v>
                </c:pt>
                <c:pt idx="34">
                  <c:v>142.41</c:v>
                </c:pt>
                <c:pt idx="35">
                  <c:v>148.01</c:v>
                </c:pt>
                <c:pt idx="36">
                  <c:v>146.88</c:v>
                </c:pt>
                <c:pt idx="37">
                  <c:v>147.77000000000001</c:v>
                </c:pt>
                <c:pt idx="38">
                  <c:v>149.88</c:v>
                </c:pt>
                <c:pt idx="39">
                  <c:v>147.11000000000001</c:v>
                </c:pt>
                <c:pt idx="40">
                  <c:v>144.84</c:v>
                </c:pt>
                <c:pt idx="41">
                  <c:v>147.27000000000001</c:v>
                </c:pt>
                <c:pt idx="42">
                  <c:v>151.06</c:v>
                </c:pt>
                <c:pt idx="43">
                  <c:v>147.54</c:v>
                </c:pt>
                <c:pt idx="44">
                  <c:v>151.46</c:v>
                </c:pt>
                <c:pt idx="45">
                  <c:v>152.83000000000001</c:v>
                </c:pt>
                <c:pt idx="46">
                  <c:v>155.1</c:v>
                </c:pt>
                <c:pt idx="47">
                  <c:v>155.69999999999999</c:v>
                </c:pt>
                <c:pt idx="48">
                  <c:v>156.94999999999999</c:v>
                </c:pt>
                <c:pt idx="49">
                  <c:v>152.54</c:v>
                </c:pt>
                <c:pt idx="50">
                  <c:v>151.66999999999999</c:v>
                </c:pt>
                <c:pt idx="51">
                  <c:v>149.66999999999999</c:v>
                </c:pt>
                <c:pt idx="52">
                  <c:v>149.32</c:v>
                </c:pt>
                <c:pt idx="53">
                  <c:v>150.44999999999999</c:v>
                </c:pt>
                <c:pt idx="54">
                  <c:v>147.80000000000001</c:v>
                </c:pt>
                <c:pt idx="55">
                  <c:v>146.81</c:v>
                </c:pt>
                <c:pt idx="56">
                  <c:v>146.47999999999999</c:v>
                </c:pt>
                <c:pt idx="57">
                  <c:v>145.47</c:v>
                </c:pt>
                <c:pt idx="58">
                  <c:v>147.66999999999999</c:v>
                </c:pt>
                <c:pt idx="59">
                  <c:v>143.19999999999999</c:v>
                </c:pt>
                <c:pt idx="60">
                  <c:v>146.71</c:v>
                </c:pt>
                <c:pt idx="61">
                  <c:v>145.88999999999999</c:v>
                </c:pt>
                <c:pt idx="62">
                  <c:v>147.9</c:v>
                </c:pt>
                <c:pt idx="63">
                  <c:v>149.6</c:v>
                </c:pt>
                <c:pt idx="64">
                  <c:v>148.47999999999999</c:v>
                </c:pt>
                <c:pt idx="65">
                  <c:v>148.72999999999999</c:v>
                </c:pt>
                <c:pt idx="66">
                  <c:v>145.94999999999999</c:v>
                </c:pt>
                <c:pt idx="67">
                  <c:v>144.21</c:v>
                </c:pt>
                <c:pt idx="68">
                  <c:v>146.07</c:v>
                </c:pt>
                <c:pt idx="69">
                  <c:v>143.9</c:v>
                </c:pt>
                <c:pt idx="70">
                  <c:v>143.59</c:v>
                </c:pt>
                <c:pt idx="71">
                  <c:v>146.57</c:v>
                </c:pt>
                <c:pt idx="72">
                  <c:v>143.74</c:v>
                </c:pt>
                <c:pt idx="73">
                  <c:v>141.81</c:v>
                </c:pt>
                <c:pt idx="74">
                  <c:v>139.66</c:v>
                </c:pt>
                <c:pt idx="75">
                  <c:v>140.35</c:v>
                </c:pt>
                <c:pt idx="76">
                  <c:v>140.13</c:v>
                </c:pt>
                <c:pt idx="77">
                  <c:v>141.16</c:v>
                </c:pt>
                <c:pt idx="78">
                  <c:v>142.94</c:v>
                </c:pt>
                <c:pt idx="79">
                  <c:v>137.30000000000001</c:v>
                </c:pt>
                <c:pt idx="80">
                  <c:v>136.93</c:v>
                </c:pt>
                <c:pt idx="81">
                  <c:v>133.97</c:v>
                </c:pt>
                <c:pt idx="82">
                  <c:v>133.44999999999999</c:v>
                </c:pt>
                <c:pt idx="83">
                  <c:v>134.69</c:v>
                </c:pt>
                <c:pt idx="84">
                  <c:v>136.85</c:v>
                </c:pt>
                <c:pt idx="85">
                  <c:v>135.68</c:v>
                </c:pt>
                <c:pt idx="86">
                  <c:v>137.81</c:v>
                </c:pt>
                <c:pt idx="87">
                  <c:v>137.29</c:v>
                </c:pt>
                <c:pt idx="88">
                  <c:v>132</c:v>
                </c:pt>
                <c:pt idx="89">
                  <c:v>135.41</c:v>
                </c:pt>
                <c:pt idx="90">
                  <c:v>135.13</c:v>
                </c:pt>
                <c:pt idx="91">
                  <c:v>141.13</c:v>
                </c:pt>
                <c:pt idx="92">
                  <c:v>143.30000000000001</c:v>
                </c:pt>
                <c:pt idx="93">
                  <c:v>139.91999999999999</c:v>
                </c:pt>
                <c:pt idx="94">
                  <c:v>139.05000000000001</c:v>
                </c:pt>
                <c:pt idx="95">
                  <c:v>142.53</c:v>
                </c:pt>
                <c:pt idx="96">
                  <c:v>142.25</c:v>
                </c:pt>
                <c:pt idx="97">
                  <c:v>140.35</c:v>
                </c:pt>
                <c:pt idx="98">
                  <c:v>142.5</c:v>
                </c:pt>
                <c:pt idx="99">
                  <c:v>141.78</c:v>
                </c:pt>
                <c:pt idx="100">
                  <c:v>137.25</c:v>
                </c:pt>
                <c:pt idx="101">
                  <c:v>135.33000000000001</c:v>
                </c:pt>
                <c:pt idx="102">
                  <c:v>135.75</c:v>
                </c:pt>
                <c:pt idx="103">
                  <c:v>133.56</c:v>
                </c:pt>
                <c:pt idx="104">
                  <c:v>134.05000000000001</c:v>
                </c:pt>
                <c:pt idx="105">
                  <c:v>138.63</c:v>
                </c:pt>
                <c:pt idx="106">
                  <c:v>140.43</c:v>
                </c:pt>
                <c:pt idx="107">
                  <c:v>143.15</c:v>
                </c:pt>
                <c:pt idx="108">
                  <c:v>142.06</c:v>
                </c:pt>
                <c:pt idx="109">
                  <c:v>141.41</c:v>
                </c:pt>
                <c:pt idx="110">
                  <c:v>140.22999999999999</c:v>
                </c:pt>
                <c:pt idx="111">
                  <c:v>143.78</c:v>
                </c:pt>
                <c:pt idx="112">
                  <c:v>144</c:v>
                </c:pt>
                <c:pt idx="113">
                  <c:v>145.93</c:v>
                </c:pt>
                <c:pt idx="114">
                  <c:v>145.33000000000001</c:v>
                </c:pt>
                <c:pt idx="115">
                  <c:v>146.33000000000001</c:v>
                </c:pt>
                <c:pt idx="116">
                  <c:v>149.43</c:v>
                </c:pt>
                <c:pt idx="117">
                  <c:v>149.16</c:v>
                </c:pt>
                <c:pt idx="118">
                  <c:v>142.55000000000001</c:v>
                </c:pt>
                <c:pt idx="119">
                  <c:v>143.22</c:v>
                </c:pt>
                <c:pt idx="120">
                  <c:v>141.78</c:v>
                </c:pt>
                <c:pt idx="121">
                  <c:v>139.33000000000001</c:v>
                </c:pt>
                <c:pt idx="122">
                  <c:v>137.94999999999999</c:v>
                </c:pt>
                <c:pt idx="123">
                  <c:v>139.09</c:v>
                </c:pt>
                <c:pt idx="124">
                  <c:v>140.99</c:v>
                </c:pt>
                <c:pt idx="125">
                  <c:v>140.62</c:v>
                </c:pt>
                <c:pt idx="126">
                  <c:v>142.1</c:v>
                </c:pt>
                <c:pt idx="127">
                  <c:v>144.44</c:v>
                </c:pt>
                <c:pt idx="128">
                  <c:v>142.08000000000001</c:v>
                </c:pt>
                <c:pt idx="129">
                  <c:v>144.28</c:v>
                </c:pt>
                <c:pt idx="130">
                  <c:v>146.28</c:v>
                </c:pt>
                <c:pt idx="131">
                  <c:v>144.81</c:v>
                </c:pt>
                <c:pt idx="132">
                  <c:v>144.83000000000001</c:v>
                </c:pt>
                <c:pt idx="133">
                  <c:v>149</c:v>
                </c:pt>
                <c:pt idx="134">
                  <c:v>145.59</c:v>
                </c:pt>
                <c:pt idx="135">
                  <c:v>149.52000000000001</c:v>
                </c:pt>
                <c:pt idx="136">
                  <c:v>150.66</c:v>
                </c:pt>
                <c:pt idx="137">
                  <c:v>150.54</c:v>
                </c:pt>
                <c:pt idx="138">
                  <c:v>150.71</c:v>
                </c:pt>
                <c:pt idx="139">
                  <c:v>152.63</c:v>
                </c:pt>
                <c:pt idx="140">
                  <c:v>156.28</c:v>
                </c:pt>
                <c:pt idx="141">
                  <c:v>149.91</c:v>
                </c:pt>
                <c:pt idx="142">
                  <c:v>149.85</c:v>
                </c:pt>
                <c:pt idx="143">
                  <c:v>139.5</c:v>
                </c:pt>
                <c:pt idx="144">
                  <c:v>140.61000000000001</c:v>
                </c:pt>
                <c:pt idx="145">
                  <c:v>144.6</c:v>
                </c:pt>
                <c:pt idx="146">
                  <c:v>143.51</c:v>
                </c:pt>
                <c:pt idx="147">
                  <c:v>144.22</c:v>
                </c:pt>
                <c:pt idx="148">
                  <c:v>137.76</c:v>
                </c:pt>
                <c:pt idx="149">
                  <c:v>136.6</c:v>
                </c:pt>
                <c:pt idx="150">
                  <c:v>139.56</c:v>
                </c:pt>
                <c:pt idx="151">
                  <c:v>140.81</c:v>
                </c:pt>
                <c:pt idx="152">
                  <c:v>140.74</c:v>
                </c:pt>
                <c:pt idx="153">
                  <c:v>142.08000000000001</c:v>
                </c:pt>
                <c:pt idx="154">
                  <c:v>138.93</c:v>
                </c:pt>
                <c:pt idx="155">
                  <c:v>134.08000000000001</c:v>
                </c:pt>
                <c:pt idx="156">
                  <c:v>134.08000000000001</c:v>
                </c:pt>
                <c:pt idx="157">
                  <c:v>135.02000000000001</c:v>
                </c:pt>
                <c:pt idx="158">
                  <c:v>136.69</c:v>
                </c:pt>
                <c:pt idx="159">
                  <c:v>139.05000000000001</c:v>
                </c:pt>
                <c:pt idx="160">
                  <c:v>139.57</c:v>
                </c:pt>
                <c:pt idx="161">
                  <c:v>138.22</c:v>
                </c:pt>
                <c:pt idx="162">
                  <c:v>138.08000000000001</c:v>
                </c:pt>
                <c:pt idx="163">
                  <c:v>136.21</c:v>
                </c:pt>
                <c:pt idx="164">
                  <c:v>136.28</c:v>
                </c:pt>
                <c:pt idx="165">
                  <c:v>132.53</c:v>
                </c:pt>
                <c:pt idx="166">
                  <c:v>132.19</c:v>
                </c:pt>
                <c:pt idx="167">
                  <c:v>134.16999999999999</c:v>
                </c:pt>
                <c:pt idx="168">
                  <c:v>136.71</c:v>
                </c:pt>
                <c:pt idx="169">
                  <c:v>135.93</c:v>
                </c:pt>
                <c:pt idx="170">
                  <c:v>141.68</c:v>
                </c:pt>
                <c:pt idx="171">
                  <c:v>143.58000000000001</c:v>
                </c:pt>
                <c:pt idx="172">
                  <c:v>141.77000000000001</c:v>
                </c:pt>
                <c:pt idx="173">
                  <c:v>143.6</c:v>
                </c:pt>
                <c:pt idx="174">
                  <c:v>143.59</c:v>
                </c:pt>
                <c:pt idx="175">
                  <c:v>141.5</c:v>
                </c:pt>
                <c:pt idx="176">
                  <c:v>139.97999999999999</c:v>
                </c:pt>
                <c:pt idx="177">
                  <c:v>137.81</c:v>
                </c:pt>
                <c:pt idx="178">
                  <c:v>137.01</c:v>
                </c:pt>
                <c:pt idx="179">
                  <c:v>135.35</c:v>
                </c:pt>
                <c:pt idx="180">
                  <c:v>137.31</c:v>
                </c:pt>
                <c:pt idx="181">
                  <c:v>134.06</c:v>
                </c:pt>
                <c:pt idx="182">
                  <c:v>132.91</c:v>
                </c:pt>
                <c:pt idx="183">
                  <c:v>135.91</c:v>
                </c:pt>
                <c:pt idx="184">
                  <c:v>139.49</c:v>
                </c:pt>
                <c:pt idx="185">
                  <c:v>139.61000000000001</c:v>
                </c:pt>
                <c:pt idx="186">
                  <c:v>140.1</c:v>
                </c:pt>
                <c:pt idx="187">
                  <c:v>139.86000000000001</c:v>
                </c:pt>
                <c:pt idx="188">
                  <c:v>142.33000000000001</c:v>
                </c:pt>
                <c:pt idx="189">
                  <c:v>143.30000000000001</c:v>
                </c:pt>
                <c:pt idx="190">
                  <c:v>144.85</c:v>
                </c:pt>
                <c:pt idx="191">
                  <c:v>149.21</c:v>
                </c:pt>
                <c:pt idx="192">
                  <c:v>150.49</c:v>
                </c:pt>
                <c:pt idx="193">
                  <c:v>149.81</c:v>
                </c:pt>
                <c:pt idx="194">
                  <c:v>147.36000000000001</c:v>
                </c:pt>
                <c:pt idx="195">
                  <c:v>147.24</c:v>
                </c:pt>
                <c:pt idx="196">
                  <c:v>148.46</c:v>
                </c:pt>
                <c:pt idx="197">
                  <c:v>147.87</c:v>
                </c:pt>
                <c:pt idx="198">
                  <c:v>149.52000000000001</c:v>
                </c:pt>
                <c:pt idx="199">
                  <c:v>149.06</c:v>
                </c:pt>
                <c:pt idx="200">
                  <c:v>149.79</c:v>
                </c:pt>
                <c:pt idx="201">
                  <c:v>147.02000000000001</c:v>
                </c:pt>
                <c:pt idx="202">
                  <c:v>147.35</c:v>
                </c:pt>
                <c:pt idx="203">
                  <c:v>148.22</c:v>
                </c:pt>
                <c:pt idx="204">
                  <c:v>147.56</c:v>
                </c:pt>
                <c:pt idx="205">
                  <c:v>147.31</c:v>
                </c:pt>
                <c:pt idx="206">
                  <c:v>146.41999999999999</c:v>
                </c:pt>
                <c:pt idx="207">
                  <c:v>146.51</c:v>
                </c:pt>
                <c:pt idx="208">
                  <c:v>142.56</c:v>
                </c:pt>
                <c:pt idx="209">
                  <c:v>142.78</c:v>
                </c:pt>
                <c:pt idx="210">
                  <c:v>149.28</c:v>
                </c:pt>
                <c:pt idx="211">
                  <c:v>152.16</c:v>
                </c:pt>
                <c:pt idx="212">
                  <c:v>150.04</c:v>
                </c:pt>
                <c:pt idx="213">
                  <c:v>151.81</c:v>
                </c:pt>
                <c:pt idx="214">
                  <c:v>146.91999999999999</c:v>
                </c:pt>
                <c:pt idx="215">
                  <c:v>146.59</c:v>
                </c:pt>
                <c:pt idx="216">
                  <c:v>144.61000000000001</c:v>
                </c:pt>
                <c:pt idx="217">
                  <c:v>140.09</c:v>
                </c:pt>
                <c:pt idx="218">
                  <c:v>137.43</c:v>
                </c:pt>
                <c:pt idx="219">
                  <c:v>132.68</c:v>
                </c:pt>
                <c:pt idx="220">
                  <c:v>136.19</c:v>
                </c:pt>
                <c:pt idx="221">
                  <c:v>136.9</c:v>
                </c:pt>
                <c:pt idx="222">
                  <c:v>138.61000000000001</c:v>
                </c:pt>
                <c:pt idx="223">
                  <c:v>139.31</c:v>
                </c:pt>
                <c:pt idx="224">
                  <c:v>149.03</c:v>
                </c:pt>
                <c:pt idx="225">
                  <c:v>155</c:v>
                </c:pt>
                <c:pt idx="226">
                  <c:v>149.12</c:v>
                </c:pt>
                <c:pt idx="227">
                  <c:v>143.4</c:v>
                </c:pt>
                <c:pt idx="228">
                  <c:v>161.37</c:v>
                </c:pt>
                <c:pt idx="229">
                  <c:v>155.62</c:v>
                </c:pt>
                <c:pt idx="230">
                  <c:v>160.76</c:v>
                </c:pt>
                <c:pt idx="231">
                  <c:v>163.22</c:v>
                </c:pt>
                <c:pt idx="232">
                  <c:v>166.92</c:v>
                </c:pt>
                <c:pt idx="233">
                  <c:v>164.44</c:v>
                </c:pt>
                <c:pt idx="234">
                  <c:v>160.21</c:v>
                </c:pt>
                <c:pt idx="235">
                  <c:v>165.83</c:v>
                </c:pt>
                <c:pt idx="236">
                  <c:v>167.47</c:v>
                </c:pt>
                <c:pt idx="237">
                  <c:v>169.66</c:v>
                </c:pt>
                <c:pt idx="238">
                  <c:v>174.67</c:v>
                </c:pt>
                <c:pt idx="239">
                  <c:v>175.25</c:v>
                </c:pt>
                <c:pt idx="240">
                  <c:v>175.31</c:v>
                </c:pt>
                <c:pt idx="241">
                  <c:v>173.96</c:v>
                </c:pt>
                <c:pt idx="242">
                  <c:v>178.23</c:v>
                </c:pt>
                <c:pt idx="243">
                  <c:v>175.73</c:v>
                </c:pt>
                <c:pt idx="244">
                  <c:v>175.25</c:v>
                </c:pt>
                <c:pt idx="245">
                  <c:v>175.11</c:v>
                </c:pt>
                <c:pt idx="246">
                  <c:v>173.27</c:v>
                </c:pt>
                <c:pt idx="247">
                  <c:v>173.07</c:v>
                </c:pt>
                <c:pt idx="248">
                  <c:v>173.33</c:v>
                </c:pt>
                <c:pt idx="249">
                  <c:v>172.6</c:v>
                </c:pt>
                <c:pt idx="250">
                  <c:v>169.55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2-4667-80A2-1BD056C7C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827263"/>
        <c:axId val="430828703"/>
      </c:lineChart>
      <c:catAx>
        <c:axId val="43082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0828703"/>
        <c:crosses val="autoZero"/>
        <c:auto val="1"/>
        <c:lblAlgn val="ctr"/>
        <c:lblOffset val="100"/>
        <c:noMultiLvlLbl val="0"/>
      </c:catAx>
      <c:valAx>
        <c:axId val="4308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082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Precios último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GFNORTEO!$B$1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GFNORTEO!$A$1:$A$21</c:f>
              <c:strCache>
                <c:ptCount val="21"/>
                <c:pt idx="0">
                  <c:v>Fecha</c:v>
                </c:pt>
                <c:pt idx="1">
                  <c:v>30.04.2025</c:v>
                </c:pt>
                <c:pt idx="2">
                  <c:v>29.04.2025</c:v>
                </c:pt>
                <c:pt idx="3">
                  <c:v>28.04.2025</c:v>
                </c:pt>
                <c:pt idx="4">
                  <c:v>25.04.2025</c:v>
                </c:pt>
                <c:pt idx="5">
                  <c:v>24.04.2025</c:v>
                </c:pt>
                <c:pt idx="6">
                  <c:v>23.04.2025</c:v>
                </c:pt>
                <c:pt idx="7">
                  <c:v>22.04.2025</c:v>
                </c:pt>
                <c:pt idx="8">
                  <c:v>21.04.2025</c:v>
                </c:pt>
                <c:pt idx="9">
                  <c:v>16.04.2025</c:v>
                </c:pt>
                <c:pt idx="10">
                  <c:v>15.04.2025</c:v>
                </c:pt>
                <c:pt idx="11">
                  <c:v>14.04.2025</c:v>
                </c:pt>
                <c:pt idx="12">
                  <c:v>11.04.2025</c:v>
                </c:pt>
                <c:pt idx="13">
                  <c:v>10.04.2025</c:v>
                </c:pt>
                <c:pt idx="14">
                  <c:v>09.04.2025</c:v>
                </c:pt>
                <c:pt idx="15">
                  <c:v>08.04.2025</c:v>
                </c:pt>
                <c:pt idx="16">
                  <c:v>07.04.2025</c:v>
                </c:pt>
                <c:pt idx="17">
                  <c:v>04.04.2025</c:v>
                </c:pt>
                <c:pt idx="18">
                  <c:v>03.04.2025</c:v>
                </c:pt>
                <c:pt idx="19">
                  <c:v>02.04.2025</c:v>
                </c:pt>
                <c:pt idx="20">
                  <c:v>01.04.2025</c:v>
                </c:pt>
              </c:strCache>
            </c:strRef>
          </c:cat>
          <c:val>
            <c:numRef>
              <c:f>GFNORTEO!$B$2:$B$21</c:f>
              <c:numCache>
                <c:formatCode>General</c:formatCode>
                <c:ptCount val="20"/>
                <c:pt idx="0">
                  <c:v>168.52</c:v>
                </c:pt>
                <c:pt idx="1">
                  <c:v>165.33</c:v>
                </c:pt>
                <c:pt idx="2">
                  <c:v>167.2</c:v>
                </c:pt>
                <c:pt idx="3">
                  <c:v>163.75</c:v>
                </c:pt>
                <c:pt idx="4">
                  <c:v>160.88</c:v>
                </c:pt>
                <c:pt idx="5">
                  <c:v>159.79</c:v>
                </c:pt>
                <c:pt idx="6">
                  <c:v>157.26</c:v>
                </c:pt>
                <c:pt idx="7">
                  <c:v>150.53</c:v>
                </c:pt>
                <c:pt idx="8">
                  <c:v>147.21</c:v>
                </c:pt>
                <c:pt idx="9">
                  <c:v>148.05000000000001</c:v>
                </c:pt>
                <c:pt idx="10">
                  <c:v>144.97999999999999</c:v>
                </c:pt>
                <c:pt idx="11">
                  <c:v>141.62</c:v>
                </c:pt>
                <c:pt idx="12">
                  <c:v>145.19</c:v>
                </c:pt>
                <c:pt idx="13">
                  <c:v>150.41999999999999</c:v>
                </c:pt>
                <c:pt idx="14">
                  <c:v>138.16</c:v>
                </c:pt>
                <c:pt idx="15">
                  <c:v>136</c:v>
                </c:pt>
                <c:pt idx="16">
                  <c:v>143.93</c:v>
                </c:pt>
                <c:pt idx="17">
                  <c:v>154.41</c:v>
                </c:pt>
                <c:pt idx="18">
                  <c:v>145.01</c:v>
                </c:pt>
                <c:pt idx="19">
                  <c:v>144.41999999999999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5-44D1-812A-63C175D5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754047"/>
        <c:axId val="237785247"/>
      </c:lineChart>
      <c:catAx>
        <c:axId val="2377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7785247"/>
        <c:crosses val="autoZero"/>
        <c:auto val="1"/>
        <c:lblAlgn val="ctr"/>
        <c:lblOffset val="100"/>
        <c:noMultiLvlLbl val="0"/>
      </c:catAx>
      <c:valAx>
        <c:axId val="2377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775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Todos</a:t>
            </a:r>
            <a:r>
              <a:rPr lang="en-US" baseline="0"/>
              <a:t> los Precios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KOFUBL!$B$1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KOFUBL!$A$2:$A$1260</c:f>
              <c:strCache>
                <c:ptCount val="1259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  <c:pt idx="251">
                  <c:v>29.04.2024</c:v>
                </c:pt>
                <c:pt idx="252">
                  <c:v>26.04.2024</c:v>
                </c:pt>
                <c:pt idx="253">
                  <c:v>25.04.2024</c:v>
                </c:pt>
                <c:pt idx="254">
                  <c:v>24.04.2024</c:v>
                </c:pt>
                <c:pt idx="255">
                  <c:v>23.04.2024</c:v>
                </c:pt>
                <c:pt idx="256">
                  <c:v>22.04.2024</c:v>
                </c:pt>
                <c:pt idx="257">
                  <c:v>19.04.2024</c:v>
                </c:pt>
                <c:pt idx="258">
                  <c:v>18.04.2024</c:v>
                </c:pt>
                <c:pt idx="259">
                  <c:v>17.04.2024</c:v>
                </c:pt>
                <c:pt idx="260">
                  <c:v>16.04.2024</c:v>
                </c:pt>
                <c:pt idx="261">
                  <c:v>15.04.2024</c:v>
                </c:pt>
                <c:pt idx="262">
                  <c:v>12.04.2024</c:v>
                </c:pt>
                <c:pt idx="263">
                  <c:v>11.04.2024</c:v>
                </c:pt>
                <c:pt idx="264">
                  <c:v>10.04.2024</c:v>
                </c:pt>
                <c:pt idx="265">
                  <c:v>09.04.2024</c:v>
                </c:pt>
                <c:pt idx="266">
                  <c:v>08.04.2024</c:v>
                </c:pt>
                <c:pt idx="267">
                  <c:v>05.04.2024</c:v>
                </c:pt>
                <c:pt idx="268">
                  <c:v>04.04.2024</c:v>
                </c:pt>
                <c:pt idx="269">
                  <c:v>03.04.2024</c:v>
                </c:pt>
                <c:pt idx="270">
                  <c:v>02.04.2024</c:v>
                </c:pt>
                <c:pt idx="271">
                  <c:v>01.04.2024</c:v>
                </c:pt>
                <c:pt idx="272">
                  <c:v>27.03.2024</c:v>
                </c:pt>
                <c:pt idx="273">
                  <c:v>26.03.2024</c:v>
                </c:pt>
                <c:pt idx="274">
                  <c:v>25.03.2024</c:v>
                </c:pt>
                <c:pt idx="275">
                  <c:v>22.03.2024</c:v>
                </c:pt>
                <c:pt idx="276">
                  <c:v>21.03.2024</c:v>
                </c:pt>
                <c:pt idx="277">
                  <c:v>20.03.2024</c:v>
                </c:pt>
                <c:pt idx="278">
                  <c:v>19.03.2024</c:v>
                </c:pt>
                <c:pt idx="279">
                  <c:v>15.03.2024</c:v>
                </c:pt>
                <c:pt idx="280">
                  <c:v>14.03.2024</c:v>
                </c:pt>
                <c:pt idx="281">
                  <c:v>13.03.2024</c:v>
                </c:pt>
                <c:pt idx="282">
                  <c:v>12.03.2024</c:v>
                </c:pt>
                <c:pt idx="283">
                  <c:v>11.03.2024</c:v>
                </c:pt>
                <c:pt idx="284">
                  <c:v>08.03.2024</c:v>
                </c:pt>
                <c:pt idx="285">
                  <c:v>07.03.2024</c:v>
                </c:pt>
                <c:pt idx="286">
                  <c:v>06.03.2024</c:v>
                </c:pt>
                <c:pt idx="287">
                  <c:v>05.03.2024</c:v>
                </c:pt>
                <c:pt idx="288">
                  <c:v>04.03.2024</c:v>
                </c:pt>
                <c:pt idx="289">
                  <c:v>01.03.2024</c:v>
                </c:pt>
                <c:pt idx="290">
                  <c:v>29.02.2024</c:v>
                </c:pt>
                <c:pt idx="291">
                  <c:v>28.02.2024</c:v>
                </c:pt>
                <c:pt idx="292">
                  <c:v>27.02.2024</c:v>
                </c:pt>
                <c:pt idx="293">
                  <c:v>26.02.2024</c:v>
                </c:pt>
                <c:pt idx="294">
                  <c:v>23.02.2024</c:v>
                </c:pt>
                <c:pt idx="295">
                  <c:v>22.02.2024</c:v>
                </c:pt>
                <c:pt idx="296">
                  <c:v>21.02.2024</c:v>
                </c:pt>
                <c:pt idx="297">
                  <c:v>20.02.2024</c:v>
                </c:pt>
                <c:pt idx="298">
                  <c:v>19.02.2024</c:v>
                </c:pt>
                <c:pt idx="299">
                  <c:v>16.02.2024</c:v>
                </c:pt>
                <c:pt idx="300">
                  <c:v>15.02.2024</c:v>
                </c:pt>
                <c:pt idx="301">
                  <c:v>14.02.2024</c:v>
                </c:pt>
                <c:pt idx="302">
                  <c:v>13.02.2024</c:v>
                </c:pt>
                <c:pt idx="303">
                  <c:v>12.02.2024</c:v>
                </c:pt>
                <c:pt idx="304">
                  <c:v>09.02.2024</c:v>
                </c:pt>
                <c:pt idx="305">
                  <c:v>08.02.2024</c:v>
                </c:pt>
                <c:pt idx="306">
                  <c:v>07.02.2024</c:v>
                </c:pt>
                <c:pt idx="307">
                  <c:v>06.02.2024</c:v>
                </c:pt>
                <c:pt idx="308">
                  <c:v>02.02.2024</c:v>
                </c:pt>
                <c:pt idx="309">
                  <c:v>01.02.2024</c:v>
                </c:pt>
                <c:pt idx="310">
                  <c:v>31.01.2024</c:v>
                </c:pt>
                <c:pt idx="311">
                  <c:v>30.01.2024</c:v>
                </c:pt>
                <c:pt idx="312">
                  <c:v>29.01.2024</c:v>
                </c:pt>
                <c:pt idx="313">
                  <c:v>26.01.2024</c:v>
                </c:pt>
                <c:pt idx="314">
                  <c:v>25.01.2024</c:v>
                </c:pt>
                <c:pt idx="315">
                  <c:v>24.01.2024</c:v>
                </c:pt>
                <c:pt idx="316">
                  <c:v>23.01.2024</c:v>
                </c:pt>
                <c:pt idx="317">
                  <c:v>22.01.2024</c:v>
                </c:pt>
                <c:pt idx="318">
                  <c:v>19.01.2024</c:v>
                </c:pt>
                <c:pt idx="319">
                  <c:v>18.01.2024</c:v>
                </c:pt>
                <c:pt idx="320">
                  <c:v>17.01.2024</c:v>
                </c:pt>
                <c:pt idx="321">
                  <c:v>16.01.2024</c:v>
                </c:pt>
                <c:pt idx="322">
                  <c:v>15.01.2024</c:v>
                </c:pt>
                <c:pt idx="323">
                  <c:v>12.01.2024</c:v>
                </c:pt>
                <c:pt idx="324">
                  <c:v>11.01.2024</c:v>
                </c:pt>
                <c:pt idx="325">
                  <c:v>10.01.2024</c:v>
                </c:pt>
                <c:pt idx="326">
                  <c:v>09.01.2024</c:v>
                </c:pt>
                <c:pt idx="327">
                  <c:v>08.01.2024</c:v>
                </c:pt>
                <c:pt idx="328">
                  <c:v>05.01.2024</c:v>
                </c:pt>
                <c:pt idx="329">
                  <c:v>04.01.2024</c:v>
                </c:pt>
                <c:pt idx="330">
                  <c:v>03.01.2024</c:v>
                </c:pt>
                <c:pt idx="331">
                  <c:v>02.01.2024</c:v>
                </c:pt>
                <c:pt idx="332">
                  <c:v>29.12.2023</c:v>
                </c:pt>
                <c:pt idx="333">
                  <c:v>28.12.2023</c:v>
                </c:pt>
                <c:pt idx="334">
                  <c:v>27.12.2023</c:v>
                </c:pt>
                <c:pt idx="335">
                  <c:v>26.12.2023</c:v>
                </c:pt>
                <c:pt idx="336">
                  <c:v>22.12.2023</c:v>
                </c:pt>
                <c:pt idx="337">
                  <c:v>21.12.2023</c:v>
                </c:pt>
                <c:pt idx="338">
                  <c:v>20.12.2023</c:v>
                </c:pt>
                <c:pt idx="339">
                  <c:v>19.12.2023</c:v>
                </c:pt>
                <c:pt idx="340">
                  <c:v>18.12.2023</c:v>
                </c:pt>
                <c:pt idx="341">
                  <c:v>15.12.2023</c:v>
                </c:pt>
                <c:pt idx="342">
                  <c:v>14.12.2023</c:v>
                </c:pt>
                <c:pt idx="343">
                  <c:v>13.12.2023</c:v>
                </c:pt>
                <c:pt idx="344">
                  <c:v>11.12.2023</c:v>
                </c:pt>
                <c:pt idx="345">
                  <c:v>08.12.2023</c:v>
                </c:pt>
                <c:pt idx="346">
                  <c:v>07.12.2023</c:v>
                </c:pt>
                <c:pt idx="347">
                  <c:v>06.12.2023</c:v>
                </c:pt>
                <c:pt idx="348">
                  <c:v>05.12.2023</c:v>
                </c:pt>
                <c:pt idx="349">
                  <c:v>04.12.2023</c:v>
                </c:pt>
                <c:pt idx="350">
                  <c:v>01.12.2023</c:v>
                </c:pt>
                <c:pt idx="351">
                  <c:v>30.11.2023</c:v>
                </c:pt>
                <c:pt idx="352">
                  <c:v>29.11.2023</c:v>
                </c:pt>
                <c:pt idx="353">
                  <c:v>28.11.2023</c:v>
                </c:pt>
                <c:pt idx="354">
                  <c:v>27.11.2023</c:v>
                </c:pt>
                <c:pt idx="355">
                  <c:v>24.11.2023</c:v>
                </c:pt>
                <c:pt idx="356">
                  <c:v>23.11.2023</c:v>
                </c:pt>
                <c:pt idx="357">
                  <c:v>22.11.2023</c:v>
                </c:pt>
                <c:pt idx="358">
                  <c:v>21.11.2023</c:v>
                </c:pt>
                <c:pt idx="359">
                  <c:v>17.11.2023</c:v>
                </c:pt>
                <c:pt idx="360">
                  <c:v>16.11.2023</c:v>
                </c:pt>
                <c:pt idx="361">
                  <c:v>15.11.2023</c:v>
                </c:pt>
                <c:pt idx="362">
                  <c:v>14.11.2023</c:v>
                </c:pt>
                <c:pt idx="363">
                  <c:v>13.11.2023</c:v>
                </c:pt>
                <c:pt idx="364">
                  <c:v>10.11.2023</c:v>
                </c:pt>
                <c:pt idx="365">
                  <c:v>09.11.2023</c:v>
                </c:pt>
                <c:pt idx="366">
                  <c:v>08.11.2023</c:v>
                </c:pt>
                <c:pt idx="367">
                  <c:v>07.11.2023</c:v>
                </c:pt>
                <c:pt idx="368">
                  <c:v>06.11.2023</c:v>
                </c:pt>
                <c:pt idx="369">
                  <c:v>03.11.2023</c:v>
                </c:pt>
                <c:pt idx="370">
                  <c:v>01.11.2023</c:v>
                </c:pt>
                <c:pt idx="371">
                  <c:v>31.10.2023</c:v>
                </c:pt>
                <c:pt idx="372">
                  <c:v>30.10.2023</c:v>
                </c:pt>
                <c:pt idx="373">
                  <c:v>27.10.2023</c:v>
                </c:pt>
                <c:pt idx="374">
                  <c:v>26.10.2023</c:v>
                </c:pt>
                <c:pt idx="375">
                  <c:v>25.10.2023</c:v>
                </c:pt>
                <c:pt idx="376">
                  <c:v>24.10.2023</c:v>
                </c:pt>
                <c:pt idx="377">
                  <c:v>23.10.2023</c:v>
                </c:pt>
                <c:pt idx="378">
                  <c:v>20.10.2023</c:v>
                </c:pt>
                <c:pt idx="379">
                  <c:v>19.10.2023</c:v>
                </c:pt>
                <c:pt idx="380">
                  <c:v>18.10.2023</c:v>
                </c:pt>
                <c:pt idx="381">
                  <c:v>17.10.2023</c:v>
                </c:pt>
                <c:pt idx="382">
                  <c:v>16.10.2023</c:v>
                </c:pt>
                <c:pt idx="383">
                  <c:v>13.10.2023</c:v>
                </c:pt>
                <c:pt idx="384">
                  <c:v>12.10.2023</c:v>
                </c:pt>
                <c:pt idx="385">
                  <c:v>11.10.2023</c:v>
                </c:pt>
                <c:pt idx="386">
                  <c:v>10.10.2023</c:v>
                </c:pt>
                <c:pt idx="387">
                  <c:v>09.10.2023</c:v>
                </c:pt>
                <c:pt idx="388">
                  <c:v>06.10.2023</c:v>
                </c:pt>
                <c:pt idx="389">
                  <c:v>05.10.2023</c:v>
                </c:pt>
                <c:pt idx="390">
                  <c:v>04.10.2023</c:v>
                </c:pt>
                <c:pt idx="391">
                  <c:v>03.10.2023</c:v>
                </c:pt>
                <c:pt idx="392">
                  <c:v>02.10.2023</c:v>
                </c:pt>
                <c:pt idx="393">
                  <c:v>29.09.2023</c:v>
                </c:pt>
                <c:pt idx="394">
                  <c:v>28.09.2023</c:v>
                </c:pt>
                <c:pt idx="395">
                  <c:v>27.09.2023</c:v>
                </c:pt>
                <c:pt idx="396">
                  <c:v>26.09.2023</c:v>
                </c:pt>
                <c:pt idx="397">
                  <c:v>25.09.2023</c:v>
                </c:pt>
                <c:pt idx="398">
                  <c:v>22.09.2023</c:v>
                </c:pt>
                <c:pt idx="399">
                  <c:v>21.09.2023</c:v>
                </c:pt>
                <c:pt idx="400">
                  <c:v>20.09.2023</c:v>
                </c:pt>
                <c:pt idx="401">
                  <c:v>19.09.2023</c:v>
                </c:pt>
                <c:pt idx="402">
                  <c:v>18.09.2023</c:v>
                </c:pt>
                <c:pt idx="403">
                  <c:v>15.09.2023</c:v>
                </c:pt>
                <c:pt idx="404">
                  <c:v>14.09.2023</c:v>
                </c:pt>
                <c:pt idx="405">
                  <c:v>13.09.2023</c:v>
                </c:pt>
                <c:pt idx="406">
                  <c:v>12.09.2023</c:v>
                </c:pt>
                <c:pt idx="407">
                  <c:v>11.09.2023</c:v>
                </c:pt>
                <c:pt idx="408">
                  <c:v>08.09.2023</c:v>
                </c:pt>
                <c:pt idx="409">
                  <c:v>07.09.2023</c:v>
                </c:pt>
                <c:pt idx="410">
                  <c:v>06.09.2023</c:v>
                </c:pt>
                <c:pt idx="411">
                  <c:v>05.09.2023</c:v>
                </c:pt>
                <c:pt idx="412">
                  <c:v>04.09.2023</c:v>
                </c:pt>
                <c:pt idx="413">
                  <c:v>01.09.2023</c:v>
                </c:pt>
                <c:pt idx="414">
                  <c:v>31.08.2023</c:v>
                </c:pt>
                <c:pt idx="415">
                  <c:v>30.08.2023</c:v>
                </c:pt>
                <c:pt idx="416">
                  <c:v>29.08.2023</c:v>
                </c:pt>
                <c:pt idx="417">
                  <c:v>28.08.2023</c:v>
                </c:pt>
                <c:pt idx="418">
                  <c:v>25.08.2023</c:v>
                </c:pt>
                <c:pt idx="419">
                  <c:v>24.08.2023</c:v>
                </c:pt>
                <c:pt idx="420">
                  <c:v>23.08.2023</c:v>
                </c:pt>
                <c:pt idx="421">
                  <c:v>22.08.2023</c:v>
                </c:pt>
                <c:pt idx="422">
                  <c:v>21.08.2023</c:v>
                </c:pt>
                <c:pt idx="423">
                  <c:v>18.08.2023</c:v>
                </c:pt>
                <c:pt idx="424">
                  <c:v>17.08.2023</c:v>
                </c:pt>
                <c:pt idx="425">
                  <c:v>16.08.2023</c:v>
                </c:pt>
                <c:pt idx="426">
                  <c:v>15.08.2023</c:v>
                </c:pt>
                <c:pt idx="427">
                  <c:v>14.08.2023</c:v>
                </c:pt>
                <c:pt idx="428">
                  <c:v>11.08.2023</c:v>
                </c:pt>
                <c:pt idx="429">
                  <c:v>10.08.2023</c:v>
                </c:pt>
                <c:pt idx="430">
                  <c:v>09.08.2023</c:v>
                </c:pt>
                <c:pt idx="431">
                  <c:v>08.08.2023</c:v>
                </c:pt>
                <c:pt idx="432">
                  <c:v>07.08.2023</c:v>
                </c:pt>
                <c:pt idx="433">
                  <c:v>04.08.2023</c:v>
                </c:pt>
                <c:pt idx="434">
                  <c:v>03.08.2023</c:v>
                </c:pt>
                <c:pt idx="435">
                  <c:v>02.08.2023</c:v>
                </c:pt>
                <c:pt idx="436">
                  <c:v>01.08.2023</c:v>
                </c:pt>
                <c:pt idx="437">
                  <c:v>31.07.2023</c:v>
                </c:pt>
                <c:pt idx="438">
                  <c:v>28.07.2023</c:v>
                </c:pt>
                <c:pt idx="439">
                  <c:v>27.07.2023</c:v>
                </c:pt>
                <c:pt idx="440">
                  <c:v>26.07.2023</c:v>
                </c:pt>
                <c:pt idx="441">
                  <c:v>25.07.2023</c:v>
                </c:pt>
                <c:pt idx="442">
                  <c:v>24.07.2023</c:v>
                </c:pt>
                <c:pt idx="443">
                  <c:v>21.07.2023</c:v>
                </c:pt>
                <c:pt idx="444">
                  <c:v>20.07.2023</c:v>
                </c:pt>
                <c:pt idx="445">
                  <c:v>19.07.2023</c:v>
                </c:pt>
                <c:pt idx="446">
                  <c:v>18.07.2023</c:v>
                </c:pt>
                <c:pt idx="447">
                  <c:v>17.07.2023</c:v>
                </c:pt>
                <c:pt idx="448">
                  <c:v>14.07.2023</c:v>
                </c:pt>
                <c:pt idx="449">
                  <c:v>13.07.2023</c:v>
                </c:pt>
                <c:pt idx="450">
                  <c:v>12.07.2023</c:v>
                </c:pt>
                <c:pt idx="451">
                  <c:v>11.07.2023</c:v>
                </c:pt>
                <c:pt idx="452">
                  <c:v>10.07.2023</c:v>
                </c:pt>
                <c:pt idx="453">
                  <c:v>07.07.2023</c:v>
                </c:pt>
                <c:pt idx="454">
                  <c:v>06.07.2023</c:v>
                </c:pt>
                <c:pt idx="455">
                  <c:v>05.07.2023</c:v>
                </c:pt>
                <c:pt idx="456">
                  <c:v>04.07.2023</c:v>
                </c:pt>
                <c:pt idx="457">
                  <c:v>03.07.2023</c:v>
                </c:pt>
                <c:pt idx="458">
                  <c:v>30.06.2023</c:v>
                </c:pt>
                <c:pt idx="459">
                  <c:v>29.06.2023</c:v>
                </c:pt>
                <c:pt idx="460">
                  <c:v>28.06.2023</c:v>
                </c:pt>
                <c:pt idx="461">
                  <c:v>27.06.2023</c:v>
                </c:pt>
                <c:pt idx="462">
                  <c:v>26.06.2023</c:v>
                </c:pt>
                <c:pt idx="463">
                  <c:v>23.06.2023</c:v>
                </c:pt>
                <c:pt idx="464">
                  <c:v>22.06.2023</c:v>
                </c:pt>
                <c:pt idx="465">
                  <c:v>21.06.2023</c:v>
                </c:pt>
                <c:pt idx="466">
                  <c:v>20.06.2023</c:v>
                </c:pt>
                <c:pt idx="467">
                  <c:v>19.06.2023</c:v>
                </c:pt>
                <c:pt idx="468">
                  <c:v>16.06.2023</c:v>
                </c:pt>
                <c:pt idx="469">
                  <c:v>15.06.2023</c:v>
                </c:pt>
                <c:pt idx="470">
                  <c:v>14.06.2023</c:v>
                </c:pt>
                <c:pt idx="471">
                  <c:v>13.06.2023</c:v>
                </c:pt>
                <c:pt idx="472">
                  <c:v>12.06.2023</c:v>
                </c:pt>
                <c:pt idx="473">
                  <c:v>09.06.2023</c:v>
                </c:pt>
                <c:pt idx="474">
                  <c:v>08.06.2023</c:v>
                </c:pt>
                <c:pt idx="475">
                  <c:v>07.06.2023</c:v>
                </c:pt>
                <c:pt idx="476">
                  <c:v>06.06.2023</c:v>
                </c:pt>
                <c:pt idx="477">
                  <c:v>05.06.2023</c:v>
                </c:pt>
                <c:pt idx="478">
                  <c:v>02.06.2023</c:v>
                </c:pt>
                <c:pt idx="479">
                  <c:v>01.06.2023</c:v>
                </c:pt>
                <c:pt idx="480">
                  <c:v>31.05.2023</c:v>
                </c:pt>
                <c:pt idx="481">
                  <c:v>30.05.2023</c:v>
                </c:pt>
                <c:pt idx="482">
                  <c:v>29.05.2023</c:v>
                </c:pt>
                <c:pt idx="483">
                  <c:v>26.05.2023</c:v>
                </c:pt>
                <c:pt idx="484">
                  <c:v>25.05.2023</c:v>
                </c:pt>
                <c:pt idx="485">
                  <c:v>24.05.2023</c:v>
                </c:pt>
                <c:pt idx="486">
                  <c:v>23.05.2023</c:v>
                </c:pt>
                <c:pt idx="487">
                  <c:v>22.05.2023</c:v>
                </c:pt>
                <c:pt idx="488">
                  <c:v>19.05.2023</c:v>
                </c:pt>
                <c:pt idx="489">
                  <c:v>18.05.2023</c:v>
                </c:pt>
                <c:pt idx="490">
                  <c:v>17.05.2023</c:v>
                </c:pt>
                <c:pt idx="491">
                  <c:v>16.05.2023</c:v>
                </c:pt>
                <c:pt idx="492">
                  <c:v>15.05.2023</c:v>
                </c:pt>
                <c:pt idx="493">
                  <c:v>12.05.2023</c:v>
                </c:pt>
                <c:pt idx="494">
                  <c:v>11.05.2023</c:v>
                </c:pt>
                <c:pt idx="495">
                  <c:v>10.05.2023</c:v>
                </c:pt>
                <c:pt idx="496">
                  <c:v>09.05.2023</c:v>
                </c:pt>
                <c:pt idx="497">
                  <c:v>08.05.2023</c:v>
                </c:pt>
                <c:pt idx="498">
                  <c:v>05.05.2023</c:v>
                </c:pt>
                <c:pt idx="499">
                  <c:v>04.05.2023</c:v>
                </c:pt>
                <c:pt idx="500">
                  <c:v>03.05.2023</c:v>
                </c:pt>
                <c:pt idx="501">
                  <c:v>02.05.2023</c:v>
                </c:pt>
                <c:pt idx="502">
                  <c:v>28.04.2023</c:v>
                </c:pt>
                <c:pt idx="503">
                  <c:v>27.04.2023</c:v>
                </c:pt>
                <c:pt idx="504">
                  <c:v>26.04.2023</c:v>
                </c:pt>
                <c:pt idx="505">
                  <c:v>25.04.2023</c:v>
                </c:pt>
                <c:pt idx="506">
                  <c:v>24.04.2023</c:v>
                </c:pt>
                <c:pt idx="507">
                  <c:v>21.04.2023</c:v>
                </c:pt>
                <c:pt idx="508">
                  <c:v>20.04.2023</c:v>
                </c:pt>
                <c:pt idx="509">
                  <c:v>19.04.2023</c:v>
                </c:pt>
                <c:pt idx="510">
                  <c:v>18.04.2023</c:v>
                </c:pt>
                <c:pt idx="511">
                  <c:v>17.04.2023</c:v>
                </c:pt>
                <c:pt idx="512">
                  <c:v>14.04.2023</c:v>
                </c:pt>
                <c:pt idx="513">
                  <c:v>13.04.2023</c:v>
                </c:pt>
                <c:pt idx="514">
                  <c:v>12.04.2023</c:v>
                </c:pt>
                <c:pt idx="515">
                  <c:v>11.04.2023</c:v>
                </c:pt>
                <c:pt idx="516">
                  <c:v>10.04.2023</c:v>
                </c:pt>
                <c:pt idx="517">
                  <c:v>05.04.2023</c:v>
                </c:pt>
                <c:pt idx="518">
                  <c:v>04.04.2023</c:v>
                </c:pt>
                <c:pt idx="519">
                  <c:v>03.04.2023</c:v>
                </c:pt>
                <c:pt idx="520">
                  <c:v>31.03.2023</c:v>
                </c:pt>
                <c:pt idx="521">
                  <c:v>30.03.2023</c:v>
                </c:pt>
                <c:pt idx="522">
                  <c:v>29.03.2023</c:v>
                </c:pt>
                <c:pt idx="523">
                  <c:v>28.03.2023</c:v>
                </c:pt>
                <c:pt idx="524">
                  <c:v>27.03.2023</c:v>
                </c:pt>
                <c:pt idx="525">
                  <c:v>24.03.2023</c:v>
                </c:pt>
                <c:pt idx="526">
                  <c:v>23.03.2023</c:v>
                </c:pt>
                <c:pt idx="527">
                  <c:v>22.03.2023</c:v>
                </c:pt>
                <c:pt idx="528">
                  <c:v>21.03.2023</c:v>
                </c:pt>
                <c:pt idx="529">
                  <c:v>17.03.2023</c:v>
                </c:pt>
                <c:pt idx="530">
                  <c:v>16.03.2023</c:v>
                </c:pt>
                <c:pt idx="531">
                  <c:v>15.03.2023</c:v>
                </c:pt>
                <c:pt idx="532">
                  <c:v>14.03.2023</c:v>
                </c:pt>
                <c:pt idx="533">
                  <c:v>13.03.2023</c:v>
                </c:pt>
                <c:pt idx="534">
                  <c:v>10.03.2023</c:v>
                </c:pt>
                <c:pt idx="535">
                  <c:v>09.03.2023</c:v>
                </c:pt>
                <c:pt idx="536">
                  <c:v>08.03.2023</c:v>
                </c:pt>
                <c:pt idx="537">
                  <c:v>07.03.2023</c:v>
                </c:pt>
                <c:pt idx="538">
                  <c:v>06.03.2023</c:v>
                </c:pt>
                <c:pt idx="539">
                  <c:v>03.03.2023</c:v>
                </c:pt>
                <c:pt idx="540">
                  <c:v>02.03.2023</c:v>
                </c:pt>
                <c:pt idx="541">
                  <c:v>01.03.2023</c:v>
                </c:pt>
                <c:pt idx="542">
                  <c:v>28.02.2023</c:v>
                </c:pt>
                <c:pt idx="543">
                  <c:v>27.02.2023</c:v>
                </c:pt>
                <c:pt idx="544">
                  <c:v>24.02.2023</c:v>
                </c:pt>
                <c:pt idx="545">
                  <c:v>23.02.2023</c:v>
                </c:pt>
                <c:pt idx="546">
                  <c:v>22.02.2023</c:v>
                </c:pt>
                <c:pt idx="547">
                  <c:v>21.02.2023</c:v>
                </c:pt>
                <c:pt idx="548">
                  <c:v>20.02.2023</c:v>
                </c:pt>
                <c:pt idx="549">
                  <c:v>17.02.2023</c:v>
                </c:pt>
                <c:pt idx="550">
                  <c:v>16.02.2023</c:v>
                </c:pt>
                <c:pt idx="551">
                  <c:v>15.02.2023</c:v>
                </c:pt>
                <c:pt idx="552">
                  <c:v>14.02.2023</c:v>
                </c:pt>
                <c:pt idx="553">
                  <c:v>13.02.2023</c:v>
                </c:pt>
                <c:pt idx="554">
                  <c:v>10.02.2023</c:v>
                </c:pt>
                <c:pt idx="555">
                  <c:v>09.02.2023</c:v>
                </c:pt>
                <c:pt idx="556">
                  <c:v>08.02.2023</c:v>
                </c:pt>
                <c:pt idx="557">
                  <c:v>07.02.2023</c:v>
                </c:pt>
                <c:pt idx="558">
                  <c:v>03.02.2023</c:v>
                </c:pt>
                <c:pt idx="559">
                  <c:v>02.02.2023</c:v>
                </c:pt>
                <c:pt idx="560">
                  <c:v>01.02.2023</c:v>
                </c:pt>
                <c:pt idx="561">
                  <c:v>31.01.2023</c:v>
                </c:pt>
                <c:pt idx="562">
                  <c:v>30.01.2023</c:v>
                </c:pt>
                <c:pt idx="563">
                  <c:v>27.01.2023</c:v>
                </c:pt>
                <c:pt idx="564">
                  <c:v>26.01.2023</c:v>
                </c:pt>
                <c:pt idx="565">
                  <c:v>25.01.2023</c:v>
                </c:pt>
                <c:pt idx="566">
                  <c:v>24.01.2023</c:v>
                </c:pt>
                <c:pt idx="567">
                  <c:v>23.01.2023</c:v>
                </c:pt>
                <c:pt idx="568">
                  <c:v>20.01.2023</c:v>
                </c:pt>
                <c:pt idx="569">
                  <c:v>19.01.2023</c:v>
                </c:pt>
                <c:pt idx="570">
                  <c:v>18.01.2023</c:v>
                </c:pt>
                <c:pt idx="571">
                  <c:v>17.01.2023</c:v>
                </c:pt>
                <c:pt idx="572">
                  <c:v>16.01.2023</c:v>
                </c:pt>
                <c:pt idx="573">
                  <c:v>13.01.2023</c:v>
                </c:pt>
                <c:pt idx="574">
                  <c:v>12.01.2023</c:v>
                </c:pt>
                <c:pt idx="575">
                  <c:v>11.01.2023</c:v>
                </c:pt>
                <c:pt idx="576">
                  <c:v>10.01.2023</c:v>
                </c:pt>
                <c:pt idx="577">
                  <c:v>09.01.2023</c:v>
                </c:pt>
                <c:pt idx="578">
                  <c:v>06.01.2023</c:v>
                </c:pt>
                <c:pt idx="579">
                  <c:v>05.01.2023</c:v>
                </c:pt>
                <c:pt idx="580">
                  <c:v>04.01.2023</c:v>
                </c:pt>
                <c:pt idx="581">
                  <c:v>03.01.2023</c:v>
                </c:pt>
                <c:pt idx="582">
                  <c:v>02.01.2023</c:v>
                </c:pt>
                <c:pt idx="583">
                  <c:v>30.12.2022</c:v>
                </c:pt>
                <c:pt idx="584">
                  <c:v>29.12.2022</c:v>
                </c:pt>
                <c:pt idx="585">
                  <c:v>28.12.2022</c:v>
                </c:pt>
                <c:pt idx="586">
                  <c:v>27.12.2022</c:v>
                </c:pt>
                <c:pt idx="587">
                  <c:v>26.12.2022</c:v>
                </c:pt>
                <c:pt idx="588">
                  <c:v>23.12.2022</c:v>
                </c:pt>
                <c:pt idx="589">
                  <c:v>22.12.2022</c:v>
                </c:pt>
                <c:pt idx="590">
                  <c:v>21.12.2022</c:v>
                </c:pt>
                <c:pt idx="591">
                  <c:v>20.12.2022</c:v>
                </c:pt>
                <c:pt idx="592">
                  <c:v>19.12.2022</c:v>
                </c:pt>
                <c:pt idx="593">
                  <c:v>16.12.2022</c:v>
                </c:pt>
                <c:pt idx="594">
                  <c:v>15.12.2022</c:v>
                </c:pt>
                <c:pt idx="595">
                  <c:v>14.12.2022</c:v>
                </c:pt>
                <c:pt idx="596">
                  <c:v>13.12.2022</c:v>
                </c:pt>
                <c:pt idx="597">
                  <c:v>09.12.2022</c:v>
                </c:pt>
                <c:pt idx="598">
                  <c:v>08.12.2022</c:v>
                </c:pt>
                <c:pt idx="599">
                  <c:v>07.12.2022</c:v>
                </c:pt>
                <c:pt idx="600">
                  <c:v>06.12.2022</c:v>
                </c:pt>
                <c:pt idx="601">
                  <c:v>05.12.2022</c:v>
                </c:pt>
                <c:pt idx="602">
                  <c:v>02.12.2022</c:v>
                </c:pt>
                <c:pt idx="603">
                  <c:v>01.12.2022</c:v>
                </c:pt>
                <c:pt idx="604">
                  <c:v>30.11.2022</c:v>
                </c:pt>
                <c:pt idx="605">
                  <c:v>29.11.2022</c:v>
                </c:pt>
                <c:pt idx="606">
                  <c:v>28.11.2022</c:v>
                </c:pt>
                <c:pt idx="607">
                  <c:v>25.11.2022</c:v>
                </c:pt>
                <c:pt idx="608">
                  <c:v>24.11.2022</c:v>
                </c:pt>
                <c:pt idx="609">
                  <c:v>23.11.2022</c:v>
                </c:pt>
                <c:pt idx="610">
                  <c:v>22.11.2022</c:v>
                </c:pt>
                <c:pt idx="611">
                  <c:v>18.11.2022</c:v>
                </c:pt>
                <c:pt idx="612">
                  <c:v>17.11.2022</c:v>
                </c:pt>
                <c:pt idx="613">
                  <c:v>16.11.2022</c:v>
                </c:pt>
                <c:pt idx="614">
                  <c:v>15.11.2022</c:v>
                </c:pt>
                <c:pt idx="615">
                  <c:v>14.11.2022</c:v>
                </c:pt>
                <c:pt idx="616">
                  <c:v>11.11.2022</c:v>
                </c:pt>
                <c:pt idx="617">
                  <c:v>10.11.2022</c:v>
                </c:pt>
                <c:pt idx="618">
                  <c:v>09.11.2022</c:v>
                </c:pt>
                <c:pt idx="619">
                  <c:v>08.11.2022</c:v>
                </c:pt>
                <c:pt idx="620">
                  <c:v>07.11.2022</c:v>
                </c:pt>
                <c:pt idx="621">
                  <c:v>04.11.2022</c:v>
                </c:pt>
                <c:pt idx="622">
                  <c:v>03.11.2022</c:v>
                </c:pt>
                <c:pt idx="623">
                  <c:v>01.11.2022</c:v>
                </c:pt>
                <c:pt idx="624">
                  <c:v>31.10.2022</c:v>
                </c:pt>
                <c:pt idx="625">
                  <c:v>28.10.2022</c:v>
                </c:pt>
                <c:pt idx="626">
                  <c:v>27.10.2022</c:v>
                </c:pt>
                <c:pt idx="627">
                  <c:v>26.10.2022</c:v>
                </c:pt>
                <c:pt idx="628">
                  <c:v>25.10.2022</c:v>
                </c:pt>
                <c:pt idx="629">
                  <c:v>24.10.2022</c:v>
                </c:pt>
                <c:pt idx="630">
                  <c:v>21.10.2022</c:v>
                </c:pt>
                <c:pt idx="631">
                  <c:v>20.10.2022</c:v>
                </c:pt>
                <c:pt idx="632">
                  <c:v>19.10.2022</c:v>
                </c:pt>
                <c:pt idx="633">
                  <c:v>18.10.2022</c:v>
                </c:pt>
                <c:pt idx="634">
                  <c:v>17.10.2022</c:v>
                </c:pt>
                <c:pt idx="635">
                  <c:v>14.10.2022</c:v>
                </c:pt>
                <c:pt idx="636">
                  <c:v>13.10.2022</c:v>
                </c:pt>
                <c:pt idx="637">
                  <c:v>12.10.2022</c:v>
                </c:pt>
                <c:pt idx="638">
                  <c:v>11.10.2022</c:v>
                </c:pt>
                <c:pt idx="639">
                  <c:v>10.10.2022</c:v>
                </c:pt>
                <c:pt idx="640">
                  <c:v>07.10.2022</c:v>
                </c:pt>
                <c:pt idx="641">
                  <c:v>06.10.2022</c:v>
                </c:pt>
                <c:pt idx="642">
                  <c:v>05.10.2022</c:v>
                </c:pt>
                <c:pt idx="643">
                  <c:v>04.10.2022</c:v>
                </c:pt>
                <c:pt idx="644">
                  <c:v>03.10.2022</c:v>
                </c:pt>
                <c:pt idx="645">
                  <c:v>30.09.2022</c:v>
                </c:pt>
                <c:pt idx="646">
                  <c:v>29.09.2022</c:v>
                </c:pt>
                <c:pt idx="647">
                  <c:v>28.09.2022</c:v>
                </c:pt>
                <c:pt idx="648">
                  <c:v>27.09.2022</c:v>
                </c:pt>
                <c:pt idx="649">
                  <c:v>26.09.2022</c:v>
                </c:pt>
                <c:pt idx="650">
                  <c:v>23.09.2022</c:v>
                </c:pt>
                <c:pt idx="651">
                  <c:v>22.09.2022</c:v>
                </c:pt>
                <c:pt idx="652">
                  <c:v>21.09.2022</c:v>
                </c:pt>
                <c:pt idx="653">
                  <c:v>20.09.2022</c:v>
                </c:pt>
                <c:pt idx="654">
                  <c:v>19.09.2022</c:v>
                </c:pt>
                <c:pt idx="655">
                  <c:v>15.09.2022</c:v>
                </c:pt>
                <c:pt idx="656">
                  <c:v>14.09.2022</c:v>
                </c:pt>
                <c:pt idx="657">
                  <c:v>13.09.2022</c:v>
                </c:pt>
                <c:pt idx="658">
                  <c:v>12.09.2022</c:v>
                </c:pt>
                <c:pt idx="659">
                  <c:v>09.09.2022</c:v>
                </c:pt>
                <c:pt idx="660">
                  <c:v>08.09.2022</c:v>
                </c:pt>
                <c:pt idx="661">
                  <c:v>07.09.2022</c:v>
                </c:pt>
                <c:pt idx="662">
                  <c:v>06.09.2022</c:v>
                </c:pt>
                <c:pt idx="663">
                  <c:v>05.09.2022</c:v>
                </c:pt>
                <c:pt idx="664">
                  <c:v>02.09.2022</c:v>
                </c:pt>
                <c:pt idx="665">
                  <c:v>01.09.2022</c:v>
                </c:pt>
                <c:pt idx="666">
                  <c:v>31.08.2022</c:v>
                </c:pt>
                <c:pt idx="667">
                  <c:v>30.08.2022</c:v>
                </c:pt>
                <c:pt idx="668">
                  <c:v>29.08.2022</c:v>
                </c:pt>
                <c:pt idx="669">
                  <c:v>26.08.2022</c:v>
                </c:pt>
                <c:pt idx="670">
                  <c:v>25.08.2022</c:v>
                </c:pt>
                <c:pt idx="671">
                  <c:v>24.08.2022</c:v>
                </c:pt>
                <c:pt idx="672">
                  <c:v>23.08.2022</c:v>
                </c:pt>
                <c:pt idx="673">
                  <c:v>22.08.2022</c:v>
                </c:pt>
                <c:pt idx="674">
                  <c:v>19.08.2022</c:v>
                </c:pt>
                <c:pt idx="675">
                  <c:v>18.08.2022</c:v>
                </c:pt>
                <c:pt idx="676">
                  <c:v>17.08.2022</c:v>
                </c:pt>
                <c:pt idx="677">
                  <c:v>16.08.2022</c:v>
                </c:pt>
                <c:pt idx="678">
                  <c:v>15.08.2022</c:v>
                </c:pt>
                <c:pt idx="679">
                  <c:v>12.08.2022</c:v>
                </c:pt>
                <c:pt idx="680">
                  <c:v>11.08.2022</c:v>
                </c:pt>
                <c:pt idx="681">
                  <c:v>10.08.2022</c:v>
                </c:pt>
                <c:pt idx="682">
                  <c:v>09.08.2022</c:v>
                </c:pt>
                <c:pt idx="683">
                  <c:v>08.08.2022</c:v>
                </c:pt>
                <c:pt idx="684">
                  <c:v>05.08.2022</c:v>
                </c:pt>
                <c:pt idx="685">
                  <c:v>04.08.2022</c:v>
                </c:pt>
                <c:pt idx="686">
                  <c:v>03.08.2022</c:v>
                </c:pt>
                <c:pt idx="687">
                  <c:v>02.08.2022</c:v>
                </c:pt>
                <c:pt idx="688">
                  <c:v>01.08.2022</c:v>
                </c:pt>
                <c:pt idx="689">
                  <c:v>29.07.2022</c:v>
                </c:pt>
                <c:pt idx="690">
                  <c:v>28.07.2022</c:v>
                </c:pt>
                <c:pt idx="691">
                  <c:v>27.07.2022</c:v>
                </c:pt>
                <c:pt idx="692">
                  <c:v>26.07.2022</c:v>
                </c:pt>
                <c:pt idx="693">
                  <c:v>25.07.2022</c:v>
                </c:pt>
                <c:pt idx="694">
                  <c:v>22.07.2022</c:v>
                </c:pt>
                <c:pt idx="695">
                  <c:v>21.07.2022</c:v>
                </c:pt>
                <c:pt idx="696">
                  <c:v>20.07.2022</c:v>
                </c:pt>
                <c:pt idx="697">
                  <c:v>19.07.2022</c:v>
                </c:pt>
                <c:pt idx="698">
                  <c:v>18.07.2022</c:v>
                </c:pt>
                <c:pt idx="699">
                  <c:v>15.07.2022</c:v>
                </c:pt>
                <c:pt idx="700">
                  <c:v>14.07.2022</c:v>
                </c:pt>
                <c:pt idx="701">
                  <c:v>13.07.2022</c:v>
                </c:pt>
                <c:pt idx="702">
                  <c:v>12.07.2022</c:v>
                </c:pt>
                <c:pt idx="703">
                  <c:v>11.07.2022</c:v>
                </c:pt>
                <c:pt idx="704">
                  <c:v>08.07.2022</c:v>
                </c:pt>
                <c:pt idx="705">
                  <c:v>07.07.2022</c:v>
                </c:pt>
                <c:pt idx="706">
                  <c:v>06.07.2022</c:v>
                </c:pt>
                <c:pt idx="707">
                  <c:v>05.07.2022</c:v>
                </c:pt>
                <c:pt idx="708">
                  <c:v>04.07.2022</c:v>
                </c:pt>
                <c:pt idx="709">
                  <c:v>01.07.2022</c:v>
                </c:pt>
                <c:pt idx="710">
                  <c:v>30.06.2022</c:v>
                </c:pt>
                <c:pt idx="711">
                  <c:v>29.06.2022</c:v>
                </c:pt>
                <c:pt idx="712">
                  <c:v>28.06.2022</c:v>
                </c:pt>
                <c:pt idx="713">
                  <c:v>27.06.2022</c:v>
                </c:pt>
                <c:pt idx="714">
                  <c:v>24.06.2022</c:v>
                </c:pt>
                <c:pt idx="715">
                  <c:v>23.06.2022</c:v>
                </c:pt>
                <c:pt idx="716">
                  <c:v>22.06.2022</c:v>
                </c:pt>
                <c:pt idx="717">
                  <c:v>21.06.2022</c:v>
                </c:pt>
                <c:pt idx="718">
                  <c:v>20.06.2022</c:v>
                </c:pt>
                <c:pt idx="719">
                  <c:v>17.06.2022</c:v>
                </c:pt>
                <c:pt idx="720">
                  <c:v>16.06.2022</c:v>
                </c:pt>
                <c:pt idx="721">
                  <c:v>15.06.2022</c:v>
                </c:pt>
                <c:pt idx="722">
                  <c:v>14.06.2022</c:v>
                </c:pt>
                <c:pt idx="723">
                  <c:v>13.06.2022</c:v>
                </c:pt>
                <c:pt idx="724">
                  <c:v>10.06.2022</c:v>
                </c:pt>
                <c:pt idx="725">
                  <c:v>09.06.2022</c:v>
                </c:pt>
                <c:pt idx="726">
                  <c:v>08.06.2022</c:v>
                </c:pt>
                <c:pt idx="727">
                  <c:v>07.06.2022</c:v>
                </c:pt>
                <c:pt idx="728">
                  <c:v>06.06.2022</c:v>
                </c:pt>
                <c:pt idx="729">
                  <c:v>03.06.2022</c:v>
                </c:pt>
                <c:pt idx="730">
                  <c:v>02.06.2022</c:v>
                </c:pt>
                <c:pt idx="731">
                  <c:v>01.06.2022</c:v>
                </c:pt>
                <c:pt idx="732">
                  <c:v>31.05.2022</c:v>
                </c:pt>
                <c:pt idx="733">
                  <c:v>30.05.2022</c:v>
                </c:pt>
                <c:pt idx="734">
                  <c:v>27.05.2022</c:v>
                </c:pt>
                <c:pt idx="735">
                  <c:v>26.05.2022</c:v>
                </c:pt>
                <c:pt idx="736">
                  <c:v>25.05.2022</c:v>
                </c:pt>
                <c:pt idx="737">
                  <c:v>24.05.2022</c:v>
                </c:pt>
                <c:pt idx="738">
                  <c:v>23.05.2022</c:v>
                </c:pt>
                <c:pt idx="739">
                  <c:v>20.05.2022</c:v>
                </c:pt>
                <c:pt idx="740">
                  <c:v>19.05.2022</c:v>
                </c:pt>
                <c:pt idx="741">
                  <c:v>18.05.2022</c:v>
                </c:pt>
                <c:pt idx="742">
                  <c:v>17.05.2022</c:v>
                </c:pt>
                <c:pt idx="743">
                  <c:v>16.05.2022</c:v>
                </c:pt>
                <c:pt idx="744">
                  <c:v>13.05.2022</c:v>
                </c:pt>
                <c:pt idx="745">
                  <c:v>12.05.2022</c:v>
                </c:pt>
                <c:pt idx="746">
                  <c:v>11.05.2022</c:v>
                </c:pt>
                <c:pt idx="747">
                  <c:v>10.05.2022</c:v>
                </c:pt>
                <c:pt idx="748">
                  <c:v>09.05.2022</c:v>
                </c:pt>
                <c:pt idx="749">
                  <c:v>06.05.2022</c:v>
                </c:pt>
                <c:pt idx="750">
                  <c:v>05.05.2022</c:v>
                </c:pt>
                <c:pt idx="751">
                  <c:v>04.05.2022</c:v>
                </c:pt>
                <c:pt idx="752">
                  <c:v>03.05.2022</c:v>
                </c:pt>
                <c:pt idx="753">
                  <c:v>02.05.2022</c:v>
                </c:pt>
                <c:pt idx="754">
                  <c:v>29.04.2022</c:v>
                </c:pt>
                <c:pt idx="755">
                  <c:v>28.04.2022</c:v>
                </c:pt>
                <c:pt idx="756">
                  <c:v>27.04.2022</c:v>
                </c:pt>
                <c:pt idx="757">
                  <c:v>26.04.2022</c:v>
                </c:pt>
                <c:pt idx="758">
                  <c:v>25.04.2022</c:v>
                </c:pt>
                <c:pt idx="759">
                  <c:v>22.04.2022</c:v>
                </c:pt>
                <c:pt idx="760">
                  <c:v>21.04.2022</c:v>
                </c:pt>
                <c:pt idx="761">
                  <c:v>20.04.2022</c:v>
                </c:pt>
                <c:pt idx="762">
                  <c:v>19.04.2022</c:v>
                </c:pt>
                <c:pt idx="763">
                  <c:v>18.04.2022</c:v>
                </c:pt>
                <c:pt idx="764">
                  <c:v>13.04.2022</c:v>
                </c:pt>
                <c:pt idx="765">
                  <c:v>12.04.2022</c:v>
                </c:pt>
                <c:pt idx="766">
                  <c:v>11.04.2022</c:v>
                </c:pt>
                <c:pt idx="767">
                  <c:v>08.04.2022</c:v>
                </c:pt>
                <c:pt idx="768">
                  <c:v>07.04.2022</c:v>
                </c:pt>
                <c:pt idx="769">
                  <c:v>06.04.2022</c:v>
                </c:pt>
                <c:pt idx="770">
                  <c:v>05.04.2022</c:v>
                </c:pt>
                <c:pt idx="771">
                  <c:v>04.04.2022</c:v>
                </c:pt>
                <c:pt idx="772">
                  <c:v>01.04.2022</c:v>
                </c:pt>
                <c:pt idx="773">
                  <c:v>31.03.2022</c:v>
                </c:pt>
                <c:pt idx="774">
                  <c:v>30.03.2022</c:v>
                </c:pt>
                <c:pt idx="775">
                  <c:v>29.03.2022</c:v>
                </c:pt>
                <c:pt idx="776">
                  <c:v>28.03.2022</c:v>
                </c:pt>
                <c:pt idx="777">
                  <c:v>25.03.2022</c:v>
                </c:pt>
                <c:pt idx="778">
                  <c:v>24.03.2022</c:v>
                </c:pt>
                <c:pt idx="779">
                  <c:v>23.03.2022</c:v>
                </c:pt>
                <c:pt idx="780">
                  <c:v>22.03.2022</c:v>
                </c:pt>
                <c:pt idx="781">
                  <c:v>18.03.2022</c:v>
                </c:pt>
                <c:pt idx="782">
                  <c:v>17.03.2022</c:v>
                </c:pt>
                <c:pt idx="783">
                  <c:v>16.03.2022</c:v>
                </c:pt>
                <c:pt idx="784">
                  <c:v>15.03.2022</c:v>
                </c:pt>
                <c:pt idx="785">
                  <c:v>14.03.2022</c:v>
                </c:pt>
                <c:pt idx="786">
                  <c:v>11.03.2022</c:v>
                </c:pt>
                <c:pt idx="787">
                  <c:v>10.03.2022</c:v>
                </c:pt>
                <c:pt idx="788">
                  <c:v>09.03.2022</c:v>
                </c:pt>
                <c:pt idx="789">
                  <c:v>08.03.2022</c:v>
                </c:pt>
                <c:pt idx="790">
                  <c:v>07.03.2022</c:v>
                </c:pt>
                <c:pt idx="791">
                  <c:v>04.03.2022</c:v>
                </c:pt>
                <c:pt idx="792">
                  <c:v>03.03.2022</c:v>
                </c:pt>
                <c:pt idx="793">
                  <c:v>02.03.2022</c:v>
                </c:pt>
                <c:pt idx="794">
                  <c:v>01.03.2022</c:v>
                </c:pt>
                <c:pt idx="795">
                  <c:v>28.02.2022</c:v>
                </c:pt>
                <c:pt idx="796">
                  <c:v>25.02.2022</c:v>
                </c:pt>
                <c:pt idx="797">
                  <c:v>24.02.2022</c:v>
                </c:pt>
                <c:pt idx="798">
                  <c:v>23.02.2022</c:v>
                </c:pt>
                <c:pt idx="799">
                  <c:v>22.02.2022</c:v>
                </c:pt>
                <c:pt idx="800">
                  <c:v>21.02.2022</c:v>
                </c:pt>
                <c:pt idx="801">
                  <c:v>18.02.2022</c:v>
                </c:pt>
                <c:pt idx="802">
                  <c:v>17.02.2022</c:v>
                </c:pt>
                <c:pt idx="803">
                  <c:v>16.02.2022</c:v>
                </c:pt>
                <c:pt idx="804">
                  <c:v>15.02.2022</c:v>
                </c:pt>
                <c:pt idx="805">
                  <c:v>14.02.2022</c:v>
                </c:pt>
                <c:pt idx="806">
                  <c:v>11.02.2022</c:v>
                </c:pt>
                <c:pt idx="807">
                  <c:v>10.02.2022</c:v>
                </c:pt>
                <c:pt idx="808">
                  <c:v>09.02.2022</c:v>
                </c:pt>
                <c:pt idx="809">
                  <c:v>08.02.2022</c:v>
                </c:pt>
                <c:pt idx="810">
                  <c:v>04.02.2022</c:v>
                </c:pt>
                <c:pt idx="811">
                  <c:v>03.02.2022</c:v>
                </c:pt>
                <c:pt idx="812">
                  <c:v>02.02.2022</c:v>
                </c:pt>
                <c:pt idx="813">
                  <c:v>01.02.2022</c:v>
                </c:pt>
                <c:pt idx="814">
                  <c:v>31.01.2022</c:v>
                </c:pt>
                <c:pt idx="815">
                  <c:v>28.01.2022</c:v>
                </c:pt>
                <c:pt idx="816">
                  <c:v>27.01.2022</c:v>
                </c:pt>
                <c:pt idx="817">
                  <c:v>26.01.2022</c:v>
                </c:pt>
                <c:pt idx="818">
                  <c:v>25.01.2022</c:v>
                </c:pt>
                <c:pt idx="819">
                  <c:v>24.01.2022</c:v>
                </c:pt>
                <c:pt idx="820">
                  <c:v>21.01.2022</c:v>
                </c:pt>
                <c:pt idx="821">
                  <c:v>20.01.2022</c:v>
                </c:pt>
                <c:pt idx="822">
                  <c:v>19.01.2022</c:v>
                </c:pt>
                <c:pt idx="823">
                  <c:v>18.01.2022</c:v>
                </c:pt>
                <c:pt idx="824">
                  <c:v>17.01.2022</c:v>
                </c:pt>
                <c:pt idx="825">
                  <c:v>14.01.2022</c:v>
                </c:pt>
                <c:pt idx="826">
                  <c:v>13.01.2022</c:v>
                </c:pt>
                <c:pt idx="827">
                  <c:v>12.01.2022</c:v>
                </c:pt>
                <c:pt idx="828">
                  <c:v>11.01.2022</c:v>
                </c:pt>
                <c:pt idx="829">
                  <c:v>10.01.2022</c:v>
                </c:pt>
                <c:pt idx="830">
                  <c:v>07.01.2022</c:v>
                </c:pt>
                <c:pt idx="831">
                  <c:v>06.01.2022</c:v>
                </c:pt>
                <c:pt idx="832">
                  <c:v>05.01.2022</c:v>
                </c:pt>
                <c:pt idx="833">
                  <c:v>04.01.2022</c:v>
                </c:pt>
                <c:pt idx="834">
                  <c:v>03.01.2022</c:v>
                </c:pt>
                <c:pt idx="835">
                  <c:v>31.12.2021</c:v>
                </c:pt>
                <c:pt idx="836">
                  <c:v>30.12.2021</c:v>
                </c:pt>
                <c:pt idx="837">
                  <c:v>29.12.2021</c:v>
                </c:pt>
                <c:pt idx="838">
                  <c:v>28.12.2021</c:v>
                </c:pt>
                <c:pt idx="839">
                  <c:v>27.12.2021</c:v>
                </c:pt>
                <c:pt idx="840">
                  <c:v>24.12.2021</c:v>
                </c:pt>
                <c:pt idx="841">
                  <c:v>23.12.2021</c:v>
                </c:pt>
                <c:pt idx="842">
                  <c:v>22.12.2021</c:v>
                </c:pt>
                <c:pt idx="843">
                  <c:v>21.12.2021</c:v>
                </c:pt>
                <c:pt idx="844">
                  <c:v>20.12.2021</c:v>
                </c:pt>
                <c:pt idx="845">
                  <c:v>17.12.2021</c:v>
                </c:pt>
                <c:pt idx="846">
                  <c:v>16.12.2021</c:v>
                </c:pt>
                <c:pt idx="847">
                  <c:v>15.12.2021</c:v>
                </c:pt>
                <c:pt idx="848">
                  <c:v>14.12.2021</c:v>
                </c:pt>
                <c:pt idx="849">
                  <c:v>13.12.2021</c:v>
                </c:pt>
                <c:pt idx="850">
                  <c:v>10.12.2021</c:v>
                </c:pt>
                <c:pt idx="851">
                  <c:v>09.12.2021</c:v>
                </c:pt>
                <c:pt idx="852">
                  <c:v>08.12.2021</c:v>
                </c:pt>
                <c:pt idx="853">
                  <c:v>07.12.2021</c:v>
                </c:pt>
                <c:pt idx="854">
                  <c:v>06.12.2021</c:v>
                </c:pt>
                <c:pt idx="855">
                  <c:v>03.12.2021</c:v>
                </c:pt>
                <c:pt idx="856">
                  <c:v>02.12.2021</c:v>
                </c:pt>
                <c:pt idx="857">
                  <c:v>01.12.2021</c:v>
                </c:pt>
                <c:pt idx="858">
                  <c:v>30.11.2021</c:v>
                </c:pt>
                <c:pt idx="859">
                  <c:v>29.11.2021</c:v>
                </c:pt>
                <c:pt idx="860">
                  <c:v>26.11.2021</c:v>
                </c:pt>
                <c:pt idx="861">
                  <c:v>25.11.2021</c:v>
                </c:pt>
                <c:pt idx="862">
                  <c:v>24.11.2021</c:v>
                </c:pt>
                <c:pt idx="863">
                  <c:v>23.11.2021</c:v>
                </c:pt>
                <c:pt idx="864">
                  <c:v>22.11.2021</c:v>
                </c:pt>
                <c:pt idx="865">
                  <c:v>19.11.2021</c:v>
                </c:pt>
                <c:pt idx="866">
                  <c:v>18.11.2021</c:v>
                </c:pt>
                <c:pt idx="867">
                  <c:v>17.11.2021</c:v>
                </c:pt>
                <c:pt idx="868">
                  <c:v>16.11.2021</c:v>
                </c:pt>
                <c:pt idx="869">
                  <c:v>12.11.2021</c:v>
                </c:pt>
                <c:pt idx="870">
                  <c:v>11.11.2021</c:v>
                </c:pt>
                <c:pt idx="871">
                  <c:v>10.11.2021</c:v>
                </c:pt>
                <c:pt idx="872">
                  <c:v>09.11.2021</c:v>
                </c:pt>
                <c:pt idx="873">
                  <c:v>08.11.2021</c:v>
                </c:pt>
                <c:pt idx="874">
                  <c:v>05.11.2021</c:v>
                </c:pt>
                <c:pt idx="875">
                  <c:v>04.11.2021</c:v>
                </c:pt>
                <c:pt idx="876">
                  <c:v>03.11.2021</c:v>
                </c:pt>
                <c:pt idx="877">
                  <c:v>01.11.2021</c:v>
                </c:pt>
                <c:pt idx="878">
                  <c:v>29.10.2021</c:v>
                </c:pt>
                <c:pt idx="879">
                  <c:v>28.10.2021</c:v>
                </c:pt>
                <c:pt idx="880">
                  <c:v>27.10.2021</c:v>
                </c:pt>
                <c:pt idx="881">
                  <c:v>26.10.2021</c:v>
                </c:pt>
                <c:pt idx="882">
                  <c:v>25.10.2021</c:v>
                </c:pt>
                <c:pt idx="883">
                  <c:v>22.10.2021</c:v>
                </c:pt>
                <c:pt idx="884">
                  <c:v>21.10.2021</c:v>
                </c:pt>
                <c:pt idx="885">
                  <c:v>20.10.2021</c:v>
                </c:pt>
                <c:pt idx="886">
                  <c:v>19.10.2021</c:v>
                </c:pt>
                <c:pt idx="887">
                  <c:v>18.10.2021</c:v>
                </c:pt>
                <c:pt idx="888">
                  <c:v>15.10.2021</c:v>
                </c:pt>
                <c:pt idx="889">
                  <c:v>14.10.2021</c:v>
                </c:pt>
                <c:pt idx="890">
                  <c:v>13.10.2021</c:v>
                </c:pt>
                <c:pt idx="891">
                  <c:v>12.10.2021</c:v>
                </c:pt>
                <c:pt idx="892">
                  <c:v>11.10.2021</c:v>
                </c:pt>
                <c:pt idx="893">
                  <c:v>08.10.2021</c:v>
                </c:pt>
                <c:pt idx="894">
                  <c:v>07.10.2021</c:v>
                </c:pt>
                <c:pt idx="895">
                  <c:v>06.10.2021</c:v>
                </c:pt>
                <c:pt idx="896">
                  <c:v>05.10.2021</c:v>
                </c:pt>
                <c:pt idx="897">
                  <c:v>04.10.2021</c:v>
                </c:pt>
                <c:pt idx="898">
                  <c:v>01.10.2021</c:v>
                </c:pt>
                <c:pt idx="899">
                  <c:v>30.09.2021</c:v>
                </c:pt>
                <c:pt idx="900">
                  <c:v>29.09.2021</c:v>
                </c:pt>
                <c:pt idx="901">
                  <c:v>28.09.2021</c:v>
                </c:pt>
                <c:pt idx="902">
                  <c:v>27.09.2021</c:v>
                </c:pt>
                <c:pt idx="903">
                  <c:v>24.09.2021</c:v>
                </c:pt>
                <c:pt idx="904">
                  <c:v>23.09.2021</c:v>
                </c:pt>
                <c:pt idx="905">
                  <c:v>22.09.2021</c:v>
                </c:pt>
                <c:pt idx="906">
                  <c:v>21.09.2021</c:v>
                </c:pt>
                <c:pt idx="907">
                  <c:v>20.09.2021</c:v>
                </c:pt>
                <c:pt idx="908">
                  <c:v>17.09.2021</c:v>
                </c:pt>
                <c:pt idx="909">
                  <c:v>15.09.2021</c:v>
                </c:pt>
                <c:pt idx="910">
                  <c:v>14.09.2021</c:v>
                </c:pt>
                <c:pt idx="911">
                  <c:v>13.09.2021</c:v>
                </c:pt>
                <c:pt idx="912">
                  <c:v>10.09.2021</c:v>
                </c:pt>
                <c:pt idx="913">
                  <c:v>09.09.2021</c:v>
                </c:pt>
                <c:pt idx="914">
                  <c:v>08.09.2021</c:v>
                </c:pt>
                <c:pt idx="915">
                  <c:v>07.09.2021</c:v>
                </c:pt>
                <c:pt idx="916">
                  <c:v>06.09.2021</c:v>
                </c:pt>
                <c:pt idx="917">
                  <c:v>03.09.2021</c:v>
                </c:pt>
                <c:pt idx="918">
                  <c:v>02.09.2021</c:v>
                </c:pt>
                <c:pt idx="919">
                  <c:v>01.09.2021</c:v>
                </c:pt>
                <c:pt idx="920">
                  <c:v>31.08.2021</c:v>
                </c:pt>
                <c:pt idx="921">
                  <c:v>30.08.2021</c:v>
                </c:pt>
                <c:pt idx="922">
                  <c:v>27.08.2021</c:v>
                </c:pt>
                <c:pt idx="923">
                  <c:v>26.08.2021</c:v>
                </c:pt>
                <c:pt idx="924">
                  <c:v>25.08.2021</c:v>
                </c:pt>
                <c:pt idx="925">
                  <c:v>24.08.2021</c:v>
                </c:pt>
                <c:pt idx="926">
                  <c:v>23.08.2021</c:v>
                </c:pt>
                <c:pt idx="927">
                  <c:v>20.08.2021</c:v>
                </c:pt>
                <c:pt idx="928">
                  <c:v>19.08.2021</c:v>
                </c:pt>
                <c:pt idx="929">
                  <c:v>18.08.2021</c:v>
                </c:pt>
                <c:pt idx="930">
                  <c:v>17.08.2021</c:v>
                </c:pt>
                <c:pt idx="931">
                  <c:v>16.08.2021</c:v>
                </c:pt>
                <c:pt idx="932">
                  <c:v>13.08.2021</c:v>
                </c:pt>
                <c:pt idx="933">
                  <c:v>12.08.2021</c:v>
                </c:pt>
                <c:pt idx="934">
                  <c:v>11.08.2021</c:v>
                </c:pt>
                <c:pt idx="935">
                  <c:v>10.08.2021</c:v>
                </c:pt>
                <c:pt idx="936">
                  <c:v>09.08.2021</c:v>
                </c:pt>
                <c:pt idx="937">
                  <c:v>06.08.2021</c:v>
                </c:pt>
                <c:pt idx="938">
                  <c:v>05.08.2021</c:v>
                </c:pt>
                <c:pt idx="939">
                  <c:v>04.08.2021</c:v>
                </c:pt>
                <c:pt idx="940">
                  <c:v>03.08.2021</c:v>
                </c:pt>
                <c:pt idx="941">
                  <c:v>02.08.2021</c:v>
                </c:pt>
                <c:pt idx="942">
                  <c:v>30.07.2021</c:v>
                </c:pt>
                <c:pt idx="943">
                  <c:v>29.07.2021</c:v>
                </c:pt>
                <c:pt idx="944">
                  <c:v>28.07.2021</c:v>
                </c:pt>
                <c:pt idx="945">
                  <c:v>27.07.2021</c:v>
                </c:pt>
                <c:pt idx="946">
                  <c:v>26.07.2021</c:v>
                </c:pt>
                <c:pt idx="947">
                  <c:v>23.07.2021</c:v>
                </c:pt>
                <c:pt idx="948">
                  <c:v>22.07.2021</c:v>
                </c:pt>
                <c:pt idx="949">
                  <c:v>21.07.2021</c:v>
                </c:pt>
                <c:pt idx="950">
                  <c:v>20.07.2021</c:v>
                </c:pt>
                <c:pt idx="951">
                  <c:v>19.07.2021</c:v>
                </c:pt>
                <c:pt idx="952">
                  <c:v>16.07.2021</c:v>
                </c:pt>
                <c:pt idx="953">
                  <c:v>15.07.2021</c:v>
                </c:pt>
                <c:pt idx="954">
                  <c:v>14.07.2021</c:v>
                </c:pt>
                <c:pt idx="955">
                  <c:v>13.07.2021</c:v>
                </c:pt>
                <c:pt idx="956">
                  <c:v>12.07.2021</c:v>
                </c:pt>
                <c:pt idx="957">
                  <c:v>09.07.2021</c:v>
                </c:pt>
                <c:pt idx="958">
                  <c:v>08.07.2021</c:v>
                </c:pt>
                <c:pt idx="959">
                  <c:v>07.07.2021</c:v>
                </c:pt>
                <c:pt idx="960">
                  <c:v>06.07.2021</c:v>
                </c:pt>
                <c:pt idx="961">
                  <c:v>05.07.2021</c:v>
                </c:pt>
                <c:pt idx="962">
                  <c:v>02.07.2021</c:v>
                </c:pt>
                <c:pt idx="963">
                  <c:v>01.07.2021</c:v>
                </c:pt>
                <c:pt idx="964">
                  <c:v>30.06.2021</c:v>
                </c:pt>
                <c:pt idx="965">
                  <c:v>29.06.2021</c:v>
                </c:pt>
                <c:pt idx="966">
                  <c:v>28.06.2021</c:v>
                </c:pt>
                <c:pt idx="967">
                  <c:v>25.06.2021</c:v>
                </c:pt>
                <c:pt idx="968">
                  <c:v>24.06.2021</c:v>
                </c:pt>
                <c:pt idx="969">
                  <c:v>23.06.2021</c:v>
                </c:pt>
                <c:pt idx="970">
                  <c:v>22.06.2021</c:v>
                </c:pt>
                <c:pt idx="971">
                  <c:v>21.06.2021</c:v>
                </c:pt>
                <c:pt idx="972">
                  <c:v>18.06.2021</c:v>
                </c:pt>
                <c:pt idx="973">
                  <c:v>17.06.2021</c:v>
                </c:pt>
                <c:pt idx="974">
                  <c:v>16.06.2021</c:v>
                </c:pt>
                <c:pt idx="975">
                  <c:v>15.06.2021</c:v>
                </c:pt>
                <c:pt idx="976">
                  <c:v>14.06.2021</c:v>
                </c:pt>
                <c:pt idx="977">
                  <c:v>11.06.2021</c:v>
                </c:pt>
                <c:pt idx="978">
                  <c:v>10.06.2021</c:v>
                </c:pt>
                <c:pt idx="979">
                  <c:v>09.06.2021</c:v>
                </c:pt>
                <c:pt idx="980">
                  <c:v>08.06.2021</c:v>
                </c:pt>
                <c:pt idx="981">
                  <c:v>07.06.2021</c:v>
                </c:pt>
                <c:pt idx="982">
                  <c:v>04.06.2021</c:v>
                </c:pt>
                <c:pt idx="983">
                  <c:v>03.06.2021</c:v>
                </c:pt>
                <c:pt idx="984">
                  <c:v>02.06.2021</c:v>
                </c:pt>
                <c:pt idx="985">
                  <c:v>01.06.2021</c:v>
                </c:pt>
                <c:pt idx="986">
                  <c:v>31.05.2021</c:v>
                </c:pt>
                <c:pt idx="987">
                  <c:v>28.05.2021</c:v>
                </c:pt>
                <c:pt idx="988">
                  <c:v>27.05.2021</c:v>
                </c:pt>
                <c:pt idx="989">
                  <c:v>26.05.2021</c:v>
                </c:pt>
                <c:pt idx="990">
                  <c:v>25.05.2021</c:v>
                </c:pt>
                <c:pt idx="991">
                  <c:v>24.05.2021</c:v>
                </c:pt>
                <c:pt idx="992">
                  <c:v>21.05.2021</c:v>
                </c:pt>
                <c:pt idx="993">
                  <c:v>20.05.2021</c:v>
                </c:pt>
                <c:pt idx="994">
                  <c:v>19.05.2021</c:v>
                </c:pt>
                <c:pt idx="995">
                  <c:v>18.05.2021</c:v>
                </c:pt>
                <c:pt idx="996">
                  <c:v>17.05.2021</c:v>
                </c:pt>
                <c:pt idx="997">
                  <c:v>14.05.2021</c:v>
                </c:pt>
                <c:pt idx="998">
                  <c:v>13.05.2021</c:v>
                </c:pt>
                <c:pt idx="999">
                  <c:v>12.05.2021</c:v>
                </c:pt>
                <c:pt idx="1000">
                  <c:v>11.05.2021</c:v>
                </c:pt>
                <c:pt idx="1001">
                  <c:v>10.05.2021</c:v>
                </c:pt>
                <c:pt idx="1002">
                  <c:v>07.05.2021</c:v>
                </c:pt>
                <c:pt idx="1003">
                  <c:v>06.05.2021</c:v>
                </c:pt>
                <c:pt idx="1004">
                  <c:v>05.05.2021</c:v>
                </c:pt>
                <c:pt idx="1005">
                  <c:v>04.05.2021</c:v>
                </c:pt>
                <c:pt idx="1006">
                  <c:v>03.05.2021</c:v>
                </c:pt>
                <c:pt idx="1007">
                  <c:v>30.04.2021</c:v>
                </c:pt>
                <c:pt idx="1008">
                  <c:v>29.04.2021</c:v>
                </c:pt>
                <c:pt idx="1009">
                  <c:v>28.04.2021</c:v>
                </c:pt>
                <c:pt idx="1010">
                  <c:v>27.04.2021</c:v>
                </c:pt>
                <c:pt idx="1011">
                  <c:v>26.04.2021</c:v>
                </c:pt>
                <c:pt idx="1012">
                  <c:v>23.04.2021</c:v>
                </c:pt>
                <c:pt idx="1013">
                  <c:v>22.04.2021</c:v>
                </c:pt>
                <c:pt idx="1014">
                  <c:v>21.04.2021</c:v>
                </c:pt>
                <c:pt idx="1015">
                  <c:v>20.04.2021</c:v>
                </c:pt>
                <c:pt idx="1016">
                  <c:v>19.04.2021</c:v>
                </c:pt>
                <c:pt idx="1017">
                  <c:v>16.04.2021</c:v>
                </c:pt>
                <c:pt idx="1018">
                  <c:v>15.04.2021</c:v>
                </c:pt>
                <c:pt idx="1019">
                  <c:v>14.04.2021</c:v>
                </c:pt>
                <c:pt idx="1020">
                  <c:v>13.04.2021</c:v>
                </c:pt>
                <c:pt idx="1021">
                  <c:v>12.04.2021</c:v>
                </c:pt>
                <c:pt idx="1022">
                  <c:v>09.04.2021</c:v>
                </c:pt>
                <c:pt idx="1023">
                  <c:v>08.04.2021</c:v>
                </c:pt>
                <c:pt idx="1024">
                  <c:v>07.04.2021</c:v>
                </c:pt>
                <c:pt idx="1025">
                  <c:v>06.04.2021</c:v>
                </c:pt>
                <c:pt idx="1026">
                  <c:v>05.04.2021</c:v>
                </c:pt>
                <c:pt idx="1027">
                  <c:v>31.03.2021</c:v>
                </c:pt>
                <c:pt idx="1028">
                  <c:v>30.03.2021</c:v>
                </c:pt>
                <c:pt idx="1029">
                  <c:v>29.03.2021</c:v>
                </c:pt>
                <c:pt idx="1030">
                  <c:v>26.03.2021</c:v>
                </c:pt>
                <c:pt idx="1031">
                  <c:v>25.03.2021</c:v>
                </c:pt>
                <c:pt idx="1032">
                  <c:v>24.03.2021</c:v>
                </c:pt>
                <c:pt idx="1033">
                  <c:v>23.03.2021</c:v>
                </c:pt>
                <c:pt idx="1034">
                  <c:v>22.03.2021</c:v>
                </c:pt>
                <c:pt idx="1035">
                  <c:v>19.03.2021</c:v>
                </c:pt>
                <c:pt idx="1036">
                  <c:v>18.03.2021</c:v>
                </c:pt>
                <c:pt idx="1037">
                  <c:v>17.03.2021</c:v>
                </c:pt>
                <c:pt idx="1038">
                  <c:v>16.03.2021</c:v>
                </c:pt>
                <c:pt idx="1039">
                  <c:v>12.03.2021</c:v>
                </c:pt>
                <c:pt idx="1040">
                  <c:v>11.03.2021</c:v>
                </c:pt>
                <c:pt idx="1041">
                  <c:v>10.03.2021</c:v>
                </c:pt>
                <c:pt idx="1042">
                  <c:v>09.03.2021</c:v>
                </c:pt>
                <c:pt idx="1043">
                  <c:v>08.03.2021</c:v>
                </c:pt>
                <c:pt idx="1044">
                  <c:v>05.03.2021</c:v>
                </c:pt>
                <c:pt idx="1045">
                  <c:v>04.03.2021</c:v>
                </c:pt>
                <c:pt idx="1046">
                  <c:v>03.03.2021</c:v>
                </c:pt>
                <c:pt idx="1047">
                  <c:v>02.03.2021</c:v>
                </c:pt>
                <c:pt idx="1048">
                  <c:v>01.03.2021</c:v>
                </c:pt>
                <c:pt idx="1049">
                  <c:v>26.02.2021</c:v>
                </c:pt>
                <c:pt idx="1050">
                  <c:v>25.02.2021</c:v>
                </c:pt>
                <c:pt idx="1051">
                  <c:v>24.02.2021</c:v>
                </c:pt>
                <c:pt idx="1052">
                  <c:v>23.02.2021</c:v>
                </c:pt>
                <c:pt idx="1053">
                  <c:v>22.02.2021</c:v>
                </c:pt>
                <c:pt idx="1054">
                  <c:v>19.02.2021</c:v>
                </c:pt>
                <c:pt idx="1055">
                  <c:v>18.02.2021</c:v>
                </c:pt>
                <c:pt idx="1056">
                  <c:v>17.02.2021</c:v>
                </c:pt>
                <c:pt idx="1057">
                  <c:v>16.02.2021</c:v>
                </c:pt>
                <c:pt idx="1058">
                  <c:v>15.02.2021</c:v>
                </c:pt>
                <c:pt idx="1059">
                  <c:v>12.02.2021</c:v>
                </c:pt>
                <c:pt idx="1060">
                  <c:v>11.02.2021</c:v>
                </c:pt>
                <c:pt idx="1061">
                  <c:v>10.02.2021</c:v>
                </c:pt>
                <c:pt idx="1062">
                  <c:v>09.02.2021</c:v>
                </c:pt>
                <c:pt idx="1063">
                  <c:v>08.02.2021</c:v>
                </c:pt>
                <c:pt idx="1064">
                  <c:v>05.02.2021</c:v>
                </c:pt>
                <c:pt idx="1065">
                  <c:v>04.02.2021</c:v>
                </c:pt>
                <c:pt idx="1066">
                  <c:v>03.02.2021</c:v>
                </c:pt>
                <c:pt idx="1067">
                  <c:v>02.02.2021</c:v>
                </c:pt>
                <c:pt idx="1068">
                  <c:v>29.01.2021</c:v>
                </c:pt>
                <c:pt idx="1069">
                  <c:v>28.01.2021</c:v>
                </c:pt>
                <c:pt idx="1070">
                  <c:v>27.01.2021</c:v>
                </c:pt>
                <c:pt idx="1071">
                  <c:v>26.01.2021</c:v>
                </c:pt>
                <c:pt idx="1072">
                  <c:v>25.01.2021</c:v>
                </c:pt>
                <c:pt idx="1073">
                  <c:v>22.01.2021</c:v>
                </c:pt>
                <c:pt idx="1074">
                  <c:v>21.01.2021</c:v>
                </c:pt>
                <c:pt idx="1075">
                  <c:v>20.01.2021</c:v>
                </c:pt>
                <c:pt idx="1076">
                  <c:v>19.01.2021</c:v>
                </c:pt>
                <c:pt idx="1077">
                  <c:v>18.01.2021</c:v>
                </c:pt>
                <c:pt idx="1078">
                  <c:v>15.01.2021</c:v>
                </c:pt>
                <c:pt idx="1079">
                  <c:v>14.01.2021</c:v>
                </c:pt>
                <c:pt idx="1080">
                  <c:v>13.01.2021</c:v>
                </c:pt>
                <c:pt idx="1081">
                  <c:v>12.01.2021</c:v>
                </c:pt>
                <c:pt idx="1082">
                  <c:v>11.01.2021</c:v>
                </c:pt>
                <c:pt idx="1083">
                  <c:v>08.01.2021</c:v>
                </c:pt>
                <c:pt idx="1084">
                  <c:v>07.01.2021</c:v>
                </c:pt>
                <c:pt idx="1085">
                  <c:v>06.01.2021</c:v>
                </c:pt>
                <c:pt idx="1086">
                  <c:v>05.01.2021</c:v>
                </c:pt>
                <c:pt idx="1087">
                  <c:v>04.01.2021</c:v>
                </c:pt>
                <c:pt idx="1088">
                  <c:v>31.12.2020</c:v>
                </c:pt>
                <c:pt idx="1089">
                  <c:v>30.12.2020</c:v>
                </c:pt>
                <c:pt idx="1090">
                  <c:v>29.12.2020</c:v>
                </c:pt>
                <c:pt idx="1091">
                  <c:v>28.12.2020</c:v>
                </c:pt>
                <c:pt idx="1092">
                  <c:v>24.12.2020</c:v>
                </c:pt>
                <c:pt idx="1093">
                  <c:v>23.12.2020</c:v>
                </c:pt>
                <c:pt idx="1094">
                  <c:v>22.12.2020</c:v>
                </c:pt>
                <c:pt idx="1095">
                  <c:v>21.12.2020</c:v>
                </c:pt>
                <c:pt idx="1096">
                  <c:v>18.12.2020</c:v>
                </c:pt>
                <c:pt idx="1097">
                  <c:v>17.12.2020</c:v>
                </c:pt>
                <c:pt idx="1098">
                  <c:v>16.12.2020</c:v>
                </c:pt>
                <c:pt idx="1099">
                  <c:v>15.12.2020</c:v>
                </c:pt>
                <c:pt idx="1100">
                  <c:v>14.12.2020</c:v>
                </c:pt>
                <c:pt idx="1101">
                  <c:v>11.12.2020</c:v>
                </c:pt>
                <c:pt idx="1102">
                  <c:v>10.12.2020</c:v>
                </c:pt>
                <c:pt idx="1103">
                  <c:v>09.12.2020</c:v>
                </c:pt>
                <c:pt idx="1104">
                  <c:v>08.12.2020</c:v>
                </c:pt>
                <c:pt idx="1105">
                  <c:v>07.12.2020</c:v>
                </c:pt>
                <c:pt idx="1106">
                  <c:v>04.12.2020</c:v>
                </c:pt>
                <c:pt idx="1107">
                  <c:v>03.12.2020</c:v>
                </c:pt>
                <c:pt idx="1108">
                  <c:v>02.12.2020</c:v>
                </c:pt>
                <c:pt idx="1109">
                  <c:v>01.12.2020</c:v>
                </c:pt>
                <c:pt idx="1110">
                  <c:v>30.11.2020</c:v>
                </c:pt>
                <c:pt idx="1111">
                  <c:v>27.11.2020</c:v>
                </c:pt>
                <c:pt idx="1112">
                  <c:v>26.11.2020</c:v>
                </c:pt>
                <c:pt idx="1113">
                  <c:v>25.11.2020</c:v>
                </c:pt>
                <c:pt idx="1114">
                  <c:v>24.11.2020</c:v>
                </c:pt>
                <c:pt idx="1115">
                  <c:v>23.11.2020</c:v>
                </c:pt>
                <c:pt idx="1116">
                  <c:v>20.11.2020</c:v>
                </c:pt>
                <c:pt idx="1117">
                  <c:v>19.11.2020</c:v>
                </c:pt>
                <c:pt idx="1118">
                  <c:v>18.11.2020</c:v>
                </c:pt>
                <c:pt idx="1119">
                  <c:v>17.11.2020</c:v>
                </c:pt>
                <c:pt idx="1120">
                  <c:v>13.11.2020</c:v>
                </c:pt>
                <c:pt idx="1121">
                  <c:v>12.11.2020</c:v>
                </c:pt>
                <c:pt idx="1122">
                  <c:v>11.11.2020</c:v>
                </c:pt>
                <c:pt idx="1123">
                  <c:v>10.11.2020</c:v>
                </c:pt>
                <c:pt idx="1124">
                  <c:v>09.11.2020</c:v>
                </c:pt>
                <c:pt idx="1125">
                  <c:v>06.11.2020</c:v>
                </c:pt>
                <c:pt idx="1126">
                  <c:v>05.11.2020</c:v>
                </c:pt>
                <c:pt idx="1127">
                  <c:v>04.11.2020</c:v>
                </c:pt>
                <c:pt idx="1128">
                  <c:v>03.11.2020</c:v>
                </c:pt>
                <c:pt idx="1129">
                  <c:v>30.10.2020</c:v>
                </c:pt>
                <c:pt idx="1130">
                  <c:v>29.10.2020</c:v>
                </c:pt>
                <c:pt idx="1131">
                  <c:v>28.10.2020</c:v>
                </c:pt>
                <c:pt idx="1132">
                  <c:v>27.10.2020</c:v>
                </c:pt>
                <c:pt idx="1133">
                  <c:v>26.10.2020</c:v>
                </c:pt>
                <c:pt idx="1134">
                  <c:v>23.10.2020</c:v>
                </c:pt>
                <c:pt idx="1135">
                  <c:v>22.10.2020</c:v>
                </c:pt>
                <c:pt idx="1136">
                  <c:v>21.10.2020</c:v>
                </c:pt>
                <c:pt idx="1137">
                  <c:v>20.10.2020</c:v>
                </c:pt>
                <c:pt idx="1138">
                  <c:v>19.10.2020</c:v>
                </c:pt>
                <c:pt idx="1139">
                  <c:v>16.10.2020</c:v>
                </c:pt>
                <c:pt idx="1140">
                  <c:v>15.10.2020</c:v>
                </c:pt>
                <c:pt idx="1141">
                  <c:v>14.10.2020</c:v>
                </c:pt>
                <c:pt idx="1142">
                  <c:v>13.10.2020</c:v>
                </c:pt>
                <c:pt idx="1143">
                  <c:v>12.10.2020</c:v>
                </c:pt>
                <c:pt idx="1144">
                  <c:v>09.10.2020</c:v>
                </c:pt>
                <c:pt idx="1145">
                  <c:v>08.10.2020</c:v>
                </c:pt>
                <c:pt idx="1146">
                  <c:v>07.10.2020</c:v>
                </c:pt>
                <c:pt idx="1147">
                  <c:v>06.10.2020</c:v>
                </c:pt>
                <c:pt idx="1148">
                  <c:v>05.10.2020</c:v>
                </c:pt>
                <c:pt idx="1149">
                  <c:v>02.10.2020</c:v>
                </c:pt>
                <c:pt idx="1150">
                  <c:v>01.10.2020</c:v>
                </c:pt>
                <c:pt idx="1151">
                  <c:v>30.09.2020</c:v>
                </c:pt>
                <c:pt idx="1152">
                  <c:v>29.09.2020</c:v>
                </c:pt>
                <c:pt idx="1153">
                  <c:v>28.09.2020</c:v>
                </c:pt>
                <c:pt idx="1154">
                  <c:v>25.09.2020</c:v>
                </c:pt>
                <c:pt idx="1155">
                  <c:v>24.09.2020</c:v>
                </c:pt>
                <c:pt idx="1156">
                  <c:v>23.09.2020</c:v>
                </c:pt>
                <c:pt idx="1157">
                  <c:v>22.09.2020</c:v>
                </c:pt>
                <c:pt idx="1158">
                  <c:v>21.09.2020</c:v>
                </c:pt>
                <c:pt idx="1159">
                  <c:v>18.09.2020</c:v>
                </c:pt>
                <c:pt idx="1160">
                  <c:v>17.09.2020</c:v>
                </c:pt>
                <c:pt idx="1161">
                  <c:v>15.09.2020</c:v>
                </c:pt>
                <c:pt idx="1162">
                  <c:v>14.09.2020</c:v>
                </c:pt>
                <c:pt idx="1163">
                  <c:v>11.09.2020</c:v>
                </c:pt>
                <c:pt idx="1164">
                  <c:v>10.09.2020</c:v>
                </c:pt>
                <c:pt idx="1165">
                  <c:v>09.09.2020</c:v>
                </c:pt>
                <c:pt idx="1166">
                  <c:v>08.09.2020</c:v>
                </c:pt>
                <c:pt idx="1167">
                  <c:v>07.09.2020</c:v>
                </c:pt>
                <c:pt idx="1168">
                  <c:v>04.09.2020</c:v>
                </c:pt>
                <c:pt idx="1169">
                  <c:v>03.09.2020</c:v>
                </c:pt>
                <c:pt idx="1170">
                  <c:v>02.09.2020</c:v>
                </c:pt>
                <c:pt idx="1171">
                  <c:v>01.09.2020</c:v>
                </c:pt>
                <c:pt idx="1172">
                  <c:v>31.08.2020</c:v>
                </c:pt>
                <c:pt idx="1173">
                  <c:v>28.08.2020</c:v>
                </c:pt>
                <c:pt idx="1174">
                  <c:v>27.08.2020</c:v>
                </c:pt>
                <c:pt idx="1175">
                  <c:v>26.08.2020</c:v>
                </c:pt>
                <c:pt idx="1176">
                  <c:v>25.08.2020</c:v>
                </c:pt>
                <c:pt idx="1177">
                  <c:v>24.08.2020</c:v>
                </c:pt>
                <c:pt idx="1178">
                  <c:v>21.08.2020</c:v>
                </c:pt>
                <c:pt idx="1179">
                  <c:v>20.08.2020</c:v>
                </c:pt>
                <c:pt idx="1180">
                  <c:v>19.08.2020</c:v>
                </c:pt>
                <c:pt idx="1181">
                  <c:v>18.08.2020</c:v>
                </c:pt>
                <c:pt idx="1182">
                  <c:v>17.08.2020</c:v>
                </c:pt>
                <c:pt idx="1183">
                  <c:v>14.08.2020</c:v>
                </c:pt>
                <c:pt idx="1184">
                  <c:v>13.08.2020</c:v>
                </c:pt>
                <c:pt idx="1185">
                  <c:v>12.08.2020</c:v>
                </c:pt>
                <c:pt idx="1186">
                  <c:v>11.08.2020</c:v>
                </c:pt>
                <c:pt idx="1187">
                  <c:v>10.08.2020</c:v>
                </c:pt>
                <c:pt idx="1188">
                  <c:v>07.08.2020</c:v>
                </c:pt>
                <c:pt idx="1189">
                  <c:v>06.08.2020</c:v>
                </c:pt>
                <c:pt idx="1190">
                  <c:v>05.08.2020</c:v>
                </c:pt>
                <c:pt idx="1191">
                  <c:v>04.08.2020</c:v>
                </c:pt>
                <c:pt idx="1192">
                  <c:v>03.08.2020</c:v>
                </c:pt>
                <c:pt idx="1193">
                  <c:v>31.07.2020</c:v>
                </c:pt>
                <c:pt idx="1194">
                  <c:v>30.07.2020</c:v>
                </c:pt>
                <c:pt idx="1195">
                  <c:v>29.07.2020</c:v>
                </c:pt>
                <c:pt idx="1196">
                  <c:v>28.07.2020</c:v>
                </c:pt>
                <c:pt idx="1197">
                  <c:v>27.07.2020</c:v>
                </c:pt>
                <c:pt idx="1198">
                  <c:v>24.07.2020</c:v>
                </c:pt>
                <c:pt idx="1199">
                  <c:v>23.07.2020</c:v>
                </c:pt>
                <c:pt idx="1200">
                  <c:v>22.07.2020</c:v>
                </c:pt>
                <c:pt idx="1201">
                  <c:v>21.07.2020</c:v>
                </c:pt>
                <c:pt idx="1202">
                  <c:v>20.07.2020</c:v>
                </c:pt>
                <c:pt idx="1203">
                  <c:v>17.07.2020</c:v>
                </c:pt>
                <c:pt idx="1204">
                  <c:v>16.07.2020</c:v>
                </c:pt>
                <c:pt idx="1205">
                  <c:v>15.07.2020</c:v>
                </c:pt>
                <c:pt idx="1206">
                  <c:v>14.07.2020</c:v>
                </c:pt>
                <c:pt idx="1207">
                  <c:v>13.07.2020</c:v>
                </c:pt>
                <c:pt idx="1208">
                  <c:v>10.07.2020</c:v>
                </c:pt>
                <c:pt idx="1209">
                  <c:v>09.07.2020</c:v>
                </c:pt>
                <c:pt idx="1210">
                  <c:v>08.07.2020</c:v>
                </c:pt>
                <c:pt idx="1211">
                  <c:v>07.07.2020</c:v>
                </c:pt>
                <c:pt idx="1212">
                  <c:v>06.07.2020</c:v>
                </c:pt>
                <c:pt idx="1213">
                  <c:v>03.07.2020</c:v>
                </c:pt>
                <c:pt idx="1214">
                  <c:v>02.07.2020</c:v>
                </c:pt>
                <c:pt idx="1215">
                  <c:v>01.07.2020</c:v>
                </c:pt>
                <c:pt idx="1216">
                  <c:v>30.06.2020</c:v>
                </c:pt>
                <c:pt idx="1217">
                  <c:v>29.06.2020</c:v>
                </c:pt>
                <c:pt idx="1218">
                  <c:v>26.06.2020</c:v>
                </c:pt>
                <c:pt idx="1219">
                  <c:v>25.06.2020</c:v>
                </c:pt>
                <c:pt idx="1220">
                  <c:v>24.06.2020</c:v>
                </c:pt>
                <c:pt idx="1221">
                  <c:v>23.06.2020</c:v>
                </c:pt>
                <c:pt idx="1222">
                  <c:v>22.06.2020</c:v>
                </c:pt>
                <c:pt idx="1223">
                  <c:v>19.06.2020</c:v>
                </c:pt>
                <c:pt idx="1224">
                  <c:v>18.06.2020</c:v>
                </c:pt>
                <c:pt idx="1225">
                  <c:v>17.06.2020</c:v>
                </c:pt>
                <c:pt idx="1226">
                  <c:v>16.06.2020</c:v>
                </c:pt>
                <c:pt idx="1227">
                  <c:v>15.06.2020</c:v>
                </c:pt>
                <c:pt idx="1228">
                  <c:v>12.06.2020</c:v>
                </c:pt>
                <c:pt idx="1229">
                  <c:v>11.06.2020</c:v>
                </c:pt>
                <c:pt idx="1230">
                  <c:v>10.06.2020</c:v>
                </c:pt>
                <c:pt idx="1231">
                  <c:v>09.06.2020</c:v>
                </c:pt>
                <c:pt idx="1232">
                  <c:v>08.06.2020</c:v>
                </c:pt>
                <c:pt idx="1233">
                  <c:v>05.06.2020</c:v>
                </c:pt>
                <c:pt idx="1234">
                  <c:v>04.06.2020</c:v>
                </c:pt>
                <c:pt idx="1235">
                  <c:v>03.06.2020</c:v>
                </c:pt>
                <c:pt idx="1236">
                  <c:v>02.06.2020</c:v>
                </c:pt>
                <c:pt idx="1237">
                  <c:v>01.06.2020</c:v>
                </c:pt>
                <c:pt idx="1238">
                  <c:v>29.05.2020</c:v>
                </c:pt>
                <c:pt idx="1239">
                  <c:v>28.05.2020</c:v>
                </c:pt>
                <c:pt idx="1240">
                  <c:v>27.05.2020</c:v>
                </c:pt>
                <c:pt idx="1241">
                  <c:v>26.05.2020</c:v>
                </c:pt>
                <c:pt idx="1242">
                  <c:v>25.05.2020</c:v>
                </c:pt>
                <c:pt idx="1243">
                  <c:v>22.05.2020</c:v>
                </c:pt>
                <c:pt idx="1244">
                  <c:v>21.05.2020</c:v>
                </c:pt>
                <c:pt idx="1245">
                  <c:v>20.05.2020</c:v>
                </c:pt>
                <c:pt idx="1246">
                  <c:v>19.05.2020</c:v>
                </c:pt>
                <c:pt idx="1247">
                  <c:v>18.05.2020</c:v>
                </c:pt>
                <c:pt idx="1248">
                  <c:v>15.05.2020</c:v>
                </c:pt>
                <c:pt idx="1249">
                  <c:v>14.05.2020</c:v>
                </c:pt>
                <c:pt idx="1250">
                  <c:v>13.05.2020</c:v>
                </c:pt>
                <c:pt idx="1251">
                  <c:v>12.05.2020</c:v>
                </c:pt>
                <c:pt idx="1252">
                  <c:v>11.05.2020</c:v>
                </c:pt>
                <c:pt idx="1253">
                  <c:v>08.05.2020</c:v>
                </c:pt>
                <c:pt idx="1254">
                  <c:v>07.05.2020</c:v>
                </c:pt>
                <c:pt idx="1255">
                  <c:v>06.05.2020</c:v>
                </c:pt>
                <c:pt idx="1256">
                  <c:v>05.05.2020</c:v>
                </c:pt>
                <c:pt idx="1257">
                  <c:v>04.05.2020</c:v>
                </c:pt>
                <c:pt idx="1258">
                  <c:v>30.04.2020</c:v>
                </c:pt>
              </c:strCache>
            </c:strRef>
          </c:cat>
          <c:val>
            <c:numRef>
              <c:f>KOFUBL!$B$2:$B$1260</c:f>
              <c:numCache>
                <c:formatCode>General</c:formatCode>
                <c:ptCount val="1259"/>
                <c:pt idx="0">
                  <c:v>184.71</c:v>
                </c:pt>
                <c:pt idx="1">
                  <c:v>181.48</c:v>
                </c:pt>
                <c:pt idx="2">
                  <c:v>188.23</c:v>
                </c:pt>
                <c:pt idx="3">
                  <c:v>191.69</c:v>
                </c:pt>
                <c:pt idx="4">
                  <c:v>193.22</c:v>
                </c:pt>
                <c:pt idx="5">
                  <c:v>192.46</c:v>
                </c:pt>
                <c:pt idx="6">
                  <c:v>189.94</c:v>
                </c:pt>
                <c:pt idx="7">
                  <c:v>190.62</c:v>
                </c:pt>
                <c:pt idx="8">
                  <c:v>189.11</c:v>
                </c:pt>
                <c:pt idx="9">
                  <c:v>190.92</c:v>
                </c:pt>
                <c:pt idx="10">
                  <c:v>189.43</c:v>
                </c:pt>
                <c:pt idx="11">
                  <c:v>189.44</c:v>
                </c:pt>
                <c:pt idx="12">
                  <c:v>193.06</c:v>
                </c:pt>
                <c:pt idx="13">
                  <c:v>193.01</c:v>
                </c:pt>
                <c:pt idx="14">
                  <c:v>185.96</c:v>
                </c:pt>
                <c:pt idx="15">
                  <c:v>186.26</c:v>
                </c:pt>
                <c:pt idx="16">
                  <c:v>190.89</c:v>
                </c:pt>
                <c:pt idx="17">
                  <c:v>193.21</c:v>
                </c:pt>
                <c:pt idx="18">
                  <c:v>194.88</c:v>
                </c:pt>
                <c:pt idx="19">
                  <c:v>190.97</c:v>
                </c:pt>
                <c:pt idx="20">
                  <c:v>187.06</c:v>
                </c:pt>
                <c:pt idx="21">
                  <c:v>188.71</c:v>
                </c:pt>
                <c:pt idx="22">
                  <c:v>185.85</c:v>
                </c:pt>
                <c:pt idx="23">
                  <c:v>183.15</c:v>
                </c:pt>
                <c:pt idx="24">
                  <c:v>180.14</c:v>
                </c:pt>
                <c:pt idx="25">
                  <c:v>176.6</c:v>
                </c:pt>
                <c:pt idx="26">
                  <c:v>178.74</c:v>
                </c:pt>
                <c:pt idx="27">
                  <c:v>183.11</c:v>
                </c:pt>
                <c:pt idx="28">
                  <c:v>178.93</c:v>
                </c:pt>
                <c:pt idx="29">
                  <c:v>178.37</c:v>
                </c:pt>
                <c:pt idx="30">
                  <c:v>177.78</c:v>
                </c:pt>
                <c:pt idx="31">
                  <c:v>176.49</c:v>
                </c:pt>
                <c:pt idx="32">
                  <c:v>178.26</c:v>
                </c:pt>
                <c:pt idx="33">
                  <c:v>174.42</c:v>
                </c:pt>
                <c:pt idx="34">
                  <c:v>173.03</c:v>
                </c:pt>
                <c:pt idx="35">
                  <c:v>174.94</c:v>
                </c:pt>
                <c:pt idx="36">
                  <c:v>177.01</c:v>
                </c:pt>
                <c:pt idx="37">
                  <c:v>178.4</c:v>
                </c:pt>
                <c:pt idx="38">
                  <c:v>182.11</c:v>
                </c:pt>
                <c:pt idx="39">
                  <c:v>179.46</c:v>
                </c:pt>
                <c:pt idx="40">
                  <c:v>183.01</c:v>
                </c:pt>
                <c:pt idx="41">
                  <c:v>182.13</c:v>
                </c:pt>
                <c:pt idx="42">
                  <c:v>177.14</c:v>
                </c:pt>
                <c:pt idx="43">
                  <c:v>179.29</c:v>
                </c:pt>
                <c:pt idx="44">
                  <c:v>181.5</c:v>
                </c:pt>
                <c:pt idx="45">
                  <c:v>180.78</c:v>
                </c:pt>
                <c:pt idx="46">
                  <c:v>172.1</c:v>
                </c:pt>
                <c:pt idx="47">
                  <c:v>172.75</c:v>
                </c:pt>
                <c:pt idx="48">
                  <c:v>172.33</c:v>
                </c:pt>
                <c:pt idx="49">
                  <c:v>173.33</c:v>
                </c:pt>
                <c:pt idx="50">
                  <c:v>170.68</c:v>
                </c:pt>
                <c:pt idx="51">
                  <c:v>173.02</c:v>
                </c:pt>
                <c:pt idx="52">
                  <c:v>170.71</c:v>
                </c:pt>
                <c:pt idx="53">
                  <c:v>162.47999999999999</c:v>
                </c:pt>
                <c:pt idx="54">
                  <c:v>162.19</c:v>
                </c:pt>
                <c:pt idx="55">
                  <c:v>159.88999999999999</c:v>
                </c:pt>
                <c:pt idx="56">
                  <c:v>160.61000000000001</c:v>
                </c:pt>
                <c:pt idx="57">
                  <c:v>159.72999999999999</c:v>
                </c:pt>
                <c:pt idx="58">
                  <c:v>159.26</c:v>
                </c:pt>
                <c:pt idx="59">
                  <c:v>162.79</c:v>
                </c:pt>
                <c:pt idx="60">
                  <c:v>164.1</c:v>
                </c:pt>
                <c:pt idx="61">
                  <c:v>163.37</c:v>
                </c:pt>
                <c:pt idx="62">
                  <c:v>159.99</c:v>
                </c:pt>
                <c:pt idx="63">
                  <c:v>161.04</c:v>
                </c:pt>
                <c:pt idx="64">
                  <c:v>154.93</c:v>
                </c:pt>
                <c:pt idx="65">
                  <c:v>153.01</c:v>
                </c:pt>
                <c:pt idx="66">
                  <c:v>154.16999999999999</c:v>
                </c:pt>
                <c:pt idx="67">
                  <c:v>155.88</c:v>
                </c:pt>
                <c:pt idx="68">
                  <c:v>159.05000000000001</c:v>
                </c:pt>
                <c:pt idx="69">
                  <c:v>157.63</c:v>
                </c:pt>
                <c:pt idx="70">
                  <c:v>158.97</c:v>
                </c:pt>
                <c:pt idx="71">
                  <c:v>155.77000000000001</c:v>
                </c:pt>
                <c:pt idx="72">
                  <c:v>156.97999999999999</c:v>
                </c:pt>
                <c:pt idx="73">
                  <c:v>156.97</c:v>
                </c:pt>
                <c:pt idx="74">
                  <c:v>154.37</c:v>
                </c:pt>
                <c:pt idx="75">
                  <c:v>150.5</c:v>
                </c:pt>
                <c:pt idx="76">
                  <c:v>154.72999999999999</c:v>
                </c:pt>
                <c:pt idx="77">
                  <c:v>154.91999999999999</c:v>
                </c:pt>
                <c:pt idx="78">
                  <c:v>154.81</c:v>
                </c:pt>
                <c:pt idx="79">
                  <c:v>157.13999999999999</c:v>
                </c:pt>
                <c:pt idx="80">
                  <c:v>159.93</c:v>
                </c:pt>
                <c:pt idx="81">
                  <c:v>161.99</c:v>
                </c:pt>
                <c:pt idx="82">
                  <c:v>160.18</c:v>
                </c:pt>
                <c:pt idx="83">
                  <c:v>159.55000000000001</c:v>
                </c:pt>
                <c:pt idx="84">
                  <c:v>158.93</c:v>
                </c:pt>
                <c:pt idx="85">
                  <c:v>158.41</c:v>
                </c:pt>
                <c:pt idx="86">
                  <c:v>159.22</c:v>
                </c:pt>
                <c:pt idx="87">
                  <c:v>159.41</c:v>
                </c:pt>
                <c:pt idx="88">
                  <c:v>159.9</c:v>
                </c:pt>
                <c:pt idx="89">
                  <c:v>160.80000000000001</c:v>
                </c:pt>
                <c:pt idx="90">
                  <c:v>165.5</c:v>
                </c:pt>
                <c:pt idx="91">
                  <c:v>163.11000000000001</c:v>
                </c:pt>
                <c:pt idx="92">
                  <c:v>163.38999999999999</c:v>
                </c:pt>
                <c:pt idx="93">
                  <c:v>163.63999999999999</c:v>
                </c:pt>
                <c:pt idx="94">
                  <c:v>164.29</c:v>
                </c:pt>
                <c:pt idx="95">
                  <c:v>167</c:v>
                </c:pt>
                <c:pt idx="96">
                  <c:v>165.71</c:v>
                </c:pt>
                <c:pt idx="97">
                  <c:v>168.24</c:v>
                </c:pt>
                <c:pt idx="98">
                  <c:v>167.12</c:v>
                </c:pt>
                <c:pt idx="99">
                  <c:v>165.85</c:v>
                </c:pt>
                <c:pt idx="100">
                  <c:v>164.71</c:v>
                </c:pt>
                <c:pt idx="101">
                  <c:v>161.06</c:v>
                </c:pt>
                <c:pt idx="102">
                  <c:v>161</c:v>
                </c:pt>
                <c:pt idx="103">
                  <c:v>163.63999999999999</c:v>
                </c:pt>
                <c:pt idx="104">
                  <c:v>163.49</c:v>
                </c:pt>
                <c:pt idx="105">
                  <c:v>162.62</c:v>
                </c:pt>
                <c:pt idx="106">
                  <c:v>162.18</c:v>
                </c:pt>
                <c:pt idx="107">
                  <c:v>158.69</c:v>
                </c:pt>
                <c:pt idx="108">
                  <c:v>158.76</c:v>
                </c:pt>
                <c:pt idx="109">
                  <c:v>157.88999999999999</c:v>
                </c:pt>
                <c:pt idx="110">
                  <c:v>158.41</c:v>
                </c:pt>
                <c:pt idx="111">
                  <c:v>158.11000000000001</c:v>
                </c:pt>
                <c:pt idx="112">
                  <c:v>160.88999999999999</c:v>
                </c:pt>
                <c:pt idx="113">
                  <c:v>165.58</c:v>
                </c:pt>
                <c:pt idx="114">
                  <c:v>166.58</c:v>
                </c:pt>
                <c:pt idx="115">
                  <c:v>166.68</c:v>
                </c:pt>
                <c:pt idx="116">
                  <c:v>164.91</c:v>
                </c:pt>
                <c:pt idx="117">
                  <c:v>165.87</c:v>
                </c:pt>
                <c:pt idx="118">
                  <c:v>163.84</c:v>
                </c:pt>
                <c:pt idx="119">
                  <c:v>162.27000000000001</c:v>
                </c:pt>
                <c:pt idx="120">
                  <c:v>165.51</c:v>
                </c:pt>
                <c:pt idx="121">
                  <c:v>166.52</c:v>
                </c:pt>
                <c:pt idx="122">
                  <c:v>171.21</c:v>
                </c:pt>
                <c:pt idx="123">
                  <c:v>169.94</c:v>
                </c:pt>
                <c:pt idx="124">
                  <c:v>169.9</c:v>
                </c:pt>
                <c:pt idx="125">
                  <c:v>172.57</c:v>
                </c:pt>
                <c:pt idx="126">
                  <c:v>168.49</c:v>
                </c:pt>
                <c:pt idx="127">
                  <c:v>168.99</c:v>
                </c:pt>
                <c:pt idx="128">
                  <c:v>168.92</c:v>
                </c:pt>
                <c:pt idx="129">
                  <c:v>172.09</c:v>
                </c:pt>
                <c:pt idx="130">
                  <c:v>173.15</c:v>
                </c:pt>
                <c:pt idx="131">
                  <c:v>172.67</c:v>
                </c:pt>
                <c:pt idx="132">
                  <c:v>174.28</c:v>
                </c:pt>
                <c:pt idx="133">
                  <c:v>171.8</c:v>
                </c:pt>
                <c:pt idx="134">
                  <c:v>168.5</c:v>
                </c:pt>
                <c:pt idx="135">
                  <c:v>170.73</c:v>
                </c:pt>
                <c:pt idx="136">
                  <c:v>172.4</c:v>
                </c:pt>
                <c:pt idx="137">
                  <c:v>168.79</c:v>
                </c:pt>
                <c:pt idx="138">
                  <c:v>168.32</c:v>
                </c:pt>
                <c:pt idx="139">
                  <c:v>168.61</c:v>
                </c:pt>
                <c:pt idx="140">
                  <c:v>170.25</c:v>
                </c:pt>
                <c:pt idx="141">
                  <c:v>170.13</c:v>
                </c:pt>
                <c:pt idx="142">
                  <c:v>173.26</c:v>
                </c:pt>
                <c:pt idx="143">
                  <c:v>174.3</c:v>
                </c:pt>
                <c:pt idx="144">
                  <c:v>177.76</c:v>
                </c:pt>
                <c:pt idx="145">
                  <c:v>180.08</c:v>
                </c:pt>
                <c:pt idx="146">
                  <c:v>177.65</c:v>
                </c:pt>
                <c:pt idx="147">
                  <c:v>177.98</c:v>
                </c:pt>
                <c:pt idx="148">
                  <c:v>174.85</c:v>
                </c:pt>
                <c:pt idx="149">
                  <c:v>175.57</c:v>
                </c:pt>
                <c:pt idx="150">
                  <c:v>176.8</c:v>
                </c:pt>
                <c:pt idx="151">
                  <c:v>175.27</c:v>
                </c:pt>
                <c:pt idx="152">
                  <c:v>173.63</c:v>
                </c:pt>
                <c:pt idx="153">
                  <c:v>167.53</c:v>
                </c:pt>
                <c:pt idx="154">
                  <c:v>166.44</c:v>
                </c:pt>
                <c:pt idx="155">
                  <c:v>167.87</c:v>
                </c:pt>
                <c:pt idx="156">
                  <c:v>167.9</c:v>
                </c:pt>
                <c:pt idx="157">
                  <c:v>169.39</c:v>
                </c:pt>
                <c:pt idx="158">
                  <c:v>171.31</c:v>
                </c:pt>
                <c:pt idx="159">
                  <c:v>172.42</c:v>
                </c:pt>
                <c:pt idx="160">
                  <c:v>173.42</c:v>
                </c:pt>
                <c:pt idx="161">
                  <c:v>170.44</c:v>
                </c:pt>
                <c:pt idx="162">
                  <c:v>166.3</c:v>
                </c:pt>
                <c:pt idx="163">
                  <c:v>165.45</c:v>
                </c:pt>
                <c:pt idx="164">
                  <c:v>168.6</c:v>
                </c:pt>
                <c:pt idx="165">
                  <c:v>170.7</c:v>
                </c:pt>
                <c:pt idx="166">
                  <c:v>170.7</c:v>
                </c:pt>
                <c:pt idx="167">
                  <c:v>169.31</c:v>
                </c:pt>
                <c:pt idx="168">
                  <c:v>169.7</c:v>
                </c:pt>
                <c:pt idx="169">
                  <c:v>170.83</c:v>
                </c:pt>
                <c:pt idx="170">
                  <c:v>170.35</c:v>
                </c:pt>
                <c:pt idx="171">
                  <c:v>169.51</c:v>
                </c:pt>
                <c:pt idx="172">
                  <c:v>167.37</c:v>
                </c:pt>
                <c:pt idx="173">
                  <c:v>166.63</c:v>
                </c:pt>
                <c:pt idx="174">
                  <c:v>169.32</c:v>
                </c:pt>
                <c:pt idx="175">
                  <c:v>168.31</c:v>
                </c:pt>
                <c:pt idx="176">
                  <c:v>168.05</c:v>
                </c:pt>
                <c:pt idx="177">
                  <c:v>165.68</c:v>
                </c:pt>
                <c:pt idx="178">
                  <c:v>166.37</c:v>
                </c:pt>
                <c:pt idx="179">
                  <c:v>163.81</c:v>
                </c:pt>
                <c:pt idx="180">
                  <c:v>166.52</c:v>
                </c:pt>
                <c:pt idx="181">
                  <c:v>166.39</c:v>
                </c:pt>
                <c:pt idx="182">
                  <c:v>165.12</c:v>
                </c:pt>
                <c:pt idx="183">
                  <c:v>167.61</c:v>
                </c:pt>
                <c:pt idx="184">
                  <c:v>165.44</c:v>
                </c:pt>
                <c:pt idx="185">
                  <c:v>169.06</c:v>
                </c:pt>
                <c:pt idx="186">
                  <c:v>165.96</c:v>
                </c:pt>
                <c:pt idx="187">
                  <c:v>163.27000000000001</c:v>
                </c:pt>
                <c:pt idx="188">
                  <c:v>162.53</c:v>
                </c:pt>
                <c:pt idx="189">
                  <c:v>156.78</c:v>
                </c:pt>
                <c:pt idx="190">
                  <c:v>157.5</c:v>
                </c:pt>
                <c:pt idx="191">
                  <c:v>160.03</c:v>
                </c:pt>
                <c:pt idx="192">
                  <c:v>165.6</c:v>
                </c:pt>
                <c:pt idx="193">
                  <c:v>160.22</c:v>
                </c:pt>
                <c:pt idx="194">
                  <c:v>154.68</c:v>
                </c:pt>
                <c:pt idx="195">
                  <c:v>155.86000000000001</c:v>
                </c:pt>
                <c:pt idx="196">
                  <c:v>155.36000000000001</c:v>
                </c:pt>
                <c:pt idx="197">
                  <c:v>153.33000000000001</c:v>
                </c:pt>
                <c:pt idx="198">
                  <c:v>157.59</c:v>
                </c:pt>
                <c:pt idx="199">
                  <c:v>153.22999999999999</c:v>
                </c:pt>
                <c:pt idx="200">
                  <c:v>152.16999999999999</c:v>
                </c:pt>
                <c:pt idx="201">
                  <c:v>149.32</c:v>
                </c:pt>
                <c:pt idx="202">
                  <c:v>151.01</c:v>
                </c:pt>
                <c:pt idx="203">
                  <c:v>148.93</c:v>
                </c:pt>
                <c:pt idx="204">
                  <c:v>153.66</c:v>
                </c:pt>
                <c:pt idx="205">
                  <c:v>151.63</c:v>
                </c:pt>
                <c:pt idx="206">
                  <c:v>148.03</c:v>
                </c:pt>
                <c:pt idx="207">
                  <c:v>152.78</c:v>
                </c:pt>
                <c:pt idx="208">
                  <c:v>156.87</c:v>
                </c:pt>
                <c:pt idx="209">
                  <c:v>155.97999999999999</c:v>
                </c:pt>
                <c:pt idx="210">
                  <c:v>153.18</c:v>
                </c:pt>
                <c:pt idx="211">
                  <c:v>154.03</c:v>
                </c:pt>
                <c:pt idx="212">
                  <c:v>151.9</c:v>
                </c:pt>
                <c:pt idx="213">
                  <c:v>150.77000000000001</c:v>
                </c:pt>
                <c:pt idx="214">
                  <c:v>155.12</c:v>
                </c:pt>
                <c:pt idx="215">
                  <c:v>157.63999999999999</c:v>
                </c:pt>
                <c:pt idx="216">
                  <c:v>157.30000000000001</c:v>
                </c:pt>
                <c:pt idx="217">
                  <c:v>156.63999999999999</c:v>
                </c:pt>
                <c:pt idx="218">
                  <c:v>156.68</c:v>
                </c:pt>
                <c:pt idx="219">
                  <c:v>158.44</c:v>
                </c:pt>
                <c:pt idx="220">
                  <c:v>161.94</c:v>
                </c:pt>
                <c:pt idx="221">
                  <c:v>162.24</c:v>
                </c:pt>
                <c:pt idx="222">
                  <c:v>161.5</c:v>
                </c:pt>
                <c:pt idx="223">
                  <c:v>165.3</c:v>
                </c:pt>
                <c:pt idx="224">
                  <c:v>165.58</c:v>
                </c:pt>
                <c:pt idx="225">
                  <c:v>163.16</c:v>
                </c:pt>
                <c:pt idx="226">
                  <c:v>161.52000000000001</c:v>
                </c:pt>
                <c:pt idx="227">
                  <c:v>156.47</c:v>
                </c:pt>
                <c:pt idx="228">
                  <c:v>158.31</c:v>
                </c:pt>
                <c:pt idx="229">
                  <c:v>160.71</c:v>
                </c:pt>
                <c:pt idx="230">
                  <c:v>160.66999999999999</c:v>
                </c:pt>
                <c:pt idx="231">
                  <c:v>158.32</c:v>
                </c:pt>
                <c:pt idx="232">
                  <c:v>155.68</c:v>
                </c:pt>
                <c:pt idx="233">
                  <c:v>158.22999999999999</c:v>
                </c:pt>
                <c:pt idx="234">
                  <c:v>160.96</c:v>
                </c:pt>
                <c:pt idx="235">
                  <c:v>159.22999999999999</c:v>
                </c:pt>
                <c:pt idx="236">
                  <c:v>161.51</c:v>
                </c:pt>
                <c:pt idx="237">
                  <c:v>161.6</c:v>
                </c:pt>
                <c:pt idx="238">
                  <c:v>162.32</c:v>
                </c:pt>
                <c:pt idx="239">
                  <c:v>163.76</c:v>
                </c:pt>
                <c:pt idx="240">
                  <c:v>167.94</c:v>
                </c:pt>
                <c:pt idx="241">
                  <c:v>169.09</c:v>
                </c:pt>
                <c:pt idx="242">
                  <c:v>169.56</c:v>
                </c:pt>
                <c:pt idx="243">
                  <c:v>168.25</c:v>
                </c:pt>
                <c:pt idx="244">
                  <c:v>169.61</c:v>
                </c:pt>
                <c:pt idx="245">
                  <c:v>168.3</c:v>
                </c:pt>
                <c:pt idx="246">
                  <c:v>167.79</c:v>
                </c:pt>
                <c:pt idx="247">
                  <c:v>163.49</c:v>
                </c:pt>
                <c:pt idx="248">
                  <c:v>166.98</c:v>
                </c:pt>
                <c:pt idx="249">
                  <c:v>166.38</c:v>
                </c:pt>
                <c:pt idx="250">
                  <c:v>169.95</c:v>
                </c:pt>
                <c:pt idx="251">
                  <c:v>171.4</c:v>
                </c:pt>
                <c:pt idx="252">
                  <c:v>171.17</c:v>
                </c:pt>
                <c:pt idx="253">
                  <c:v>170.01</c:v>
                </c:pt>
                <c:pt idx="254">
                  <c:v>163.33000000000001</c:v>
                </c:pt>
                <c:pt idx="255">
                  <c:v>160.25</c:v>
                </c:pt>
                <c:pt idx="256">
                  <c:v>162.9</c:v>
                </c:pt>
                <c:pt idx="257">
                  <c:v>159.91999999999999</c:v>
                </c:pt>
                <c:pt idx="258">
                  <c:v>159.27000000000001</c:v>
                </c:pt>
                <c:pt idx="259">
                  <c:v>155.66</c:v>
                </c:pt>
                <c:pt idx="260">
                  <c:v>158.38999999999999</c:v>
                </c:pt>
                <c:pt idx="261">
                  <c:v>158.96</c:v>
                </c:pt>
                <c:pt idx="262">
                  <c:v>162.58000000000001</c:v>
                </c:pt>
                <c:pt idx="263">
                  <c:v>156.66</c:v>
                </c:pt>
                <c:pt idx="264">
                  <c:v>154.13999999999999</c:v>
                </c:pt>
                <c:pt idx="265">
                  <c:v>155.22999999999999</c:v>
                </c:pt>
                <c:pt idx="266">
                  <c:v>156.94</c:v>
                </c:pt>
                <c:pt idx="267">
                  <c:v>157.32</c:v>
                </c:pt>
                <c:pt idx="268">
                  <c:v>159.6</c:v>
                </c:pt>
                <c:pt idx="269">
                  <c:v>155.28</c:v>
                </c:pt>
                <c:pt idx="270">
                  <c:v>157.94999999999999</c:v>
                </c:pt>
                <c:pt idx="271">
                  <c:v>160.13999999999999</c:v>
                </c:pt>
                <c:pt idx="272">
                  <c:v>160.38</c:v>
                </c:pt>
                <c:pt idx="273">
                  <c:v>159.68</c:v>
                </c:pt>
                <c:pt idx="274">
                  <c:v>158.33000000000001</c:v>
                </c:pt>
                <c:pt idx="275">
                  <c:v>162.22999999999999</c:v>
                </c:pt>
                <c:pt idx="276">
                  <c:v>162.38</c:v>
                </c:pt>
                <c:pt idx="277">
                  <c:v>163.71</c:v>
                </c:pt>
                <c:pt idx="278">
                  <c:v>162.22999999999999</c:v>
                </c:pt>
                <c:pt idx="279">
                  <c:v>164.26</c:v>
                </c:pt>
                <c:pt idx="280">
                  <c:v>166.6</c:v>
                </c:pt>
                <c:pt idx="281">
                  <c:v>166.38</c:v>
                </c:pt>
                <c:pt idx="282">
                  <c:v>165.14</c:v>
                </c:pt>
                <c:pt idx="283">
                  <c:v>161.74</c:v>
                </c:pt>
                <c:pt idx="284">
                  <c:v>160.99</c:v>
                </c:pt>
                <c:pt idx="285">
                  <c:v>162.61000000000001</c:v>
                </c:pt>
                <c:pt idx="286">
                  <c:v>162.61000000000001</c:v>
                </c:pt>
                <c:pt idx="287">
                  <c:v>164.58</c:v>
                </c:pt>
                <c:pt idx="288">
                  <c:v>162.13999999999999</c:v>
                </c:pt>
                <c:pt idx="289">
                  <c:v>164.61</c:v>
                </c:pt>
                <c:pt idx="290">
                  <c:v>166.36</c:v>
                </c:pt>
                <c:pt idx="291">
                  <c:v>164.82</c:v>
                </c:pt>
                <c:pt idx="292">
                  <c:v>171.37</c:v>
                </c:pt>
                <c:pt idx="293">
                  <c:v>168.54</c:v>
                </c:pt>
                <c:pt idx="294">
                  <c:v>169.67</c:v>
                </c:pt>
                <c:pt idx="295">
                  <c:v>172.45</c:v>
                </c:pt>
                <c:pt idx="296">
                  <c:v>171.34</c:v>
                </c:pt>
                <c:pt idx="297">
                  <c:v>171.96</c:v>
                </c:pt>
                <c:pt idx="298">
                  <c:v>178.81</c:v>
                </c:pt>
                <c:pt idx="299">
                  <c:v>172.15</c:v>
                </c:pt>
                <c:pt idx="300">
                  <c:v>170.91</c:v>
                </c:pt>
                <c:pt idx="301">
                  <c:v>167.69</c:v>
                </c:pt>
                <c:pt idx="302">
                  <c:v>167.16</c:v>
                </c:pt>
                <c:pt idx="303">
                  <c:v>167.43</c:v>
                </c:pt>
                <c:pt idx="304">
                  <c:v>166.93</c:v>
                </c:pt>
                <c:pt idx="305">
                  <c:v>167.73</c:v>
                </c:pt>
                <c:pt idx="306">
                  <c:v>166.76</c:v>
                </c:pt>
                <c:pt idx="307">
                  <c:v>167.43</c:v>
                </c:pt>
                <c:pt idx="308">
                  <c:v>175.93</c:v>
                </c:pt>
                <c:pt idx="309">
                  <c:v>167.04</c:v>
                </c:pt>
                <c:pt idx="310">
                  <c:v>163.86</c:v>
                </c:pt>
                <c:pt idx="311">
                  <c:v>159.97999999999999</c:v>
                </c:pt>
                <c:pt idx="312">
                  <c:v>160.19999999999999</c:v>
                </c:pt>
                <c:pt idx="313">
                  <c:v>157.86000000000001</c:v>
                </c:pt>
                <c:pt idx="314">
                  <c:v>156.66</c:v>
                </c:pt>
                <c:pt idx="315">
                  <c:v>155.11000000000001</c:v>
                </c:pt>
                <c:pt idx="316">
                  <c:v>157.11000000000001</c:v>
                </c:pt>
                <c:pt idx="317">
                  <c:v>154.33000000000001</c:v>
                </c:pt>
                <c:pt idx="318">
                  <c:v>156.11000000000001</c:v>
                </c:pt>
                <c:pt idx="319">
                  <c:v>155.97</c:v>
                </c:pt>
                <c:pt idx="320">
                  <c:v>156.30000000000001</c:v>
                </c:pt>
                <c:pt idx="321">
                  <c:v>156.72999999999999</c:v>
                </c:pt>
                <c:pt idx="322">
                  <c:v>155.06</c:v>
                </c:pt>
                <c:pt idx="323">
                  <c:v>156.94</c:v>
                </c:pt>
                <c:pt idx="324">
                  <c:v>152.04</c:v>
                </c:pt>
                <c:pt idx="325">
                  <c:v>153.29</c:v>
                </c:pt>
                <c:pt idx="326">
                  <c:v>153.08000000000001</c:v>
                </c:pt>
                <c:pt idx="327">
                  <c:v>151.51</c:v>
                </c:pt>
                <c:pt idx="328">
                  <c:v>153.46</c:v>
                </c:pt>
                <c:pt idx="329">
                  <c:v>154.30000000000001</c:v>
                </c:pt>
                <c:pt idx="330">
                  <c:v>156.11000000000001</c:v>
                </c:pt>
                <c:pt idx="331">
                  <c:v>158.71</c:v>
                </c:pt>
                <c:pt idx="332">
                  <c:v>160.97</c:v>
                </c:pt>
                <c:pt idx="333">
                  <c:v>160.86000000000001</c:v>
                </c:pt>
                <c:pt idx="334">
                  <c:v>162.22999999999999</c:v>
                </c:pt>
                <c:pt idx="335">
                  <c:v>162.63</c:v>
                </c:pt>
                <c:pt idx="336">
                  <c:v>161.99</c:v>
                </c:pt>
                <c:pt idx="337">
                  <c:v>163.5</c:v>
                </c:pt>
                <c:pt idx="338">
                  <c:v>165.32</c:v>
                </c:pt>
                <c:pt idx="339">
                  <c:v>168.31</c:v>
                </c:pt>
                <c:pt idx="340">
                  <c:v>167.84</c:v>
                </c:pt>
                <c:pt idx="341">
                  <c:v>167.17</c:v>
                </c:pt>
                <c:pt idx="342">
                  <c:v>164.85</c:v>
                </c:pt>
                <c:pt idx="343">
                  <c:v>160.86000000000001</c:v>
                </c:pt>
                <c:pt idx="344">
                  <c:v>156.91</c:v>
                </c:pt>
                <c:pt idx="345">
                  <c:v>153.9</c:v>
                </c:pt>
                <c:pt idx="346">
                  <c:v>153.94</c:v>
                </c:pt>
                <c:pt idx="347">
                  <c:v>153.13</c:v>
                </c:pt>
                <c:pt idx="348">
                  <c:v>151.71</c:v>
                </c:pt>
                <c:pt idx="349">
                  <c:v>150.6</c:v>
                </c:pt>
                <c:pt idx="350">
                  <c:v>147.94</c:v>
                </c:pt>
                <c:pt idx="351">
                  <c:v>145.97999999999999</c:v>
                </c:pt>
                <c:pt idx="352">
                  <c:v>145.05000000000001</c:v>
                </c:pt>
                <c:pt idx="353">
                  <c:v>145.68</c:v>
                </c:pt>
                <c:pt idx="354">
                  <c:v>146.62</c:v>
                </c:pt>
                <c:pt idx="355">
                  <c:v>149.22999999999999</c:v>
                </c:pt>
                <c:pt idx="356">
                  <c:v>147.93</c:v>
                </c:pt>
                <c:pt idx="357">
                  <c:v>146.87</c:v>
                </c:pt>
                <c:pt idx="358">
                  <c:v>145.62</c:v>
                </c:pt>
                <c:pt idx="359">
                  <c:v>145.5</c:v>
                </c:pt>
                <c:pt idx="360">
                  <c:v>146.30000000000001</c:v>
                </c:pt>
                <c:pt idx="361">
                  <c:v>145.76</c:v>
                </c:pt>
                <c:pt idx="362">
                  <c:v>147.78</c:v>
                </c:pt>
                <c:pt idx="363">
                  <c:v>146.46</c:v>
                </c:pt>
                <c:pt idx="364">
                  <c:v>145.65</c:v>
                </c:pt>
                <c:pt idx="365">
                  <c:v>147.13</c:v>
                </c:pt>
                <c:pt idx="366">
                  <c:v>145.88999999999999</c:v>
                </c:pt>
                <c:pt idx="367">
                  <c:v>144.32</c:v>
                </c:pt>
                <c:pt idx="368">
                  <c:v>143.71</c:v>
                </c:pt>
                <c:pt idx="369">
                  <c:v>142.47</c:v>
                </c:pt>
                <c:pt idx="370">
                  <c:v>136.58000000000001</c:v>
                </c:pt>
                <c:pt idx="371">
                  <c:v>136.79</c:v>
                </c:pt>
                <c:pt idx="372">
                  <c:v>139.91</c:v>
                </c:pt>
                <c:pt idx="373">
                  <c:v>135.77000000000001</c:v>
                </c:pt>
                <c:pt idx="374">
                  <c:v>138.30000000000001</c:v>
                </c:pt>
                <c:pt idx="375">
                  <c:v>134.6</c:v>
                </c:pt>
                <c:pt idx="376">
                  <c:v>133.57</c:v>
                </c:pt>
                <c:pt idx="377">
                  <c:v>129.93</c:v>
                </c:pt>
                <c:pt idx="378">
                  <c:v>126.78</c:v>
                </c:pt>
                <c:pt idx="379">
                  <c:v>129.80000000000001</c:v>
                </c:pt>
                <c:pt idx="380">
                  <c:v>132.63</c:v>
                </c:pt>
                <c:pt idx="381">
                  <c:v>135.09</c:v>
                </c:pt>
                <c:pt idx="382">
                  <c:v>134.29</c:v>
                </c:pt>
                <c:pt idx="383">
                  <c:v>132.63999999999999</c:v>
                </c:pt>
                <c:pt idx="384">
                  <c:v>136.4</c:v>
                </c:pt>
                <c:pt idx="385">
                  <c:v>135.74</c:v>
                </c:pt>
                <c:pt idx="386">
                  <c:v>137.22999999999999</c:v>
                </c:pt>
                <c:pt idx="387">
                  <c:v>135.32</c:v>
                </c:pt>
                <c:pt idx="388">
                  <c:v>136.19999999999999</c:v>
                </c:pt>
                <c:pt idx="389">
                  <c:v>137.82</c:v>
                </c:pt>
                <c:pt idx="390">
                  <c:v>137.07</c:v>
                </c:pt>
                <c:pt idx="391">
                  <c:v>137.13</c:v>
                </c:pt>
                <c:pt idx="392">
                  <c:v>137.59</c:v>
                </c:pt>
                <c:pt idx="393">
                  <c:v>136.78</c:v>
                </c:pt>
                <c:pt idx="394">
                  <c:v>138.05000000000001</c:v>
                </c:pt>
                <c:pt idx="395">
                  <c:v>133.81</c:v>
                </c:pt>
                <c:pt idx="396">
                  <c:v>134.83000000000001</c:v>
                </c:pt>
                <c:pt idx="397">
                  <c:v>136</c:v>
                </c:pt>
                <c:pt idx="398">
                  <c:v>136.01</c:v>
                </c:pt>
                <c:pt idx="399">
                  <c:v>136.74</c:v>
                </c:pt>
                <c:pt idx="400">
                  <c:v>139.19</c:v>
                </c:pt>
                <c:pt idx="401">
                  <c:v>139.44</c:v>
                </c:pt>
                <c:pt idx="402">
                  <c:v>136.15</c:v>
                </c:pt>
                <c:pt idx="403">
                  <c:v>135.53</c:v>
                </c:pt>
                <c:pt idx="404">
                  <c:v>138.26</c:v>
                </c:pt>
                <c:pt idx="405">
                  <c:v>137.94999999999999</c:v>
                </c:pt>
                <c:pt idx="406">
                  <c:v>137.49</c:v>
                </c:pt>
                <c:pt idx="407">
                  <c:v>142.24</c:v>
                </c:pt>
                <c:pt idx="408">
                  <c:v>143.58000000000001</c:v>
                </c:pt>
                <c:pt idx="409">
                  <c:v>144.16999999999999</c:v>
                </c:pt>
                <c:pt idx="410">
                  <c:v>146.85</c:v>
                </c:pt>
                <c:pt idx="411">
                  <c:v>145.47999999999999</c:v>
                </c:pt>
                <c:pt idx="412">
                  <c:v>142.09</c:v>
                </c:pt>
                <c:pt idx="413">
                  <c:v>145.13999999999999</c:v>
                </c:pt>
                <c:pt idx="414">
                  <c:v>144.47</c:v>
                </c:pt>
                <c:pt idx="415">
                  <c:v>149.29</c:v>
                </c:pt>
                <c:pt idx="416">
                  <c:v>147.82</c:v>
                </c:pt>
                <c:pt idx="417">
                  <c:v>145.47</c:v>
                </c:pt>
                <c:pt idx="418">
                  <c:v>145.88</c:v>
                </c:pt>
                <c:pt idx="419">
                  <c:v>145.04</c:v>
                </c:pt>
                <c:pt idx="420">
                  <c:v>146.16</c:v>
                </c:pt>
                <c:pt idx="421">
                  <c:v>145.61000000000001</c:v>
                </c:pt>
                <c:pt idx="422">
                  <c:v>145.9</c:v>
                </c:pt>
                <c:pt idx="423">
                  <c:v>147.84</c:v>
                </c:pt>
                <c:pt idx="424">
                  <c:v>144.44999999999999</c:v>
                </c:pt>
                <c:pt idx="425">
                  <c:v>143.57</c:v>
                </c:pt>
                <c:pt idx="426">
                  <c:v>142.5</c:v>
                </c:pt>
                <c:pt idx="427">
                  <c:v>140.94</c:v>
                </c:pt>
                <c:pt idx="428">
                  <c:v>139.94</c:v>
                </c:pt>
                <c:pt idx="429">
                  <c:v>140.58000000000001</c:v>
                </c:pt>
                <c:pt idx="430">
                  <c:v>140.07</c:v>
                </c:pt>
                <c:pt idx="431">
                  <c:v>138.66999999999999</c:v>
                </c:pt>
                <c:pt idx="432">
                  <c:v>139.93</c:v>
                </c:pt>
                <c:pt idx="433">
                  <c:v>138.84</c:v>
                </c:pt>
                <c:pt idx="434">
                  <c:v>139.80000000000001</c:v>
                </c:pt>
                <c:pt idx="435">
                  <c:v>140.36000000000001</c:v>
                </c:pt>
                <c:pt idx="436">
                  <c:v>141.21</c:v>
                </c:pt>
                <c:pt idx="437">
                  <c:v>141.36000000000001</c:v>
                </c:pt>
                <c:pt idx="438">
                  <c:v>141.63999999999999</c:v>
                </c:pt>
                <c:pt idx="439">
                  <c:v>141.71</c:v>
                </c:pt>
                <c:pt idx="440">
                  <c:v>143.71</c:v>
                </c:pt>
                <c:pt idx="441">
                  <c:v>138.85</c:v>
                </c:pt>
                <c:pt idx="442">
                  <c:v>137.86000000000001</c:v>
                </c:pt>
                <c:pt idx="443">
                  <c:v>141.69999999999999</c:v>
                </c:pt>
                <c:pt idx="444">
                  <c:v>139.53</c:v>
                </c:pt>
                <c:pt idx="445">
                  <c:v>139.82</c:v>
                </c:pt>
                <c:pt idx="446">
                  <c:v>140.19999999999999</c:v>
                </c:pt>
                <c:pt idx="447">
                  <c:v>140.36000000000001</c:v>
                </c:pt>
                <c:pt idx="448">
                  <c:v>141.61000000000001</c:v>
                </c:pt>
                <c:pt idx="449">
                  <c:v>143.63</c:v>
                </c:pt>
                <c:pt idx="450">
                  <c:v>139.80000000000001</c:v>
                </c:pt>
                <c:pt idx="451">
                  <c:v>138.22</c:v>
                </c:pt>
                <c:pt idx="452">
                  <c:v>138.46</c:v>
                </c:pt>
                <c:pt idx="453">
                  <c:v>140.16</c:v>
                </c:pt>
                <c:pt idx="454">
                  <c:v>140.74</c:v>
                </c:pt>
                <c:pt idx="455">
                  <c:v>142.53</c:v>
                </c:pt>
                <c:pt idx="456">
                  <c:v>140.91</c:v>
                </c:pt>
                <c:pt idx="457">
                  <c:v>144.02000000000001</c:v>
                </c:pt>
                <c:pt idx="458">
                  <c:v>143.08000000000001</c:v>
                </c:pt>
                <c:pt idx="459">
                  <c:v>143.01</c:v>
                </c:pt>
                <c:pt idx="460">
                  <c:v>144.13999999999999</c:v>
                </c:pt>
                <c:pt idx="461">
                  <c:v>144.94999999999999</c:v>
                </c:pt>
                <c:pt idx="462">
                  <c:v>146.54</c:v>
                </c:pt>
                <c:pt idx="463">
                  <c:v>149.07</c:v>
                </c:pt>
                <c:pt idx="464">
                  <c:v>151.29</c:v>
                </c:pt>
                <c:pt idx="465">
                  <c:v>151.57</c:v>
                </c:pt>
                <c:pt idx="466">
                  <c:v>151.04</c:v>
                </c:pt>
                <c:pt idx="467">
                  <c:v>152.05000000000001</c:v>
                </c:pt>
                <c:pt idx="468">
                  <c:v>150.41999999999999</c:v>
                </c:pt>
                <c:pt idx="469">
                  <c:v>151.15</c:v>
                </c:pt>
                <c:pt idx="470">
                  <c:v>151.58000000000001</c:v>
                </c:pt>
                <c:pt idx="471">
                  <c:v>152.15</c:v>
                </c:pt>
                <c:pt idx="472">
                  <c:v>152.75</c:v>
                </c:pt>
                <c:pt idx="473">
                  <c:v>153.44999999999999</c:v>
                </c:pt>
                <c:pt idx="474">
                  <c:v>152.93</c:v>
                </c:pt>
                <c:pt idx="475">
                  <c:v>151.09</c:v>
                </c:pt>
                <c:pt idx="476">
                  <c:v>147.91999999999999</c:v>
                </c:pt>
                <c:pt idx="477">
                  <c:v>147.75</c:v>
                </c:pt>
                <c:pt idx="478">
                  <c:v>146.94999999999999</c:v>
                </c:pt>
                <c:pt idx="479">
                  <c:v>146.46</c:v>
                </c:pt>
                <c:pt idx="480">
                  <c:v>145.29</c:v>
                </c:pt>
                <c:pt idx="481">
                  <c:v>148.55000000000001</c:v>
                </c:pt>
                <c:pt idx="482">
                  <c:v>145.72</c:v>
                </c:pt>
                <c:pt idx="483">
                  <c:v>150.03</c:v>
                </c:pt>
                <c:pt idx="484">
                  <c:v>151.77000000000001</c:v>
                </c:pt>
                <c:pt idx="485">
                  <c:v>151.72</c:v>
                </c:pt>
                <c:pt idx="486">
                  <c:v>153.79</c:v>
                </c:pt>
                <c:pt idx="487">
                  <c:v>154.05000000000001</c:v>
                </c:pt>
                <c:pt idx="488">
                  <c:v>157.72</c:v>
                </c:pt>
                <c:pt idx="489">
                  <c:v>156.31</c:v>
                </c:pt>
                <c:pt idx="490">
                  <c:v>155.52000000000001</c:v>
                </c:pt>
                <c:pt idx="491">
                  <c:v>155.27000000000001</c:v>
                </c:pt>
                <c:pt idx="492">
                  <c:v>154.97</c:v>
                </c:pt>
                <c:pt idx="493">
                  <c:v>156.16</c:v>
                </c:pt>
                <c:pt idx="494">
                  <c:v>159.16</c:v>
                </c:pt>
                <c:pt idx="495">
                  <c:v>158.33000000000001</c:v>
                </c:pt>
                <c:pt idx="496">
                  <c:v>160.93</c:v>
                </c:pt>
                <c:pt idx="497">
                  <c:v>160.53</c:v>
                </c:pt>
                <c:pt idx="498">
                  <c:v>157.22</c:v>
                </c:pt>
                <c:pt idx="499">
                  <c:v>155.75</c:v>
                </c:pt>
                <c:pt idx="500">
                  <c:v>153.79</c:v>
                </c:pt>
                <c:pt idx="501">
                  <c:v>151.72</c:v>
                </c:pt>
                <c:pt idx="502">
                  <c:v>148.43</c:v>
                </c:pt>
                <c:pt idx="503">
                  <c:v>148.44</c:v>
                </c:pt>
                <c:pt idx="504">
                  <c:v>151.06</c:v>
                </c:pt>
                <c:pt idx="505">
                  <c:v>152.27000000000001</c:v>
                </c:pt>
                <c:pt idx="506">
                  <c:v>151.97</c:v>
                </c:pt>
                <c:pt idx="507">
                  <c:v>150.05000000000001</c:v>
                </c:pt>
                <c:pt idx="508">
                  <c:v>150.47</c:v>
                </c:pt>
                <c:pt idx="509">
                  <c:v>150.46</c:v>
                </c:pt>
                <c:pt idx="510">
                  <c:v>150.28</c:v>
                </c:pt>
                <c:pt idx="511">
                  <c:v>150.4</c:v>
                </c:pt>
                <c:pt idx="512">
                  <c:v>150.80000000000001</c:v>
                </c:pt>
                <c:pt idx="513">
                  <c:v>150.4</c:v>
                </c:pt>
                <c:pt idx="514">
                  <c:v>150.79</c:v>
                </c:pt>
                <c:pt idx="515">
                  <c:v>151.22999999999999</c:v>
                </c:pt>
                <c:pt idx="516">
                  <c:v>149.49</c:v>
                </c:pt>
                <c:pt idx="517">
                  <c:v>149.03</c:v>
                </c:pt>
                <c:pt idx="518">
                  <c:v>147.53</c:v>
                </c:pt>
                <c:pt idx="519">
                  <c:v>147.03</c:v>
                </c:pt>
                <c:pt idx="520">
                  <c:v>144.72999999999999</c:v>
                </c:pt>
                <c:pt idx="521">
                  <c:v>144.88999999999999</c:v>
                </c:pt>
                <c:pt idx="522">
                  <c:v>143.43</c:v>
                </c:pt>
                <c:pt idx="523">
                  <c:v>142.91999999999999</c:v>
                </c:pt>
                <c:pt idx="524">
                  <c:v>143.99</c:v>
                </c:pt>
                <c:pt idx="525">
                  <c:v>144.76</c:v>
                </c:pt>
                <c:pt idx="526">
                  <c:v>143.13</c:v>
                </c:pt>
                <c:pt idx="527">
                  <c:v>143.16</c:v>
                </c:pt>
                <c:pt idx="528">
                  <c:v>143.72</c:v>
                </c:pt>
                <c:pt idx="529">
                  <c:v>141.56</c:v>
                </c:pt>
                <c:pt idx="530">
                  <c:v>141.46</c:v>
                </c:pt>
                <c:pt idx="531">
                  <c:v>142.11000000000001</c:v>
                </c:pt>
                <c:pt idx="532">
                  <c:v>140.16999999999999</c:v>
                </c:pt>
                <c:pt idx="533">
                  <c:v>141.71</c:v>
                </c:pt>
                <c:pt idx="534">
                  <c:v>140.47</c:v>
                </c:pt>
                <c:pt idx="535">
                  <c:v>140.76</c:v>
                </c:pt>
                <c:pt idx="536">
                  <c:v>140.65</c:v>
                </c:pt>
                <c:pt idx="537">
                  <c:v>138.28</c:v>
                </c:pt>
                <c:pt idx="538">
                  <c:v>136.91</c:v>
                </c:pt>
                <c:pt idx="539">
                  <c:v>133.08000000000001</c:v>
                </c:pt>
                <c:pt idx="540">
                  <c:v>132.52000000000001</c:v>
                </c:pt>
                <c:pt idx="541">
                  <c:v>132.24</c:v>
                </c:pt>
                <c:pt idx="542">
                  <c:v>132.34</c:v>
                </c:pt>
                <c:pt idx="543">
                  <c:v>134.12</c:v>
                </c:pt>
                <c:pt idx="544">
                  <c:v>134.43</c:v>
                </c:pt>
                <c:pt idx="545">
                  <c:v>132.47999999999999</c:v>
                </c:pt>
                <c:pt idx="546">
                  <c:v>132.22</c:v>
                </c:pt>
                <c:pt idx="547">
                  <c:v>131.41999999999999</c:v>
                </c:pt>
                <c:pt idx="548">
                  <c:v>130.37</c:v>
                </c:pt>
                <c:pt idx="549">
                  <c:v>131.44999999999999</c:v>
                </c:pt>
                <c:pt idx="550">
                  <c:v>129.76</c:v>
                </c:pt>
                <c:pt idx="551">
                  <c:v>131.54</c:v>
                </c:pt>
                <c:pt idx="552">
                  <c:v>131.96</c:v>
                </c:pt>
                <c:pt idx="553">
                  <c:v>132.12</c:v>
                </c:pt>
                <c:pt idx="554">
                  <c:v>131.28</c:v>
                </c:pt>
                <c:pt idx="555">
                  <c:v>132.66999999999999</c:v>
                </c:pt>
                <c:pt idx="556">
                  <c:v>133.46</c:v>
                </c:pt>
                <c:pt idx="557">
                  <c:v>136.11000000000001</c:v>
                </c:pt>
                <c:pt idx="558">
                  <c:v>138.66</c:v>
                </c:pt>
                <c:pt idx="559">
                  <c:v>138.52000000000001</c:v>
                </c:pt>
                <c:pt idx="560">
                  <c:v>141.54</c:v>
                </c:pt>
                <c:pt idx="561">
                  <c:v>143.26</c:v>
                </c:pt>
                <c:pt idx="562">
                  <c:v>139.87</c:v>
                </c:pt>
                <c:pt idx="563">
                  <c:v>138.97999999999999</c:v>
                </c:pt>
                <c:pt idx="564">
                  <c:v>142.35</c:v>
                </c:pt>
                <c:pt idx="565">
                  <c:v>141.22</c:v>
                </c:pt>
                <c:pt idx="566">
                  <c:v>141.13</c:v>
                </c:pt>
                <c:pt idx="567">
                  <c:v>138.27000000000001</c:v>
                </c:pt>
                <c:pt idx="568">
                  <c:v>133.87</c:v>
                </c:pt>
                <c:pt idx="569">
                  <c:v>133.29</c:v>
                </c:pt>
                <c:pt idx="570">
                  <c:v>135.01</c:v>
                </c:pt>
                <c:pt idx="571">
                  <c:v>134.9</c:v>
                </c:pt>
                <c:pt idx="572">
                  <c:v>137.1</c:v>
                </c:pt>
                <c:pt idx="573">
                  <c:v>132.44999999999999</c:v>
                </c:pt>
                <c:pt idx="574">
                  <c:v>132.84</c:v>
                </c:pt>
                <c:pt idx="575">
                  <c:v>134.21</c:v>
                </c:pt>
                <c:pt idx="576">
                  <c:v>130.91</c:v>
                </c:pt>
                <c:pt idx="577">
                  <c:v>130.77000000000001</c:v>
                </c:pt>
                <c:pt idx="578">
                  <c:v>131.38</c:v>
                </c:pt>
                <c:pt idx="579">
                  <c:v>129.06</c:v>
                </c:pt>
                <c:pt idx="580">
                  <c:v>129.25</c:v>
                </c:pt>
                <c:pt idx="581">
                  <c:v>126.46</c:v>
                </c:pt>
                <c:pt idx="582">
                  <c:v>130.1</c:v>
                </c:pt>
                <c:pt idx="583">
                  <c:v>131.84</c:v>
                </c:pt>
                <c:pt idx="584">
                  <c:v>134.19999999999999</c:v>
                </c:pt>
                <c:pt idx="585">
                  <c:v>134.63999999999999</c:v>
                </c:pt>
                <c:pt idx="586">
                  <c:v>135.52000000000001</c:v>
                </c:pt>
                <c:pt idx="587">
                  <c:v>135.71</c:v>
                </c:pt>
                <c:pt idx="588">
                  <c:v>135.97</c:v>
                </c:pt>
                <c:pt idx="589">
                  <c:v>134.72999999999999</c:v>
                </c:pt>
                <c:pt idx="590">
                  <c:v>135.56</c:v>
                </c:pt>
                <c:pt idx="591">
                  <c:v>133.91999999999999</c:v>
                </c:pt>
                <c:pt idx="592">
                  <c:v>134.19</c:v>
                </c:pt>
                <c:pt idx="593">
                  <c:v>132.97</c:v>
                </c:pt>
                <c:pt idx="594">
                  <c:v>131.29</c:v>
                </c:pt>
                <c:pt idx="595">
                  <c:v>131.28</c:v>
                </c:pt>
                <c:pt idx="596">
                  <c:v>131.22</c:v>
                </c:pt>
                <c:pt idx="597">
                  <c:v>129.91999999999999</c:v>
                </c:pt>
                <c:pt idx="598">
                  <c:v>130.43</c:v>
                </c:pt>
                <c:pt idx="599">
                  <c:v>132.63999999999999</c:v>
                </c:pt>
                <c:pt idx="600">
                  <c:v>135.07</c:v>
                </c:pt>
                <c:pt idx="601">
                  <c:v>133.11000000000001</c:v>
                </c:pt>
                <c:pt idx="602">
                  <c:v>133.47</c:v>
                </c:pt>
                <c:pt idx="603">
                  <c:v>131.46</c:v>
                </c:pt>
                <c:pt idx="604">
                  <c:v>131.57</c:v>
                </c:pt>
                <c:pt idx="605">
                  <c:v>129.28</c:v>
                </c:pt>
                <c:pt idx="606">
                  <c:v>131.27000000000001</c:v>
                </c:pt>
                <c:pt idx="607">
                  <c:v>131.04</c:v>
                </c:pt>
                <c:pt idx="608">
                  <c:v>133.93</c:v>
                </c:pt>
                <c:pt idx="609">
                  <c:v>132.72</c:v>
                </c:pt>
                <c:pt idx="610">
                  <c:v>132.28</c:v>
                </c:pt>
                <c:pt idx="611">
                  <c:v>134.36000000000001</c:v>
                </c:pt>
                <c:pt idx="612">
                  <c:v>132.93</c:v>
                </c:pt>
                <c:pt idx="613">
                  <c:v>133.49</c:v>
                </c:pt>
                <c:pt idx="614">
                  <c:v>131.61000000000001</c:v>
                </c:pt>
                <c:pt idx="615">
                  <c:v>131.94999999999999</c:v>
                </c:pt>
                <c:pt idx="616">
                  <c:v>130.32</c:v>
                </c:pt>
                <c:pt idx="617">
                  <c:v>128.25</c:v>
                </c:pt>
                <c:pt idx="618">
                  <c:v>128.13999999999999</c:v>
                </c:pt>
                <c:pt idx="619">
                  <c:v>128.5</c:v>
                </c:pt>
                <c:pt idx="620">
                  <c:v>126.68</c:v>
                </c:pt>
                <c:pt idx="621">
                  <c:v>123.2</c:v>
                </c:pt>
                <c:pt idx="622">
                  <c:v>123.92</c:v>
                </c:pt>
                <c:pt idx="623">
                  <c:v>127.19</c:v>
                </c:pt>
                <c:pt idx="624">
                  <c:v>124.81</c:v>
                </c:pt>
                <c:pt idx="625">
                  <c:v>123.5</c:v>
                </c:pt>
                <c:pt idx="626">
                  <c:v>123.82</c:v>
                </c:pt>
                <c:pt idx="627">
                  <c:v>124.64</c:v>
                </c:pt>
                <c:pt idx="628">
                  <c:v>123.02</c:v>
                </c:pt>
                <c:pt idx="629">
                  <c:v>120.76</c:v>
                </c:pt>
                <c:pt idx="630">
                  <c:v>120.57</c:v>
                </c:pt>
                <c:pt idx="631">
                  <c:v>119.57</c:v>
                </c:pt>
                <c:pt idx="632">
                  <c:v>121.75</c:v>
                </c:pt>
                <c:pt idx="633">
                  <c:v>120.62</c:v>
                </c:pt>
                <c:pt idx="634">
                  <c:v>119.89</c:v>
                </c:pt>
                <c:pt idx="635">
                  <c:v>118.42</c:v>
                </c:pt>
                <c:pt idx="636">
                  <c:v>119.98</c:v>
                </c:pt>
                <c:pt idx="637">
                  <c:v>117.74</c:v>
                </c:pt>
                <c:pt idx="638">
                  <c:v>119.58</c:v>
                </c:pt>
                <c:pt idx="639">
                  <c:v>119.54</c:v>
                </c:pt>
                <c:pt idx="640">
                  <c:v>120.37</c:v>
                </c:pt>
                <c:pt idx="641">
                  <c:v>122.22</c:v>
                </c:pt>
                <c:pt idx="642">
                  <c:v>123.39</c:v>
                </c:pt>
                <c:pt idx="643">
                  <c:v>121.83</c:v>
                </c:pt>
                <c:pt idx="644">
                  <c:v>120.8</c:v>
                </c:pt>
                <c:pt idx="645">
                  <c:v>117.67</c:v>
                </c:pt>
                <c:pt idx="646">
                  <c:v>116.81</c:v>
                </c:pt>
                <c:pt idx="647">
                  <c:v>116.08</c:v>
                </c:pt>
                <c:pt idx="648">
                  <c:v>115.6</c:v>
                </c:pt>
                <c:pt idx="649">
                  <c:v>115.2</c:v>
                </c:pt>
                <c:pt idx="650">
                  <c:v>116.98</c:v>
                </c:pt>
                <c:pt idx="651">
                  <c:v>121.04</c:v>
                </c:pt>
                <c:pt idx="652">
                  <c:v>121.63</c:v>
                </c:pt>
                <c:pt idx="653">
                  <c:v>125.24</c:v>
                </c:pt>
                <c:pt idx="654">
                  <c:v>125.2</c:v>
                </c:pt>
                <c:pt idx="655">
                  <c:v>123.82</c:v>
                </c:pt>
                <c:pt idx="656">
                  <c:v>126.51</c:v>
                </c:pt>
                <c:pt idx="657">
                  <c:v>126.39</c:v>
                </c:pt>
                <c:pt idx="658">
                  <c:v>128.19</c:v>
                </c:pt>
                <c:pt idx="659">
                  <c:v>124.9</c:v>
                </c:pt>
                <c:pt idx="660">
                  <c:v>125.31</c:v>
                </c:pt>
                <c:pt idx="661">
                  <c:v>124.36</c:v>
                </c:pt>
                <c:pt idx="662">
                  <c:v>126.35</c:v>
                </c:pt>
                <c:pt idx="663">
                  <c:v>120.74</c:v>
                </c:pt>
                <c:pt idx="664">
                  <c:v>122.26</c:v>
                </c:pt>
                <c:pt idx="665">
                  <c:v>122.92</c:v>
                </c:pt>
                <c:pt idx="666">
                  <c:v>123.18</c:v>
                </c:pt>
                <c:pt idx="667">
                  <c:v>124.73</c:v>
                </c:pt>
                <c:pt idx="668">
                  <c:v>125.54</c:v>
                </c:pt>
                <c:pt idx="669">
                  <c:v>124.47</c:v>
                </c:pt>
                <c:pt idx="670">
                  <c:v>125.9</c:v>
                </c:pt>
                <c:pt idx="671">
                  <c:v>124.45</c:v>
                </c:pt>
                <c:pt idx="672">
                  <c:v>125.72</c:v>
                </c:pt>
                <c:pt idx="673">
                  <c:v>124.63</c:v>
                </c:pt>
                <c:pt idx="674">
                  <c:v>126.31</c:v>
                </c:pt>
                <c:pt idx="675">
                  <c:v>126.38</c:v>
                </c:pt>
                <c:pt idx="676">
                  <c:v>126.21</c:v>
                </c:pt>
                <c:pt idx="677">
                  <c:v>125.69</c:v>
                </c:pt>
                <c:pt idx="678">
                  <c:v>124.91</c:v>
                </c:pt>
                <c:pt idx="679">
                  <c:v>123.86</c:v>
                </c:pt>
                <c:pt idx="680">
                  <c:v>124.04</c:v>
                </c:pt>
                <c:pt idx="681">
                  <c:v>120.76</c:v>
                </c:pt>
                <c:pt idx="682">
                  <c:v>121.87</c:v>
                </c:pt>
                <c:pt idx="683">
                  <c:v>121.2</c:v>
                </c:pt>
                <c:pt idx="684">
                  <c:v>122.04</c:v>
                </c:pt>
                <c:pt idx="685">
                  <c:v>121.56</c:v>
                </c:pt>
                <c:pt idx="686">
                  <c:v>122.67</c:v>
                </c:pt>
                <c:pt idx="687">
                  <c:v>123.51</c:v>
                </c:pt>
                <c:pt idx="688">
                  <c:v>124.11</c:v>
                </c:pt>
                <c:pt idx="689">
                  <c:v>123.42</c:v>
                </c:pt>
                <c:pt idx="690">
                  <c:v>123.39</c:v>
                </c:pt>
                <c:pt idx="691">
                  <c:v>124.01</c:v>
                </c:pt>
                <c:pt idx="692">
                  <c:v>118.64</c:v>
                </c:pt>
                <c:pt idx="693">
                  <c:v>114.85</c:v>
                </c:pt>
                <c:pt idx="694">
                  <c:v>111.98</c:v>
                </c:pt>
                <c:pt idx="695">
                  <c:v>112.35</c:v>
                </c:pt>
                <c:pt idx="696">
                  <c:v>111.76</c:v>
                </c:pt>
                <c:pt idx="697">
                  <c:v>114.95</c:v>
                </c:pt>
                <c:pt idx="698">
                  <c:v>112.98</c:v>
                </c:pt>
                <c:pt idx="699">
                  <c:v>113.11</c:v>
                </c:pt>
                <c:pt idx="700">
                  <c:v>110.09</c:v>
                </c:pt>
                <c:pt idx="701">
                  <c:v>112.03</c:v>
                </c:pt>
                <c:pt idx="702">
                  <c:v>112.72</c:v>
                </c:pt>
                <c:pt idx="703">
                  <c:v>112.8</c:v>
                </c:pt>
                <c:pt idx="704">
                  <c:v>112.46</c:v>
                </c:pt>
                <c:pt idx="705">
                  <c:v>114.41</c:v>
                </c:pt>
                <c:pt idx="706">
                  <c:v>115.45</c:v>
                </c:pt>
                <c:pt idx="707">
                  <c:v>115.09</c:v>
                </c:pt>
                <c:pt idx="708">
                  <c:v>113</c:v>
                </c:pt>
                <c:pt idx="709">
                  <c:v>114.32</c:v>
                </c:pt>
                <c:pt idx="710">
                  <c:v>111.34</c:v>
                </c:pt>
                <c:pt idx="711">
                  <c:v>112.82</c:v>
                </c:pt>
                <c:pt idx="712">
                  <c:v>114.29</c:v>
                </c:pt>
                <c:pt idx="713">
                  <c:v>118.27</c:v>
                </c:pt>
                <c:pt idx="714">
                  <c:v>115.42</c:v>
                </c:pt>
                <c:pt idx="715">
                  <c:v>113.71</c:v>
                </c:pt>
                <c:pt idx="716">
                  <c:v>113.8</c:v>
                </c:pt>
                <c:pt idx="717">
                  <c:v>115</c:v>
                </c:pt>
                <c:pt idx="718">
                  <c:v>111.64</c:v>
                </c:pt>
                <c:pt idx="719">
                  <c:v>112.66</c:v>
                </c:pt>
                <c:pt idx="720">
                  <c:v>113.8</c:v>
                </c:pt>
                <c:pt idx="721">
                  <c:v>113.1</c:v>
                </c:pt>
                <c:pt idx="722">
                  <c:v>115.48</c:v>
                </c:pt>
                <c:pt idx="723">
                  <c:v>113.58</c:v>
                </c:pt>
                <c:pt idx="724">
                  <c:v>111.7</c:v>
                </c:pt>
                <c:pt idx="725">
                  <c:v>110.48</c:v>
                </c:pt>
                <c:pt idx="726">
                  <c:v>111.47</c:v>
                </c:pt>
                <c:pt idx="727">
                  <c:v>113.22</c:v>
                </c:pt>
                <c:pt idx="728">
                  <c:v>111.42</c:v>
                </c:pt>
                <c:pt idx="729">
                  <c:v>112.85</c:v>
                </c:pt>
                <c:pt idx="730">
                  <c:v>112.68</c:v>
                </c:pt>
                <c:pt idx="731">
                  <c:v>115.81</c:v>
                </c:pt>
                <c:pt idx="732">
                  <c:v>117.89</c:v>
                </c:pt>
                <c:pt idx="733">
                  <c:v>116.65</c:v>
                </c:pt>
                <c:pt idx="734">
                  <c:v>116.46</c:v>
                </c:pt>
                <c:pt idx="735">
                  <c:v>114.93</c:v>
                </c:pt>
                <c:pt idx="736">
                  <c:v>113.93</c:v>
                </c:pt>
                <c:pt idx="737">
                  <c:v>113.17</c:v>
                </c:pt>
                <c:pt idx="738">
                  <c:v>113.79</c:v>
                </c:pt>
                <c:pt idx="739">
                  <c:v>112.57</c:v>
                </c:pt>
                <c:pt idx="740">
                  <c:v>109.96</c:v>
                </c:pt>
                <c:pt idx="741">
                  <c:v>108.49</c:v>
                </c:pt>
                <c:pt idx="742">
                  <c:v>112.81</c:v>
                </c:pt>
                <c:pt idx="743">
                  <c:v>112.22</c:v>
                </c:pt>
                <c:pt idx="744">
                  <c:v>111.38</c:v>
                </c:pt>
                <c:pt idx="745">
                  <c:v>110.97</c:v>
                </c:pt>
                <c:pt idx="746">
                  <c:v>108.78</c:v>
                </c:pt>
                <c:pt idx="747">
                  <c:v>109.07</c:v>
                </c:pt>
                <c:pt idx="748">
                  <c:v>109.97</c:v>
                </c:pt>
                <c:pt idx="749">
                  <c:v>109.06</c:v>
                </c:pt>
                <c:pt idx="750">
                  <c:v>111.15</c:v>
                </c:pt>
                <c:pt idx="751">
                  <c:v>113.4</c:v>
                </c:pt>
                <c:pt idx="752">
                  <c:v>109.63</c:v>
                </c:pt>
                <c:pt idx="753">
                  <c:v>108.52</c:v>
                </c:pt>
                <c:pt idx="754">
                  <c:v>111.27</c:v>
                </c:pt>
                <c:pt idx="755">
                  <c:v>112.83</c:v>
                </c:pt>
                <c:pt idx="756">
                  <c:v>110.59</c:v>
                </c:pt>
                <c:pt idx="757">
                  <c:v>110.46</c:v>
                </c:pt>
                <c:pt idx="758">
                  <c:v>113.11</c:v>
                </c:pt>
                <c:pt idx="759">
                  <c:v>114.31</c:v>
                </c:pt>
                <c:pt idx="760">
                  <c:v>114.63</c:v>
                </c:pt>
                <c:pt idx="761">
                  <c:v>113.83</c:v>
                </c:pt>
                <c:pt idx="762">
                  <c:v>112.51</c:v>
                </c:pt>
                <c:pt idx="763">
                  <c:v>112.05</c:v>
                </c:pt>
                <c:pt idx="764">
                  <c:v>110.42</c:v>
                </c:pt>
                <c:pt idx="765">
                  <c:v>110.12</c:v>
                </c:pt>
                <c:pt idx="766">
                  <c:v>110.04</c:v>
                </c:pt>
                <c:pt idx="767">
                  <c:v>110.82</c:v>
                </c:pt>
                <c:pt idx="768">
                  <c:v>110.21</c:v>
                </c:pt>
                <c:pt idx="769">
                  <c:v>111.03</c:v>
                </c:pt>
                <c:pt idx="770">
                  <c:v>110.38</c:v>
                </c:pt>
                <c:pt idx="771">
                  <c:v>110.68</c:v>
                </c:pt>
                <c:pt idx="772">
                  <c:v>110.95</c:v>
                </c:pt>
                <c:pt idx="773">
                  <c:v>109.53</c:v>
                </c:pt>
                <c:pt idx="774">
                  <c:v>105.99</c:v>
                </c:pt>
                <c:pt idx="775">
                  <c:v>109.47</c:v>
                </c:pt>
                <c:pt idx="776">
                  <c:v>107.77</c:v>
                </c:pt>
                <c:pt idx="777">
                  <c:v>108.08</c:v>
                </c:pt>
                <c:pt idx="778">
                  <c:v>107.77</c:v>
                </c:pt>
                <c:pt idx="779">
                  <c:v>107.11</c:v>
                </c:pt>
                <c:pt idx="780">
                  <c:v>106.76</c:v>
                </c:pt>
                <c:pt idx="781">
                  <c:v>106.56</c:v>
                </c:pt>
                <c:pt idx="782">
                  <c:v>108.75</c:v>
                </c:pt>
                <c:pt idx="783">
                  <c:v>107.92</c:v>
                </c:pt>
                <c:pt idx="784">
                  <c:v>106.08</c:v>
                </c:pt>
                <c:pt idx="785">
                  <c:v>105.92</c:v>
                </c:pt>
                <c:pt idx="786">
                  <c:v>107.95</c:v>
                </c:pt>
                <c:pt idx="787">
                  <c:v>107.69</c:v>
                </c:pt>
                <c:pt idx="788">
                  <c:v>110.25</c:v>
                </c:pt>
                <c:pt idx="789">
                  <c:v>109.22</c:v>
                </c:pt>
                <c:pt idx="790">
                  <c:v>109.54</c:v>
                </c:pt>
                <c:pt idx="791">
                  <c:v>110.17</c:v>
                </c:pt>
                <c:pt idx="792">
                  <c:v>111.4</c:v>
                </c:pt>
                <c:pt idx="793">
                  <c:v>112.99</c:v>
                </c:pt>
                <c:pt idx="794">
                  <c:v>109.62</c:v>
                </c:pt>
                <c:pt idx="795">
                  <c:v>112.48</c:v>
                </c:pt>
                <c:pt idx="796">
                  <c:v>112.77</c:v>
                </c:pt>
                <c:pt idx="797">
                  <c:v>108.46</c:v>
                </c:pt>
                <c:pt idx="798">
                  <c:v>109.13</c:v>
                </c:pt>
                <c:pt idx="799">
                  <c:v>112.44</c:v>
                </c:pt>
                <c:pt idx="800">
                  <c:v>112.59</c:v>
                </c:pt>
                <c:pt idx="801">
                  <c:v>108.62</c:v>
                </c:pt>
                <c:pt idx="802">
                  <c:v>108.79</c:v>
                </c:pt>
                <c:pt idx="803">
                  <c:v>109.32</c:v>
                </c:pt>
                <c:pt idx="804">
                  <c:v>109.03</c:v>
                </c:pt>
                <c:pt idx="805">
                  <c:v>106.91</c:v>
                </c:pt>
                <c:pt idx="806">
                  <c:v>109.98</c:v>
                </c:pt>
                <c:pt idx="807">
                  <c:v>108.86</c:v>
                </c:pt>
                <c:pt idx="808">
                  <c:v>110.03</c:v>
                </c:pt>
                <c:pt idx="809">
                  <c:v>110.31</c:v>
                </c:pt>
                <c:pt idx="810">
                  <c:v>108.93</c:v>
                </c:pt>
                <c:pt idx="811">
                  <c:v>109.05</c:v>
                </c:pt>
                <c:pt idx="812">
                  <c:v>111.09</c:v>
                </c:pt>
                <c:pt idx="813">
                  <c:v>108.4</c:v>
                </c:pt>
                <c:pt idx="814">
                  <c:v>108.27</c:v>
                </c:pt>
                <c:pt idx="815">
                  <c:v>108.84</c:v>
                </c:pt>
                <c:pt idx="816">
                  <c:v>110.05</c:v>
                </c:pt>
                <c:pt idx="817">
                  <c:v>110.7</c:v>
                </c:pt>
                <c:pt idx="818">
                  <c:v>110.78</c:v>
                </c:pt>
                <c:pt idx="819">
                  <c:v>108.48</c:v>
                </c:pt>
                <c:pt idx="820">
                  <c:v>109.2</c:v>
                </c:pt>
                <c:pt idx="821">
                  <c:v>109.54</c:v>
                </c:pt>
                <c:pt idx="822">
                  <c:v>110.3</c:v>
                </c:pt>
                <c:pt idx="823">
                  <c:v>112.5</c:v>
                </c:pt>
                <c:pt idx="824">
                  <c:v>113.45</c:v>
                </c:pt>
                <c:pt idx="825">
                  <c:v>113.39</c:v>
                </c:pt>
                <c:pt idx="826">
                  <c:v>111.97</c:v>
                </c:pt>
                <c:pt idx="827">
                  <c:v>113.07</c:v>
                </c:pt>
                <c:pt idx="828">
                  <c:v>111.67</c:v>
                </c:pt>
                <c:pt idx="829">
                  <c:v>109.82</c:v>
                </c:pt>
                <c:pt idx="830">
                  <c:v>109.71</c:v>
                </c:pt>
                <c:pt idx="831">
                  <c:v>110.83</c:v>
                </c:pt>
                <c:pt idx="832">
                  <c:v>111.23</c:v>
                </c:pt>
                <c:pt idx="833">
                  <c:v>112.96</c:v>
                </c:pt>
                <c:pt idx="834">
                  <c:v>111.95</c:v>
                </c:pt>
                <c:pt idx="835">
                  <c:v>111.7</c:v>
                </c:pt>
                <c:pt idx="836">
                  <c:v>111.54</c:v>
                </c:pt>
                <c:pt idx="837">
                  <c:v>111.06</c:v>
                </c:pt>
                <c:pt idx="838">
                  <c:v>111.47</c:v>
                </c:pt>
                <c:pt idx="839">
                  <c:v>113.01</c:v>
                </c:pt>
                <c:pt idx="840">
                  <c:v>113.5</c:v>
                </c:pt>
                <c:pt idx="841">
                  <c:v>112.57</c:v>
                </c:pt>
                <c:pt idx="842">
                  <c:v>111.81</c:v>
                </c:pt>
                <c:pt idx="843">
                  <c:v>111.77</c:v>
                </c:pt>
                <c:pt idx="844">
                  <c:v>110.43</c:v>
                </c:pt>
                <c:pt idx="845">
                  <c:v>109.71</c:v>
                </c:pt>
                <c:pt idx="846">
                  <c:v>106.33</c:v>
                </c:pt>
                <c:pt idx="847">
                  <c:v>105.5</c:v>
                </c:pt>
                <c:pt idx="848">
                  <c:v>108.55</c:v>
                </c:pt>
                <c:pt idx="849">
                  <c:v>107.76</c:v>
                </c:pt>
                <c:pt idx="850">
                  <c:v>108.24</c:v>
                </c:pt>
                <c:pt idx="851">
                  <c:v>107.9</c:v>
                </c:pt>
                <c:pt idx="852">
                  <c:v>108.02</c:v>
                </c:pt>
                <c:pt idx="853">
                  <c:v>107.4</c:v>
                </c:pt>
                <c:pt idx="854">
                  <c:v>107.31</c:v>
                </c:pt>
                <c:pt idx="855">
                  <c:v>107.38</c:v>
                </c:pt>
                <c:pt idx="856">
                  <c:v>108.16</c:v>
                </c:pt>
                <c:pt idx="857">
                  <c:v>106.38</c:v>
                </c:pt>
                <c:pt idx="858">
                  <c:v>105.31</c:v>
                </c:pt>
                <c:pt idx="859">
                  <c:v>104.43</c:v>
                </c:pt>
                <c:pt idx="860">
                  <c:v>101.17</c:v>
                </c:pt>
                <c:pt idx="861">
                  <c:v>103.67</c:v>
                </c:pt>
                <c:pt idx="862">
                  <c:v>106.01</c:v>
                </c:pt>
                <c:pt idx="863">
                  <c:v>107.19</c:v>
                </c:pt>
                <c:pt idx="864">
                  <c:v>106.5</c:v>
                </c:pt>
                <c:pt idx="865">
                  <c:v>106.48</c:v>
                </c:pt>
                <c:pt idx="866">
                  <c:v>106.9</c:v>
                </c:pt>
                <c:pt idx="867">
                  <c:v>106.06</c:v>
                </c:pt>
                <c:pt idx="868">
                  <c:v>106.11</c:v>
                </c:pt>
                <c:pt idx="869">
                  <c:v>109.72</c:v>
                </c:pt>
                <c:pt idx="870">
                  <c:v>111.35</c:v>
                </c:pt>
                <c:pt idx="871">
                  <c:v>111.34</c:v>
                </c:pt>
                <c:pt idx="872">
                  <c:v>110.45</c:v>
                </c:pt>
                <c:pt idx="873">
                  <c:v>109.4</c:v>
                </c:pt>
                <c:pt idx="874">
                  <c:v>111.19</c:v>
                </c:pt>
                <c:pt idx="875">
                  <c:v>112.64</c:v>
                </c:pt>
                <c:pt idx="876">
                  <c:v>112.38</c:v>
                </c:pt>
                <c:pt idx="877">
                  <c:v>112.93</c:v>
                </c:pt>
                <c:pt idx="878">
                  <c:v>110.95</c:v>
                </c:pt>
                <c:pt idx="879">
                  <c:v>112.18</c:v>
                </c:pt>
                <c:pt idx="880">
                  <c:v>111.29</c:v>
                </c:pt>
                <c:pt idx="881">
                  <c:v>112.33</c:v>
                </c:pt>
                <c:pt idx="882">
                  <c:v>109.98</c:v>
                </c:pt>
                <c:pt idx="883">
                  <c:v>109.36</c:v>
                </c:pt>
                <c:pt idx="884">
                  <c:v>108.92</c:v>
                </c:pt>
                <c:pt idx="885">
                  <c:v>109.69</c:v>
                </c:pt>
                <c:pt idx="886">
                  <c:v>111.16</c:v>
                </c:pt>
                <c:pt idx="887">
                  <c:v>113.07</c:v>
                </c:pt>
                <c:pt idx="888">
                  <c:v>114.98</c:v>
                </c:pt>
                <c:pt idx="889">
                  <c:v>113.96</c:v>
                </c:pt>
                <c:pt idx="890">
                  <c:v>113</c:v>
                </c:pt>
                <c:pt idx="891">
                  <c:v>114.02</c:v>
                </c:pt>
                <c:pt idx="892">
                  <c:v>113.49</c:v>
                </c:pt>
                <c:pt idx="893">
                  <c:v>112.25</c:v>
                </c:pt>
                <c:pt idx="894">
                  <c:v>112.65</c:v>
                </c:pt>
                <c:pt idx="895">
                  <c:v>113.66</c:v>
                </c:pt>
                <c:pt idx="896">
                  <c:v>114.47</c:v>
                </c:pt>
                <c:pt idx="897">
                  <c:v>112.16</c:v>
                </c:pt>
                <c:pt idx="898">
                  <c:v>113.67</c:v>
                </c:pt>
                <c:pt idx="899">
                  <c:v>116.32</c:v>
                </c:pt>
                <c:pt idx="900">
                  <c:v>116.47</c:v>
                </c:pt>
                <c:pt idx="901">
                  <c:v>115.93</c:v>
                </c:pt>
                <c:pt idx="902">
                  <c:v>116.29</c:v>
                </c:pt>
                <c:pt idx="903">
                  <c:v>115.75</c:v>
                </c:pt>
                <c:pt idx="904">
                  <c:v>115.51</c:v>
                </c:pt>
                <c:pt idx="905">
                  <c:v>115.58</c:v>
                </c:pt>
                <c:pt idx="906">
                  <c:v>114.48</c:v>
                </c:pt>
                <c:pt idx="907">
                  <c:v>113.79</c:v>
                </c:pt>
                <c:pt idx="908">
                  <c:v>113.98</c:v>
                </c:pt>
                <c:pt idx="909">
                  <c:v>115.41</c:v>
                </c:pt>
                <c:pt idx="910">
                  <c:v>114.75</c:v>
                </c:pt>
                <c:pt idx="911">
                  <c:v>113.01</c:v>
                </c:pt>
                <c:pt idx="912">
                  <c:v>112.96</c:v>
                </c:pt>
                <c:pt idx="913">
                  <c:v>112.86</c:v>
                </c:pt>
                <c:pt idx="914">
                  <c:v>113.11</c:v>
                </c:pt>
                <c:pt idx="915">
                  <c:v>113.59</c:v>
                </c:pt>
                <c:pt idx="916">
                  <c:v>114.74</c:v>
                </c:pt>
                <c:pt idx="917">
                  <c:v>113.59</c:v>
                </c:pt>
                <c:pt idx="918">
                  <c:v>114.86</c:v>
                </c:pt>
                <c:pt idx="919">
                  <c:v>114.13</c:v>
                </c:pt>
                <c:pt idx="920">
                  <c:v>116.27</c:v>
                </c:pt>
                <c:pt idx="921">
                  <c:v>114.96</c:v>
                </c:pt>
                <c:pt idx="922">
                  <c:v>114.77</c:v>
                </c:pt>
                <c:pt idx="923">
                  <c:v>115.9</c:v>
                </c:pt>
                <c:pt idx="924">
                  <c:v>116.56</c:v>
                </c:pt>
                <c:pt idx="925">
                  <c:v>116.72</c:v>
                </c:pt>
                <c:pt idx="926">
                  <c:v>117.34</c:v>
                </c:pt>
                <c:pt idx="927">
                  <c:v>116.27</c:v>
                </c:pt>
                <c:pt idx="928">
                  <c:v>115.06</c:v>
                </c:pt>
                <c:pt idx="929">
                  <c:v>116.57</c:v>
                </c:pt>
                <c:pt idx="930">
                  <c:v>116.85</c:v>
                </c:pt>
                <c:pt idx="931">
                  <c:v>117.08</c:v>
                </c:pt>
                <c:pt idx="932">
                  <c:v>116.75</c:v>
                </c:pt>
                <c:pt idx="933">
                  <c:v>114.66</c:v>
                </c:pt>
                <c:pt idx="934">
                  <c:v>113.47</c:v>
                </c:pt>
                <c:pt idx="935">
                  <c:v>114.5</c:v>
                </c:pt>
                <c:pt idx="936">
                  <c:v>114.74</c:v>
                </c:pt>
                <c:pt idx="937">
                  <c:v>114.58</c:v>
                </c:pt>
                <c:pt idx="938">
                  <c:v>113.03</c:v>
                </c:pt>
                <c:pt idx="939">
                  <c:v>113.31</c:v>
                </c:pt>
                <c:pt idx="940">
                  <c:v>113.51</c:v>
                </c:pt>
                <c:pt idx="941">
                  <c:v>112.67</c:v>
                </c:pt>
                <c:pt idx="942">
                  <c:v>112.85</c:v>
                </c:pt>
                <c:pt idx="943">
                  <c:v>112.1</c:v>
                </c:pt>
                <c:pt idx="944">
                  <c:v>110.55</c:v>
                </c:pt>
                <c:pt idx="945">
                  <c:v>109.44</c:v>
                </c:pt>
                <c:pt idx="946">
                  <c:v>107.4</c:v>
                </c:pt>
                <c:pt idx="947">
                  <c:v>105.72</c:v>
                </c:pt>
                <c:pt idx="948">
                  <c:v>106.06</c:v>
                </c:pt>
                <c:pt idx="949">
                  <c:v>106.08</c:v>
                </c:pt>
                <c:pt idx="950">
                  <c:v>105.22</c:v>
                </c:pt>
                <c:pt idx="951">
                  <c:v>105.46</c:v>
                </c:pt>
                <c:pt idx="952">
                  <c:v>106.09</c:v>
                </c:pt>
                <c:pt idx="953">
                  <c:v>105.7</c:v>
                </c:pt>
                <c:pt idx="954">
                  <c:v>104.14</c:v>
                </c:pt>
                <c:pt idx="955">
                  <c:v>104.39</c:v>
                </c:pt>
                <c:pt idx="956">
                  <c:v>104.98</c:v>
                </c:pt>
                <c:pt idx="957">
                  <c:v>104.21</c:v>
                </c:pt>
                <c:pt idx="958">
                  <c:v>104.39</c:v>
                </c:pt>
                <c:pt idx="959">
                  <c:v>105.06</c:v>
                </c:pt>
                <c:pt idx="960">
                  <c:v>105.27</c:v>
                </c:pt>
                <c:pt idx="961">
                  <c:v>104.27</c:v>
                </c:pt>
                <c:pt idx="962">
                  <c:v>104.96</c:v>
                </c:pt>
                <c:pt idx="963">
                  <c:v>105.82</c:v>
                </c:pt>
                <c:pt idx="964">
                  <c:v>105.47</c:v>
                </c:pt>
                <c:pt idx="965">
                  <c:v>103.48</c:v>
                </c:pt>
                <c:pt idx="966">
                  <c:v>102.9</c:v>
                </c:pt>
                <c:pt idx="967">
                  <c:v>103.24</c:v>
                </c:pt>
                <c:pt idx="968">
                  <c:v>103.03</c:v>
                </c:pt>
                <c:pt idx="969">
                  <c:v>103.5</c:v>
                </c:pt>
                <c:pt idx="970">
                  <c:v>104.76</c:v>
                </c:pt>
                <c:pt idx="971">
                  <c:v>105.71</c:v>
                </c:pt>
                <c:pt idx="972">
                  <c:v>105.59</c:v>
                </c:pt>
                <c:pt idx="973">
                  <c:v>105.37</c:v>
                </c:pt>
                <c:pt idx="974">
                  <c:v>105.68</c:v>
                </c:pt>
                <c:pt idx="975">
                  <c:v>103.43</c:v>
                </c:pt>
                <c:pt idx="976">
                  <c:v>102.09</c:v>
                </c:pt>
                <c:pt idx="977">
                  <c:v>102.12</c:v>
                </c:pt>
                <c:pt idx="978">
                  <c:v>101.06</c:v>
                </c:pt>
                <c:pt idx="979">
                  <c:v>100.98</c:v>
                </c:pt>
                <c:pt idx="980">
                  <c:v>100.24</c:v>
                </c:pt>
                <c:pt idx="981">
                  <c:v>100.57</c:v>
                </c:pt>
                <c:pt idx="982">
                  <c:v>99.04</c:v>
                </c:pt>
                <c:pt idx="983">
                  <c:v>98.72</c:v>
                </c:pt>
                <c:pt idx="984">
                  <c:v>97.79</c:v>
                </c:pt>
                <c:pt idx="985">
                  <c:v>99.28</c:v>
                </c:pt>
                <c:pt idx="986">
                  <c:v>99.17</c:v>
                </c:pt>
                <c:pt idx="987">
                  <c:v>97.49</c:v>
                </c:pt>
                <c:pt idx="988">
                  <c:v>96.02</c:v>
                </c:pt>
                <c:pt idx="989">
                  <c:v>96.5</c:v>
                </c:pt>
                <c:pt idx="990">
                  <c:v>96</c:v>
                </c:pt>
                <c:pt idx="991">
                  <c:v>97.22</c:v>
                </c:pt>
                <c:pt idx="992">
                  <c:v>98.08</c:v>
                </c:pt>
                <c:pt idx="993">
                  <c:v>98.19</c:v>
                </c:pt>
                <c:pt idx="994">
                  <c:v>98.02</c:v>
                </c:pt>
                <c:pt idx="995">
                  <c:v>98.36</c:v>
                </c:pt>
                <c:pt idx="996">
                  <c:v>96.71</c:v>
                </c:pt>
                <c:pt idx="997">
                  <c:v>97.12</c:v>
                </c:pt>
                <c:pt idx="998">
                  <c:v>95.76</c:v>
                </c:pt>
                <c:pt idx="999">
                  <c:v>94.46</c:v>
                </c:pt>
                <c:pt idx="1000">
                  <c:v>96.59</c:v>
                </c:pt>
                <c:pt idx="1001">
                  <c:v>96.78</c:v>
                </c:pt>
                <c:pt idx="1002">
                  <c:v>93.88</c:v>
                </c:pt>
                <c:pt idx="1003">
                  <c:v>95.93</c:v>
                </c:pt>
                <c:pt idx="1004">
                  <c:v>94.58</c:v>
                </c:pt>
                <c:pt idx="1005">
                  <c:v>94.9</c:v>
                </c:pt>
                <c:pt idx="1006">
                  <c:v>95.01</c:v>
                </c:pt>
                <c:pt idx="1007">
                  <c:v>94.83</c:v>
                </c:pt>
                <c:pt idx="1008">
                  <c:v>97.7</c:v>
                </c:pt>
                <c:pt idx="1009">
                  <c:v>96.74</c:v>
                </c:pt>
                <c:pt idx="1010">
                  <c:v>96.97</c:v>
                </c:pt>
                <c:pt idx="1011">
                  <c:v>98.09</c:v>
                </c:pt>
                <c:pt idx="1012">
                  <c:v>98.87</c:v>
                </c:pt>
                <c:pt idx="1013">
                  <c:v>98.07</c:v>
                </c:pt>
                <c:pt idx="1014">
                  <c:v>97.71</c:v>
                </c:pt>
                <c:pt idx="1015">
                  <c:v>95.85</c:v>
                </c:pt>
                <c:pt idx="1016">
                  <c:v>95.01</c:v>
                </c:pt>
                <c:pt idx="1017">
                  <c:v>94.16</c:v>
                </c:pt>
                <c:pt idx="1018">
                  <c:v>95.8</c:v>
                </c:pt>
                <c:pt idx="1019">
                  <c:v>95.85</c:v>
                </c:pt>
                <c:pt idx="1020">
                  <c:v>96.39</c:v>
                </c:pt>
                <c:pt idx="1021">
                  <c:v>96.33</c:v>
                </c:pt>
                <c:pt idx="1022">
                  <c:v>96.91</c:v>
                </c:pt>
                <c:pt idx="1023">
                  <c:v>96.39</c:v>
                </c:pt>
                <c:pt idx="1024">
                  <c:v>94.5</c:v>
                </c:pt>
                <c:pt idx="1025">
                  <c:v>94.61</c:v>
                </c:pt>
                <c:pt idx="1026">
                  <c:v>94.28</c:v>
                </c:pt>
                <c:pt idx="1027">
                  <c:v>94.41</c:v>
                </c:pt>
                <c:pt idx="1028">
                  <c:v>95.55</c:v>
                </c:pt>
                <c:pt idx="1029">
                  <c:v>95.48</c:v>
                </c:pt>
                <c:pt idx="1030">
                  <c:v>94.93</c:v>
                </c:pt>
                <c:pt idx="1031">
                  <c:v>96.21</c:v>
                </c:pt>
                <c:pt idx="1032">
                  <c:v>97.08</c:v>
                </c:pt>
                <c:pt idx="1033">
                  <c:v>97.41</c:v>
                </c:pt>
                <c:pt idx="1034">
                  <c:v>97.12</c:v>
                </c:pt>
                <c:pt idx="1035">
                  <c:v>95.97</c:v>
                </c:pt>
                <c:pt idx="1036">
                  <c:v>98.54</c:v>
                </c:pt>
                <c:pt idx="1037">
                  <c:v>99.68</c:v>
                </c:pt>
                <c:pt idx="1038">
                  <c:v>99.7</c:v>
                </c:pt>
                <c:pt idx="1039">
                  <c:v>98.48</c:v>
                </c:pt>
                <c:pt idx="1040">
                  <c:v>98.72</c:v>
                </c:pt>
                <c:pt idx="1041">
                  <c:v>98.64</c:v>
                </c:pt>
                <c:pt idx="1042">
                  <c:v>100</c:v>
                </c:pt>
                <c:pt idx="1043">
                  <c:v>100.95</c:v>
                </c:pt>
                <c:pt idx="1044">
                  <c:v>98.64</c:v>
                </c:pt>
                <c:pt idx="1045">
                  <c:v>96.18</c:v>
                </c:pt>
                <c:pt idx="1046">
                  <c:v>92.97</c:v>
                </c:pt>
                <c:pt idx="1047">
                  <c:v>90.99</c:v>
                </c:pt>
                <c:pt idx="1048">
                  <c:v>89.02</c:v>
                </c:pt>
                <c:pt idx="1049">
                  <c:v>87.79</c:v>
                </c:pt>
                <c:pt idx="1050">
                  <c:v>88.96</c:v>
                </c:pt>
                <c:pt idx="1051">
                  <c:v>90.43</c:v>
                </c:pt>
                <c:pt idx="1052">
                  <c:v>89.96</c:v>
                </c:pt>
                <c:pt idx="1053">
                  <c:v>91.61</c:v>
                </c:pt>
                <c:pt idx="1054">
                  <c:v>92.45</c:v>
                </c:pt>
                <c:pt idx="1055">
                  <c:v>93.11</c:v>
                </c:pt>
                <c:pt idx="1056">
                  <c:v>91.81</c:v>
                </c:pt>
                <c:pt idx="1057">
                  <c:v>91.08</c:v>
                </c:pt>
                <c:pt idx="1058">
                  <c:v>88.06</c:v>
                </c:pt>
                <c:pt idx="1059">
                  <c:v>89.51</c:v>
                </c:pt>
                <c:pt idx="1060">
                  <c:v>88.49</c:v>
                </c:pt>
                <c:pt idx="1061">
                  <c:v>90.09</c:v>
                </c:pt>
                <c:pt idx="1062">
                  <c:v>90.33</c:v>
                </c:pt>
                <c:pt idx="1063">
                  <c:v>89.35</c:v>
                </c:pt>
                <c:pt idx="1064">
                  <c:v>90.3</c:v>
                </c:pt>
                <c:pt idx="1065">
                  <c:v>89.28</c:v>
                </c:pt>
                <c:pt idx="1066">
                  <c:v>90.25</c:v>
                </c:pt>
                <c:pt idx="1067">
                  <c:v>90.68</c:v>
                </c:pt>
                <c:pt idx="1068">
                  <c:v>88.92</c:v>
                </c:pt>
                <c:pt idx="1069">
                  <c:v>90.64</c:v>
                </c:pt>
                <c:pt idx="1070">
                  <c:v>90.33</c:v>
                </c:pt>
                <c:pt idx="1071">
                  <c:v>93.23</c:v>
                </c:pt>
                <c:pt idx="1072">
                  <c:v>91.79</c:v>
                </c:pt>
                <c:pt idx="1073">
                  <c:v>92.45</c:v>
                </c:pt>
                <c:pt idx="1074">
                  <c:v>91.49</c:v>
                </c:pt>
                <c:pt idx="1075">
                  <c:v>91.19</c:v>
                </c:pt>
                <c:pt idx="1076">
                  <c:v>92.14</c:v>
                </c:pt>
                <c:pt idx="1077">
                  <c:v>91.77</c:v>
                </c:pt>
                <c:pt idx="1078">
                  <c:v>92.7</c:v>
                </c:pt>
                <c:pt idx="1079">
                  <c:v>93.1</c:v>
                </c:pt>
                <c:pt idx="1080">
                  <c:v>92.79</c:v>
                </c:pt>
                <c:pt idx="1081">
                  <c:v>92.62</c:v>
                </c:pt>
                <c:pt idx="1082">
                  <c:v>92.99</c:v>
                </c:pt>
                <c:pt idx="1083">
                  <c:v>93.74</c:v>
                </c:pt>
                <c:pt idx="1084">
                  <c:v>93.49</c:v>
                </c:pt>
                <c:pt idx="1085">
                  <c:v>92.05</c:v>
                </c:pt>
                <c:pt idx="1086">
                  <c:v>91.89</c:v>
                </c:pt>
                <c:pt idx="1087">
                  <c:v>91.04</c:v>
                </c:pt>
                <c:pt idx="1088">
                  <c:v>91.51</c:v>
                </c:pt>
                <c:pt idx="1089">
                  <c:v>92.87</c:v>
                </c:pt>
                <c:pt idx="1090">
                  <c:v>92.94</c:v>
                </c:pt>
                <c:pt idx="1091">
                  <c:v>91.97</c:v>
                </c:pt>
                <c:pt idx="1092">
                  <c:v>89.91</c:v>
                </c:pt>
                <c:pt idx="1093">
                  <c:v>90.48</c:v>
                </c:pt>
                <c:pt idx="1094">
                  <c:v>89.51</c:v>
                </c:pt>
                <c:pt idx="1095">
                  <c:v>90.49</c:v>
                </c:pt>
                <c:pt idx="1096">
                  <c:v>92.15</c:v>
                </c:pt>
                <c:pt idx="1097">
                  <c:v>92.02</c:v>
                </c:pt>
                <c:pt idx="1098">
                  <c:v>90.86</c:v>
                </c:pt>
                <c:pt idx="1099">
                  <c:v>91.02</c:v>
                </c:pt>
                <c:pt idx="1100">
                  <c:v>91.91</c:v>
                </c:pt>
                <c:pt idx="1101">
                  <c:v>92.14</c:v>
                </c:pt>
                <c:pt idx="1102">
                  <c:v>92.39</c:v>
                </c:pt>
                <c:pt idx="1103">
                  <c:v>90.89</c:v>
                </c:pt>
                <c:pt idx="1104">
                  <c:v>90.95</c:v>
                </c:pt>
                <c:pt idx="1105">
                  <c:v>91.87</c:v>
                </c:pt>
                <c:pt idx="1106">
                  <c:v>92.92</c:v>
                </c:pt>
                <c:pt idx="1107">
                  <c:v>92.31</c:v>
                </c:pt>
                <c:pt idx="1108">
                  <c:v>93.88</c:v>
                </c:pt>
                <c:pt idx="1109">
                  <c:v>91.84</c:v>
                </c:pt>
                <c:pt idx="1110">
                  <c:v>91.06</c:v>
                </c:pt>
                <c:pt idx="1111">
                  <c:v>88.24</c:v>
                </c:pt>
                <c:pt idx="1112">
                  <c:v>91.79</c:v>
                </c:pt>
                <c:pt idx="1113">
                  <c:v>91.79</c:v>
                </c:pt>
                <c:pt idx="1114">
                  <c:v>91.73</c:v>
                </c:pt>
                <c:pt idx="1115">
                  <c:v>91.16</c:v>
                </c:pt>
                <c:pt idx="1116">
                  <c:v>92.32</c:v>
                </c:pt>
                <c:pt idx="1117">
                  <c:v>92.23</c:v>
                </c:pt>
                <c:pt idx="1118">
                  <c:v>92.13</c:v>
                </c:pt>
                <c:pt idx="1119">
                  <c:v>92.19</c:v>
                </c:pt>
                <c:pt idx="1120">
                  <c:v>91.9</c:v>
                </c:pt>
                <c:pt idx="1121">
                  <c:v>90.05</c:v>
                </c:pt>
                <c:pt idx="1122">
                  <c:v>91.94</c:v>
                </c:pt>
                <c:pt idx="1123">
                  <c:v>88.24</c:v>
                </c:pt>
                <c:pt idx="1124">
                  <c:v>86.9</c:v>
                </c:pt>
                <c:pt idx="1125">
                  <c:v>85.79</c:v>
                </c:pt>
                <c:pt idx="1126">
                  <c:v>85.88</c:v>
                </c:pt>
                <c:pt idx="1127">
                  <c:v>83.08</c:v>
                </c:pt>
                <c:pt idx="1128">
                  <c:v>82.1</c:v>
                </c:pt>
                <c:pt idx="1129">
                  <c:v>80.319999999999993</c:v>
                </c:pt>
                <c:pt idx="1130">
                  <c:v>77.3</c:v>
                </c:pt>
                <c:pt idx="1131">
                  <c:v>82.82</c:v>
                </c:pt>
                <c:pt idx="1132">
                  <c:v>85.42</c:v>
                </c:pt>
                <c:pt idx="1133">
                  <c:v>86.29</c:v>
                </c:pt>
                <c:pt idx="1134">
                  <c:v>87.28</c:v>
                </c:pt>
                <c:pt idx="1135">
                  <c:v>87.72</c:v>
                </c:pt>
                <c:pt idx="1136">
                  <c:v>87.99</c:v>
                </c:pt>
                <c:pt idx="1137">
                  <c:v>87.04</c:v>
                </c:pt>
                <c:pt idx="1138">
                  <c:v>85.95</c:v>
                </c:pt>
                <c:pt idx="1139">
                  <c:v>86.63</c:v>
                </c:pt>
                <c:pt idx="1140">
                  <c:v>86.96</c:v>
                </c:pt>
                <c:pt idx="1141">
                  <c:v>88.37</c:v>
                </c:pt>
                <c:pt idx="1142">
                  <c:v>88.85</c:v>
                </c:pt>
                <c:pt idx="1143">
                  <c:v>90.72</c:v>
                </c:pt>
                <c:pt idx="1144">
                  <c:v>90.94</c:v>
                </c:pt>
                <c:pt idx="1145">
                  <c:v>90.58</c:v>
                </c:pt>
                <c:pt idx="1146">
                  <c:v>90.26</c:v>
                </c:pt>
                <c:pt idx="1147">
                  <c:v>89.56</c:v>
                </c:pt>
                <c:pt idx="1148">
                  <c:v>89.73</c:v>
                </c:pt>
                <c:pt idx="1149">
                  <c:v>89.38</c:v>
                </c:pt>
                <c:pt idx="1150">
                  <c:v>88.2</c:v>
                </c:pt>
                <c:pt idx="1151">
                  <c:v>90.19</c:v>
                </c:pt>
                <c:pt idx="1152">
                  <c:v>88.97</c:v>
                </c:pt>
                <c:pt idx="1153">
                  <c:v>90.49</c:v>
                </c:pt>
                <c:pt idx="1154">
                  <c:v>90.33</c:v>
                </c:pt>
                <c:pt idx="1155">
                  <c:v>88.87</c:v>
                </c:pt>
                <c:pt idx="1156">
                  <c:v>91.07</c:v>
                </c:pt>
                <c:pt idx="1157">
                  <c:v>89.77</c:v>
                </c:pt>
                <c:pt idx="1158">
                  <c:v>89.2</c:v>
                </c:pt>
                <c:pt idx="1159">
                  <c:v>88.26</c:v>
                </c:pt>
                <c:pt idx="1160">
                  <c:v>86.39</c:v>
                </c:pt>
                <c:pt idx="1161">
                  <c:v>86.26</c:v>
                </c:pt>
                <c:pt idx="1162">
                  <c:v>86.63</c:v>
                </c:pt>
                <c:pt idx="1163">
                  <c:v>86.31</c:v>
                </c:pt>
                <c:pt idx="1164">
                  <c:v>86.36</c:v>
                </c:pt>
                <c:pt idx="1165">
                  <c:v>86.35</c:v>
                </c:pt>
                <c:pt idx="1166">
                  <c:v>86.31</c:v>
                </c:pt>
                <c:pt idx="1167">
                  <c:v>88.89</c:v>
                </c:pt>
                <c:pt idx="1168">
                  <c:v>88.51</c:v>
                </c:pt>
                <c:pt idx="1169">
                  <c:v>89.64</c:v>
                </c:pt>
                <c:pt idx="1170">
                  <c:v>91.59</c:v>
                </c:pt>
                <c:pt idx="1171">
                  <c:v>92.91</c:v>
                </c:pt>
                <c:pt idx="1172">
                  <c:v>91.8</c:v>
                </c:pt>
                <c:pt idx="1173">
                  <c:v>94.88</c:v>
                </c:pt>
                <c:pt idx="1174">
                  <c:v>95.57</c:v>
                </c:pt>
                <c:pt idx="1175">
                  <c:v>94.25</c:v>
                </c:pt>
                <c:pt idx="1176">
                  <c:v>95.77</c:v>
                </c:pt>
                <c:pt idx="1177">
                  <c:v>95.81</c:v>
                </c:pt>
                <c:pt idx="1178">
                  <c:v>94.68</c:v>
                </c:pt>
                <c:pt idx="1179">
                  <c:v>96.07</c:v>
                </c:pt>
                <c:pt idx="1180">
                  <c:v>96.12</c:v>
                </c:pt>
                <c:pt idx="1181">
                  <c:v>97.68</c:v>
                </c:pt>
                <c:pt idx="1182">
                  <c:v>98.08</c:v>
                </c:pt>
                <c:pt idx="1183">
                  <c:v>95.51</c:v>
                </c:pt>
                <c:pt idx="1184">
                  <c:v>95.23</c:v>
                </c:pt>
                <c:pt idx="1185">
                  <c:v>96.08</c:v>
                </c:pt>
                <c:pt idx="1186">
                  <c:v>95.56</c:v>
                </c:pt>
                <c:pt idx="1187">
                  <c:v>94.1</c:v>
                </c:pt>
                <c:pt idx="1188">
                  <c:v>93.8</c:v>
                </c:pt>
                <c:pt idx="1189">
                  <c:v>93.47</c:v>
                </c:pt>
                <c:pt idx="1190">
                  <c:v>94.17</c:v>
                </c:pt>
                <c:pt idx="1191">
                  <c:v>92.29</c:v>
                </c:pt>
                <c:pt idx="1192">
                  <c:v>91.31</c:v>
                </c:pt>
                <c:pt idx="1193">
                  <c:v>91.92</c:v>
                </c:pt>
                <c:pt idx="1194">
                  <c:v>92.49</c:v>
                </c:pt>
                <c:pt idx="1195">
                  <c:v>93.05</c:v>
                </c:pt>
                <c:pt idx="1196">
                  <c:v>93.39</c:v>
                </c:pt>
                <c:pt idx="1197">
                  <c:v>92.85</c:v>
                </c:pt>
                <c:pt idx="1198">
                  <c:v>92.96</c:v>
                </c:pt>
                <c:pt idx="1199">
                  <c:v>92.55</c:v>
                </c:pt>
                <c:pt idx="1200">
                  <c:v>94.37</c:v>
                </c:pt>
                <c:pt idx="1201">
                  <c:v>92.84</c:v>
                </c:pt>
                <c:pt idx="1202">
                  <c:v>91.01</c:v>
                </c:pt>
                <c:pt idx="1203">
                  <c:v>93.01</c:v>
                </c:pt>
                <c:pt idx="1204">
                  <c:v>92.34</c:v>
                </c:pt>
                <c:pt idx="1205">
                  <c:v>92.83</c:v>
                </c:pt>
                <c:pt idx="1206">
                  <c:v>93.2</c:v>
                </c:pt>
                <c:pt idx="1207">
                  <c:v>95.93</c:v>
                </c:pt>
                <c:pt idx="1208">
                  <c:v>97.44</c:v>
                </c:pt>
                <c:pt idx="1209">
                  <c:v>95.83</c:v>
                </c:pt>
                <c:pt idx="1210">
                  <c:v>97.66</c:v>
                </c:pt>
                <c:pt idx="1211">
                  <c:v>100.3</c:v>
                </c:pt>
                <c:pt idx="1212">
                  <c:v>100.14</c:v>
                </c:pt>
                <c:pt idx="1213">
                  <c:v>97.55</c:v>
                </c:pt>
                <c:pt idx="1214">
                  <c:v>99.01</c:v>
                </c:pt>
                <c:pt idx="1215">
                  <c:v>100.25</c:v>
                </c:pt>
                <c:pt idx="1216">
                  <c:v>100.62</c:v>
                </c:pt>
                <c:pt idx="1217">
                  <c:v>100.91</c:v>
                </c:pt>
                <c:pt idx="1218">
                  <c:v>99.66</c:v>
                </c:pt>
                <c:pt idx="1219">
                  <c:v>101.45</c:v>
                </c:pt>
                <c:pt idx="1220">
                  <c:v>102.05</c:v>
                </c:pt>
                <c:pt idx="1221">
                  <c:v>104.68</c:v>
                </c:pt>
                <c:pt idx="1222">
                  <c:v>104.2</c:v>
                </c:pt>
                <c:pt idx="1223">
                  <c:v>106.29</c:v>
                </c:pt>
                <c:pt idx="1224">
                  <c:v>104.2</c:v>
                </c:pt>
                <c:pt idx="1225">
                  <c:v>100.11</c:v>
                </c:pt>
                <c:pt idx="1226">
                  <c:v>100.56</c:v>
                </c:pt>
                <c:pt idx="1227">
                  <c:v>97.21</c:v>
                </c:pt>
                <c:pt idx="1228">
                  <c:v>98.72</c:v>
                </c:pt>
                <c:pt idx="1229">
                  <c:v>95.86</c:v>
                </c:pt>
                <c:pt idx="1230">
                  <c:v>98.02</c:v>
                </c:pt>
                <c:pt idx="1231">
                  <c:v>101.55</c:v>
                </c:pt>
                <c:pt idx="1232">
                  <c:v>103.62</c:v>
                </c:pt>
                <c:pt idx="1233">
                  <c:v>100.03</c:v>
                </c:pt>
                <c:pt idx="1234">
                  <c:v>96.96</c:v>
                </c:pt>
                <c:pt idx="1235">
                  <c:v>98.45</c:v>
                </c:pt>
                <c:pt idx="1236">
                  <c:v>97.04</c:v>
                </c:pt>
                <c:pt idx="1237">
                  <c:v>95.35</c:v>
                </c:pt>
                <c:pt idx="1238">
                  <c:v>96.79</c:v>
                </c:pt>
                <c:pt idx="1239">
                  <c:v>94.09</c:v>
                </c:pt>
                <c:pt idx="1240">
                  <c:v>96.13</c:v>
                </c:pt>
                <c:pt idx="1241">
                  <c:v>92.95</c:v>
                </c:pt>
                <c:pt idx="1242">
                  <c:v>91.62</c:v>
                </c:pt>
                <c:pt idx="1243">
                  <c:v>91.49</c:v>
                </c:pt>
                <c:pt idx="1244">
                  <c:v>92.26</c:v>
                </c:pt>
                <c:pt idx="1245">
                  <c:v>92.77</c:v>
                </c:pt>
                <c:pt idx="1246">
                  <c:v>92.82</c:v>
                </c:pt>
                <c:pt idx="1247">
                  <c:v>96.09</c:v>
                </c:pt>
                <c:pt idx="1248">
                  <c:v>93.28</c:v>
                </c:pt>
                <c:pt idx="1249">
                  <c:v>91.78</c:v>
                </c:pt>
                <c:pt idx="1250">
                  <c:v>93.58</c:v>
                </c:pt>
                <c:pt idx="1251">
                  <c:v>97.87</c:v>
                </c:pt>
                <c:pt idx="1252">
                  <c:v>96.61</c:v>
                </c:pt>
                <c:pt idx="1253">
                  <c:v>95.57</c:v>
                </c:pt>
                <c:pt idx="1254">
                  <c:v>92.72</c:v>
                </c:pt>
                <c:pt idx="1255">
                  <c:v>94.62</c:v>
                </c:pt>
                <c:pt idx="1256">
                  <c:v>95.26</c:v>
                </c:pt>
                <c:pt idx="1257">
                  <c:v>94.98</c:v>
                </c:pt>
                <c:pt idx="1258">
                  <c:v>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B-4CDB-A137-4CB50E016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05295"/>
        <c:axId val="450422095"/>
      </c:lineChart>
      <c:catAx>
        <c:axId val="45040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22095"/>
        <c:crosses val="autoZero"/>
        <c:auto val="1"/>
        <c:lblAlgn val="ctr"/>
        <c:lblOffset val="100"/>
        <c:noMultiLvlLbl val="0"/>
      </c:catAx>
      <c:valAx>
        <c:axId val="4504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0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Precios</a:t>
            </a:r>
            <a:r>
              <a:rPr lang="en-US" baseline="0"/>
              <a:t> último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KOFUBL!$B$1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KOFUBL!$A$2:$A$252</c:f>
              <c:strCache>
                <c:ptCount val="251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</c:strCache>
            </c:strRef>
          </c:cat>
          <c:val>
            <c:numRef>
              <c:f>KOFUBL!$B$2:$B$252</c:f>
              <c:numCache>
                <c:formatCode>General</c:formatCode>
                <c:ptCount val="251"/>
                <c:pt idx="0">
                  <c:v>184.71</c:v>
                </c:pt>
                <c:pt idx="1">
                  <c:v>181.48</c:v>
                </c:pt>
                <c:pt idx="2">
                  <c:v>188.23</c:v>
                </c:pt>
                <c:pt idx="3">
                  <c:v>191.69</c:v>
                </c:pt>
                <c:pt idx="4">
                  <c:v>193.22</c:v>
                </c:pt>
                <c:pt idx="5">
                  <c:v>192.46</c:v>
                </c:pt>
                <c:pt idx="6">
                  <c:v>189.94</c:v>
                </c:pt>
                <c:pt idx="7">
                  <c:v>190.62</c:v>
                </c:pt>
                <c:pt idx="8">
                  <c:v>189.11</c:v>
                </c:pt>
                <c:pt idx="9">
                  <c:v>190.92</c:v>
                </c:pt>
                <c:pt idx="10">
                  <c:v>189.43</c:v>
                </c:pt>
                <c:pt idx="11">
                  <c:v>189.44</c:v>
                </c:pt>
                <c:pt idx="12">
                  <c:v>193.06</c:v>
                </c:pt>
                <c:pt idx="13">
                  <c:v>193.01</c:v>
                </c:pt>
                <c:pt idx="14">
                  <c:v>185.96</c:v>
                </c:pt>
                <c:pt idx="15">
                  <c:v>186.26</c:v>
                </c:pt>
                <c:pt idx="16">
                  <c:v>190.89</c:v>
                </c:pt>
                <c:pt idx="17">
                  <c:v>193.21</c:v>
                </c:pt>
                <c:pt idx="18">
                  <c:v>194.88</c:v>
                </c:pt>
                <c:pt idx="19">
                  <c:v>190.97</c:v>
                </c:pt>
                <c:pt idx="20">
                  <c:v>187.06</c:v>
                </c:pt>
                <c:pt idx="21">
                  <c:v>188.71</c:v>
                </c:pt>
                <c:pt idx="22">
                  <c:v>185.85</c:v>
                </c:pt>
                <c:pt idx="23">
                  <c:v>183.15</c:v>
                </c:pt>
                <c:pt idx="24">
                  <c:v>180.14</c:v>
                </c:pt>
                <c:pt idx="25">
                  <c:v>176.6</c:v>
                </c:pt>
                <c:pt idx="26">
                  <c:v>178.74</c:v>
                </c:pt>
                <c:pt idx="27">
                  <c:v>183.11</c:v>
                </c:pt>
                <c:pt idx="28">
                  <c:v>178.93</c:v>
                </c:pt>
                <c:pt idx="29">
                  <c:v>178.37</c:v>
                </c:pt>
                <c:pt idx="30">
                  <c:v>177.78</c:v>
                </c:pt>
                <c:pt idx="31">
                  <c:v>176.49</c:v>
                </c:pt>
                <c:pt idx="32">
                  <c:v>178.26</c:v>
                </c:pt>
                <c:pt idx="33">
                  <c:v>174.42</c:v>
                </c:pt>
                <c:pt idx="34">
                  <c:v>173.03</c:v>
                </c:pt>
                <c:pt idx="35">
                  <c:v>174.94</c:v>
                </c:pt>
                <c:pt idx="36">
                  <c:v>177.01</c:v>
                </c:pt>
                <c:pt idx="37">
                  <c:v>178.4</c:v>
                </c:pt>
                <c:pt idx="38">
                  <c:v>182.11</c:v>
                </c:pt>
                <c:pt idx="39">
                  <c:v>179.46</c:v>
                </c:pt>
                <c:pt idx="40">
                  <c:v>183.01</c:v>
                </c:pt>
                <c:pt idx="41">
                  <c:v>182.13</c:v>
                </c:pt>
                <c:pt idx="42">
                  <c:v>177.14</c:v>
                </c:pt>
                <c:pt idx="43">
                  <c:v>179.29</c:v>
                </c:pt>
                <c:pt idx="44">
                  <c:v>181.5</c:v>
                </c:pt>
                <c:pt idx="45">
                  <c:v>180.78</c:v>
                </c:pt>
                <c:pt idx="46">
                  <c:v>172.1</c:v>
                </c:pt>
                <c:pt idx="47">
                  <c:v>172.75</c:v>
                </c:pt>
                <c:pt idx="48">
                  <c:v>172.33</c:v>
                </c:pt>
                <c:pt idx="49">
                  <c:v>173.33</c:v>
                </c:pt>
                <c:pt idx="50">
                  <c:v>170.68</c:v>
                </c:pt>
                <c:pt idx="51">
                  <c:v>173.02</c:v>
                </c:pt>
                <c:pt idx="52">
                  <c:v>170.71</c:v>
                </c:pt>
                <c:pt idx="53">
                  <c:v>162.47999999999999</c:v>
                </c:pt>
                <c:pt idx="54">
                  <c:v>162.19</c:v>
                </c:pt>
                <c:pt idx="55">
                  <c:v>159.88999999999999</c:v>
                </c:pt>
                <c:pt idx="56">
                  <c:v>160.61000000000001</c:v>
                </c:pt>
                <c:pt idx="57">
                  <c:v>159.72999999999999</c:v>
                </c:pt>
                <c:pt idx="58">
                  <c:v>159.26</c:v>
                </c:pt>
                <c:pt idx="59">
                  <c:v>162.79</c:v>
                </c:pt>
                <c:pt idx="60">
                  <c:v>164.1</c:v>
                </c:pt>
                <c:pt idx="61">
                  <c:v>163.37</c:v>
                </c:pt>
                <c:pt idx="62">
                  <c:v>159.99</c:v>
                </c:pt>
                <c:pt idx="63">
                  <c:v>161.04</c:v>
                </c:pt>
                <c:pt idx="64">
                  <c:v>154.93</c:v>
                </c:pt>
                <c:pt idx="65">
                  <c:v>153.01</c:v>
                </c:pt>
                <c:pt idx="66">
                  <c:v>154.16999999999999</c:v>
                </c:pt>
                <c:pt idx="67">
                  <c:v>155.88</c:v>
                </c:pt>
                <c:pt idx="68">
                  <c:v>159.05000000000001</c:v>
                </c:pt>
                <c:pt idx="69">
                  <c:v>157.63</c:v>
                </c:pt>
                <c:pt idx="70">
                  <c:v>158.97</c:v>
                </c:pt>
                <c:pt idx="71">
                  <c:v>155.77000000000001</c:v>
                </c:pt>
                <c:pt idx="72">
                  <c:v>156.97999999999999</c:v>
                </c:pt>
                <c:pt idx="73">
                  <c:v>156.97</c:v>
                </c:pt>
                <c:pt idx="74">
                  <c:v>154.37</c:v>
                </c:pt>
                <c:pt idx="75">
                  <c:v>150.5</c:v>
                </c:pt>
                <c:pt idx="76">
                  <c:v>154.72999999999999</c:v>
                </c:pt>
                <c:pt idx="77">
                  <c:v>154.91999999999999</c:v>
                </c:pt>
                <c:pt idx="78">
                  <c:v>154.81</c:v>
                </c:pt>
                <c:pt idx="79">
                  <c:v>157.13999999999999</c:v>
                </c:pt>
                <c:pt idx="80">
                  <c:v>159.93</c:v>
                </c:pt>
                <c:pt idx="81">
                  <c:v>161.99</c:v>
                </c:pt>
                <c:pt idx="82">
                  <c:v>160.18</c:v>
                </c:pt>
                <c:pt idx="83">
                  <c:v>159.55000000000001</c:v>
                </c:pt>
                <c:pt idx="84">
                  <c:v>158.93</c:v>
                </c:pt>
                <c:pt idx="85">
                  <c:v>158.41</c:v>
                </c:pt>
                <c:pt idx="86">
                  <c:v>159.22</c:v>
                </c:pt>
                <c:pt idx="87">
                  <c:v>159.41</c:v>
                </c:pt>
                <c:pt idx="88">
                  <c:v>159.9</c:v>
                </c:pt>
                <c:pt idx="89">
                  <c:v>160.80000000000001</c:v>
                </c:pt>
                <c:pt idx="90">
                  <c:v>165.5</c:v>
                </c:pt>
                <c:pt idx="91">
                  <c:v>163.11000000000001</c:v>
                </c:pt>
                <c:pt idx="92">
                  <c:v>163.38999999999999</c:v>
                </c:pt>
                <c:pt idx="93">
                  <c:v>163.63999999999999</c:v>
                </c:pt>
                <c:pt idx="94">
                  <c:v>164.29</c:v>
                </c:pt>
                <c:pt idx="95">
                  <c:v>167</c:v>
                </c:pt>
                <c:pt idx="96">
                  <c:v>165.71</c:v>
                </c:pt>
                <c:pt idx="97">
                  <c:v>168.24</c:v>
                </c:pt>
                <c:pt idx="98">
                  <c:v>167.12</c:v>
                </c:pt>
                <c:pt idx="99">
                  <c:v>165.85</c:v>
                </c:pt>
                <c:pt idx="100">
                  <c:v>164.71</c:v>
                </c:pt>
                <c:pt idx="101">
                  <c:v>161.06</c:v>
                </c:pt>
                <c:pt idx="102">
                  <c:v>161</c:v>
                </c:pt>
                <c:pt idx="103">
                  <c:v>163.63999999999999</c:v>
                </c:pt>
                <c:pt idx="104">
                  <c:v>163.49</c:v>
                </c:pt>
                <c:pt idx="105">
                  <c:v>162.62</c:v>
                </c:pt>
                <c:pt idx="106">
                  <c:v>162.18</c:v>
                </c:pt>
                <c:pt idx="107">
                  <c:v>158.69</c:v>
                </c:pt>
                <c:pt idx="108">
                  <c:v>158.76</c:v>
                </c:pt>
                <c:pt idx="109">
                  <c:v>157.88999999999999</c:v>
                </c:pt>
                <c:pt idx="110">
                  <c:v>158.41</c:v>
                </c:pt>
                <c:pt idx="111">
                  <c:v>158.11000000000001</c:v>
                </c:pt>
                <c:pt idx="112">
                  <c:v>160.88999999999999</c:v>
                </c:pt>
                <c:pt idx="113">
                  <c:v>165.58</c:v>
                </c:pt>
                <c:pt idx="114">
                  <c:v>166.58</c:v>
                </c:pt>
                <c:pt idx="115">
                  <c:v>166.68</c:v>
                </c:pt>
                <c:pt idx="116">
                  <c:v>164.91</c:v>
                </c:pt>
                <c:pt idx="117">
                  <c:v>165.87</c:v>
                </c:pt>
                <c:pt idx="118">
                  <c:v>163.84</c:v>
                </c:pt>
                <c:pt idx="119">
                  <c:v>162.27000000000001</c:v>
                </c:pt>
                <c:pt idx="120">
                  <c:v>165.51</c:v>
                </c:pt>
                <c:pt idx="121">
                  <c:v>166.52</c:v>
                </c:pt>
                <c:pt idx="122">
                  <c:v>171.21</c:v>
                </c:pt>
                <c:pt idx="123">
                  <c:v>169.94</c:v>
                </c:pt>
                <c:pt idx="124">
                  <c:v>169.9</c:v>
                </c:pt>
                <c:pt idx="125">
                  <c:v>172.57</c:v>
                </c:pt>
                <c:pt idx="126">
                  <c:v>168.49</c:v>
                </c:pt>
                <c:pt idx="127">
                  <c:v>168.99</c:v>
                </c:pt>
                <c:pt idx="128">
                  <c:v>168.92</c:v>
                </c:pt>
                <c:pt idx="129">
                  <c:v>172.09</c:v>
                </c:pt>
                <c:pt idx="130">
                  <c:v>173.15</c:v>
                </c:pt>
                <c:pt idx="131">
                  <c:v>172.67</c:v>
                </c:pt>
                <c:pt idx="132">
                  <c:v>174.28</c:v>
                </c:pt>
                <c:pt idx="133">
                  <c:v>171.8</c:v>
                </c:pt>
                <c:pt idx="134">
                  <c:v>168.5</c:v>
                </c:pt>
                <c:pt idx="135">
                  <c:v>170.73</c:v>
                </c:pt>
                <c:pt idx="136">
                  <c:v>172.4</c:v>
                </c:pt>
                <c:pt idx="137">
                  <c:v>168.79</c:v>
                </c:pt>
                <c:pt idx="138">
                  <c:v>168.32</c:v>
                </c:pt>
                <c:pt idx="139">
                  <c:v>168.61</c:v>
                </c:pt>
                <c:pt idx="140">
                  <c:v>170.25</c:v>
                </c:pt>
                <c:pt idx="141">
                  <c:v>170.13</c:v>
                </c:pt>
                <c:pt idx="142">
                  <c:v>173.26</c:v>
                </c:pt>
                <c:pt idx="143">
                  <c:v>174.3</c:v>
                </c:pt>
                <c:pt idx="144">
                  <c:v>177.76</c:v>
                </c:pt>
                <c:pt idx="145">
                  <c:v>180.08</c:v>
                </c:pt>
                <c:pt idx="146">
                  <c:v>177.65</c:v>
                </c:pt>
                <c:pt idx="147">
                  <c:v>177.98</c:v>
                </c:pt>
                <c:pt idx="148">
                  <c:v>174.85</c:v>
                </c:pt>
                <c:pt idx="149">
                  <c:v>175.57</c:v>
                </c:pt>
                <c:pt idx="150">
                  <c:v>176.8</c:v>
                </c:pt>
                <c:pt idx="151">
                  <c:v>175.27</c:v>
                </c:pt>
                <c:pt idx="152">
                  <c:v>173.63</c:v>
                </c:pt>
                <c:pt idx="153">
                  <c:v>167.53</c:v>
                </c:pt>
                <c:pt idx="154">
                  <c:v>166.44</c:v>
                </c:pt>
                <c:pt idx="155">
                  <c:v>167.87</c:v>
                </c:pt>
                <c:pt idx="156">
                  <c:v>167.9</c:v>
                </c:pt>
                <c:pt idx="157">
                  <c:v>169.39</c:v>
                </c:pt>
                <c:pt idx="158">
                  <c:v>171.31</c:v>
                </c:pt>
                <c:pt idx="159">
                  <c:v>172.42</c:v>
                </c:pt>
                <c:pt idx="160">
                  <c:v>173.42</c:v>
                </c:pt>
                <c:pt idx="161">
                  <c:v>170.44</c:v>
                </c:pt>
                <c:pt idx="162">
                  <c:v>166.3</c:v>
                </c:pt>
                <c:pt idx="163">
                  <c:v>165.45</c:v>
                </c:pt>
                <c:pt idx="164">
                  <c:v>168.6</c:v>
                </c:pt>
                <c:pt idx="165">
                  <c:v>170.7</c:v>
                </c:pt>
                <c:pt idx="166">
                  <c:v>170.7</c:v>
                </c:pt>
                <c:pt idx="167">
                  <c:v>169.31</c:v>
                </c:pt>
                <c:pt idx="168">
                  <c:v>169.7</c:v>
                </c:pt>
                <c:pt idx="169">
                  <c:v>170.83</c:v>
                </c:pt>
                <c:pt idx="170">
                  <c:v>170.35</c:v>
                </c:pt>
                <c:pt idx="171">
                  <c:v>169.51</c:v>
                </c:pt>
                <c:pt idx="172">
                  <c:v>167.37</c:v>
                </c:pt>
                <c:pt idx="173">
                  <c:v>166.63</c:v>
                </c:pt>
                <c:pt idx="174">
                  <c:v>169.32</c:v>
                </c:pt>
                <c:pt idx="175">
                  <c:v>168.31</c:v>
                </c:pt>
                <c:pt idx="176">
                  <c:v>168.05</c:v>
                </c:pt>
                <c:pt idx="177">
                  <c:v>165.68</c:v>
                </c:pt>
                <c:pt idx="178">
                  <c:v>166.37</c:v>
                </c:pt>
                <c:pt idx="179">
                  <c:v>163.81</c:v>
                </c:pt>
                <c:pt idx="180">
                  <c:v>166.52</c:v>
                </c:pt>
                <c:pt idx="181">
                  <c:v>166.39</c:v>
                </c:pt>
                <c:pt idx="182">
                  <c:v>165.12</c:v>
                </c:pt>
                <c:pt idx="183">
                  <c:v>167.61</c:v>
                </c:pt>
                <c:pt idx="184">
                  <c:v>165.44</c:v>
                </c:pt>
                <c:pt idx="185">
                  <c:v>169.06</c:v>
                </c:pt>
                <c:pt idx="186">
                  <c:v>165.96</c:v>
                </c:pt>
                <c:pt idx="187">
                  <c:v>163.27000000000001</c:v>
                </c:pt>
                <c:pt idx="188">
                  <c:v>162.53</c:v>
                </c:pt>
                <c:pt idx="189">
                  <c:v>156.78</c:v>
                </c:pt>
                <c:pt idx="190">
                  <c:v>157.5</c:v>
                </c:pt>
                <c:pt idx="191">
                  <c:v>160.03</c:v>
                </c:pt>
                <c:pt idx="192">
                  <c:v>165.6</c:v>
                </c:pt>
                <c:pt idx="193">
                  <c:v>160.22</c:v>
                </c:pt>
                <c:pt idx="194">
                  <c:v>154.68</c:v>
                </c:pt>
                <c:pt idx="195">
                  <c:v>155.86000000000001</c:v>
                </c:pt>
                <c:pt idx="196">
                  <c:v>155.36000000000001</c:v>
                </c:pt>
                <c:pt idx="197">
                  <c:v>153.33000000000001</c:v>
                </c:pt>
                <c:pt idx="198">
                  <c:v>157.59</c:v>
                </c:pt>
                <c:pt idx="199">
                  <c:v>153.22999999999999</c:v>
                </c:pt>
                <c:pt idx="200">
                  <c:v>152.16999999999999</c:v>
                </c:pt>
                <c:pt idx="201">
                  <c:v>149.32</c:v>
                </c:pt>
                <c:pt idx="202">
                  <c:v>151.01</c:v>
                </c:pt>
                <c:pt idx="203">
                  <c:v>148.93</c:v>
                </c:pt>
                <c:pt idx="204">
                  <c:v>153.66</c:v>
                </c:pt>
                <c:pt idx="205">
                  <c:v>151.63</c:v>
                </c:pt>
                <c:pt idx="206">
                  <c:v>148.03</c:v>
                </c:pt>
                <c:pt idx="207">
                  <c:v>152.78</c:v>
                </c:pt>
                <c:pt idx="208">
                  <c:v>156.87</c:v>
                </c:pt>
                <c:pt idx="209">
                  <c:v>155.97999999999999</c:v>
                </c:pt>
                <c:pt idx="210">
                  <c:v>153.18</c:v>
                </c:pt>
                <c:pt idx="211">
                  <c:v>154.03</c:v>
                </c:pt>
                <c:pt idx="212">
                  <c:v>151.9</c:v>
                </c:pt>
                <c:pt idx="213">
                  <c:v>150.77000000000001</c:v>
                </c:pt>
                <c:pt idx="214">
                  <c:v>155.12</c:v>
                </c:pt>
                <c:pt idx="215">
                  <c:v>157.63999999999999</c:v>
                </c:pt>
                <c:pt idx="216">
                  <c:v>157.30000000000001</c:v>
                </c:pt>
                <c:pt idx="217">
                  <c:v>156.63999999999999</c:v>
                </c:pt>
                <c:pt idx="218">
                  <c:v>156.68</c:v>
                </c:pt>
                <c:pt idx="219">
                  <c:v>158.44</c:v>
                </c:pt>
                <c:pt idx="220">
                  <c:v>161.94</c:v>
                </c:pt>
                <c:pt idx="221">
                  <c:v>162.24</c:v>
                </c:pt>
                <c:pt idx="222">
                  <c:v>161.5</c:v>
                </c:pt>
                <c:pt idx="223">
                  <c:v>165.3</c:v>
                </c:pt>
                <c:pt idx="224">
                  <c:v>165.58</c:v>
                </c:pt>
                <c:pt idx="225">
                  <c:v>163.16</c:v>
                </c:pt>
                <c:pt idx="226">
                  <c:v>161.52000000000001</c:v>
                </c:pt>
                <c:pt idx="227">
                  <c:v>156.47</c:v>
                </c:pt>
                <c:pt idx="228">
                  <c:v>158.31</c:v>
                </c:pt>
                <c:pt idx="229">
                  <c:v>160.71</c:v>
                </c:pt>
                <c:pt idx="230">
                  <c:v>160.66999999999999</c:v>
                </c:pt>
                <c:pt idx="231">
                  <c:v>158.32</c:v>
                </c:pt>
                <c:pt idx="232">
                  <c:v>155.68</c:v>
                </c:pt>
                <c:pt idx="233">
                  <c:v>158.22999999999999</c:v>
                </c:pt>
                <c:pt idx="234">
                  <c:v>160.96</c:v>
                </c:pt>
                <c:pt idx="235">
                  <c:v>159.22999999999999</c:v>
                </c:pt>
                <c:pt idx="236">
                  <c:v>161.51</c:v>
                </c:pt>
                <c:pt idx="237">
                  <c:v>161.6</c:v>
                </c:pt>
                <c:pt idx="238">
                  <c:v>162.32</c:v>
                </c:pt>
                <c:pt idx="239">
                  <c:v>163.76</c:v>
                </c:pt>
                <c:pt idx="240">
                  <c:v>167.94</c:v>
                </c:pt>
                <c:pt idx="241">
                  <c:v>169.09</c:v>
                </c:pt>
                <c:pt idx="242">
                  <c:v>169.56</c:v>
                </c:pt>
                <c:pt idx="243">
                  <c:v>168.25</c:v>
                </c:pt>
                <c:pt idx="244">
                  <c:v>169.61</c:v>
                </c:pt>
                <c:pt idx="245">
                  <c:v>168.3</c:v>
                </c:pt>
                <c:pt idx="246">
                  <c:v>167.79</c:v>
                </c:pt>
                <c:pt idx="247">
                  <c:v>163.49</c:v>
                </c:pt>
                <c:pt idx="248">
                  <c:v>166.98</c:v>
                </c:pt>
                <c:pt idx="249">
                  <c:v>166.38</c:v>
                </c:pt>
                <c:pt idx="250">
                  <c:v>169.95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8-48BD-802E-588BED61A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59055"/>
        <c:axId val="450476815"/>
      </c:lineChart>
      <c:catAx>
        <c:axId val="45045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76815"/>
        <c:crosses val="autoZero"/>
        <c:auto val="1"/>
        <c:lblAlgn val="ctr"/>
        <c:lblOffset val="100"/>
        <c:noMultiLvlLbl val="0"/>
      </c:catAx>
      <c:valAx>
        <c:axId val="4504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5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Precios último 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KOFUBL!$B$1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KOFUBL!$A$2:$A$21</c:f>
              <c:strCache>
                <c:ptCount val="20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</c:strCache>
            </c:strRef>
          </c:cat>
          <c:val>
            <c:numRef>
              <c:f>KOFUBL!$B$2:$B$21</c:f>
              <c:numCache>
                <c:formatCode>General</c:formatCode>
                <c:ptCount val="20"/>
                <c:pt idx="0">
                  <c:v>184.71</c:v>
                </c:pt>
                <c:pt idx="1">
                  <c:v>181.48</c:v>
                </c:pt>
                <c:pt idx="2">
                  <c:v>188.23</c:v>
                </c:pt>
                <c:pt idx="3">
                  <c:v>191.69</c:v>
                </c:pt>
                <c:pt idx="4">
                  <c:v>193.22</c:v>
                </c:pt>
                <c:pt idx="5">
                  <c:v>192.46</c:v>
                </c:pt>
                <c:pt idx="6">
                  <c:v>189.94</c:v>
                </c:pt>
                <c:pt idx="7">
                  <c:v>190.62</c:v>
                </c:pt>
                <c:pt idx="8">
                  <c:v>189.11</c:v>
                </c:pt>
                <c:pt idx="9">
                  <c:v>190.92</c:v>
                </c:pt>
                <c:pt idx="10">
                  <c:v>189.43</c:v>
                </c:pt>
                <c:pt idx="11">
                  <c:v>189.44</c:v>
                </c:pt>
                <c:pt idx="12">
                  <c:v>193.06</c:v>
                </c:pt>
                <c:pt idx="13">
                  <c:v>193.01</c:v>
                </c:pt>
                <c:pt idx="14">
                  <c:v>185.96</c:v>
                </c:pt>
                <c:pt idx="15">
                  <c:v>186.26</c:v>
                </c:pt>
                <c:pt idx="16">
                  <c:v>190.89</c:v>
                </c:pt>
                <c:pt idx="17">
                  <c:v>193.21</c:v>
                </c:pt>
                <c:pt idx="18">
                  <c:v>194.88</c:v>
                </c:pt>
                <c:pt idx="19">
                  <c:v>190.97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5-49D4-884F-FD73DF4FB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40335"/>
        <c:axId val="450448015"/>
      </c:lineChart>
      <c:catAx>
        <c:axId val="4504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48015"/>
        <c:crosses val="autoZero"/>
        <c:auto val="1"/>
        <c:lblAlgn val="ctr"/>
        <c:lblOffset val="100"/>
        <c:noMultiLvlLbl val="0"/>
      </c:catAx>
      <c:valAx>
        <c:axId val="45044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4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Todos</a:t>
            </a:r>
            <a:r>
              <a:rPr lang="en-US" baseline="0"/>
              <a:t> los precios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TLEVISACPO!$B$1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TLEVISACPO!$A$2:$A$1260</c:f>
              <c:strCache>
                <c:ptCount val="1259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  <c:pt idx="251">
                  <c:v>29.04.2024</c:v>
                </c:pt>
                <c:pt idx="252">
                  <c:v>26.04.2024</c:v>
                </c:pt>
                <c:pt idx="253">
                  <c:v>25.04.2024</c:v>
                </c:pt>
                <c:pt idx="254">
                  <c:v>24.04.2024</c:v>
                </c:pt>
                <c:pt idx="255">
                  <c:v>23.04.2024</c:v>
                </c:pt>
                <c:pt idx="256">
                  <c:v>22.04.2024</c:v>
                </c:pt>
                <c:pt idx="257">
                  <c:v>19.04.2024</c:v>
                </c:pt>
                <c:pt idx="258">
                  <c:v>18.04.2024</c:v>
                </c:pt>
                <c:pt idx="259">
                  <c:v>17.04.2024</c:v>
                </c:pt>
                <c:pt idx="260">
                  <c:v>16.04.2024</c:v>
                </c:pt>
                <c:pt idx="261">
                  <c:v>15.04.2024</c:v>
                </c:pt>
                <c:pt idx="262">
                  <c:v>12.04.2024</c:v>
                </c:pt>
                <c:pt idx="263">
                  <c:v>11.04.2024</c:v>
                </c:pt>
                <c:pt idx="264">
                  <c:v>10.04.2024</c:v>
                </c:pt>
                <c:pt idx="265">
                  <c:v>09.04.2024</c:v>
                </c:pt>
                <c:pt idx="266">
                  <c:v>08.04.2024</c:v>
                </c:pt>
                <c:pt idx="267">
                  <c:v>05.04.2024</c:v>
                </c:pt>
                <c:pt idx="268">
                  <c:v>04.04.2024</c:v>
                </c:pt>
                <c:pt idx="269">
                  <c:v>03.04.2024</c:v>
                </c:pt>
                <c:pt idx="270">
                  <c:v>02.04.2024</c:v>
                </c:pt>
                <c:pt idx="271">
                  <c:v>01.04.2024</c:v>
                </c:pt>
                <c:pt idx="272">
                  <c:v>27.03.2024</c:v>
                </c:pt>
                <c:pt idx="273">
                  <c:v>26.03.2024</c:v>
                </c:pt>
                <c:pt idx="274">
                  <c:v>25.03.2024</c:v>
                </c:pt>
                <c:pt idx="275">
                  <c:v>22.03.2024</c:v>
                </c:pt>
                <c:pt idx="276">
                  <c:v>21.03.2024</c:v>
                </c:pt>
                <c:pt idx="277">
                  <c:v>20.03.2024</c:v>
                </c:pt>
                <c:pt idx="278">
                  <c:v>19.03.2024</c:v>
                </c:pt>
                <c:pt idx="279">
                  <c:v>15.03.2024</c:v>
                </c:pt>
                <c:pt idx="280">
                  <c:v>14.03.2024</c:v>
                </c:pt>
                <c:pt idx="281">
                  <c:v>13.03.2024</c:v>
                </c:pt>
                <c:pt idx="282">
                  <c:v>12.03.2024</c:v>
                </c:pt>
                <c:pt idx="283">
                  <c:v>11.03.2024</c:v>
                </c:pt>
                <c:pt idx="284">
                  <c:v>08.03.2024</c:v>
                </c:pt>
                <c:pt idx="285">
                  <c:v>07.03.2024</c:v>
                </c:pt>
                <c:pt idx="286">
                  <c:v>06.03.2024</c:v>
                </c:pt>
                <c:pt idx="287">
                  <c:v>05.03.2024</c:v>
                </c:pt>
                <c:pt idx="288">
                  <c:v>04.03.2024</c:v>
                </c:pt>
                <c:pt idx="289">
                  <c:v>01.03.2024</c:v>
                </c:pt>
                <c:pt idx="290">
                  <c:v>29.02.2024</c:v>
                </c:pt>
                <c:pt idx="291">
                  <c:v>28.02.2024</c:v>
                </c:pt>
                <c:pt idx="292">
                  <c:v>27.02.2024</c:v>
                </c:pt>
                <c:pt idx="293">
                  <c:v>26.02.2024</c:v>
                </c:pt>
                <c:pt idx="294">
                  <c:v>23.02.2024</c:v>
                </c:pt>
                <c:pt idx="295">
                  <c:v>22.02.2024</c:v>
                </c:pt>
                <c:pt idx="296">
                  <c:v>21.02.2024</c:v>
                </c:pt>
                <c:pt idx="297">
                  <c:v>20.02.2024</c:v>
                </c:pt>
                <c:pt idx="298">
                  <c:v>19.02.2024</c:v>
                </c:pt>
                <c:pt idx="299">
                  <c:v>16.02.2024</c:v>
                </c:pt>
                <c:pt idx="300">
                  <c:v>15.02.2024</c:v>
                </c:pt>
                <c:pt idx="301">
                  <c:v>14.02.2024</c:v>
                </c:pt>
                <c:pt idx="302">
                  <c:v>13.02.2024</c:v>
                </c:pt>
                <c:pt idx="303">
                  <c:v>12.02.2024</c:v>
                </c:pt>
                <c:pt idx="304">
                  <c:v>09.02.2024</c:v>
                </c:pt>
                <c:pt idx="305">
                  <c:v>08.02.2024</c:v>
                </c:pt>
                <c:pt idx="306">
                  <c:v>07.02.2024</c:v>
                </c:pt>
                <c:pt idx="307">
                  <c:v>06.02.2024</c:v>
                </c:pt>
                <c:pt idx="308">
                  <c:v>02.02.2024</c:v>
                </c:pt>
                <c:pt idx="309">
                  <c:v>01.02.2024</c:v>
                </c:pt>
                <c:pt idx="310">
                  <c:v>31.01.2024</c:v>
                </c:pt>
                <c:pt idx="311">
                  <c:v>30.01.2024</c:v>
                </c:pt>
                <c:pt idx="312">
                  <c:v>29.01.2024</c:v>
                </c:pt>
                <c:pt idx="313">
                  <c:v>26.01.2024</c:v>
                </c:pt>
                <c:pt idx="314">
                  <c:v>25.01.2024</c:v>
                </c:pt>
                <c:pt idx="315">
                  <c:v>24.01.2024</c:v>
                </c:pt>
                <c:pt idx="316">
                  <c:v>23.01.2024</c:v>
                </c:pt>
                <c:pt idx="317">
                  <c:v>22.01.2024</c:v>
                </c:pt>
                <c:pt idx="318">
                  <c:v>19.01.2024</c:v>
                </c:pt>
                <c:pt idx="319">
                  <c:v>18.01.2024</c:v>
                </c:pt>
                <c:pt idx="320">
                  <c:v>17.01.2024</c:v>
                </c:pt>
                <c:pt idx="321">
                  <c:v>16.01.2024</c:v>
                </c:pt>
                <c:pt idx="322">
                  <c:v>15.01.2024</c:v>
                </c:pt>
                <c:pt idx="323">
                  <c:v>12.01.2024</c:v>
                </c:pt>
                <c:pt idx="324">
                  <c:v>11.01.2024</c:v>
                </c:pt>
                <c:pt idx="325">
                  <c:v>10.01.2024</c:v>
                </c:pt>
                <c:pt idx="326">
                  <c:v>09.01.2024</c:v>
                </c:pt>
                <c:pt idx="327">
                  <c:v>08.01.2024</c:v>
                </c:pt>
                <c:pt idx="328">
                  <c:v>05.01.2024</c:v>
                </c:pt>
                <c:pt idx="329">
                  <c:v>04.01.2024</c:v>
                </c:pt>
                <c:pt idx="330">
                  <c:v>03.01.2024</c:v>
                </c:pt>
                <c:pt idx="331">
                  <c:v>02.01.2024</c:v>
                </c:pt>
                <c:pt idx="332">
                  <c:v>29.12.2023</c:v>
                </c:pt>
                <c:pt idx="333">
                  <c:v>28.12.2023</c:v>
                </c:pt>
                <c:pt idx="334">
                  <c:v>27.12.2023</c:v>
                </c:pt>
                <c:pt idx="335">
                  <c:v>26.12.2023</c:v>
                </c:pt>
                <c:pt idx="336">
                  <c:v>22.12.2023</c:v>
                </c:pt>
                <c:pt idx="337">
                  <c:v>21.12.2023</c:v>
                </c:pt>
                <c:pt idx="338">
                  <c:v>20.12.2023</c:v>
                </c:pt>
                <c:pt idx="339">
                  <c:v>19.12.2023</c:v>
                </c:pt>
                <c:pt idx="340">
                  <c:v>18.12.2023</c:v>
                </c:pt>
                <c:pt idx="341">
                  <c:v>15.12.2023</c:v>
                </c:pt>
                <c:pt idx="342">
                  <c:v>14.12.2023</c:v>
                </c:pt>
                <c:pt idx="343">
                  <c:v>13.12.2023</c:v>
                </c:pt>
                <c:pt idx="344">
                  <c:v>11.12.2023</c:v>
                </c:pt>
                <c:pt idx="345">
                  <c:v>08.12.2023</c:v>
                </c:pt>
                <c:pt idx="346">
                  <c:v>07.12.2023</c:v>
                </c:pt>
                <c:pt idx="347">
                  <c:v>06.12.2023</c:v>
                </c:pt>
                <c:pt idx="348">
                  <c:v>05.12.2023</c:v>
                </c:pt>
                <c:pt idx="349">
                  <c:v>04.12.2023</c:v>
                </c:pt>
                <c:pt idx="350">
                  <c:v>01.12.2023</c:v>
                </c:pt>
                <c:pt idx="351">
                  <c:v>30.11.2023</c:v>
                </c:pt>
                <c:pt idx="352">
                  <c:v>29.11.2023</c:v>
                </c:pt>
                <c:pt idx="353">
                  <c:v>28.11.2023</c:v>
                </c:pt>
                <c:pt idx="354">
                  <c:v>27.11.2023</c:v>
                </c:pt>
                <c:pt idx="355">
                  <c:v>24.11.2023</c:v>
                </c:pt>
                <c:pt idx="356">
                  <c:v>23.11.2023</c:v>
                </c:pt>
                <c:pt idx="357">
                  <c:v>22.11.2023</c:v>
                </c:pt>
                <c:pt idx="358">
                  <c:v>21.11.2023</c:v>
                </c:pt>
                <c:pt idx="359">
                  <c:v>17.11.2023</c:v>
                </c:pt>
                <c:pt idx="360">
                  <c:v>16.11.2023</c:v>
                </c:pt>
                <c:pt idx="361">
                  <c:v>15.11.2023</c:v>
                </c:pt>
                <c:pt idx="362">
                  <c:v>14.11.2023</c:v>
                </c:pt>
                <c:pt idx="363">
                  <c:v>13.11.2023</c:v>
                </c:pt>
                <c:pt idx="364">
                  <c:v>10.11.2023</c:v>
                </c:pt>
                <c:pt idx="365">
                  <c:v>09.11.2023</c:v>
                </c:pt>
                <c:pt idx="366">
                  <c:v>08.11.2023</c:v>
                </c:pt>
                <c:pt idx="367">
                  <c:v>07.11.2023</c:v>
                </c:pt>
                <c:pt idx="368">
                  <c:v>06.11.2023</c:v>
                </c:pt>
                <c:pt idx="369">
                  <c:v>03.11.2023</c:v>
                </c:pt>
                <c:pt idx="370">
                  <c:v>01.11.2023</c:v>
                </c:pt>
                <c:pt idx="371">
                  <c:v>31.10.2023</c:v>
                </c:pt>
                <c:pt idx="372">
                  <c:v>30.10.2023</c:v>
                </c:pt>
                <c:pt idx="373">
                  <c:v>27.10.2023</c:v>
                </c:pt>
                <c:pt idx="374">
                  <c:v>26.10.2023</c:v>
                </c:pt>
                <c:pt idx="375">
                  <c:v>25.10.2023</c:v>
                </c:pt>
                <c:pt idx="376">
                  <c:v>24.10.2023</c:v>
                </c:pt>
                <c:pt idx="377">
                  <c:v>23.10.2023</c:v>
                </c:pt>
                <c:pt idx="378">
                  <c:v>20.10.2023</c:v>
                </c:pt>
                <c:pt idx="379">
                  <c:v>19.10.2023</c:v>
                </c:pt>
                <c:pt idx="380">
                  <c:v>18.10.2023</c:v>
                </c:pt>
                <c:pt idx="381">
                  <c:v>17.10.2023</c:v>
                </c:pt>
                <c:pt idx="382">
                  <c:v>16.10.2023</c:v>
                </c:pt>
                <c:pt idx="383">
                  <c:v>13.10.2023</c:v>
                </c:pt>
                <c:pt idx="384">
                  <c:v>12.10.2023</c:v>
                </c:pt>
                <c:pt idx="385">
                  <c:v>11.10.2023</c:v>
                </c:pt>
                <c:pt idx="386">
                  <c:v>10.10.2023</c:v>
                </c:pt>
                <c:pt idx="387">
                  <c:v>09.10.2023</c:v>
                </c:pt>
                <c:pt idx="388">
                  <c:v>06.10.2023</c:v>
                </c:pt>
                <c:pt idx="389">
                  <c:v>05.10.2023</c:v>
                </c:pt>
                <c:pt idx="390">
                  <c:v>04.10.2023</c:v>
                </c:pt>
                <c:pt idx="391">
                  <c:v>03.10.2023</c:v>
                </c:pt>
                <c:pt idx="392">
                  <c:v>02.10.2023</c:v>
                </c:pt>
                <c:pt idx="393">
                  <c:v>29.09.2023</c:v>
                </c:pt>
                <c:pt idx="394">
                  <c:v>28.09.2023</c:v>
                </c:pt>
                <c:pt idx="395">
                  <c:v>27.09.2023</c:v>
                </c:pt>
                <c:pt idx="396">
                  <c:v>26.09.2023</c:v>
                </c:pt>
                <c:pt idx="397">
                  <c:v>25.09.2023</c:v>
                </c:pt>
                <c:pt idx="398">
                  <c:v>22.09.2023</c:v>
                </c:pt>
                <c:pt idx="399">
                  <c:v>21.09.2023</c:v>
                </c:pt>
                <c:pt idx="400">
                  <c:v>20.09.2023</c:v>
                </c:pt>
                <c:pt idx="401">
                  <c:v>19.09.2023</c:v>
                </c:pt>
                <c:pt idx="402">
                  <c:v>18.09.2023</c:v>
                </c:pt>
                <c:pt idx="403">
                  <c:v>15.09.2023</c:v>
                </c:pt>
                <c:pt idx="404">
                  <c:v>14.09.2023</c:v>
                </c:pt>
                <c:pt idx="405">
                  <c:v>13.09.2023</c:v>
                </c:pt>
                <c:pt idx="406">
                  <c:v>12.09.2023</c:v>
                </c:pt>
                <c:pt idx="407">
                  <c:v>11.09.2023</c:v>
                </c:pt>
                <c:pt idx="408">
                  <c:v>08.09.2023</c:v>
                </c:pt>
                <c:pt idx="409">
                  <c:v>07.09.2023</c:v>
                </c:pt>
                <c:pt idx="410">
                  <c:v>06.09.2023</c:v>
                </c:pt>
                <c:pt idx="411">
                  <c:v>05.09.2023</c:v>
                </c:pt>
                <c:pt idx="412">
                  <c:v>04.09.2023</c:v>
                </c:pt>
                <c:pt idx="413">
                  <c:v>01.09.2023</c:v>
                </c:pt>
                <c:pt idx="414">
                  <c:v>31.08.2023</c:v>
                </c:pt>
                <c:pt idx="415">
                  <c:v>30.08.2023</c:v>
                </c:pt>
                <c:pt idx="416">
                  <c:v>29.08.2023</c:v>
                </c:pt>
                <c:pt idx="417">
                  <c:v>28.08.2023</c:v>
                </c:pt>
                <c:pt idx="418">
                  <c:v>25.08.2023</c:v>
                </c:pt>
                <c:pt idx="419">
                  <c:v>24.08.2023</c:v>
                </c:pt>
                <c:pt idx="420">
                  <c:v>23.08.2023</c:v>
                </c:pt>
                <c:pt idx="421">
                  <c:v>22.08.2023</c:v>
                </c:pt>
                <c:pt idx="422">
                  <c:v>21.08.2023</c:v>
                </c:pt>
                <c:pt idx="423">
                  <c:v>18.08.2023</c:v>
                </c:pt>
                <c:pt idx="424">
                  <c:v>17.08.2023</c:v>
                </c:pt>
                <c:pt idx="425">
                  <c:v>16.08.2023</c:v>
                </c:pt>
                <c:pt idx="426">
                  <c:v>15.08.2023</c:v>
                </c:pt>
                <c:pt idx="427">
                  <c:v>14.08.2023</c:v>
                </c:pt>
                <c:pt idx="428">
                  <c:v>11.08.2023</c:v>
                </c:pt>
                <c:pt idx="429">
                  <c:v>10.08.2023</c:v>
                </c:pt>
                <c:pt idx="430">
                  <c:v>09.08.2023</c:v>
                </c:pt>
                <c:pt idx="431">
                  <c:v>08.08.2023</c:v>
                </c:pt>
                <c:pt idx="432">
                  <c:v>07.08.2023</c:v>
                </c:pt>
                <c:pt idx="433">
                  <c:v>04.08.2023</c:v>
                </c:pt>
                <c:pt idx="434">
                  <c:v>03.08.2023</c:v>
                </c:pt>
                <c:pt idx="435">
                  <c:v>02.08.2023</c:v>
                </c:pt>
                <c:pt idx="436">
                  <c:v>01.08.2023</c:v>
                </c:pt>
                <c:pt idx="437">
                  <c:v>31.07.2023</c:v>
                </c:pt>
                <c:pt idx="438">
                  <c:v>28.07.2023</c:v>
                </c:pt>
                <c:pt idx="439">
                  <c:v>27.07.2023</c:v>
                </c:pt>
                <c:pt idx="440">
                  <c:v>26.07.2023</c:v>
                </c:pt>
                <c:pt idx="441">
                  <c:v>25.07.2023</c:v>
                </c:pt>
                <c:pt idx="442">
                  <c:v>24.07.2023</c:v>
                </c:pt>
                <c:pt idx="443">
                  <c:v>21.07.2023</c:v>
                </c:pt>
                <c:pt idx="444">
                  <c:v>20.07.2023</c:v>
                </c:pt>
                <c:pt idx="445">
                  <c:v>19.07.2023</c:v>
                </c:pt>
                <c:pt idx="446">
                  <c:v>18.07.2023</c:v>
                </c:pt>
                <c:pt idx="447">
                  <c:v>17.07.2023</c:v>
                </c:pt>
                <c:pt idx="448">
                  <c:v>14.07.2023</c:v>
                </c:pt>
                <c:pt idx="449">
                  <c:v>13.07.2023</c:v>
                </c:pt>
                <c:pt idx="450">
                  <c:v>12.07.2023</c:v>
                </c:pt>
                <c:pt idx="451">
                  <c:v>11.07.2023</c:v>
                </c:pt>
                <c:pt idx="452">
                  <c:v>10.07.2023</c:v>
                </c:pt>
                <c:pt idx="453">
                  <c:v>07.07.2023</c:v>
                </c:pt>
                <c:pt idx="454">
                  <c:v>06.07.2023</c:v>
                </c:pt>
                <c:pt idx="455">
                  <c:v>05.07.2023</c:v>
                </c:pt>
                <c:pt idx="456">
                  <c:v>04.07.2023</c:v>
                </c:pt>
                <c:pt idx="457">
                  <c:v>03.07.2023</c:v>
                </c:pt>
                <c:pt idx="458">
                  <c:v>30.06.2023</c:v>
                </c:pt>
                <c:pt idx="459">
                  <c:v>29.06.2023</c:v>
                </c:pt>
                <c:pt idx="460">
                  <c:v>28.06.2023</c:v>
                </c:pt>
                <c:pt idx="461">
                  <c:v>27.06.2023</c:v>
                </c:pt>
                <c:pt idx="462">
                  <c:v>26.06.2023</c:v>
                </c:pt>
                <c:pt idx="463">
                  <c:v>23.06.2023</c:v>
                </c:pt>
                <c:pt idx="464">
                  <c:v>22.06.2023</c:v>
                </c:pt>
                <c:pt idx="465">
                  <c:v>21.06.2023</c:v>
                </c:pt>
                <c:pt idx="466">
                  <c:v>20.06.2023</c:v>
                </c:pt>
                <c:pt idx="467">
                  <c:v>19.06.2023</c:v>
                </c:pt>
                <c:pt idx="468">
                  <c:v>16.06.2023</c:v>
                </c:pt>
                <c:pt idx="469">
                  <c:v>15.06.2023</c:v>
                </c:pt>
                <c:pt idx="470">
                  <c:v>14.06.2023</c:v>
                </c:pt>
                <c:pt idx="471">
                  <c:v>13.06.2023</c:v>
                </c:pt>
                <c:pt idx="472">
                  <c:v>12.06.2023</c:v>
                </c:pt>
                <c:pt idx="473">
                  <c:v>09.06.2023</c:v>
                </c:pt>
                <c:pt idx="474">
                  <c:v>08.06.2023</c:v>
                </c:pt>
                <c:pt idx="475">
                  <c:v>07.06.2023</c:v>
                </c:pt>
                <c:pt idx="476">
                  <c:v>06.06.2023</c:v>
                </c:pt>
                <c:pt idx="477">
                  <c:v>05.06.2023</c:v>
                </c:pt>
                <c:pt idx="478">
                  <c:v>02.06.2023</c:v>
                </c:pt>
                <c:pt idx="479">
                  <c:v>01.06.2023</c:v>
                </c:pt>
                <c:pt idx="480">
                  <c:v>31.05.2023</c:v>
                </c:pt>
                <c:pt idx="481">
                  <c:v>30.05.2023</c:v>
                </c:pt>
                <c:pt idx="482">
                  <c:v>29.05.2023</c:v>
                </c:pt>
                <c:pt idx="483">
                  <c:v>26.05.2023</c:v>
                </c:pt>
                <c:pt idx="484">
                  <c:v>25.05.2023</c:v>
                </c:pt>
                <c:pt idx="485">
                  <c:v>24.05.2023</c:v>
                </c:pt>
                <c:pt idx="486">
                  <c:v>23.05.2023</c:v>
                </c:pt>
                <c:pt idx="487">
                  <c:v>22.05.2023</c:v>
                </c:pt>
                <c:pt idx="488">
                  <c:v>19.05.2023</c:v>
                </c:pt>
                <c:pt idx="489">
                  <c:v>18.05.2023</c:v>
                </c:pt>
                <c:pt idx="490">
                  <c:v>17.05.2023</c:v>
                </c:pt>
                <c:pt idx="491">
                  <c:v>16.05.2023</c:v>
                </c:pt>
                <c:pt idx="492">
                  <c:v>15.05.2023</c:v>
                </c:pt>
                <c:pt idx="493">
                  <c:v>12.05.2023</c:v>
                </c:pt>
                <c:pt idx="494">
                  <c:v>11.05.2023</c:v>
                </c:pt>
                <c:pt idx="495">
                  <c:v>10.05.2023</c:v>
                </c:pt>
                <c:pt idx="496">
                  <c:v>09.05.2023</c:v>
                </c:pt>
                <c:pt idx="497">
                  <c:v>08.05.2023</c:v>
                </c:pt>
                <c:pt idx="498">
                  <c:v>05.05.2023</c:v>
                </c:pt>
                <c:pt idx="499">
                  <c:v>04.05.2023</c:v>
                </c:pt>
                <c:pt idx="500">
                  <c:v>03.05.2023</c:v>
                </c:pt>
                <c:pt idx="501">
                  <c:v>02.05.2023</c:v>
                </c:pt>
                <c:pt idx="502">
                  <c:v>28.04.2023</c:v>
                </c:pt>
                <c:pt idx="503">
                  <c:v>27.04.2023</c:v>
                </c:pt>
                <c:pt idx="504">
                  <c:v>26.04.2023</c:v>
                </c:pt>
                <c:pt idx="505">
                  <c:v>25.04.2023</c:v>
                </c:pt>
                <c:pt idx="506">
                  <c:v>24.04.2023</c:v>
                </c:pt>
                <c:pt idx="507">
                  <c:v>21.04.2023</c:v>
                </c:pt>
                <c:pt idx="508">
                  <c:v>20.04.2023</c:v>
                </c:pt>
                <c:pt idx="509">
                  <c:v>19.04.2023</c:v>
                </c:pt>
                <c:pt idx="510">
                  <c:v>18.04.2023</c:v>
                </c:pt>
                <c:pt idx="511">
                  <c:v>17.04.2023</c:v>
                </c:pt>
                <c:pt idx="512">
                  <c:v>14.04.2023</c:v>
                </c:pt>
                <c:pt idx="513">
                  <c:v>13.04.2023</c:v>
                </c:pt>
                <c:pt idx="514">
                  <c:v>12.04.2023</c:v>
                </c:pt>
                <c:pt idx="515">
                  <c:v>11.04.2023</c:v>
                </c:pt>
                <c:pt idx="516">
                  <c:v>10.04.2023</c:v>
                </c:pt>
                <c:pt idx="517">
                  <c:v>05.04.2023</c:v>
                </c:pt>
                <c:pt idx="518">
                  <c:v>04.04.2023</c:v>
                </c:pt>
                <c:pt idx="519">
                  <c:v>03.04.2023</c:v>
                </c:pt>
                <c:pt idx="520">
                  <c:v>31.03.2023</c:v>
                </c:pt>
                <c:pt idx="521">
                  <c:v>30.03.2023</c:v>
                </c:pt>
                <c:pt idx="522">
                  <c:v>29.03.2023</c:v>
                </c:pt>
                <c:pt idx="523">
                  <c:v>28.03.2023</c:v>
                </c:pt>
                <c:pt idx="524">
                  <c:v>27.03.2023</c:v>
                </c:pt>
                <c:pt idx="525">
                  <c:v>24.03.2023</c:v>
                </c:pt>
                <c:pt idx="526">
                  <c:v>23.03.2023</c:v>
                </c:pt>
                <c:pt idx="527">
                  <c:v>22.03.2023</c:v>
                </c:pt>
                <c:pt idx="528">
                  <c:v>21.03.2023</c:v>
                </c:pt>
                <c:pt idx="529">
                  <c:v>17.03.2023</c:v>
                </c:pt>
                <c:pt idx="530">
                  <c:v>16.03.2023</c:v>
                </c:pt>
                <c:pt idx="531">
                  <c:v>15.03.2023</c:v>
                </c:pt>
                <c:pt idx="532">
                  <c:v>14.03.2023</c:v>
                </c:pt>
                <c:pt idx="533">
                  <c:v>13.03.2023</c:v>
                </c:pt>
                <c:pt idx="534">
                  <c:v>10.03.2023</c:v>
                </c:pt>
                <c:pt idx="535">
                  <c:v>09.03.2023</c:v>
                </c:pt>
                <c:pt idx="536">
                  <c:v>08.03.2023</c:v>
                </c:pt>
                <c:pt idx="537">
                  <c:v>07.03.2023</c:v>
                </c:pt>
                <c:pt idx="538">
                  <c:v>06.03.2023</c:v>
                </c:pt>
                <c:pt idx="539">
                  <c:v>03.03.2023</c:v>
                </c:pt>
                <c:pt idx="540">
                  <c:v>02.03.2023</c:v>
                </c:pt>
                <c:pt idx="541">
                  <c:v>01.03.2023</c:v>
                </c:pt>
                <c:pt idx="542">
                  <c:v>28.02.2023</c:v>
                </c:pt>
                <c:pt idx="543">
                  <c:v>27.02.2023</c:v>
                </c:pt>
                <c:pt idx="544">
                  <c:v>24.02.2023</c:v>
                </c:pt>
                <c:pt idx="545">
                  <c:v>23.02.2023</c:v>
                </c:pt>
                <c:pt idx="546">
                  <c:v>22.02.2023</c:v>
                </c:pt>
                <c:pt idx="547">
                  <c:v>21.02.2023</c:v>
                </c:pt>
                <c:pt idx="548">
                  <c:v>20.02.2023</c:v>
                </c:pt>
                <c:pt idx="549">
                  <c:v>17.02.2023</c:v>
                </c:pt>
                <c:pt idx="550">
                  <c:v>16.02.2023</c:v>
                </c:pt>
                <c:pt idx="551">
                  <c:v>15.02.2023</c:v>
                </c:pt>
                <c:pt idx="552">
                  <c:v>14.02.2023</c:v>
                </c:pt>
                <c:pt idx="553">
                  <c:v>13.02.2023</c:v>
                </c:pt>
                <c:pt idx="554">
                  <c:v>10.02.2023</c:v>
                </c:pt>
                <c:pt idx="555">
                  <c:v>09.02.2023</c:v>
                </c:pt>
                <c:pt idx="556">
                  <c:v>08.02.2023</c:v>
                </c:pt>
                <c:pt idx="557">
                  <c:v>07.02.2023</c:v>
                </c:pt>
                <c:pt idx="558">
                  <c:v>03.02.2023</c:v>
                </c:pt>
                <c:pt idx="559">
                  <c:v>02.02.2023</c:v>
                </c:pt>
                <c:pt idx="560">
                  <c:v>01.02.2023</c:v>
                </c:pt>
                <c:pt idx="561">
                  <c:v>31.01.2023</c:v>
                </c:pt>
                <c:pt idx="562">
                  <c:v>30.01.2023</c:v>
                </c:pt>
                <c:pt idx="563">
                  <c:v>27.01.2023</c:v>
                </c:pt>
                <c:pt idx="564">
                  <c:v>26.01.2023</c:v>
                </c:pt>
                <c:pt idx="565">
                  <c:v>25.01.2023</c:v>
                </c:pt>
                <c:pt idx="566">
                  <c:v>24.01.2023</c:v>
                </c:pt>
                <c:pt idx="567">
                  <c:v>23.01.2023</c:v>
                </c:pt>
                <c:pt idx="568">
                  <c:v>20.01.2023</c:v>
                </c:pt>
                <c:pt idx="569">
                  <c:v>19.01.2023</c:v>
                </c:pt>
                <c:pt idx="570">
                  <c:v>18.01.2023</c:v>
                </c:pt>
                <c:pt idx="571">
                  <c:v>17.01.2023</c:v>
                </c:pt>
                <c:pt idx="572">
                  <c:v>16.01.2023</c:v>
                </c:pt>
                <c:pt idx="573">
                  <c:v>13.01.2023</c:v>
                </c:pt>
                <c:pt idx="574">
                  <c:v>12.01.2023</c:v>
                </c:pt>
                <c:pt idx="575">
                  <c:v>11.01.2023</c:v>
                </c:pt>
                <c:pt idx="576">
                  <c:v>10.01.2023</c:v>
                </c:pt>
                <c:pt idx="577">
                  <c:v>09.01.2023</c:v>
                </c:pt>
                <c:pt idx="578">
                  <c:v>06.01.2023</c:v>
                </c:pt>
                <c:pt idx="579">
                  <c:v>05.01.2023</c:v>
                </c:pt>
                <c:pt idx="580">
                  <c:v>04.01.2023</c:v>
                </c:pt>
                <c:pt idx="581">
                  <c:v>03.01.2023</c:v>
                </c:pt>
                <c:pt idx="582">
                  <c:v>02.01.2023</c:v>
                </c:pt>
                <c:pt idx="583">
                  <c:v>30.12.2022</c:v>
                </c:pt>
                <c:pt idx="584">
                  <c:v>29.12.2022</c:v>
                </c:pt>
                <c:pt idx="585">
                  <c:v>28.12.2022</c:v>
                </c:pt>
                <c:pt idx="586">
                  <c:v>27.12.2022</c:v>
                </c:pt>
                <c:pt idx="587">
                  <c:v>26.12.2022</c:v>
                </c:pt>
                <c:pt idx="588">
                  <c:v>23.12.2022</c:v>
                </c:pt>
                <c:pt idx="589">
                  <c:v>22.12.2022</c:v>
                </c:pt>
                <c:pt idx="590">
                  <c:v>21.12.2022</c:v>
                </c:pt>
                <c:pt idx="591">
                  <c:v>20.12.2022</c:v>
                </c:pt>
                <c:pt idx="592">
                  <c:v>19.12.2022</c:v>
                </c:pt>
                <c:pt idx="593">
                  <c:v>16.12.2022</c:v>
                </c:pt>
                <c:pt idx="594">
                  <c:v>15.12.2022</c:v>
                </c:pt>
                <c:pt idx="595">
                  <c:v>14.12.2022</c:v>
                </c:pt>
                <c:pt idx="596">
                  <c:v>13.12.2022</c:v>
                </c:pt>
                <c:pt idx="597">
                  <c:v>09.12.2022</c:v>
                </c:pt>
                <c:pt idx="598">
                  <c:v>08.12.2022</c:v>
                </c:pt>
                <c:pt idx="599">
                  <c:v>07.12.2022</c:v>
                </c:pt>
                <c:pt idx="600">
                  <c:v>06.12.2022</c:v>
                </c:pt>
                <c:pt idx="601">
                  <c:v>05.12.2022</c:v>
                </c:pt>
                <c:pt idx="602">
                  <c:v>02.12.2022</c:v>
                </c:pt>
                <c:pt idx="603">
                  <c:v>01.12.2022</c:v>
                </c:pt>
                <c:pt idx="604">
                  <c:v>30.11.2022</c:v>
                </c:pt>
                <c:pt idx="605">
                  <c:v>29.11.2022</c:v>
                </c:pt>
                <c:pt idx="606">
                  <c:v>28.11.2022</c:v>
                </c:pt>
                <c:pt idx="607">
                  <c:v>25.11.2022</c:v>
                </c:pt>
                <c:pt idx="608">
                  <c:v>24.11.2022</c:v>
                </c:pt>
                <c:pt idx="609">
                  <c:v>23.11.2022</c:v>
                </c:pt>
                <c:pt idx="610">
                  <c:v>22.11.2022</c:v>
                </c:pt>
                <c:pt idx="611">
                  <c:v>18.11.2022</c:v>
                </c:pt>
                <c:pt idx="612">
                  <c:v>17.11.2022</c:v>
                </c:pt>
                <c:pt idx="613">
                  <c:v>16.11.2022</c:v>
                </c:pt>
                <c:pt idx="614">
                  <c:v>15.11.2022</c:v>
                </c:pt>
                <c:pt idx="615">
                  <c:v>14.11.2022</c:v>
                </c:pt>
                <c:pt idx="616">
                  <c:v>11.11.2022</c:v>
                </c:pt>
                <c:pt idx="617">
                  <c:v>10.11.2022</c:v>
                </c:pt>
                <c:pt idx="618">
                  <c:v>09.11.2022</c:v>
                </c:pt>
                <c:pt idx="619">
                  <c:v>08.11.2022</c:v>
                </c:pt>
                <c:pt idx="620">
                  <c:v>07.11.2022</c:v>
                </c:pt>
                <c:pt idx="621">
                  <c:v>04.11.2022</c:v>
                </c:pt>
                <c:pt idx="622">
                  <c:v>03.11.2022</c:v>
                </c:pt>
                <c:pt idx="623">
                  <c:v>01.11.2022</c:v>
                </c:pt>
                <c:pt idx="624">
                  <c:v>31.10.2022</c:v>
                </c:pt>
                <c:pt idx="625">
                  <c:v>28.10.2022</c:v>
                </c:pt>
                <c:pt idx="626">
                  <c:v>27.10.2022</c:v>
                </c:pt>
                <c:pt idx="627">
                  <c:v>26.10.2022</c:v>
                </c:pt>
                <c:pt idx="628">
                  <c:v>25.10.2022</c:v>
                </c:pt>
                <c:pt idx="629">
                  <c:v>24.10.2022</c:v>
                </c:pt>
                <c:pt idx="630">
                  <c:v>21.10.2022</c:v>
                </c:pt>
                <c:pt idx="631">
                  <c:v>20.10.2022</c:v>
                </c:pt>
                <c:pt idx="632">
                  <c:v>19.10.2022</c:v>
                </c:pt>
                <c:pt idx="633">
                  <c:v>18.10.2022</c:v>
                </c:pt>
                <c:pt idx="634">
                  <c:v>17.10.2022</c:v>
                </c:pt>
                <c:pt idx="635">
                  <c:v>14.10.2022</c:v>
                </c:pt>
                <c:pt idx="636">
                  <c:v>13.10.2022</c:v>
                </c:pt>
                <c:pt idx="637">
                  <c:v>12.10.2022</c:v>
                </c:pt>
                <c:pt idx="638">
                  <c:v>11.10.2022</c:v>
                </c:pt>
                <c:pt idx="639">
                  <c:v>10.10.2022</c:v>
                </c:pt>
                <c:pt idx="640">
                  <c:v>07.10.2022</c:v>
                </c:pt>
                <c:pt idx="641">
                  <c:v>06.10.2022</c:v>
                </c:pt>
                <c:pt idx="642">
                  <c:v>05.10.2022</c:v>
                </c:pt>
                <c:pt idx="643">
                  <c:v>04.10.2022</c:v>
                </c:pt>
                <c:pt idx="644">
                  <c:v>03.10.2022</c:v>
                </c:pt>
                <c:pt idx="645">
                  <c:v>30.09.2022</c:v>
                </c:pt>
                <c:pt idx="646">
                  <c:v>29.09.2022</c:v>
                </c:pt>
                <c:pt idx="647">
                  <c:v>28.09.2022</c:v>
                </c:pt>
                <c:pt idx="648">
                  <c:v>27.09.2022</c:v>
                </c:pt>
                <c:pt idx="649">
                  <c:v>26.09.2022</c:v>
                </c:pt>
                <c:pt idx="650">
                  <c:v>23.09.2022</c:v>
                </c:pt>
                <c:pt idx="651">
                  <c:v>22.09.2022</c:v>
                </c:pt>
                <c:pt idx="652">
                  <c:v>21.09.2022</c:v>
                </c:pt>
                <c:pt idx="653">
                  <c:v>20.09.2022</c:v>
                </c:pt>
                <c:pt idx="654">
                  <c:v>19.09.2022</c:v>
                </c:pt>
                <c:pt idx="655">
                  <c:v>15.09.2022</c:v>
                </c:pt>
                <c:pt idx="656">
                  <c:v>14.09.2022</c:v>
                </c:pt>
                <c:pt idx="657">
                  <c:v>13.09.2022</c:v>
                </c:pt>
                <c:pt idx="658">
                  <c:v>12.09.2022</c:v>
                </c:pt>
                <c:pt idx="659">
                  <c:v>09.09.2022</c:v>
                </c:pt>
                <c:pt idx="660">
                  <c:v>08.09.2022</c:v>
                </c:pt>
                <c:pt idx="661">
                  <c:v>07.09.2022</c:v>
                </c:pt>
                <c:pt idx="662">
                  <c:v>06.09.2022</c:v>
                </c:pt>
                <c:pt idx="663">
                  <c:v>05.09.2022</c:v>
                </c:pt>
                <c:pt idx="664">
                  <c:v>02.09.2022</c:v>
                </c:pt>
                <c:pt idx="665">
                  <c:v>01.09.2022</c:v>
                </c:pt>
                <c:pt idx="666">
                  <c:v>31.08.2022</c:v>
                </c:pt>
                <c:pt idx="667">
                  <c:v>30.08.2022</c:v>
                </c:pt>
                <c:pt idx="668">
                  <c:v>29.08.2022</c:v>
                </c:pt>
                <c:pt idx="669">
                  <c:v>26.08.2022</c:v>
                </c:pt>
                <c:pt idx="670">
                  <c:v>25.08.2022</c:v>
                </c:pt>
                <c:pt idx="671">
                  <c:v>24.08.2022</c:v>
                </c:pt>
                <c:pt idx="672">
                  <c:v>23.08.2022</c:v>
                </c:pt>
                <c:pt idx="673">
                  <c:v>22.08.2022</c:v>
                </c:pt>
                <c:pt idx="674">
                  <c:v>19.08.2022</c:v>
                </c:pt>
                <c:pt idx="675">
                  <c:v>18.08.2022</c:v>
                </c:pt>
                <c:pt idx="676">
                  <c:v>17.08.2022</c:v>
                </c:pt>
                <c:pt idx="677">
                  <c:v>16.08.2022</c:v>
                </c:pt>
                <c:pt idx="678">
                  <c:v>15.08.2022</c:v>
                </c:pt>
                <c:pt idx="679">
                  <c:v>12.08.2022</c:v>
                </c:pt>
                <c:pt idx="680">
                  <c:v>11.08.2022</c:v>
                </c:pt>
                <c:pt idx="681">
                  <c:v>10.08.2022</c:v>
                </c:pt>
                <c:pt idx="682">
                  <c:v>09.08.2022</c:v>
                </c:pt>
                <c:pt idx="683">
                  <c:v>08.08.2022</c:v>
                </c:pt>
                <c:pt idx="684">
                  <c:v>05.08.2022</c:v>
                </c:pt>
                <c:pt idx="685">
                  <c:v>04.08.2022</c:v>
                </c:pt>
                <c:pt idx="686">
                  <c:v>03.08.2022</c:v>
                </c:pt>
                <c:pt idx="687">
                  <c:v>02.08.2022</c:v>
                </c:pt>
                <c:pt idx="688">
                  <c:v>01.08.2022</c:v>
                </c:pt>
                <c:pt idx="689">
                  <c:v>29.07.2022</c:v>
                </c:pt>
                <c:pt idx="690">
                  <c:v>28.07.2022</c:v>
                </c:pt>
                <c:pt idx="691">
                  <c:v>27.07.2022</c:v>
                </c:pt>
                <c:pt idx="692">
                  <c:v>26.07.2022</c:v>
                </c:pt>
                <c:pt idx="693">
                  <c:v>25.07.2022</c:v>
                </c:pt>
                <c:pt idx="694">
                  <c:v>22.07.2022</c:v>
                </c:pt>
                <c:pt idx="695">
                  <c:v>21.07.2022</c:v>
                </c:pt>
                <c:pt idx="696">
                  <c:v>20.07.2022</c:v>
                </c:pt>
                <c:pt idx="697">
                  <c:v>19.07.2022</c:v>
                </c:pt>
                <c:pt idx="698">
                  <c:v>18.07.2022</c:v>
                </c:pt>
                <c:pt idx="699">
                  <c:v>15.07.2022</c:v>
                </c:pt>
                <c:pt idx="700">
                  <c:v>14.07.2022</c:v>
                </c:pt>
                <c:pt idx="701">
                  <c:v>13.07.2022</c:v>
                </c:pt>
                <c:pt idx="702">
                  <c:v>12.07.2022</c:v>
                </c:pt>
                <c:pt idx="703">
                  <c:v>11.07.2022</c:v>
                </c:pt>
                <c:pt idx="704">
                  <c:v>08.07.2022</c:v>
                </c:pt>
                <c:pt idx="705">
                  <c:v>07.07.2022</c:v>
                </c:pt>
                <c:pt idx="706">
                  <c:v>06.07.2022</c:v>
                </c:pt>
                <c:pt idx="707">
                  <c:v>05.07.2022</c:v>
                </c:pt>
                <c:pt idx="708">
                  <c:v>04.07.2022</c:v>
                </c:pt>
                <c:pt idx="709">
                  <c:v>01.07.2022</c:v>
                </c:pt>
                <c:pt idx="710">
                  <c:v>30.06.2022</c:v>
                </c:pt>
                <c:pt idx="711">
                  <c:v>29.06.2022</c:v>
                </c:pt>
                <c:pt idx="712">
                  <c:v>28.06.2022</c:v>
                </c:pt>
                <c:pt idx="713">
                  <c:v>27.06.2022</c:v>
                </c:pt>
                <c:pt idx="714">
                  <c:v>24.06.2022</c:v>
                </c:pt>
                <c:pt idx="715">
                  <c:v>23.06.2022</c:v>
                </c:pt>
                <c:pt idx="716">
                  <c:v>22.06.2022</c:v>
                </c:pt>
                <c:pt idx="717">
                  <c:v>21.06.2022</c:v>
                </c:pt>
                <c:pt idx="718">
                  <c:v>20.06.2022</c:v>
                </c:pt>
                <c:pt idx="719">
                  <c:v>17.06.2022</c:v>
                </c:pt>
                <c:pt idx="720">
                  <c:v>16.06.2022</c:v>
                </c:pt>
                <c:pt idx="721">
                  <c:v>15.06.2022</c:v>
                </c:pt>
                <c:pt idx="722">
                  <c:v>14.06.2022</c:v>
                </c:pt>
                <c:pt idx="723">
                  <c:v>13.06.2022</c:v>
                </c:pt>
                <c:pt idx="724">
                  <c:v>10.06.2022</c:v>
                </c:pt>
                <c:pt idx="725">
                  <c:v>09.06.2022</c:v>
                </c:pt>
                <c:pt idx="726">
                  <c:v>08.06.2022</c:v>
                </c:pt>
                <c:pt idx="727">
                  <c:v>07.06.2022</c:v>
                </c:pt>
                <c:pt idx="728">
                  <c:v>06.06.2022</c:v>
                </c:pt>
                <c:pt idx="729">
                  <c:v>03.06.2022</c:v>
                </c:pt>
                <c:pt idx="730">
                  <c:v>02.06.2022</c:v>
                </c:pt>
                <c:pt idx="731">
                  <c:v>01.06.2022</c:v>
                </c:pt>
                <c:pt idx="732">
                  <c:v>31.05.2022</c:v>
                </c:pt>
                <c:pt idx="733">
                  <c:v>30.05.2022</c:v>
                </c:pt>
                <c:pt idx="734">
                  <c:v>27.05.2022</c:v>
                </c:pt>
                <c:pt idx="735">
                  <c:v>26.05.2022</c:v>
                </c:pt>
                <c:pt idx="736">
                  <c:v>25.05.2022</c:v>
                </c:pt>
                <c:pt idx="737">
                  <c:v>24.05.2022</c:v>
                </c:pt>
                <c:pt idx="738">
                  <c:v>23.05.2022</c:v>
                </c:pt>
                <c:pt idx="739">
                  <c:v>20.05.2022</c:v>
                </c:pt>
                <c:pt idx="740">
                  <c:v>19.05.2022</c:v>
                </c:pt>
                <c:pt idx="741">
                  <c:v>18.05.2022</c:v>
                </c:pt>
                <c:pt idx="742">
                  <c:v>17.05.2022</c:v>
                </c:pt>
                <c:pt idx="743">
                  <c:v>16.05.2022</c:v>
                </c:pt>
                <c:pt idx="744">
                  <c:v>13.05.2022</c:v>
                </c:pt>
                <c:pt idx="745">
                  <c:v>12.05.2022</c:v>
                </c:pt>
                <c:pt idx="746">
                  <c:v>11.05.2022</c:v>
                </c:pt>
                <c:pt idx="747">
                  <c:v>10.05.2022</c:v>
                </c:pt>
                <c:pt idx="748">
                  <c:v>09.05.2022</c:v>
                </c:pt>
                <c:pt idx="749">
                  <c:v>06.05.2022</c:v>
                </c:pt>
                <c:pt idx="750">
                  <c:v>05.05.2022</c:v>
                </c:pt>
                <c:pt idx="751">
                  <c:v>04.05.2022</c:v>
                </c:pt>
                <c:pt idx="752">
                  <c:v>03.05.2022</c:v>
                </c:pt>
                <c:pt idx="753">
                  <c:v>02.05.2022</c:v>
                </c:pt>
                <c:pt idx="754">
                  <c:v>29.04.2022</c:v>
                </c:pt>
                <c:pt idx="755">
                  <c:v>28.04.2022</c:v>
                </c:pt>
                <c:pt idx="756">
                  <c:v>27.04.2022</c:v>
                </c:pt>
                <c:pt idx="757">
                  <c:v>26.04.2022</c:v>
                </c:pt>
                <c:pt idx="758">
                  <c:v>25.04.2022</c:v>
                </c:pt>
                <c:pt idx="759">
                  <c:v>22.04.2022</c:v>
                </c:pt>
                <c:pt idx="760">
                  <c:v>21.04.2022</c:v>
                </c:pt>
                <c:pt idx="761">
                  <c:v>20.04.2022</c:v>
                </c:pt>
                <c:pt idx="762">
                  <c:v>19.04.2022</c:v>
                </c:pt>
                <c:pt idx="763">
                  <c:v>18.04.2022</c:v>
                </c:pt>
                <c:pt idx="764">
                  <c:v>13.04.2022</c:v>
                </c:pt>
                <c:pt idx="765">
                  <c:v>12.04.2022</c:v>
                </c:pt>
                <c:pt idx="766">
                  <c:v>11.04.2022</c:v>
                </c:pt>
                <c:pt idx="767">
                  <c:v>08.04.2022</c:v>
                </c:pt>
                <c:pt idx="768">
                  <c:v>07.04.2022</c:v>
                </c:pt>
                <c:pt idx="769">
                  <c:v>06.04.2022</c:v>
                </c:pt>
                <c:pt idx="770">
                  <c:v>05.04.2022</c:v>
                </c:pt>
                <c:pt idx="771">
                  <c:v>04.04.2022</c:v>
                </c:pt>
                <c:pt idx="772">
                  <c:v>01.04.2022</c:v>
                </c:pt>
                <c:pt idx="773">
                  <c:v>31.03.2022</c:v>
                </c:pt>
                <c:pt idx="774">
                  <c:v>30.03.2022</c:v>
                </c:pt>
                <c:pt idx="775">
                  <c:v>29.03.2022</c:v>
                </c:pt>
                <c:pt idx="776">
                  <c:v>28.03.2022</c:v>
                </c:pt>
                <c:pt idx="777">
                  <c:v>25.03.2022</c:v>
                </c:pt>
                <c:pt idx="778">
                  <c:v>24.03.2022</c:v>
                </c:pt>
                <c:pt idx="779">
                  <c:v>23.03.2022</c:v>
                </c:pt>
                <c:pt idx="780">
                  <c:v>22.03.2022</c:v>
                </c:pt>
                <c:pt idx="781">
                  <c:v>18.03.2022</c:v>
                </c:pt>
                <c:pt idx="782">
                  <c:v>17.03.2022</c:v>
                </c:pt>
                <c:pt idx="783">
                  <c:v>16.03.2022</c:v>
                </c:pt>
                <c:pt idx="784">
                  <c:v>15.03.2022</c:v>
                </c:pt>
                <c:pt idx="785">
                  <c:v>14.03.2022</c:v>
                </c:pt>
                <c:pt idx="786">
                  <c:v>11.03.2022</c:v>
                </c:pt>
                <c:pt idx="787">
                  <c:v>10.03.2022</c:v>
                </c:pt>
                <c:pt idx="788">
                  <c:v>09.03.2022</c:v>
                </c:pt>
                <c:pt idx="789">
                  <c:v>08.03.2022</c:v>
                </c:pt>
                <c:pt idx="790">
                  <c:v>07.03.2022</c:v>
                </c:pt>
                <c:pt idx="791">
                  <c:v>04.03.2022</c:v>
                </c:pt>
                <c:pt idx="792">
                  <c:v>03.03.2022</c:v>
                </c:pt>
                <c:pt idx="793">
                  <c:v>02.03.2022</c:v>
                </c:pt>
                <c:pt idx="794">
                  <c:v>01.03.2022</c:v>
                </c:pt>
                <c:pt idx="795">
                  <c:v>28.02.2022</c:v>
                </c:pt>
                <c:pt idx="796">
                  <c:v>25.02.2022</c:v>
                </c:pt>
                <c:pt idx="797">
                  <c:v>24.02.2022</c:v>
                </c:pt>
                <c:pt idx="798">
                  <c:v>23.02.2022</c:v>
                </c:pt>
                <c:pt idx="799">
                  <c:v>22.02.2022</c:v>
                </c:pt>
                <c:pt idx="800">
                  <c:v>21.02.2022</c:v>
                </c:pt>
                <c:pt idx="801">
                  <c:v>18.02.2022</c:v>
                </c:pt>
                <c:pt idx="802">
                  <c:v>17.02.2022</c:v>
                </c:pt>
                <c:pt idx="803">
                  <c:v>16.02.2022</c:v>
                </c:pt>
                <c:pt idx="804">
                  <c:v>15.02.2022</c:v>
                </c:pt>
                <c:pt idx="805">
                  <c:v>14.02.2022</c:v>
                </c:pt>
                <c:pt idx="806">
                  <c:v>11.02.2022</c:v>
                </c:pt>
                <c:pt idx="807">
                  <c:v>10.02.2022</c:v>
                </c:pt>
                <c:pt idx="808">
                  <c:v>09.02.2022</c:v>
                </c:pt>
                <c:pt idx="809">
                  <c:v>08.02.2022</c:v>
                </c:pt>
                <c:pt idx="810">
                  <c:v>04.02.2022</c:v>
                </c:pt>
                <c:pt idx="811">
                  <c:v>03.02.2022</c:v>
                </c:pt>
                <c:pt idx="812">
                  <c:v>02.02.2022</c:v>
                </c:pt>
                <c:pt idx="813">
                  <c:v>01.02.2022</c:v>
                </c:pt>
                <c:pt idx="814">
                  <c:v>31.01.2022</c:v>
                </c:pt>
                <c:pt idx="815">
                  <c:v>28.01.2022</c:v>
                </c:pt>
                <c:pt idx="816">
                  <c:v>27.01.2022</c:v>
                </c:pt>
                <c:pt idx="817">
                  <c:v>26.01.2022</c:v>
                </c:pt>
                <c:pt idx="818">
                  <c:v>25.01.2022</c:v>
                </c:pt>
                <c:pt idx="819">
                  <c:v>24.01.2022</c:v>
                </c:pt>
                <c:pt idx="820">
                  <c:v>21.01.2022</c:v>
                </c:pt>
                <c:pt idx="821">
                  <c:v>20.01.2022</c:v>
                </c:pt>
                <c:pt idx="822">
                  <c:v>19.01.2022</c:v>
                </c:pt>
                <c:pt idx="823">
                  <c:v>18.01.2022</c:v>
                </c:pt>
                <c:pt idx="824">
                  <c:v>17.01.2022</c:v>
                </c:pt>
                <c:pt idx="825">
                  <c:v>14.01.2022</c:v>
                </c:pt>
                <c:pt idx="826">
                  <c:v>13.01.2022</c:v>
                </c:pt>
                <c:pt idx="827">
                  <c:v>12.01.2022</c:v>
                </c:pt>
                <c:pt idx="828">
                  <c:v>11.01.2022</c:v>
                </c:pt>
                <c:pt idx="829">
                  <c:v>10.01.2022</c:v>
                </c:pt>
                <c:pt idx="830">
                  <c:v>07.01.2022</c:v>
                </c:pt>
                <c:pt idx="831">
                  <c:v>06.01.2022</c:v>
                </c:pt>
                <c:pt idx="832">
                  <c:v>05.01.2022</c:v>
                </c:pt>
                <c:pt idx="833">
                  <c:v>04.01.2022</c:v>
                </c:pt>
                <c:pt idx="834">
                  <c:v>03.01.2022</c:v>
                </c:pt>
                <c:pt idx="835">
                  <c:v>31.12.2021</c:v>
                </c:pt>
                <c:pt idx="836">
                  <c:v>30.12.2021</c:v>
                </c:pt>
                <c:pt idx="837">
                  <c:v>29.12.2021</c:v>
                </c:pt>
                <c:pt idx="838">
                  <c:v>28.12.2021</c:v>
                </c:pt>
                <c:pt idx="839">
                  <c:v>27.12.2021</c:v>
                </c:pt>
                <c:pt idx="840">
                  <c:v>24.12.2021</c:v>
                </c:pt>
                <c:pt idx="841">
                  <c:v>23.12.2021</c:v>
                </c:pt>
                <c:pt idx="842">
                  <c:v>22.12.2021</c:v>
                </c:pt>
                <c:pt idx="843">
                  <c:v>21.12.2021</c:v>
                </c:pt>
                <c:pt idx="844">
                  <c:v>20.12.2021</c:v>
                </c:pt>
                <c:pt idx="845">
                  <c:v>17.12.2021</c:v>
                </c:pt>
                <c:pt idx="846">
                  <c:v>16.12.2021</c:v>
                </c:pt>
                <c:pt idx="847">
                  <c:v>15.12.2021</c:v>
                </c:pt>
                <c:pt idx="848">
                  <c:v>14.12.2021</c:v>
                </c:pt>
                <c:pt idx="849">
                  <c:v>13.12.2021</c:v>
                </c:pt>
                <c:pt idx="850">
                  <c:v>10.12.2021</c:v>
                </c:pt>
                <c:pt idx="851">
                  <c:v>09.12.2021</c:v>
                </c:pt>
                <c:pt idx="852">
                  <c:v>08.12.2021</c:v>
                </c:pt>
                <c:pt idx="853">
                  <c:v>07.12.2021</c:v>
                </c:pt>
                <c:pt idx="854">
                  <c:v>06.12.2021</c:v>
                </c:pt>
                <c:pt idx="855">
                  <c:v>03.12.2021</c:v>
                </c:pt>
                <c:pt idx="856">
                  <c:v>02.12.2021</c:v>
                </c:pt>
                <c:pt idx="857">
                  <c:v>01.12.2021</c:v>
                </c:pt>
                <c:pt idx="858">
                  <c:v>30.11.2021</c:v>
                </c:pt>
                <c:pt idx="859">
                  <c:v>29.11.2021</c:v>
                </c:pt>
                <c:pt idx="860">
                  <c:v>26.11.2021</c:v>
                </c:pt>
                <c:pt idx="861">
                  <c:v>25.11.2021</c:v>
                </c:pt>
                <c:pt idx="862">
                  <c:v>24.11.2021</c:v>
                </c:pt>
                <c:pt idx="863">
                  <c:v>23.11.2021</c:v>
                </c:pt>
                <c:pt idx="864">
                  <c:v>22.11.2021</c:v>
                </c:pt>
                <c:pt idx="865">
                  <c:v>19.11.2021</c:v>
                </c:pt>
                <c:pt idx="866">
                  <c:v>18.11.2021</c:v>
                </c:pt>
                <c:pt idx="867">
                  <c:v>17.11.2021</c:v>
                </c:pt>
                <c:pt idx="868">
                  <c:v>16.11.2021</c:v>
                </c:pt>
                <c:pt idx="869">
                  <c:v>12.11.2021</c:v>
                </c:pt>
                <c:pt idx="870">
                  <c:v>11.11.2021</c:v>
                </c:pt>
                <c:pt idx="871">
                  <c:v>10.11.2021</c:v>
                </c:pt>
                <c:pt idx="872">
                  <c:v>09.11.2021</c:v>
                </c:pt>
                <c:pt idx="873">
                  <c:v>08.11.2021</c:v>
                </c:pt>
                <c:pt idx="874">
                  <c:v>05.11.2021</c:v>
                </c:pt>
                <c:pt idx="875">
                  <c:v>04.11.2021</c:v>
                </c:pt>
                <c:pt idx="876">
                  <c:v>03.11.2021</c:v>
                </c:pt>
                <c:pt idx="877">
                  <c:v>01.11.2021</c:v>
                </c:pt>
                <c:pt idx="878">
                  <c:v>29.10.2021</c:v>
                </c:pt>
                <c:pt idx="879">
                  <c:v>28.10.2021</c:v>
                </c:pt>
                <c:pt idx="880">
                  <c:v>27.10.2021</c:v>
                </c:pt>
                <c:pt idx="881">
                  <c:v>26.10.2021</c:v>
                </c:pt>
                <c:pt idx="882">
                  <c:v>25.10.2021</c:v>
                </c:pt>
                <c:pt idx="883">
                  <c:v>22.10.2021</c:v>
                </c:pt>
                <c:pt idx="884">
                  <c:v>21.10.2021</c:v>
                </c:pt>
                <c:pt idx="885">
                  <c:v>20.10.2021</c:v>
                </c:pt>
                <c:pt idx="886">
                  <c:v>19.10.2021</c:v>
                </c:pt>
                <c:pt idx="887">
                  <c:v>18.10.2021</c:v>
                </c:pt>
                <c:pt idx="888">
                  <c:v>15.10.2021</c:v>
                </c:pt>
                <c:pt idx="889">
                  <c:v>14.10.2021</c:v>
                </c:pt>
                <c:pt idx="890">
                  <c:v>13.10.2021</c:v>
                </c:pt>
                <c:pt idx="891">
                  <c:v>12.10.2021</c:v>
                </c:pt>
                <c:pt idx="892">
                  <c:v>11.10.2021</c:v>
                </c:pt>
                <c:pt idx="893">
                  <c:v>08.10.2021</c:v>
                </c:pt>
                <c:pt idx="894">
                  <c:v>07.10.2021</c:v>
                </c:pt>
                <c:pt idx="895">
                  <c:v>06.10.2021</c:v>
                </c:pt>
                <c:pt idx="896">
                  <c:v>05.10.2021</c:v>
                </c:pt>
                <c:pt idx="897">
                  <c:v>04.10.2021</c:v>
                </c:pt>
                <c:pt idx="898">
                  <c:v>01.10.2021</c:v>
                </c:pt>
                <c:pt idx="899">
                  <c:v>30.09.2021</c:v>
                </c:pt>
                <c:pt idx="900">
                  <c:v>29.09.2021</c:v>
                </c:pt>
                <c:pt idx="901">
                  <c:v>28.09.2021</c:v>
                </c:pt>
                <c:pt idx="902">
                  <c:v>27.09.2021</c:v>
                </c:pt>
                <c:pt idx="903">
                  <c:v>24.09.2021</c:v>
                </c:pt>
                <c:pt idx="904">
                  <c:v>23.09.2021</c:v>
                </c:pt>
                <c:pt idx="905">
                  <c:v>22.09.2021</c:v>
                </c:pt>
                <c:pt idx="906">
                  <c:v>21.09.2021</c:v>
                </c:pt>
                <c:pt idx="907">
                  <c:v>20.09.2021</c:v>
                </c:pt>
                <c:pt idx="908">
                  <c:v>17.09.2021</c:v>
                </c:pt>
                <c:pt idx="909">
                  <c:v>15.09.2021</c:v>
                </c:pt>
                <c:pt idx="910">
                  <c:v>14.09.2021</c:v>
                </c:pt>
                <c:pt idx="911">
                  <c:v>13.09.2021</c:v>
                </c:pt>
                <c:pt idx="912">
                  <c:v>10.09.2021</c:v>
                </c:pt>
                <c:pt idx="913">
                  <c:v>09.09.2021</c:v>
                </c:pt>
                <c:pt idx="914">
                  <c:v>08.09.2021</c:v>
                </c:pt>
                <c:pt idx="915">
                  <c:v>07.09.2021</c:v>
                </c:pt>
                <c:pt idx="916">
                  <c:v>06.09.2021</c:v>
                </c:pt>
                <c:pt idx="917">
                  <c:v>03.09.2021</c:v>
                </c:pt>
                <c:pt idx="918">
                  <c:v>02.09.2021</c:v>
                </c:pt>
                <c:pt idx="919">
                  <c:v>01.09.2021</c:v>
                </c:pt>
                <c:pt idx="920">
                  <c:v>31.08.2021</c:v>
                </c:pt>
                <c:pt idx="921">
                  <c:v>30.08.2021</c:v>
                </c:pt>
                <c:pt idx="922">
                  <c:v>27.08.2021</c:v>
                </c:pt>
                <c:pt idx="923">
                  <c:v>26.08.2021</c:v>
                </c:pt>
                <c:pt idx="924">
                  <c:v>25.08.2021</c:v>
                </c:pt>
                <c:pt idx="925">
                  <c:v>24.08.2021</c:v>
                </c:pt>
                <c:pt idx="926">
                  <c:v>23.08.2021</c:v>
                </c:pt>
                <c:pt idx="927">
                  <c:v>20.08.2021</c:v>
                </c:pt>
                <c:pt idx="928">
                  <c:v>19.08.2021</c:v>
                </c:pt>
                <c:pt idx="929">
                  <c:v>18.08.2021</c:v>
                </c:pt>
                <c:pt idx="930">
                  <c:v>17.08.2021</c:v>
                </c:pt>
                <c:pt idx="931">
                  <c:v>16.08.2021</c:v>
                </c:pt>
                <c:pt idx="932">
                  <c:v>13.08.2021</c:v>
                </c:pt>
                <c:pt idx="933">
                  <c:v>12.08.2021</c:v>
                </c:pt>
                <c:pt idx="934">
                  <c:v>11.08.2021</c:v>
                </c:pt>
                <c:pt idx="935">
                  <c:v>10.08.2021</c:v>
                </c:pt>
                <c:pt idx="936">
                  <c:v>09.08.2021</c:v>
                </c:pt>
                <c:pt idx="937">
                  <c:v>06.08.2021</c:v>
                </c:pt>
                <c:pt idx="938">
                  <c:v>05.08.2021</c:v>
                </c:pt>
                <c:pt idx="939">
                  <c:v>04.08.2021</c:v>
                </c:pt>
                <c:pt idx="940">
                  <c:v>03.08.2021</c:v>
                </c:pt>
                <c:pt idx="941">
                  <c:v>02.08.2021</c:v>
                </c:pt>
                <c:pt idx="942">
                  <c:v>30.07.2021</c:v>
                </c:pt>
                <c:pt idx="943">
                  <c:v>29.07.2021</c:v>
                </c:pt>
                <c:pt idx="944">
                  <c:v>28.07.2021</c:v>
                </c:pt>
                <c:pt idx="945">
                  <c:v>27.07.2021</c:v>
                </c:pt>
                <c:pt idx="946">
                  <c:v>26.07.2021</c:v>
                </c:pt>
                <c:pt idx="947">
                  <c:v>23.07.2021</c:v>
                </c:pt>
                <c:pt idx="948">
                  <c:v>22.07.2021</c:v>
                </c:pt>
                <c:pt idx="949">
                  <c:v>21.07.2021</c:v>
                </c:pt>
                <c:pt idx="950">
                  <c:v>20.07.2021</c:v>
                </c:pt>
                <c:pt idx="951">
                  <c:v>19.07.2021</c:v>
                </c:pt>
                <c:pt idx="952">
                  <c:v>16.07.2021</c:v>
                </c:pt>
                <c:pt idx="953">
                  <c:v>15.07.2021</c:v>
                </c:pt>
                <c:pt idx="954">
                  <c:v>14.07.2021</c:v>
                </c:pt>
                <c:pt idx="955">
                  <c:v>13.07.2021</c:v>
                </c:pt>
                <c:pt idx="956">
                  <c:v>12.07.2021</c:v>
                </c:pt>
                <c:pt idx="957">
                  <c:v>09.07.2021</c:v>
                </c:pt>
                <c:pt idx="958">
                  <c:v>08.07.2021</c:v>
                </c:pt>
                <c:pt idx="959">
                  <c:v>07.07.2021</c:v>
                </c:pt>
                <c:pt idx="960">
                  <c:v>06.07.2021</c:v>
                </c:pt>
                <c:pt idx="961">
                  <c:v>05.07.2021</c:v>
                </c:pt>
                <c:pt idx="962">
                  <c:v>02.07.2021</c:v>
                </c:pt>
                <c:pt idx="963">
                  <c:v>01.07.2021</c:v>
                </c:pt>
                <c:pt idx="964">
                  <c:v>30.06.2021</c:v>
                </c:pt>
                <c:pt idx="965">
                  <c:v>29.06.2021</c:v>
                </c:pt>
                <c:pt idx="966">
                  <c:v>28.06.2021</c:v>
                </c:pt>
                <c:pt idx="967">
                  <c:v>25.06.2021</c:v>
                </c:pt>
                <c:pt idx="968">
                  <c:v>24.06.2021</c:v>
                </c:pt>
                <c:pt idx="969">
                  <c:v>23.06.2021</c:v>
                </c:pt>
                <c:pt idx="970">
                  <c:v>22.06.2021</c:v>
                </c:pt>
                <c:pt idx="971">
                  <c:v>21.06.2021</c:v>
                </c:pt>
                <c:pt idx="972">
                  <c:v>18.06.2021</c:v>
                </c:pt>
                <c:pt idx="973">
                  <c:v>17.06.2021</c:v>
                </c:pt>
                <c:pt idx="974">
                  <c:v>16.06.2021</c:v>
                </c:pt>
                <c:pt idx="975">
                  <c:v>15.06.2021</c:v>
                </c:pt>
                <c:pt idx="976">
                  <c:v>14.06.2021</c:v>
                </c:pt>
                <c:pt idx="977">
                  <c:v>11.06.2021</c:v>
                </c:pt>
                <c:pt idx="978">
                  <c:v>10.06.2021</c:v>
                </c:pt>
                <c:pt idx="979">
                  <c:v>09.06.2021</c:v>
                </c:pt>
                <c:pt idx="980">
                  <c:v>08.06.2021</c:v>
                </c:pt>
                <c:pt idx="981">
                  <c:v>07.06.2021</c:v>
                </c:pt>
                <c:pt idx="982">
                  <c:v>04.06.2021</c:v>
                </c:pt>
                <c:pt idx="983">
                  <c:v>03.06.2021</c:v>
                </c:pt>
                <c:pt idx="984">
                  <c:v>02.06.2021</c:v>
                </c:pt>
                <c:pt idx="985">
                  <c:v>01.06.2021</c:v>
                </c:pt>
                <c:pt idx="986">
                  <c:v>31.05.2021</c:v>
                </c:pt>
                <c:pt idx="987">
                  <c:v>28.05.2021</c:v>
                </c:pt>
                <c:pt idx="988">
                  <c:v>27.05.2021</c:v>
                </c:pt>
                <c:pt idx="989">
                  <c:v>26.05.2021</c:v>
                </c:pt>
                <c:pt idx="990">
                  <c:v>25.05.2021</c:v>
                </c:pt>
                <c:pt idx="991">
                  <c:v>24.05.2021</c:v>
                </c:pt>
                <c:pt idx="992">
                  <c:v>21.05.2021</c:v>
                </c:pt>
                <c:pt idx="993">
                  <c:v>20.05.2021</c:v>
                </c:pt>
                <c:pt idx="994">
                  <c:v>19.05.2021</c:v>
                </c:pt>
                <c:pt idx="995">
                  <c:v>18.05.2021</c:v>
                </c:pt>
                <c:pt idx="996">
                  <c:v>17.05.2021</c:v>
                </c:pt>
                <c:pt idx="997">
                  <c:v>14.05.2021</c:v>
                </c:pt>
                <c:pt idx="998">
                  <c:v>13.05.2021</c:v>
                </c:pt>
                <c:pt idx="999">
                  <c:v>12.05.2021</c:v>
                </c:pt>
                <c:pt idx="1000">
                  <c:v>11.05.2021</c:v>
                </c:pt>
                <c:pt idx="1001">
                  <c:v>10.05.2021</c:v>
                </c:pt>
                <c:pt idx="1002">
                  <c:v>07.05.2021</c:v>
                </c:pt>
                <c:pt idx="1003">
                  <c:v>06.05.2021</c:v>
                </c:pt>
                <c:pt idx="1004">
                  <c:v>05.05.2021</c:v>
                </c:pt>
                <c:pt idx="1005">
                  <c:v>04.05.2021</c:v>
                </c:pt>
                <c:pt idx="1006">
                  <c:v>03.05.2021</c:v>
                </c:pt>
                <c:pt idx="1007">
                  <c:v>30.04.2021</c:v>
                </c:pt>
                <c:pt idx="1008">
                  <c:v>29.04.2021</c:v>
                </c:pt>
                <c:pt idx="1009">
                  <c:v>28.04.2021</c:v>
                </c:pt>
                <c:pt idx="1010">
                  <c:v>27.04.2021</c:v>
                </c:pt>
                <c:pt idx="1011">
                  <c:v>26.04.2021</c:v>
                </c:pt>
                <c:pt idx="1012">
                  <c:v>23.04.2021</c:v>
                </c:pt>
                <c:pt idx="1013">
                  <c:v>22.04.2021</c:v>
                </c:pt>
                <c:pt idx="1014">
                  <c:v>21.04.2021</c:v>
                </c:pt>
                <c:pt idx="1015">
                  <c:v>20.04.2021</c:v>
                </c:pt>
                <c:pt idx="1016">
                  <c:v>19.04.2021</c:v>
                </c:pt>
                <c:pt idx="1017">
                  <c:v>16.04.2021</c:v>
                </c:pt>
                <c:pt idx="1018">
                  <c:v>15.04.2021</c:v>
                </c:pt>
                <c:pt idx="1019">
                  <c:v>14.04.2021</c:v>
                </c:pt>
                <c:pt idx="1020">
                  <c:v>13.04.2021</c:v>
                </c:pt>
                <c:pt idx="1021">
                  <c:v>12.04.2021</c:v>
                </c:pt>
                <c:pt idx="1022">
                  <c:v>09.04.2021</c:v>
                </c:pt>
                <c:pt idx="1023">
                  <c:v>08.04.2021</c:v>
                </c:pt>
                <c:pt idx="1024">
                  <c:v>07.04.2021</c:v>
                </c:pt>
                <c:pt idx="1025">
                  <c:v>06.04.2021</c:v>
                </c:pt>
                <c:pt idx="1026">
                  <c:v>05.04.2021</c:v>
                </c:pt>
                <c:pt idx="1027">
                  <c:v>31.03.2021</c:v>
                </c:pt>
                <c:pt idx="1028">
                  <c:v>30.03.2021</c:v>
                </c:pt>
                <c:pt idx="1029">
                  <c:v>29.03.2021</c:v>
                </c:pt>
                <c:pt idx="1030">
                  <c:v>26.03.2021</c:v>
                </c:pt>
                <c:pt idx="1031">
                  <c:v>25.03.2021</c:v>
                </c:pt>
                <c:pt idx="1032">
                  <c:v>24.03.2021</c:v>
                </c:pt>
                <c:pt idx="1033">
                  <c:v>23.03.2021</c:v>
                </c:pt>
                <c:pt idx="1034">
                  <c:v>22.03.2021</c:v>
                </c:pt>
                <c:pt idx="1035">
                  <c:v>19.03.2021</c:v>
                </c:pt>
                <c:pt idx="1036">
                  <c:v>18.03.2021</c:v>
                </c:pt>
                <c:pt idx="1037">
                  <c:v>17.03.2021</c:v>
                </c:pt>
                <c:pt idx="1038">
                  <c:v>16.03.2021</c:v>
                </c:pt>
                <c:pt idx="1039">
                  <c:v>12.03.2021</c:v>
                </c:pt>
                <c:pt idx="1040">
                  <c:v>11.03.2021</c:v>
                </c:pt>
                <c:pt idx="1041">
                  <c:v>10.03.2021</c:v>
                </c:pt>
                <c:pt idx="1042">
                  <c:v>09.03.2021</c:v>
                </c:pt>
                <c:pt idx="1043">
                  <c:v>08.03.2021</c:v>
                </c:pt>
                <c:pt idx="1044">
                  <c:v>05.03.2021</c:v>
                </c:pt>
                <c:pt idx="1045">
                  <c:v>04.03.2021</c:v>
                </c:pt>
                <c:pt idx="1046">
                  <c:v>03.03.2021</c:v>
                </c:pt>
                <c:pt idx="1047">
                  <c:v>02.03.2021</c:v>
                </c:pt>
                <c:pt idx="1048">
                  <c:v>01.03.2021</c:v>
                </c:pt>
                <c:pt idx="1049">
                  <c:v>26.02.2021</c:v>
                </c:pt>
                <c:pt idx="1050">
                  <c:v>25.02.2021</c:v>
                </c:pt>
                <c:pt idx="1051">
                  <c:v>24.02.2021</c:v>
                </c:pt>
                <c:pt idx="1052">
                  <c:v>23.02.2021</c:v>
                </c:pt>
                <c:pt idx="1053">
                  <c:v>22.02.2021</c:v>
                </c:pt>
                <c:pt idx="1054">
                  <c:v>19.02.2021</c:v>
                </c:pt>
                <c:pt idx="1055">
                  <c:v>18.02.2021</c:v>
                </c:pt>
                <c:pt idx="1056">
                  <c:v>17.02.2021</c:v>
                </c:pt>
                <c:pt idx="1057">
                  <c:v>16.02.2021</c:v>
                </c:pt>
                <c:pt idx="1058">
                  <c:v>15.02.2021</c:v>
                </c:pt>
                <c:pt idx="1059">
                  <c:v>12.02.2021</c:v>
                </c:pt>
                <c:pt idx="1060">
                  <c:v>11.02.2021</c:v>
                </c:pt>
                <c:pt idx="1061">
                  <c:v>10.02.2021</c:v>
                </c:pt>
                <c:pt idx="1062">
                  <c:v>09.02.2021</c:v>
                </c:pt>
                <c:pt idx="1063">
                  <c:v>08.02.2021</c:v>
                </c:pt>
                <c:pt idx="1064">
                  <c:v>05.02.2021</c:v>
                </c:pt>
                <c:pt idx="1065">
                  <c:v>04.02.2021</c:v>
                </c:pt>
                <c:pt idx="1066">
                  <c:v>03.02.2021</c:v>
                </c:pt>
                <c:pt idx="1067">
                  <c:v>02.02.2021</c:v>
                </c:pt>
                <c:pt idx="1068">
                  <c:v>29.01.2021</c:v>
                </c:pt>
                <c:pt idx="1069">
                  <c:v>28.01.2021</c:v>
                </c:pt>
                <c:pt idx="1070">
                  <c:v>27.01.2021</c:v>
                </c:pt>
                <c:pt idx="1071">
                  <c:v>26.01.2021</c:v>
                </c:pt>
                <c:pt idx="1072">
                  <c:v>25.01.2021</c:v>
                </c:pt>
                <c:pt idx="1073">
                  <c:v>22.01.2021</c:v>
                </c:pt>
                <c:pt idx="1074">
                  <c:v>21.01.2021</c:v>
                </c:pt>
                <c:pt idx="1075">
                  <c:v>20.01.2021</c:v>
                </c:pt>
                <c:pt idx="1076">
                  <c:v>19.01.2021</c:v>
                </c:pt>
                <c:pt idx="1077">
                  <c:v>18.01.2021</c:v>
                </c:pt>
                <c:pt idx="1078">
                  <c:v>15.01.2021</c:v>
                </c:pt>
                <c:pt idx="1079">
                  <c:v>14.01.2021</c:v>
                </c:pt>
                <c:pt idx="1080">
                  <c:v>13.01.2021</c:v>
                </c:pt>
                <c:pt idx="1081">
                  <c:v>12.01.2021</c:v>
                </c:pt>
                <c:pt idx="1082">
                  <c:v>11.01.2021</c:v>
                </c:pt>
                <c:pt idx="1083">
                  <c:v>08.01.2021</c:v>
                </c:pt>
                <c:pt idx="1084">
                  <c:v>07.01.2021</c:v>
                </c:pt>
                <c:pt idx="1085">
                  <c:v>06.01.2021</c:v>
                </c:pt>
                <c:pt idx="1086">
                  <c:v>05.01.2021</c:v>
                </c:pt>
                <c:pt idx="1087">
                  <c:v>04.01.2021</c:v>
                </c:pt>
                <c:pt idx="1088">
                  <c:v>31.12.2020</c:v>
                </c:pt>
                <c:pt idx="1089">
                  <c:v>30.12.2020</c:v>
                </c:pt>
                <c:pt idx="1090">
                  <c:v>29.12.2020</c:v>
                </c:pt>
                <c:pt idx="1091">
                  <c:v>28.12.2020</c:v>
                </c:pt>
                <c:pt idx="1092">
                  <c:v>24.12.2020</c:v>
                </c:pt>
                <c:pt idx="1093">
                  <c:v>23.12.2020</c:v>
                </c:pt>
                <c:pt idx="1094">
                  <c:v>22.12.2020</c:v>
                </c:pt>
                <c:pt idx="1095">
                  <c:v>21.12.2020</c:v>
                </c:pt>
                <c:pt idx="1096">
                  <c:v>18.12.2020</c:v>
                </c:pt>
                <c:pt idx="1097">
                  <c:v>17.12.2020</c:v>
                </c:pt>
                <c:pt idx="1098">
                  <c:v>16.12.2020</c:v>
                </c:pt>
                <c:pt idx="1099">
                  <c:v>15.12.2020</c:v>
                </c:pt>
                <c:pt idx="1100">
                  <c:v>14.12.2020</c:v>
                </c:pt>
                <c:pt idx="1101">
                  <c:v>11.12.2020</c:v>
                </c:pt>
                <c:pt idx="1102">
                  <c:v>10.12.2020</c:v>
                </c:pt>
                <c:pt idx="1103">
                  <c:v>09.12.2020</c:v>
                </c:pt>
                <c:pt idx="1104">
                  <c:v>08.12.2020</c:v>
                </c:pt>
                <c:pt idx="1105">
                  <c:v>07.12.2020</c:v>
                </c:pt>
                <c:pt idx="1106">
                  <c:v>04.12.2020</c:v>
                </c:pt>
                <c:pt idx="1107">
                  <c:v>03.12.2020</c:v>
                </c:pt>
                <c:pt idx="1108">
                  <c:v>02.12.2020</c:v>
                </c:pt>
                <c:pt idx="1109">
                  <c:v>01.12.2020</c:v>
                </c:pt>
                <c:pt idx="1110">
                  <c:v>30.11.2020</c:v>
                </c:pt>
                <c:pt idx="1111">
                  <c:v>27.11.2020</c:v>
                </c:pt>
                <c:pt idx="1112">
                  <c:v>26.11.2020</c:v>
                </c:pt>
                <c:pt idx="1113">
                  <c:v>25.11.2020</c:v>
                </c:pt>
                <c:pt idx="1114">
                  <c:v>24.11.2020</c:v>
                </c:pt>
                <c:pt idx="1115">
                  <c:v>23.11.2020</c:v>
                </c:pt>
                <c:pt idx="1116">
                  <c:v>20.11.2020</c:v>
                </c:pt>
                <c:pt idx="1117">
                  <c:v>19.11.2020</c:v>
                </c:pt>
                <c:pt idx="1118">
                  <c:v>18.11.2020</c:v>
                </c:pt>
                <c:pt idx="1119">
                  <c:v>17.11.2020</c:v>
                </c:pt>
                <c:pt idx="1120">
                  <c:v>13.11.2020</c:v>
                </c:pt>
                <c:pt idx="1121">
                  <c:v>12.11.2020</c:v>
                </c:pt>
                <c:pt idx="1122">
                  <c:v>11.11.2020</c:v>
                </c:pt>
                <c:pt idx="1123">
                  <c:v>10.11.2020</c:v>
                </c:pt>
                <c:pt idx="1124">
                  <c:v>09.11.2020</c:v>
                </c:pt>
                <c:pt idx="1125">
                  <c:v>06.11.2020</c:v>
                </c:pt>
                <c:pt idx="1126">
                  <c:v>05.11.2020</c:v>
                </c:pt>
                <c:pt idx="1127">
                  <c:v>04.11.2020</c:v>
                </c:pt>
                <c:pt idx="1128">
                  <c:v>03.11.2020</c:v>
                </c:pt>
                <c:pt idx="1129">
                  <c:v>30.10.2020</c:v>
                </c:pt>
                <c:pt idx="1130">
                  <c:v>29.10.2020</c:v>
                </c:pt>
                <c:pt idx="1131">
                  <c:v>28.10.2020</c:v>
                </c:pt>
                <c:pt idx="1132">
                  <c:v>27.10.2020</c:v>
                </c:pt>
                <c:pt idx="1133">
                  <c:v>26.10.2020</c:v>
                </c:pt>
                <c:pt idx="1134">
                  <c:v>23.10.2020</c:v>
                </c:pt>
                <c:pt idx="1135">
                  <c:v>22.10.2020</c:v>
                </c:pt>
                <c:pt idx="1136">
                  <c:v>21.10.2020</c:v>
                </c:pt>
                <c:pt idx="1137">
                  <c:v>20.10.2020</c:v>
                </c:pt>
                <c:pt idx="1138">
                  <c:v>19.10.2020</c:v>
                </c:pt>
                <c:pt idx="1139">
                  <c:v>16.10.2020</c:v>
                </c:pt>
                <c:pt idx="1140">
                  <c:v>15.10.2020</c:v>
                </c:pt>
                <c:pt idx="1141">
                  <c:v>14.10.2020</c:v>
                </c:pt>
                <c:pt idx="1142">
                  <c:v>13.10.2020</c:v>
                </c:pt>
                <c:pt idx="1143">
                  <c:v>12.10.2020</c:v>
                </c:pt>
                <c:pt idx="1144">
                  <c:v>09.10.2020</c:v>
                </c:pt>
                <c:pt idx="1145">
                  <c:v>08.10.2020</c:v>
                </c:pt>
                <c:pt idx="1146">
                  <c:v>07.10.2020</c:v>
                </c:pt>
                <c:pt idx="1147">
                  <c:v>06.10.2020</c:v>
                </c:pt>
                <c:pt idx="1148">
                  <c:v>05.10.2020</c:v>
                </c:pt>
                <c:pt idx="1149">
                  <c:v>02.10.2020</c:v>
                </c:pt>
                <c:pt idx="1150">
                  <c:v>01.10.2020</c:v>
                </c:pt>
                <c:pt idx="1151">
                  <c:v>30.09.2020</c:v>
                </c:pt>
                <c:pt idx="1152">
                  <c:v>29.09.2020</c:v>
                </c:pt>
                <c:pt idx="1153">
                  <c:v>28.09.2020</c:v>
                </c:pt>
                <c:pt idx="1154">
                  <c:v>25.09.2020</c:v>
                </c:pt>
                <c:pt idx="1155">
                  <c:v>24.09.2020</c:v>
                </c:pt>
                <c:pt idx="1156">
                  <c:v>23.09.2020</c:v>
                </c:pt>
                <c:pt idx="1157">
                  <c:v>22.09.2020</c:v>
                </c:pt>
                <c:pt idx="1158">
                  <c:v>21.09.2020</c:v>
                </c:pt>
                <c:pt idx="1159">
                  <c:v>18.09.2020</c:v>
                </c:pt>
                <c:pt idx="1160">
                  <c:v>17.09.2020</c:v>
                </c:pt>
                <c:pt idx="1161">
                  <c:v>15.09.2020</c:v>
                </c:pt>
                <c:pt idx="1162">
                  <c:v>14.09.2020</c:v>
                </c:pt>
                <c:pt idx="1163">
                  <c:v>11.09.2020</c:v>
                </c:pt>
                <c:pt idx="1164">
                  <c:v>10.09.2020</c:v>
                </c:pt>
                <c:pt idx="1165">
                  <c:v>09.09.2020</c:v>
                </c:pt>
                <c:pt idx="1166">
                  <c:v>08.09.2020</c:v>
                </c:pt>
                <c:pt idx="1167">
                  <c:v>07.09.2020</c:v>
                </c:pt>
                <c:pt idx="1168">
                  <c:v>04.09.2020</c:v>
                </c:pt>
                <c:pt idx="1169">
                  <c:v>03.09.2020</c:v>
                </c:pt>
                <c:pt idx="1170">
                  <c:v>02.09.2020</c:v>
                </c:pt>
                <c:pt idx="1171">
                  <c:v>01.09.2020</c:v>
                </c:pt>
                <c:pt idx="1172">
                  <c:v>31.08.2020</c:v>
                </c:pt>
                <c:pt idx="1173">
                  <c:v>28.08.2020</c:v>
                </c:pt>
                <c:pt idx="1174">
                  <c:v>27.08.2020</c:v>
                </c:pt>
                <c:pt idx="1175">
                  <c:v>26.08.2020</c:v>
                </c:pt>
                <c:pt idx="1176">
                  <c:v>25.08.2020</c:v>
                </c:pt>
                <c:pt idx="1177">
                  <c:v>24.08.2020</c:v>
                </c:pt>
                <c:pt idx="1178">
                  <c:v>21.08.2020</c:v>
                </c:pt>
                <c:pt idx="1179">
                  <c:v>20.08.2020</c:v>
                </c:pt>
                <c:pt idx="1180">
                  <c:v>19.08.2020</c:v>
                </c:pt>
                <c:pt idx="1181">
                  <c:v>18.08.2020</c:v>
                </c:pt>
                <c:pt idx="1182">
                  <c:v>17.08.2020</c:v>
                </c:pt>
                <c:pt idx="1183">
                  <c:v>14.08.2020</c:v>
                </c:pt>
                <c:pt idx="1184">
                  <c:v>13.08.2020</c:v>
                </c:pt>
                <c:pt idx="1185">
                  <c:v>12.08.2020</c:v>
                </c:pt>
                <c:pt idx="1186">
                  <c:v>11.08.2020</c:v>
                </c:pt>
                <c:pt idx="1187">
                  <c:v>10.08.2020</c:v>
                </c:pt>
                <c:pt idx="1188">
                  <c:v>07.08.2020</c:v>
                </c:pt>
                <c:pt idx="1189">
                  <c:v>06.08.2020</c:v>
                </c:pt>
                <c:pt idx="1190">
                  <c:v>05.08.2020</c:v>
                </c:pt>
                <c:pt idx="1191">
                  <c:v>04.08.2020</c:v>
                </c:pt>
                <c:pt idx="1192">
                  <c:v>03.08.2020</c:v>
                </c:pt>
                <c:pt idx="1193">
                  <c:v>31.07.2020</c:v>
                </c:pt>
                <c:pt idx="1194">
                  <c:v>30.07.2020</c:v>
                </c:pt>
                <c:pt idx="1195">
                  <c:v>29.07.2020</c:v>
                </c:pt>
                <c:pt idx="1196">
                  <c:v>28.07.2020</c:v>
                </c:pt>
                <c:pt idx="1197">
                  <c:v>27.07.2020</c:v>
                </c:pt>
                <c:pt idx="1198">
                  <c:v>24.07.2020</c:v>
                </c:pt>
                <c:pt idx="1199">
                  <c:v>23.07.2020</c:v>
                </c:pt>
                <c:pt idx="1200">
                  <c:v>22.07.2020</c:v>
                </c:pt>
                <c:pt idx="1201">
                  <c:v>21.07.2020</c:v>
                </c:pt>
                <c:pt idx="1202">
                  <c:v>20.07.2020</c:v>
                </c:pt>
                <c:pt idx="1203">
                  <c:v>17.07.2020</c:v>
                </c:pt>
                <c:pt idx="1204">
                  <c:v>16.07.2020</c:v>
                </c:pt>
                <c:pt idx="1205">
                  <c:v>15.07.2020</c:v>
                </c:pt>
                <c:pt idx="1206">
                  <c:v>14.07.2020</c:v>
                </c:pt>
                <c:pt idx="1207">
                  <c:v>13.07.2020</c:v>
                </c:pt>
                <c:pt idx="1208">
                  <c:v>10.07.2020</c:v>
                </c:pt>
                <c:pt idx="1209">
                  <c:v>09.07.2020</c:v>
                </c:pt>
                <c:pt idx="1210">
                  <c:v>08.07.2020</c:v>
                </c:pt>
                <c:pt idx="1211">
                  <c:v>07.07.2020</c:v>
                </c:pt>
                <c:pt idx="1212">
                  <c:v>06.07.2020</c:v>
                </c:pt>
                <c:pt idx="1213">
                  <c:v>03.07.2020</c:v>
                </c:pt>
                <c:pt idx="1214">
                  <c:v>02.07.2020</c:v>
                </c:pt>
                <c:pt idx="1215">
                  <c:v>01.07.2020</c:v>
                </c:pt>
                <c:pt idx="1216">
                  <c:v>30.06.2020</c:v>
                </c:pt>
                <c:pt idx="1217">
                  <c:v>29.06.2020</c:v>
                </c:pt>
                <c:pt idx="1218">
                  <c:v>26.06.2020</c:v>
                </c:pt>
                <c:pt idx="1219">
                  <c:v>25.06.2020</c:v>
                </c:pt>
                <c:pt idx="1220">
                  <c:v>24.06.2020</c:v>
                </c:pt>
                <c:pt idx="1221">
                  <c:v>23.06.2020</c:v>
                </c:pt>
                <c:pt idx="1222">
                  <c:v>22.06.2020</c:v>
                </c:pt>
                <c:pt idx="1223">
                  <c:v>19.06.2020</c:v>
                </c:pt>
                <c:pt idx="1224">
                  <c:v>18.06.2020</c:v>
                </c:pt>
                <c:pt idx="1225">
                  <c:v>17.06.2020</c:v>
                </c:pt>
                <c:pt idx="1226">
                  <c:v>16.06.2020</c:v>
                </c:pt>
                <c:pt idx="1227">
                  <c:v>15.06.2020</c:v>
                </c:pt>
                <c:pt idx="1228">
                  <c:v>12.06.2020</c:v>
                </c:pt>
                <c:pt idx="1229">
                  <c:v>11.06.2020</c:v>
                </c:pt>
                <c:pt idx="1230">
                  <c:v>10.06.2020</c:v>
                </c:pt>
                <c:pt idx="1231">
                  <c:v>09.06.2020</c:v>
                </c:pt>
                <c:pt idx="1232">
                  <c:v>08.06.2020</c:v>
                </c:pt>
                <c:pt idx="1233">
                  <c:v>05.06.2020</c:v>
                </c:pt>
                <c:pt idx="1234">
                  <c:v>04.06.2020</c:v>
                </c:pt>
                <c:pt idx="1235">
                  <c:v>03.06.2020</c:v>
                </c:pt>
                <c:pt idx="1236">
                  <c:v>02.06.2020</c:v>
                </c:pt>
                <c:pt idx="1237">
                  <c:v>01.06.2020</c:v>
                </c:pt>
                <c:pt idx="1238">
                  <c:v>29.05.2020</c:v>
                </c:pt>
                <c:pt idx="1239">
                  <c:v>28.05.2020</c:v>
                </c:pt>
                <c:pt idx="1240">
                  <c:v>27.05.2020</c:v>
                </c:pt>
                <c:pt idx="1241">
                  <c:v>26.05.2020</c:v>
                </c:pt>
                <c:pt idx="1242">
                  <c:v>25.05.2020</c:v>
                </c:pt>
                <c:pt idx="1243">
                  <c:v>22.05.2020</c:v>
                </c:pt>
                <c:pt idx="1244">
                  <c:v>21.05.2020</c:v>
                </c:pt>
                <c:pt idx="1245">
                  <c:v>20.05.2020</c:v>
                </c:pt>
                <c:pt idx="1246">
                  <c:v>19.05.2020</c:v>
                </c:pt>
                <c:pt idx="1247">
                  <c:v>18.05.2020</c:v>
                </c:pt>
                <c:pt idx="1248">
                  <c:v>15.05.2020</c:v>
                </c:pt>
                <c:pt idx="1249">
                  <c:v>14.05.2020</c:v>
                </c:pt>
                <c:pt idx="1250">
                  <c:v>13.05.2020</c:v>
                </c:pt>
                <c:pt idx="1251">
                  <c:v>12.05.2020</c:v>
                </c:pt>
                <c:pt idx="1252">
                  <c:v>11.05.2020</c:v>
                </c:pt>
                <c:pt idx="1253">
                  <c:v>08.05.2020</c:v>
                </c:pt>
                <c:pt idx="1254">
                  <c:v>07.05.2020</c:v>
                </c:pt>
                <c:pt idx="1255">
                  <c:v>06.05.2020</c:v>
                </c:pt>
                <c:pt idx="1256">
                  <c:v>05.05.2020</c:v>
                </c:pt>
                <c:pt idx="1257">
                  <c:v>04.05.2020</c:v>
                </c:pt>
                <c:pt idx="1258">
                  <c:v>30.04.2020</c:v>
                </c:pt>
              </c:strCache>
            </c:strRef>
          </c:cat>
          <c:val>
            <c:numRef>
              <c:f>TLEVISACPO!$B$2:$B$1260</c:f>
              <c:numCache>
                <c:formatCode>General</c:formatCode>
                <c:ptCount val="1259"/>
                <c:pt idx="0">
                  <c:v>7.14</c:v>
                </c:pt>
                <c:pt idx="1">
                  <c:v>7.24</c:v>
                </c:pt>
                <c:pt idx="2">
                  <c:v>7.75</c:v>
                </c:pt>
                <c:pt idx="3">
                  <c:v>7.8</c:v>
                </c:pt>
                <c:pt idx="4">
                  <c:v>7.59</c:v>
                </c:pt>
                <c:pt idx="5">
                  <c:v>7.65</c:v>
                </c:pt>
                <c:pt idx="6">
                  <c:v>7.31</c:v>
                </c:pt>
                <c:pt idx="7">
                  <c:v>7.19</c:v>
                </c:pt>
                <c:pt idx="8">
                  <c:v>7.04</c:v>
                </c:pt>
                <c:pt idx="9">
                  <c:v>6.97</c:v>
                </c:pt>
                <c:pt idx="10">
                  <c:v>6.89</c:v>
                </c:pt>
                <c:pt idx="11">
                  <c:v>6.84</c:v>
                </c:pt>
                <c:pt idx="12">
                  <c:v>6.72</c:v>
                </c:pt>
                <c:pt idx="13">
                  <c:v>7.01</c:v>
                </c:pt>
                <c:pt idx="14">
                  <c:v>6.67</c:v>
                </c:pt>
                <c:pt idx="15">
                  <c:v>6.62</c:v>
                </c:pt>
                <c:pt idx="16">
                  <c:v>6.82</c:v>
                </c:pt>
                <c:pt idx="17">
                  <c:v>6.98</c:v>
                </c:pt>
                <c:pt idx="18">
                  <c:v>7.25</c:v>
                </c:pt>
                <c:pt idx="19">
                  <c:v>7.17</c:v>
                </c:pt>
                <c:pt idx="20">
                  <c:v>7.08</c:v>
                </c:pt>
                <c:pt idx="21">
                  <c:v>7.04</c:v>
                </c:pt>
                <c:pt idx="22">
                  <c:v>7.22</c:v>
                </c:pt>
                <c:pt idx="23">
                  <c:v>7.11</c:v>
                </c:pt>
                <c:pt idx="24">
                  <c:v>7.27</c:v>
                </c:pt>
                <c:pt idx="25">
                  <c:v>7.01</c:v>
                </c:pt>
                <c:pt idx="26">
                  <c:v>6.82</c:v>
                </c:pt>
                <c:pt idx="27">
                  <c:v>6.9</c:v>
                </c:pt>
                <c:pt idx="28">
                  <c:v>6.69</c:v>
                </c:pt>
                <c:pt idx="29">
                  <c:v>6.83</c:v>
                </c:pt>
                <c:pt idx="30">
                  <c:v>7.09</c:v>
                </c:pt>
                <c:pt idx="31">
                  <c:v>7.06</c:v>
                </c:pt>
                <c:pt idx="32">
                  <c:v>7.48</c:v>
                </c:pt>
                <c:pt idx="33">
                  <c:v>7.97</c:v>
                </c:pt>
                <c:pt idx="34">
                  <c:v>8.15</c:v>
                </c:pt>
                <c:pt idx="35">
                  <c:v>8.36</c:v>
                </c:pt>
                <c:pt idx="36">
                  <c:v>8.14</c:v>
                </c:pt>
                <c:pt idx="37">
                  <c:v>7.94</c:v>
                </c:pt>
                <c:pt idx="38">
                  <c:v>7.82</c:v>
                </c:pt>
                <c:pt idx="39">
                  <c:v>7.84</c:v>
                </c:pt>
                <c:pt idx="40">
                  <c:v>8</c:v>
                </c:pt>
                <c:pt idx="41">
                  <c:v>7.79</c:v>
                </c:pt>
                <c:pt idx="42">
                  <c:v>7.95</c:v>
                </c:pt>
                <c:pt idx="43">
                  <c:v>7.98</c:v>
                </c:pt>
                <c:pt idx="44">
                  <c:v>7.97</c:v>
                </c:pt>
                <c:pt idx="45">
                  <c:v>7.88</c:v>
                </c:pt>
                <c:pt idx="46">
                  <c:v>8.27</c:v>
                </c:pt>
                <c:pt idx="47">
                  <c:v>8.35</c:v>
                </c:pt>
                <c:pt idx="48">
                  <c:v>8.59</c:v>
                </c:pt>
                <c:pt idx="49">
                  <c:v>8.6999999999999993</c:v>
                </c:pt>
                <c:pt idx="50">
                  <c:v>8.73</c:v>
                </c:pt>
                <c:pt idx="51">
                  <c:v>8.6999999999999993</c:v>
                </c:pt>
                <c:pt idx="52">
                  <c:v>8.52</c:v>
                </c:pt>
                <c:pt idx="53">
                  <c:v>8.15</c:v>
                </c:pt>
                <c:pt idx="54">
                  <c:v>8.07</c:v>
                </c:pt>
                <c:pt idx="55">
                  <c:v>8.01</c:v>
                </c:pt>
                <c:pt idx="56">
                  <c:v>7.95</c:v>
                </c:pt>
                <c:pt idx="57">
                  <c:v>8.17</c:v>
                </c:pt>
                <c:pt idx="58">
                  <c:v>8.16</c:v>
                </c:pt>
                <c:pt idx="59">
                  <c:v>7.9</c:v>
                </c:pt>
                <c:pt idx="60">
                  <c:v>7.82</c:v>
                </c:pt>
                <c:pt idx="61">
                  <c:v>7.58</c:v>
                </c:pt>
                <c:pt idx="62">
                  <c:v>7.39</c:v>
                </c:pt>
                <c:pt idx="63">
                  <c:v>7.25</c:v>
                </c:pt>
                <c:pt idx="64">
                  <c:v>7.39</c:v>
                </c:pt>
                <c:pt idx="65">
                  <c:v>7.35</c:v>
                </c:pt>
                <c:pt idx="66">
                  <c:v>7.32</c:v>
                </c:pt>
                <c:pt idx="67">
                  <c:v>7.16</c:v>
                </c:pt>
                <c:pt idx="68">
                  <c:v>7.13</c:v>
                </c:pt>
                <c:pt idx="69">
                  <c:v>7.08</c:v>
                </c:pt>
                <c:pt idx="70">
                  <c:v>7.07</c:v>
                </c:pt>
                <c:pt idx="71">
                  <c:v>7.08</c:v>
                </c:pt>
                <c:pt idx="72">
                  <c:v>7.05</c:v>
                </c:pt>
                <c:pt idx="73">
                  <c:v>7.06</c:v>
                </c:pt>
                <c:pt idx="74">
                  <c:v>7.41</c:v>
                </c:pt>
                <c:pt idx="75">
                  <c:v>7.59</c:v>
                </c:pt>
                <c:pt idx="76">
                  <c:v>7.58</c:v>
                </c:pt>
                <c:pt idx="77">
                  <c:v>7.88</c:v>
                </c:pt>
                <c:pt idx="78">
                  <c:v>7.56</c:v>
                </c:pt>
                <c:pt idx="79">
                  <c:v>7.03</c:v>
                </c:pt>
                <c:pt idx="80">
                  <c:v>7.08</c:v>
                </c:pt>
                <c:pt idx="81">
                  <c:v>6.91</c:v>
                </c:pt>
                <c:pt idx="82">
                  <c:v>6.93</c:v>
                </c:pt>
                <c:pt idx="83">
                  <c:v>7.06</c:v>
                </c:pt>
                <c:pt idx="84">
                  <c:v>7.03</c:v>
                </c:pt>
                <c:pt idx="85">
                  <c:v>7.02</c:v>
                </c:pt>
                <c:pt idx="86">
                  <c:v>7.05</c:v>
                </c:pt>
                <c:pt idx="87">
                  <c:v>6.98</c:v>
                </c:pt>
                <c:pt idx="88">
                  <c:v>7.1</c:v>
                </c:pt>
                <c:pt idx="89">
                  <c:v>7.21</c:v>
                </c:pt>
                <c:pt idx="90">
                  <c:v>7.4</c:v>
                </c:pt>
                <c:pt idx="91">
                  <c:v>7.59</c:v>
                </c:pt>
                <c:pt idx="92">
                  <c:v>7.84</c:v>
                </c:pt>
                <c:pt idx="93">
                  <c:v>7.68</c:v>
                </c:pt>
                <c:pt idx="94">
                  <c:v>7.69</c:v>
                </c:pt>
                <c:pt idx="95">
                  <c:v>7.9</c:v>
                </c:pt>
                <c:pt idx="96">
                  <c:v>7.87</c:v>
                </c:pt>
                <c:pt idx="97">
                  <c:v>7.96</c:v>
                </c:pt>
                <c:pt idx="98">
                  <c:v>7.94</c:v>
                </c:pt>
                <c:pt idx="99">
                  <c:v>8</c:v>
                </c:pt>
                <c:pt idx="100">
                  <c:v>8.0299999999999994</c:v>
                </c:pt>
                <c:pt idx="101">
                  <c:v>7.95</c:v>
                </c:pt>
                <c:pt idx="102">
                  <c:v>8.0299999999999994</c:v>
                </c:pt>
                <c:pt idx="103">
                  <c:v>7.88</c:v>
                </c:pt>
                <c:pt idx="104">
                  <c:v>7.92</c:v>
                </c:pt>
                <c:pt idx="105">
                  <c:v>8</c:v>
                </c:pt>
                <c:pt idx="106">
                  <c:v>8.41</c:v>
                </c:pt>
                <c:pt idx="107">
                  <c:v>8.25</c:v>
                </c:pt>
                <c:pt idx="108">
                  <c:v>8.0299999999999994</c:v>
                </c:pt>
                <c:pt idx="109">
                  <c:v>8.06</c:v>
                </c:pt>
                <c:pt idx="110">
                  <c:v>8.52</c:v>
                </c:pt>
                <c:pt idx="111">
                  <c:v>8.86</c:v>
                </c:pt>
                <c:pt idx="112">
                  <c:v>8.83</c:v>
                </c:pt>
                <c:pt idx="113">
                  <c:v>8.82</c:v>
                </c:pt>
                <c:pt idx="114">
                  <c:v>8.93</c:v>
                </c:pt>
                <c:pt idx="115">
                  <c:v>9.6300000000000008</c:v>
                </c:pt>
                <c:pt idx="116">
                  <c:v>9.52</c:v>
                </c:pt>
                <c:pt idx="117">
                  <c:v>9.9</c:v>
                </c:pt>
                <c:pt idx="118">
                  <c:v>9.77</c:v>
                </c:pt>
                <c:pt idx="119">
                  <c:v>9.69</c:v>
                </c:pt>
                <c:pt idx="120">
                  <c:v>10.029999999999999</c:v>
                </c:pt>
                <c:pt idx="121">
                  <c:v>9.9600000000000009</c:v>
                </c:pt>
                <c:pt idx="122">
                  <c:v>9.9</c:v>
                </c:pt>
                <c:pt idx="123">
                  <c:v>9.8000000000000007</c:v>
                </c:pt>
                <c:pt idx="124">
                  <c:v>8.61</c:v>
                </c:pt>
                <c:pt idx="125">
                  <c:v>8.43</c:v>
                </c:pt>
                <c:pt idx="126">
                  <c:v>9.25</c:v>
                </c:pt>
                <c:pt idx="127">
                  <c:v>8.9700000000000006</c:v>
                </c:pt>
                <c:pt idx="128">
                  <c:v>9.34</c:v>
                </c:pt>
                <c:pt idx="129">
                  <c:v>9.34</c:v>
                </c:pt>
                <c:pt idx="130">
                  <c:v>9.49</c:v>
                </c:pt>
                <c:pt idx="131">
                  <c:v>9.32</c:v>
                </c:pt>
                <c:pt idx="132">
                  <c:v>8.9600000000000009</c:v>
                </c:pt>
                <c:pt idx="133">
                  <c:v>8.6</c:v>
                </c:pt>
                <c:pt idx="134">
                  <c:v>8.8699999999999992</c:v>
                </c:pt>
                <c:pt idx="135">
                  <c:v>9.41</c:v>
                </c:pt>
                <c:pt idx="136">
                  <c:v>9.5</c:v>
                </c:pt>
                <c:pt idx="137">
                  <c:v>9.74</c:v>
                </c:pt>
                <c:pt idx="138">
                  <c:v>9.8800000000000008</c:v>
                </c:pt>
                <c:pt idx="139">
                  <c:v>9.8000000000000007</c:v>
                </c:pt>
                <c:pt idx="140">
                  <c:v>9.9700000000000006</c:v>
                </c:pt>
                <c:pt idx="141">
                  <c:v>9.9700000000000006</c:v>
                </c:pt>
                <c:pt idx="142">
                  <c:v>10.31</c:v>
                </c:pt>
                <c:pt idx="143">
                  <c:v>9.9700000000000006</c:v>
                </c:pt>
                <c:pt idx="144">
                  <c:v>9.68</c:v>
                </c:pt>
                <c:pt idx="145">
                  <c:v>9.4</c:v>
                </c:pt>
                <c:pt idx="146">
                  <c:v>9.02</c:v>
                </c:pt>
                <c:pt idx="147">
                  <c:v>8.86</c:v>
                </c:pt>
                <c:pt idx="148">
                  <c:v>8.5399999999999991</c:v>
                </c:pt>
                <c:pt idx="149">
                  <c:v>8.34</c:v>
                </c:pt>
                <c:pt idx="150">
                  <c:v>8.8000000000000007</c:v>
                </c:pt>
                <c:pt idx="151">
                  <c:v>8.16</c:v>
                </c:pt>
                <c:pt idx="152">
                  <c:v>7.6</c:v>
                </c:pt>
                <c:pt idx="153">
                  <c:v>7.13</c:v>
                </c:pt>
                <c:pt idx="154">
                  <c:v>7.14</c:v>
                </c:pt>
                <c:pt idx="155">
                  <c:v>7.41</c:v>
                </c:pt>
                <c:pt idx="156">
                  <c:v>7.42</c:v>
                </c:pt>
                <c:pt idx="157">
                  <c:v>7.34</c:v>
                </c:pt>
                <c:pt idx="158">
                  <c:v>7.3</c:v>
                </c:pt>
                <c:pt idx="159">
                  <c:v>7.09</c:v>
                </c:pt>
                <c:pt idx="160">
                  <c:v>7.14</c:v>
                </c:pt>
                <c:pt idx="161">
                  <c:v>7.14</c:v>
                </c:pt>
                <c:pt idx="162">
                  <c:v>7.52</c:v>
                </c:pt>
                <c:pt idx="163">
                  <c:v>7.88</c:v>
                </c:pt>
                <c:pt idx="164">
                  <c:v>7.92</c:v>
                </c:pt>
                <c:pt idx="165">
                  <c:v>7.9</c:v>
                </c:pt>
                <c:pt idx="166">
                  <c:v>7.93</c:v>
                </c:pt>
                <c:pt idx="167">
                  <c:v>7.81</c:v>
                </c:pt>
                <c:pt idx="168">
                  <c:v>7.75</c:v>
                </c:pt>
                <c:pt idx="169">
                  <c:v>7.74</c:v>
                </c:pt>
                <c:pt idx="170">
                  <c:v>7.79</c:v>
                </c:pt>
                <c:pt idx="171">
                  <c:v>7.83</c:v>
                </c:pt>
                <c:pt idx="172">
                  <c:v>7.51</c:v>
                </c:pt>
                <c:pt idx="173">
                  <c:v>7.37</c:v>
                </c:pt>
                <c:pt idx="174">
                  <c:v>7.47</c:v>
                </c:pt>
                <c:pt idx="175">
                  <c:v>7.42</c:v>
                </c:pt>
                <c:pt idx="176">
                  <c:v>7.74</c:v>
                </c:pt>
                <c:pt idx="177">
                  <c:v>7.76</c:v>
                </c:pt>
                <c:pt idx="178">
                  <c:v>7.85</c:v>
                </c:pt>
                <c:pt idx="179">
                  <c:v>7.83</c:v>
                </c:pt>
                <c:pt idx="180">
                  <c:v>7.73</c:v>
                </c:pt>
                <c:pt idx="181">
                  <c:v>7.75</c:v>
                </c:pt>
                <c:pt idx="182">
                  <c:v>7.64</c:v>
                </c:pt>
                <c:pt idx="183">
                  <c:v>7.7</c:v>
                </c:pt>
                <c:pt idx="184">
                  <c:v>7.99</c:v>
                </c:pt>
                <c:pt idx="185">
                  <c:v>8.23</c:v>
                </c:pt>
                <c:pt idx="186">
                  <c:v>8.2200000000000006</c:v>
                </c:pt>
                <c:pt idx="187">
                  <c:v>8.27</c:v>
                </c:pt>
                <c:pt idx="188">
                  <c:v>8.32</c:v>
                </c:pt>
                <c:pt idx="189">
                  <c:v>8.3000000000000007</c:v>
                </c:pt>
                <c:pt idx="190">
                  <c:v>8.41</c:v>
                </c:pt>
                <c:pt idx="191">
                  <c:v>8.4700000000000006</c:v>
                </c:pt>
                <c:pt idx="192">
                  <c:v>8.67</c:v>
                </c:pt>
                <c:pt idx="193">
                  <c:v>8.6999999999999993</c:v>
                </c:pt>
                <c:pt idx="194">
                  <c:v>8.74</c:v>
                </c:pt>
                <c:pt idx="195">
                  <c:v>8.82</c:v>
                </c:pt>
                <c:pt idx="196">
                  <c:v>9.16</c:v>
                </c:pt>
                <c:pt idx="197">
                  <c:v>9.08</c:v>
                </c:pt>
                <c:pt idx="198">
                  <c:v>9.24</c:v>
                </c:pt>
                <c:pt idx="199">
                  <c:v>9.17</c:v>
                </c:pt>
                <c:pt idx="200">
                  <c:v>9.2799999999999994</c:v>
                </c:pt>
                <c:pt idx="201">
                  <c:v>9.61</c:v>
                </c:pt>
                <c:pt idx="202">
                  <c:v>9.7200000000000006</c:v>
                </c:pt>
                <c:pt idx="203">
                  <c:v>9.49</c:v>
                </c:pt>
                <c:pt idx="204">
                  <c:v>9.6999999999999993</c:v>
                </c:pt>
                <c:pt idx="205">
                  <c:v>9.58</c:v>
                </c:pt>
                <c:pt idx="206">
                  <c:v>9.58</c:v>
                </c:pt>
                <c:pt idx="207">
                  <c:v>9.9499999999999993</c:v>
                </c:pt>
                <c:pt idx="208">
                  <c:v>10</c:v>
                </c:pt>
                <c:pt idx="209">
                  <c:v>9.9600000000000009</c:v>
                </c:pt>
                <c:pt idx="210">
                  <c:v>9.9700000000000006</c:v>
                </c:pt>
                <c:pt idx="211">
                  <c:v>9.7200000000000006</c:v>
                </c:pt>
                <c:pt idx="212">
                  <c:v>10</c:v>
                </c:pt>
                <c:pt idx="213">
                  <c:v>9.93</c:v>
                </c:pt>
                <c:pt idx="214">
                  <c:v>10.52</c:v>
                </c:pt>
                <c:pt idx="215">
                  <c:v>10.029999999999999</c:v>
                </c:pt>
                <c:pt idx="216">
                  <c:v>10.1</c:v>
                </c:pt>
                <c:pt idx="217">
                  <c:v>9.8699999999999992</c:v>
                </c:pt>
                <c:pt idx="218">
                  <c:v>9.8000000000000007</c:v>
                </c:pt>
                <c:pt idx="219">
                  <c:v>9.8000000000000007</c:v>
                </c:pt>
                <c:pt idx="220">
                  <c:v>10.210000000000001</c:v>
                </c:pt>
                <c:pt idx="221">
                  <c:v>10.48</c:v>
                </c:pt>
                <c:pt idx="222">
                  <c:v>10.36</c:v>
                </c:pt>
                <c:pt idx="223">
                  <c:v>10.44</c:v>
                </c:pt>
                <c:pt idx="224">
                  <c:v>10.58</c:v>
                </c:pt>
                <c:pt idx="225">
                  <c:v>10.55</c:v>
                </c:pt>
                <c:pt idx="226">
                  <c:v>10.68</c:v>
                </c:pt>
                <c:pt idx="227">
                  <c:v>10.6</c:v>
                </c:pt>
                <c:pt idx="228">
                  <c:v>11.11</c:v>
                </c:pt>
                <c:pt idx="229">
                  <c:v>11.09</c:v>
                </c:pt>
                <c:pt idx="230">
                  <c:v>10.93</c:v>
                </c:pt>
                <c:pt idx="231">
                  <c:v>10.66</c:v>
                </c:pt>
                <c:pt idx="232">
                  <c:v>10.78</c:v>
                </c:pt>
                <c:pt idx="233">
                  <c:v>10.58</c:v>
                </c:pt>
                <c:pt idx="234">
                  <c:v>10.66</c:v>
                </c:pt>
                <c:pt idx="235">
                  <c:v>10.75</c:v>
                </c:pt>
                <c:pt idx="236">
                  <c:v>10.96</c:v>
                </c:pt>
                <c:pt idx="237">
                  <c:v>11.28</c:v>
                </c:pt>
                <c:pt idx="238">
                  <c:v>11.07</c:v>
                </c:pt>
                <c:pt idx="239">
                  <c:v>11.11</c:v>
                </c:pt>
                <c:pt idx="240">
                  <c:v>11.14</c:v>
                </c:pt>
                <c:pt idx="241">
                  <c:v>11.07</c:v>
                </c:pt>
                <c:pt idx="242">
                  <c:v>11.15</c:v>
                </c:pt>
                <c:pt idx="243">
                  <c:v>11.11</c:v>
                </c:pt>
                <c:pt idx="244">
                  <c:v>11.14</c:v>
                </c:pt>
                <c:pt idx="245">
                  <c:v>10.97</c:v>
                </c:pt>
                <c:pt idx="246">
                  <c:v>11.12</c:v>
                </c:pt>
                <c:pt idx="247">
                  <c:v>11.04</c:v>
                </c:pt>
                <c:pt idx="248">
                  <c:v>10.82</c:v>
                </c:pt>
                <c:pt idx="249">
                  <c:v>10.26</c:v>
                </c:pt>
                <c:pt idx="250">
                  <c:v>10.130000000000001</c:v>
                </c:pt>
                <c:pt idx="251">
                  <c:v>10.78</c:v>
                </c:pt>
                <c:pt idx="252">
                  <c:v>10.77</c:v>
                </c:pt>
                <c:pt idx="253">
                  <c:v>10.14</c:v>
                </c:pt>
                <c:pt idx="254">
                  <c:v>9.94</c:v>
                </c:pt>
                <c:pt idx="255">
                  <c:v>10.11</c:v>
                </c:pt>
                <c:pt idx="256">
                  <c:v>9.86</c:v>
                </c:pt>
                <c:pt idx="257">
                  <c:v>9.5399999999999991</c:v>
                </c:pt>
                <c:pt idx="258">
                  <c:v>9.73</c:v>
                </c:pt>
                <c:pt idx="259">
                  <c:v>9.82</c:v>
                </c:pt>
                <c:pt idx="260">
                  <c:v>10.33</c:v>
                </c:pt>
                <c:pt idx="261">
                  <c:v>10.66</c:v>
                </c:pt>
                <c:pt idx="262">
                  <c:v>10.83</c:v>
                </c:pt>
                <c:pt idx="263">
                  <c:v>11.06</c:v>
                </c:pt>
                <c:pt idx="264">
                  <c:v>10.91</c:v>
                </c:pt>
                <c:pt idx="265">
                  <c:v>10.9</c:v>
                </c:pt>
                <c:pt idx="266">
                  <c:v>10.99</c:v>
                </c:pt>
                <c:pt idx="267">
                  <c:v>10.85</c:v>
                </c:pt>
                <c:pt idx="268">
                  <c:v>10.81</c:v>
                </c:pt>
                <c:pt idx="269">
                  <c:v>10.91</c:v>
                </c:pt>
                <c:pt idx="270">
                  <c:v>10.37</c:v>
                </c:pt>
                <c:pt idx="271">
                  <c:v>10.38</c:v>
                </c:pt>
                <c:pt idx="272">
                  <c:v>10.38</c:v>
                </c:pt>
                <c:pt idx="273">
                  <c:v>10.35</c:v>
                </c:pt>
                <c:pt idx="274">
                  <c:v>10.25</c:v>
                </c:pt>
                <c:pt idx="275">
                  <c:v>10.02</c:v>
                </c:pt>
                <c:pt idx="276">
                  <c:v>9.85</c:v>
                </c:pt>
                <c:pt idx="277">
                  <c:v>9.94</c:v>
                </c:pt>
                <c:pt idx="278">
                  <c:v>9.69</c:v>
                </c:pt>
                <c:pt idx="279">
                  <c:v>9.5399999999999991</c:v>
                </c:pt>
                <c:pt idx="280">
                  <c:v>9.68</c:v>
                </c:pt>
                <c:pt idx="281">
                  <c:v>9.83</c:v>
                </c:pt>
                <c:pt idx="282">
                  <c:v>9.7200000000000006</c:v>
                </c:pt>
                <c:pt idx="283">
                  <c:v>9.98</c:v>
                </c:pt>
                <c:pt idx="284">
                  <c:v>9.94</c:v>
                </c:pt>
                <c:pt idx="285">
                  <c:v>9.94</c:v>
                </c:pt>
                <c:pt idx="286">
                  <c:v>9.99</c:v>
                </c:pt>
                <c:pt idx="287">
                  <c:v>10.06</c:v>
                </c:pt>
                <c:pt idx="288">
                  <c:v>10.07</c:v>
                </c:pt>
                <c:pt idx="289">
                  <c:v>10.15</c:v>
                </c:pt>
                <c:pt idx="290">
                  <c:v>10.19</c:v>
                </c:pt>
                <c:pt idx="291">
                  <c:v>10.119999999999999</c:v>
                </c:pt>
                <c:pt idx="292">
                  <c:v>10.74</c:v>
                </c:pt>
                <c:pt idx="293">
                  <c:v>10.85</c:v>
                </c:pt>
                <c:pt idx="294">
                  <c:v>10.94</c:v>
                </c:pt>
                <c:pt idx="295">
                  <c:v>10.94</c:v>
                </c:pt>
                <c:pt idx="296">
                  <c:v>11.41</c:v>
                </c:pt>
                <c:pt idx="297">
                  <c:v>11.17</c:v>
                </c:pt>
                <c:pt idx="298">
                  <c:v>10.86</c:v>
                </c:pt>
                <c:pt idx="299">
                  <c:v>10.86</c:v>
                </c:pt>
                <c:pt idx="300">
                  <c:v>9.8699999999999992</c:v>
                </c:pt>
                <c:pt idx="301">
                  <c:v>9.7899999999999991</c:v>
                </c:pt>
                <c:pt idx="302">
                  <c:v>9.8000000000000007</c:v>
                </c:pt>
                <c:pt idx="303">
                  <c:v>9.94</c:v>
                </c:pt>
                <c:pt idx="304">
                  <c:v>9.7100000000000009</c:v>
                </c:pt>
                <c:pt idx="305">
                  <c:v>9.8699999999999992</c:v>
                </c:pt>
                <c:pt idx="306">
                  <c:v>10.34</c:v>
                </c:pt>
                <c:pt idx="307">
                  <c:v>10.24</c:v>
                </c:pt>
                <c:pt idx="308">
                  <c:v>10.14</c:v>
                </c:pt>
                <c:pt idx="309">
                  <c:v>10</c:v>
                </c:pt>
                <c:pt idx="310">
                  <c:v>9.86</c:v>
                </c:pt>
                <c:pt idx="311">
                  <c:v>10.28</c:v>
                </c:pt>
                <c:pt idx="312">
                  <c:v>10.43</c:v>
                </c:pt>
                <c:pt idx="313">
                  <c:v>10.43</c:v>
                </c:pt>
                <c:pt idx="314">
                  <c:v>9.6300000000000008</c:v>
                </c:pt>
                <c:pt idx="315">
                  <c:v>9.39</c:v>
                </c:pt>
                <c:pt idx="316">
                  <c:v>9.5399999999999991</c:v>
                </c:pt>
                <c:pt idx="317">
                  <c:v>9.34</c:v>
                </c:pt>
                <c:pt idx="318">
                  <c:v>9.07</c:v>
                </c:pt>
                <c:pt idx="319">
                  <c:v>8.4600000000000009</c:v>
                </c:pt>
                <c:pt idx="320">
                  <c:v>8.56</c:v>
                </c:pt>
                <c:pt idx="321">
                  <c:v>8.8699999999999992</c:v>
                </c:pt>
                <c:pt idx="322">
                  <c:v>9.0500000000000007</c:v>
                </c:pt>
                <c:pt idx="323">
                  <c:v>8.94</c:v>
                </c:pt>
                <c:pt idx="324">
                  <c:v>9.01</c:v>
                </c:pt>
                <c:pt idx="325">
                  <c:v>9.24</c:v>
                </c:pt>
                <c:pt idx="326">
                  <c:v>9.51</c:v>
                </c:pt>
                <c:pt idx="327">
                  <c:v>9.9</c:v>
                </c:pt>
                <c:pt idx="328">
                  <c:v>10</c:v>
                </c:pt>
                <c:pt idx="329">
                  <c:v>10.29</c:v>
                </c:pt>
                <c:pt idx="330">
                  <c:v>10.57</c:v>
                </c:pt>
                <c:pt idx="331">
                  <c:v>10.88</c:v>
                </c:pt>
                <c:pt idx="332">
                  <c:v>10.77</c:v>
                </c:pt>
                <c:pt idx="333">
                  <c:v>10.86</c:v>
                </c:pt>
                <c:pt idx="334">
                  <c:v>10.76</c:v>
                </c:pt>
                <c:pt idx="335">
                  <c:v>10.74</c:v>
                </c:pt>
                <c:pt idx="336">
                  <c:v>10.99</c:v>
                </c:pt>
                <c:pt idx="337">
                  <c:v>11.09</c:v>
                </c:pt>
                <c:pt idx="338">
                  <c:v>10.79</c:v>
                </c:pt>
                <c:pt idx="339">
                  <c:v>10.82</c:v>
                </c:pt>
                <c:pt idx="340">
                  <c:v>10.69</c:v>
                </c:pt>
                <c:pt idx="341">
                  <c:v>10.82</c:v>
                </c:pt>
                <c:pt idx="342">
                  <c:v>10.99</c:v>
                </c:pt>
                <c:pt idx="343">
                  <c:v>10.52</c:v>
                </c:pt>
                <c:pt idx="344">
                  <c:v>10.47</c:v>
                </c:pt>
                <c:pt idx="345">
                  <c:v>10.55</c:v>
                </c:pt>
                <c:pt idx="346">
                  <c:v>10.55</c:v>
                </c:pt>
                <c:pt idx="347">
                  <c:v>10.74</c:v>
                </c:pt>
                <c:pt idx="348">
                  <c:v>10.85</c:v>
                </c:pt>
                <c:pt idx="349">
                  <c:v>11.23</c:v>
                </c:pt>
                <c:pt idx="350">
                  <c:v>10.71</c:v>
                </c:pt>
                <c:pt idx="351">
                  <c:v>10.5</c:v>
                </c:pt>
                <c:pt idx="352">
                  <c:v>9.48</c:v>
                </c:pt>
                <c:pt idx="353">
                  <c:v>8.67</c:v>
                </c:pt>
                <c:pt idx="354">
                  <c:v>8.2799999999999994</c:v>
                </c:pt>
                <c:pt idx="355">
                  <c:v>8.2899999999999991</c:v>
                </c:pt>
                <c:pt idx="356">
                  <c:v>7.62</c:v>
                </c:pt>
                <c:pt idx="357">
                  <c:v>8.25</c:v>
                </c:pt>
                <c:pt idx="358">
                  <c:v>8.74</c:v>
                </c:pt>
                <c:pt idx="359">
                  <c:v>7.58</c:v>
                </c:pt>
                <c:pt idx="360">
                  <c:v>7.8</c:v>
                </c:pt>
                <c:pt idx="361">
                  <c:v>7.98</c:v>
                </c:pt>
                <c:pt idx="362">
                  <c:v>8.1300000000000008</c:v>
                </c:pt>
                <c:pt idx="363">
                  <c:v>7.94</c:v>
                </c:pt>
                <c:pt idx="364">
                  <c:v>8</c:v>
                </c:pt>
                <c:pt idx="365">
                  <c:v>8.09</c:v>
                </c:pt>
                <c:pt idx="366">
                  <c:v>8.16</c:v>
                </c:pt>
                <c:pt idx="367">
                  <c:v>8.34</c:v>
                </c:pt>
                <c:pt idx="368">
                  <c:v>8.5399999999999991</c:v>
                </c:pt>
                <c:pt idx="369">
                  <c:v>8.41</c:v>
                </c:pt>
                <c:pt idx="370">
                  <c:v>7.93</c:v>
                </c:pt>
                <c:pt idx="371">
                  <c:v>7.85</c:v>
                </c:pt>
                <c:pt idx="372">
                  <c:v>7.51</c:v>
                </c:pt>
                <c:pt idx="373">
                  <c:v>8.09</c:v>
                </c:pt>
                <c:pt idx="374">
                  <c:v>7.98</c:v>
                </c:pt>
                <c:pt idx="375">
                  <c:v>8.1</c:v>
                </c:pt>
                <c:pt idx="376">
                  <c:v>8.2100000000000009</c:v>
                </c:pt>
                <c:pt idx="377">
                  <c:v>8.11</c:v>
                </c:pt>
                <c:pt idx="378">
                  <c:v>8.2100000000000009</c:v>
                </c:pt>
                <c:pt idx="379">
                  <c:v>8.32</c:v>
                </c:pt>
                <c:pt idx="380">
                  <c:v>8.98</c:v>
                </c:pt>
                <c:pt idx="381">
                  <c:v>9.01</c:v>
                </c:pt>
                <c:pt idx="382">
                  <c:v>9.77</c:v>
                </c:pt>
                <c:pt idx="383">
                  <c:v>9.4499999999999993</c:v>
                </c:pt>
                <c:pt idx="384">
                  <c:v>9.85</c:v>
                </c:pt>
                <c:pt idx="385">
                  <c:v>10.36</c:v>
                </c:pt>
                <c:pt idx="386">
                  <c:v>10.38</c:v>
                </c:pt>
                <c:pt idx="387">
                  <c:v>9.9</c:v>
                </c:pt>
                <c:pt idx="388">
                  <c:v>9.91</c:v>
                </c:pt>
                <c:pt idx="389">
                  <c:v>9.9600000000000009</c:v>
                </c:pt>
                <c:pt idx="390">
                  <c:v>9.89</c:v>
                </c:pt>
                <c:pt idx="391">
                  <c:v>9.91</c:v>
                </c:pt>
                <c:pt idx="392">
                  <c:v>10.3</c:v>
                </c:pt>
                <c:pt idx="393">
                  <c:v>10.06</c:v>
                </c:pt>
                <c:pt idx="394">
                  <c:v>10.38</c:v>
                </c:pt>
                <c:pt idx="395">
                  <c:v>10.55</c:v>
                </c:pt>
                <c:pt idx="396">
                  <c:v>10.06</c:v>
                </c:pt>
                <c:pt idx="397">
                  <c:v>10.039999999999999</c:v>
                </c:pt>
                <c:pt idx="398">
                  <c:v>10.52</c:v>
                </c:pt>
                <c:pt idx="399">
                  <c:v>10.72</c:v>
                </c:pt>
                <c:pt idx="400">
                  <c:v>10.96</c:v>
                </c:pt>
                <c:pt idx="401">
                  <c:v>10.97</c:v>
                </c:pt>
                <c:pt idx="402">
                  <c:v>10.81</c:v>
                </c:pt>
                <c:pt idx="403">
                  <c:v>10.67</c:v>
                </c:pt>
                <c:pt idx="404">
                  <c:v>11.28</c:v>
                </c:pt>
                <c:pt idx="405">
                  <c:v>11.33</c:v>
                </c:pt>
                <c:pt idx="406">
                  <c:v>11.77</c:v>
                </c:pt>
                <c:pt idx="407">
                  <c:v>12.34</c:v>
                </c:pt>
                <c:pt idx="408">
                  <c:v>13.13</c:v>
                </c:pt>
                <c:pt idx="409">
                  <c:v>13.08</c:v>
                </c:pt>
                <c:pt idx="410">
                  <c:v>13.42</c:v>
                </c:pt>
                <c:pt idx="411">
                  <c:v>13.33</c:v>
                </c:pt>
                <c:pt idx="412">
                  <c:v>13.75</c:v>
                </c:pt>
                <c:pt idx="413">
                  <c:v>13.92</c:v>
                </c:pt>
                <c:pt idx="414">
                  <c:v>14.37</c:v>
                </c:pt>
                <c:pt idx="415">
                  <c:v>14.65</c:v>
                </c:pt>
                <c:pt idx="416">
                  <c:v>14.42</c:v>
                </c:pt>
                <c:pt idx="417">
                  <c:v>14.29</c:v>
                </c:pt>
                <c:pt idx="418">
                  <c:v>14</c:v>
                </c:pt>
                <c:pt idx="419">
                  <c:v>14.42</c:v>
                </c:pt>
                <c:pt idx="420">
                  <c:v>14.63</c:v>
                </c:pt>
                <c:pt idx="421">
                  <c:v>14.53</c:v>
                </c:pt>
                <c:pt idx="422">
                  <c:v>14.86</c:v>
                </c:pt>
                <c:pt idx="423">
                  <c:v>15.07</c:v>
                </c:pt>
                <c:pt idx="424">
                  <c:v>15</c:v>
                </c:pt>
                <c:pt idx="425">
                  <c:v>15.32</c:v>
                </c:pt>
                <c:pt idx="426">
                  <c:v>15.33</c:v>
                </c:pt>
                <c:pt idx="427">
                  <c:v>15.23</c:v>
                </c:pt>
                <c:pt idx="428">
                  <c:v>15.44</c:v>
                </c:pt>
                <c:pt idx="429">
                  <c:v>15.69</c:v>
                </c:pt>
                <c:pt idx="430">
                  <c:v>16.07</c:v>
                </c:pt>
                <c:pt idx="431">
                  <c:v>15.99</c:v>
                </c:pt>
                <c:pt idx="432">
                  <c:v>15.85</c:v>
                </c:pt>
                <c:pt idx="433">
                  <c:v>15.97</c:v>
                </c:pt>
                <c:pt idx="434">
                  <c:v>15.83</c:v>
                </c:pt>
                <c:pt idx="435">
                  <c:v>15.59</c:v>
                </c:pt>
                <c:pt idx="436">
                  <c:v>16.3</c:v>
                </c:pt>
                <c:pt idx="437">
                  <c:v>16.829999999999998</c:v>
                </c:pt>
                <c:pt idx="438">
                  <c:v>16.309999999999999</c:v>
                </c:pt>
                <c:pt idx="439">
                  <c:v>15.9</c:v>
                </c:pt>
                <c:pt idx="440">
                  <c:v>15.02</c:v>
                </c:pt>
                <c:pt idx="441">
                  <c:v>14.97</c:v>
                </c:pt>
                <c:pt idx="442">
                  <c:v>15.5</c:v>
                </c:pt>
                <c:pt idx="443">
                  <c:v>15.63</c:v>
                </c:pt>
                <c:pt idx="444">
                  <c:v>15.64</c:v>
                </c:pt>
                <c:pt idx="445">
                  <c:v>15.81</c:v>
                </c:pt>
                <c:pt idx="446">
                  <c:v>15.68</c:v>
                </c:pt>
                <c:pt idx="447">
                  <c:v>15.27</c:v>
                </c:pt>
                <c:pt idx="448">
                  <c:v>15.33</c:v>
                </c:pt>
                <c:pt idx="449">
                  <c:v>16.16</c:v>
                </c:pt>
                <c:pt idx="450">
                  <c:v>16.059999999999999</c:v>
                </c:pt>
                <c:pt idx="451">
                  <c:v>15.96</c:v>
                </c:pt>
                <c:pt idx="452">
                  <c:v>15.86</c:v>
                </c:pt>
                <c:pt idx="453">
                  <c:v>16.12</c:v>
                </c:pt>
                <c:pt idx="454">
                  <c:v>16.18</c:v>
                </c:pt>
                <c:pt idx="455">
                  <c:v>16.75</c:v>
                </c:pt>
                <c:pt idx="456">
                  <c:v>16.98</c:v>
                </c:pt>
                <c:pt idx="457">
                  <c:v>17.329999999999998</c:v>
                </c:pt>
                <c:pt idx="458">
                  <c:v>16.72</c:v>
                </c:pt>
                <c:pt idx="459">
                  <c:v>16.86</c:v>
                </c:pt>
                <c:pt idx="460">
                  <c:v>16.829999999999998</c:v>
                </c:pt>
                <c:pt idx="461">
                  <c:v>17.09</c:v>
                </c:pt>
                <c:pt idx="462">
                  <c:v>16.57</c:v>
                </c:pt>
                <c:pt idx="463">
                  <c:v>16.350000000000001</c:v>
                </c:pt>
                <c:pt idx="464">
                  <c:v>16.55</c:v>
                </c:pt>
                <c:pt idx="465">
                  <c:v>16.68</c:v>
                </c:pt>
                <c:pt idx="466">
                  <c:v>17.07</c:v>
                </c:pt>
                <c:pt idx="467">
                  <c:v>16.96</c:v>
                </c:pt>
                <c:pt idx="468">
                  <c:v>17.22</c:v>
                </c:pt>
                <c:pt idx="469">
                  <c:v>17.48</c:v>
                </c:pt>
                <c:pt idx="470">
                  <c:v>17.309999999999999</c:v>
                </c:pt>
                <c:pt idx="471">
                  <c:v>16.920000000000002</c:v>
                </c:pt>
                <c:pt idx="472">
                  <c:v>16.61</c:v>
                </c:pt>
                <c:pt idx="473">
                  <c:v>16.41</c:v>
                </c:pt>
                <c:pt idx="474">
                  <c:v>16.899999999999999</c:v>
                </c:pt>
                <c:pt idx="475">
                  <c:v>16.95</c:v>
                </c:pt>
                <c:pt idx="476">
                  <c:v>17.16</c:v>
                </c:pt>
                <c:pt idx="477">
                  <c:v>16.48</c:v>
                </c:pt>
                <c:pt idx="478">
                  <c:v>16.16</c:v>
                </c:pt>
                <c:pt idx="479">
                  <c:v>15.67</c:v>
                </c:pt>
                <c:pt idx="480">
                  <c:v>16.09</c:v>
                </c:pt>
                <c:pt idx="481">
                  <c:v>16</c:v>
                </c:pt>
                <c:pt idx="482">
                  <c:v>15.97</c:v>
                </c:pt>
                <c:pt idx="483">
                  <c:v>16.11</c:v>
                </c:pt>
                <c:pt idx="484">
                  <c:v>15.79</c:v>
                </c:pt>
                <c:pt idx="485">
                  <c:v>16</c:v>
                </c:pt>
                <c:pt idx="486">
                  <c:v>16.260000000000002</c:v>
                </c:pt>
                <c:pt idx="487">
                  <c:v>16.420000000000002</c:v>
                </c:pt>
                <c:pt idx="488">
                  <c:v>16.79</c:v>
                </c:pt>
                <c:pt idx="489">
                  <c:v>16.89</c:v>
                </c:pt>
                <c:pt idx="490">
                  <c:v>16.600000000000001</c:v>
                </c:pt>
                <c:pt idx="491">
                  <c:v>16.32</c:v>
                </c:pt>
                <c:pt idx="492">
                  <c:v>16.149999999999999</c:v>
                </c:pt>
                <c:pt idx="493">
                  <c:v>16.190000000000001</c:v>
                </c:pt>
                <c:pt idx="494">
                  <c:v>16.21</c:v>
                </c:pt>
                <c:pt idx="495">
                  <c:v>16.309999999999999</c:v>
                </c:pt>
                <c:pt idx="496">
                  <c:v>16.52</c:v>
                </c:pt>
                <c:pt idx="497">
                  <c:v>16.489999999999998</c:v>
                </c:pt>
                <c:pt idx="498">
                  <c:v>16.43</c:v>
                </c:pt>
                <c:pt idx="499">
                  <c:v>16.25</c:v>
                </c:pt>
                <c:pt idx="500">
                  <c:v>16.48</c:v>
                </c:pt>
                <c:pt idx="501">
                  <c:v>16.87</c:v>
                </c:pt>
                <c:pt idx="502">
                  <c:v>17.32</c:v>
                </c:pt>
                <c:pt idx="503">
                  <c:v>16.899999999999999</c:v>
                </c:pt>
                <c:pt idx="504">
                  <c:v>16.16</c:v>
                </c:pt>
                <c:pt idx="505">
                  <c:v>16.2</c:v>
                </c:pt>
                <c:pt idx="506">
                  <c:v>16.73</c:v>
                </c:pt>
                <c:pt idx="507">
                  <c:v>16.72</c:v>
                </c:pt>
                <c:pt idx="508">
                  <c:v>16.899999999999999</c:v>
                </c:pt>
                <c:pt idx="509">
                  <c:v>17.04</c:v>
                </c:pt>
                <c:pt idx="510">
                  <c:v>17.7</c:v>
                </c:pt>
                <c:pt idx="511">
                  <c:v>18.309999999999999</c:v>
                </c:pt>
                <c:pt idx="512">
                  <c:v>18.48</c:v>
                </c:pt>
                <c:pt idx="513">
                  <c:v>18.75</c:v>
                </c:pt>
                <c:pt idx="514">
                  <c:v>18.41</c:v>
                </c:pt>
                <c:pt idx="515">
                  <c:v>19.36</c:v>
                </c:pt>
                <c:pt idx="516">
                  <c:v>18.89</c:v>
                </c:pt>
                <c:pt idx="517">
                  <c:v>17.89</c:v>
                </c:pt>
                <c:pt idx="518">
                  <c:v>18.3</c:v>
                </c:pt>
                <c:pt idx="519">
                  <c:v>17.84</c:v>
                </c:pt>
                <c:pt idx="520">
                  <c:v>18.11</c:v>
                </c:pt>
                <c:pt idx="521">
                  <c:v>18.34</c:v>
                </c:pt>
                <c:pt idx="522">
                  <c:v>17.79</c:v>
                </c:pt>
                <c:pt idx="523">
                  <c:v>16.989999999999998</c:v>
                </c:pt>
                <c:pt idx="524">
                  <c:v>16.809999999999999</c:v>
                </c:pt>
                <c:pt idx="525">
                  <c:v>16.559999999999999</c:v>
                </c:pt>
                <c:pt idx="526">
                  <c:v>16.37</c:v>
                </c:pt>
                <c:pt idx="527">
                  <c:v>16.38</c:v>
                </c:pt>
                <c:pt idx="528">
                  <c:v>16.57</c:v>
                </c:pt>
                <c:pt idx="529">
                  <c:v>16.38</c:v>
                </c:pt>
                <c:pt idx="530">
                  <c:v>16.47</c:v>
                </c:pt>
                <c:pt idx="531">
                  <c:v>16.64</c:v>
                </c:pt>
                <c:pt idx="532">
                  <c:v>16.649999999999999</c:v>
                </c:pt>
                <c:pt idx="533">
                  <c:v>16.96</c:v>
                </c:pt>
                <c:pt idx="534">
                  <c:v>17.010000000000002</c:v>
                </c:pt>
                <c:pt idx="535">
                  <c:v>17.54</c:v>
                </c:pt>
                <c:pt idx="536">
                  <c:v>18.05</c:v>
                </c:pt>
                <c:pt idx="537">
                  <c:v>18.239999999999998</c:v>
                </c:pt>
                <c:pt idx="538">
                  <c:v>18.66</c:v>
                </c:pt>
                <c:pt idx="539">
                  <c:v>18.47</c:v>
                </c:pt>
                <c:pt idx="540">
                  <c:v>18.04</c:v>
                </c:pt>
                <c:pt idx="541">
                  <c:v>17.54</c:v>
                </c:pt>
                <c:pt idx="542">
                  <c:v>17.39</c:v>
                </c:pt>
                <c:pt idx="543">
                  <c:v>18.260000000000002</c:v>
                </c:pt>
                <c:pt idx="544">
                  <c:v>17.91</c:v>
                </c:pt>
                <c:pt idx="545">
                  <c:v>19.91</c:v>
                </c:pt>
                <c:pt idx="546">
                  <c:v>19.77</c:v>
                </c:pt>
                <c:pt idx="547">
                  <c:v>19.55</c:v>
                </c:pt>
                <c:pt idx="548">
                  <c:v>20.73</c:v>
                </c:pt>
                <c:pt idx="549">
                  <c:v>20.39</c:v>
                </c:pt>
                <c:pt idx="550">
                  <c:v>20.52</c:v>
                </c:pt>
                <c:pt idx="551">
                  <c:v>20.309999999999999</c:v>
                </c:pt>
                <c:pt idx="552">
                  <c:v>20.3</c:v>
                </c:pt>
                <c:pt idx="553">
                  <c:v>20.7</c:v>
                </c:pt>
                <c:pt idx="554">
                  <c:v>20.11</c:v>
                </c:pt>
                <c:pt idx="555">
                  <c:v>20.28</c:v>
                </c:pt>
                <c:pt idx="556">
                  <c:v>20.71</c:v>
                </c:pt>
                <c:pt idx="557">
                  <c:v>20.76</c:v>
                </c:pt>
                <c:pt idx="558">
                  <c:v>22.26</c:v>
                </c:pt>
                <c:pt idx="559">
                  <c:v>22.58</c:v>
                </c:pt>
                <c:pt idx="560">
                  <c:v>22.97</c:v>
                </c:pt>
                <c:pt idx="561">
                  <c:v>21.87</c:v>
                </c:pt>
                <c:pt idx="562">
                  <c:v>21.14</c:v>
                </c:pt>
                <c:pt idx="563">
                  <c:v>21.34</c:v>
                </c:pt>
                <c:pt idx="564">
                  <c:v>21.39</c:v>
                </c:pt>
                <c:pt idx="565">
                  <c:v>21.07</c:v>
                </c:pt>
                <c:pt idx="566">
                  <c:v>20.87</c:v>
                </c:pt>
                <c:pt idx="567">
                  <c:v>21.2</c:v>
                </c:pt>
                <c:pt idx="568">
                  <c:v>20.85</c:v>
                </c:pt>
                <c:pt idx="569">
                  <c:v>20.68</c:v>
                </c:pt>
                <c:pt idx="570">
                  <c:v>20.72</c:v>
                </c:pt>
                <c:pt idx="571">
                  <c:v>20.21</c:v>
                </c:pt>
                <c:pt idx="572">
                  <c:v>20.51</c:v>
                </c:pt>
                <c:pt idx="573">
                  <c:v>20.100000000000001</c:v>
                </c:pt>
                <c:pt idx="574">
                  <c:v>19.5</c:v>
                </c:pt>
                <c:pt idx="575">
                  <c:v>19.100000000000001</c:v>
                </c:pt>
                <c:pt idx="576">
                  <c:v>18.62</c:v>
                </c:pt>
                <c:pt idx="577">
                  <c:v>18.440000000000001</c:v>
                </c:pt>
                <c:pt idx="578">
                  <c:v>18.329999999999998</c:v>
                </c:pt>
                <c:pt idx="579">
                  <c:v>18.14</c:v>
                </c:pt>
                <c:pt idx="580">
                  <c:v>17.84</c:v>
                </c:pt>
                <c:pt idx="581">
                  <c:v>17.079999999999998</c:v>
                </c:pt>
                <c:pt idx="582">
                  <c:v>17.04</c:v>
                </c:pt>
                <c:pt idx="583">
                  <c:v>16.829999999999998</c:v>
                </c:pt>
                <c:pt idx="584">
                  <c:v>17.09</c:v>
                </c:pt>
                <c:pt idx="585">
                  <c:v>16.63</c:v>
                </c:pt>
                <c:pt idx="586">
                  <c:v>17.100000000000001</c:v>
                </c:pt>
                <c:pt idx="587">
                  <c:v>17.39</c:v>
                </c:pt>
                <c:pt idx="588">
                  <c:v>17.5</c:v>
                </c:pt>
                <c:pt idx="589">
                  <c:v>17.04</c:v>
                </c:pt>
                <c:pt idx="590">
                  <c:v>17.55</c:v>
                </c:pt>
                <c:pt idx="591">
                  <c:v>17.47</c:v>
                </c:pt>
                <c:pt idx="592">
                  <c:v>17.72</c:v>
                </c:pt>
                <c:pt idx="593">
                  <c:v>18.18</c:v>
                </c:pt>
                <c:pt idx="594">
                  <c:v>18.3</c:v>
                </c:pt>
                <c:pt idx="595">
                  <c:v>19.239999999999998</c:v>
                </c:pt>
                <c:pt idx="596">
                  <c:v>19.77</c:v>
                </c:pt>
                <c:pt idx="597">
                  <c:v>18.59</c:v>
                </c:pt>
                <c:pt idx="598">
                  <c:v>19.149999999999999</c:v>
                </c:pt>
                <c:pt idx="599">
                  <c:v>18.989999999999998</c:v>
                </c:pt>
                <c:pt idx="600">
                  <c:v>19.149999999999999</c:v>
                </c:pt>
                <c:pt idx="601">
                  <c:v>19.309999999999999</c:v>
                </c:pt>
                <c:pt idx="602">
                  <c:v>19.38</c:v>
                </c:pt>
                <c:pt idx="603">
                  <c:v>20.100000000000001</c:v>
                </c:pt>
                <c:pt idx="604">
                  <c:v>20.12</c:v>
                </c:pt>
                <c:pt idx="605">
                  <c:v>19.63</c:v>
                </c:pt>
                <c:pt idx="606">
                  <c:v>20.72</c:v>
                </c:pt>
                <c:pt idx="607">
                  <c:v>20.99</c:v>
                </c:pt>
                <c:pt idx="608">
                  <c:v>20.6</c:v>
                </c:pt>
                <c:pt idx="609">
                  <c:v>19.89</c:v>
                </c:pt>
                <c:pt idx="610">
                  <c:v>20.32</c:v>
                </c:pt>
                <c:pt idx="611">
                  <c:v>20.010000000000002</c:v>
                </c:pt>
                <c:pt idx="612">
                  <c:v>20.12</c:v>
                </c:pt>
                <c:pt idx="613">
                  <c:v>20.91</c:v>
                </c:pt>
                <c:pt idx="614">
                  <c:v>21.2</c:v>
                </c:pt>
                <c:pt idx="615">
                  <c:v>21.25</c:v>
                </c:pt>
                <c:pt idx="616">
                  <c:v>21.48</c:v>
                </c:pt>
                <c:pt idx="617">
                  <c:v>19.61</c:v>
                </c:pt>
                <c:pt idx="618">
                  <c:v>19.170000000000002</c:v>
                </c:pt>
                <c:pt idx="619">
                  <c:v>19.809999999999999</c:v>
                </c:pt>
                <c:pt idx="620">
                  <c:v>19.350000000000001</c:v>
                </c:pt>
                <c:pt idx="621">
                  <c:v>19.25</c:v>
                </c:pt>
                <c:pt idx="622">
                  <c:v>19.649999999999999</c:v>
                </c:pt>
                <c:pt idx="623">
                  <c:v>20.28</c:v>
                </c:pt>
                <c:pt idx="624">
                  <c:v>19.96</c:v>
                </c:pt>
                <c:pt idx="625">
                  <c:v>19.79</c:v>
                </c:pt>
                <c:pt idx="626">
                  <c:v>19.25</c:v>
                </c:pt>
                <c:pt idx="627">
                  <c:v>19.79</c:v>
                </c:pt>
                <c:pt idx="628">
                  <c:v>19.850000000000001</c:v>
                </c:pt>
                <c:pt idx="629">
                  <c:v>19.760000000000002</c:v>
                </c:pt>
                <c:pt idx="630">
                  <c:v>20.079999999999998</c:v>
                </c:pt>
                <c:pt idx="631">
                  <c:v>20.14</c:v>
                </c:pt>
                <c:pt idx="632">
                  <c:v>19.73</c:v>
                </c:pt>
                <c:pt idx="633">
                  <c:v>20.11</c:v>
                </c:pt>
                <c:pt idx="634">
                  <c:v>20.25</c:v>
                </c:pt>
                <c:pt idx="635">
                  <c:v>19.41</c:v>
                </c:pt>
                <c:pt idx="636">
                  <c:v>20.399999999999999</c:v>
                </c:pt>
                <c:pt idx="637">
                  <c:v>20.43</c:v>
                </c:pt>
                <c:pt idx="638">
                  <c:v>20.149999999999999</c:v>
                </c:pt>
                <c:pt idx="639">
                  <c:v>20.2</c:v>
                </c:pt>
                <c:pt idx="640">
                  <c:v>20.100000000000001</c:v>
                </c:pt>
                <c:pt idx="641">
                  <c:v>20.62</c:v>
                </c:pt>
                <c:pt idx="642">
                  <c:v>21.25</c:v>
                </c:pt>
                <c:pt idx="643">
                  <c:v>21.55</c:v>
                </c:pt>
                <c:pt idx="644">
                  <c:v>20.73</c:v>
                </c:pt>
                <c:pt idx="645">
                  <c:v>20.7</c:v>
                </c:pt>
                <c:pt idx="646">
                  <c:v>21.36</c:v>
                </c:pt>
                <c:pt idx="647">
                  <c:v>21.79</c:v>
                </c:pt>
                <c:pt idx="648">
                  <c:v>21.2</c:v>
                </c:pt>
                <c:pt idx="649">
                  <c:v>20.93</c:v>
                </c:pt>
                <c:pt idx="650">
                  <c:v>21.79</c:v>
                </c:pt>
                <c:pt idx="651">
                  <c:v>22.04</c:v>
                </c:pt>
                <c:pt idx="652">
                  <c:v>22.3</c:v>
                </c:pt>
                <c:pt idx="653">
                  <c:v>23.12</c:v>
                </c:pt>
                <c:pt idx="654">
                  <c:v>23.16</c:v>
                </c:pt>
                <c:pt idx="655">
                  <c:v>23.5</c:v>
                </c:pt>
                <c:pt idx="656">
                  <c:v>23.51</c:v>
                </c:pt>
                <c:pt idx="657">
                  <c:v>24.26</c:v>
                </c:pt>
                <c:pt idx="658">
                  <c:v>24.98</c:v>
                </c:pt>
                <c:pt idx="659">
                  <c:v>24.21</c:v>
                </c:pt>
                <c:pt idx="660">
                  <c:v>23.53</c:v>
                </c:pt>
                <c:pt idx="661">
                  <c:v>23.9</c:v>
                </c:pt>
                <c:pt idx="662">
                  <c:v>23.74</c:v>
                </c:pt>
                <c:pt idx="663">
                  <c:v>24.17</c:v>
                </c:pt>
                <c:pt idx="664">
                  <c:v>24.07</c:v>
                </c:pt>
                <c:pt idx="665">
                  <c:v>23.79</c:v>
                </c:pt>
                <c:pt idx="666">
                  <c:v>24.11</c:v>
                </c:pt>
                <c:pt idx="667">
                  <c:v>24.82</c:v>
                </c:pt>
                <c:pt idx="668">
                  <c:v>25.3</c:v>
                </c:pt>
                <c:pt idx="669">
                  <c:v>26.06</c:v>
                </c:pt>
                <c:pt idx="670">
                  <c:v>26.26</c:v>
                </c:pt>
                <c:pt idx="671">
                  <c:v>25.89</c:v>
                </c:pt>
                <c:pt idx="672">
                  <c:v>25.93</c:v>
                </c:pt>
                <c:pt idx="673">
                  <c:v>25.94</c:v>
                </c:pt>
                <c:pt idx="674">
                  <c:v>26.98</c:v>
                </c:pt>
                <c:pt idx="675">
                  <c:v>27.57</c:v>
                </c:pt>
                <c:pt idx="676">
                  <c:v>26.96</c:v>
                </c:pt>
                <c:pt idx="677">
                  <c:v>28.17</c:v>
                </c:pt>
                <c:pt idx="678">
                  <c:v>28.12</c:v>
                </c:pt>
                <c:pt idx="679">
                  <c:v>28.12</c:v>
                </c:pt>
                <c:pt idx="680">
                  <c:v>27.89</c:v>
                </c:pt>
                <c:pt idx="681">
                  <c:v>28.51</c:v>
                </c:pt>
                <c:pt idx="682">
                  <c:v>28.24</c:v>
                </c:pt>
                <c:pt idx="683">
                  <c:v>28.74</c:v>
                </c:pt>
                <c:pt idx="684">
                  <c:v>28.41</c:v>
                </c:pt>
                <c:pt idx="685">
                  <c:v>29.04</c:v>
                </c:pt>
                <c:pt idx="686">
                  <c:v>29.1</c:v>
                </c:pt>
                <c:pt idx="687">
                  <c:v>29.4</c:v>
                </c:pt>
                <c:pt idx="688">
                  <c:v>30.12</c:v>
                </c:pt>
                <c:pt idx="689">
                  <c:v>30.52</c:v>
                </c:pt>
                <c:pt idx="690">
                  <c:v>30.65</c:v>
                </c:pt>
                <c:pt idx="691">
                  <c:v>29.62</c:v>
                </c:pt>
                <c:pt idx="692">
                  <c:v>29.21</c:v>
                </c:pt>
                <c:pt idx="693">
                  <c:v>30.62</c:v>
                </c:pt>
                <c:pt idx="694">
                  <c:v>30.9</c:v>
                </c:pt>
                <c:pt idx="695">
                  <c:v>31.25</c:v>
                </c:pt>
                <c:pt idx="696">
                  <c:v>31.4</c:v>
                </c:pt>
                <c:pt idx="697">
                  <c:v>31.27</c:v>
                </c:pt>
                <c:pt idx="698">
                  <c:v>31.08</c:v>
                </c:pt>
                <c:pt idx="699">
                  <c:v>30.98</c:v>
                </c:pt>
                <c:pt idx="700">
                  <c:v>30.87</c:v>
                </c:pt>
                <c:pt idx="701">
                  <c:v>30.78</c:v>
                </c:pt>
                <c:pt idx="702">
                  <c:v>30.92</c:v>
                </c:pt>
                <c:pt idx="703">
                  <c:v>30.65</c:v>
                </c:pt>
                <c:pt idx="704">
                  <c:v>31.2</c:v>
                </c:pt>
                <c:pt idx="705">
                  <c:v>31.24</c:v>
                </c:pt>
                <c:pt idx="706">
                  <c:v>31.77</c:v>
                </c:pt>
                <c:pt idx="707">
                  <c:v>31.62</c:v>
                </c:pt>
                <c:pt idx="708">
                  <c:v>31.47</c:v>
                </c:pt>
                <c:pt idx="709">
                  <c:v>31.7</c:v>
                </c:pt>
                <c:pt idx="710">
                  <c:v>31.35</c:v>
                </c:pt>
                <c:pt idx="711">
                  <c:v>33.159999999999997</c:v>
                </c:pt>
                <c:pt idx="712">
                  <c:v>33.35</c:v>
                </c:pt>
                <c:pt idx="713">
                  <c:v>32.89</c:v>
                </c:pt>
                <c:pt idx="714">
                  <c:v>33</c:v>
                </c:pt>
                <c:pt idx="715">
                  <c:v>31.81</c:v>
                </c:pt>
                <c:pt idx="716">
                  <c:v>32.299999999999997</c:v>
                </c:pt>
                <c:pt idx="717">
                  <c:v>32.65</c:v>
                </c:pt>
                <c:pt idx="718">
                  <c:v>32.61</c:v>
                </c:pt>
                <c:pt idx="719">
                  <c:v>32.76</c:v>
                </c:pt>
                <c:pt idx="720">
                  <c:v>31.33</c:v>
                </c:pt>
                <c:pt idx="721">
                  <c:v>31.77</c:v>
                </c:pt>
                <c:pt idx="722">
                  <c:v>31.48</c:v>
                </c:pt>
                <c:pt idx="723">
                  <c:v>32.57</c:v>
                </c:pt>
                <c:pt idx="724">
                  <c:v>33.29</c:v>
                </c:pt>
                <c:pt idx="725">
                  <c:v>34.35</c:v>
                </c:pt>
                <c:pt idx="726">
                  <c:v>35.22</c:v>
                </c:pt>
                <c:pt idx="727">
                  <c:v>35.450000000000003</c:v>
                </c:pt>
                <c:pt idx="728">
                  <c:v>34.89</c:v>
                </c:pt>
                <c:pt idx="729">
                  <c:v>35.979999999999997</c:v>
                </c:pt>
                <c:pt idx="730">
                  <c:v>36.950000000000003</c:v>
                </c:pt>
                <c:pt idx="731">
                  <c:v>37.68</c:v>
                </c:pt>
                <c:pt idx="732">
                  <c:v>38.25</c:v>
                </c:pt>
                <c:pt idx="733">
                  <c:v>37.950000000000003</c:v>
                </c:pt>
                <c:pt idx="734">
                  <c:v>37.03</c:v>
                </c:pt>
                <c:pt idx="735">
                  <c:v>37.01</c:v>
                </c:pt>
                <c:pt idx="736">
                  <c:v>35.19</c:v>
                </c:pt>
                <c:pt idx="737">
                  <c:v>34.96</c:v>
                </c:pt>
                <c:pt idx="738">
                  <c:v>35.25</c:v>
                </c:pt>
                <c:pt idx="739">
                  <c:v>34.53</c:v>
                </c:pt>
                <c:pt idx="740">
                  <c:v>33.14</c:v>
                </c:pt>
                <c:pt idx="741">
                  <c:v>32.75</c:v>
                </c:pt>
                <c:pt idx="742">
                  <c:v>33.880000000000003</c:v>
                </c:pt>
                <c:pt idx="743">
                  <c:v>32.86</c:v>
                </c:pt>
                <c:pt idx="744">
                  <c:v>32.53</c:v>
                </c:pt>
                <c:pt idx="745">
                  <c:v>31.81</c:v>
                </c:pt>
                <c:pt idx="746">
                  <c:v>30.91</c:v>
                </c:pt>
                <c:pt idx="747">
                  <c:v>31.18</c:v>
                </c:pt>
                <c:pt idx="748">
                  <c:v>31.02</c:v>
                </c:pt>
                <c:pt idx="749">
                  <c:v>31.86</c:v>
                </c:pt>
                <c:pt idx="750">
                  <c:v>33.340000000000003</c:v>
                </c:pt>
                <c:pt idx="751">
                  <c:v>35.01</c:v>
                </c:pt>
                <c:pt idx="752">
                  <c:v>36.42</c:v>
                </c:pt>
                <c:pt idx="753">
                  <c:v>36.130000000000003</c:v>
                </c:pt>
                <c:pt idx="754">
                  <c:v>35.97</c:v>
                </c:pt>
                <c:pt idx="755">
                  <c:v>35.76</c:v>
                </c:pt>
                <c:pt idx="756">
                  <c:v>36.11</c:v>
                </c:pt>
                <c:pt idx="757">
                  <c:v>38.409999999999997</c:v>
                </c:pt>
                <c:pt idx="758">
                  <c:v>38.24</c:v>
                </c:pt>
                <c:pt idx="759">
                  <c:v>38.770000000000003</c:v>
                </c:pt>
                <c:pt idx="760">
                  <c:v>40.9</c:v>
                </c:pt>
                <c:pt idx="761">
                  <c:v>43.18</c:v>
                </c:pt>
                <c:pt idx="762">
                  <c:v>43.25</c:v>
                </c:pt>
                <c:pt idx="763">
                  <c:v>41.48</c:v>
                </c:pt>
                <c:pt idx="764">
                  <c:v>41.52</c:v>
                </c:pt>
                <c:pt idx="765">
                  <c:v>41.06</c:v>
                </c:pt>
                <c:pt idx="766">
                  <c:v>41.98</c:v>
                </c:pt>
                <c:pt idx="767">
                  <c:v>41.59</c:v>
                </c:pt>
                <c:pt idx="768">
                  <c:v>41.68</c:v>
                </c:pt>
                <c:pt idx="769">
                  <c:v>42.03</c:v>
                </c:pt>
                <c:pt idx="770">
                  <c:v>42.23</c:v>
                </c:pt>
                <c:pt idx="771">
                  <c:v>43.58</c:v>
                </c:pt>
                <c:pt idx="772">
                  <c:v>44.24</c:v>
                </c:pt>
                <c:pt idx="773">
                  <c:v>44.41</c:v>
                </c:pt>
                <c:pt idx="774">
                  <c:v>44.1</c:v>
                </c:pt>
                <c:pt idx="775">
                  <c:v>44.42</c:v>
                </c:pt>
                <c:pt idx="776">
                  <c:v>43.71</c:v>
                </c:pt>
                <c:pt idx="777">
                  <c:v>43.9</c:v>
                </c:pt>
                <c:pt idx="778">
                  <c:v>44.27</c:v>
                </c:pt>
                <c:pt idx="779">
                  <c:v>43.08</c:v>
                </c:pt>
                <c:pt idx="780">
                  <c:v>43.26</c:v>
                </c:pt>
                <c:pt idx="781">
                  <c:v>42</c:v>
                </c:pt>
                <c:pt idx="782">
                  <c:v>40.21</c:v>
                </c:pt>
                <c:pt idx="783">
                  <c:v>40.33</c:v>
                </c:pt>
                <c:pt idx="784">
                  <c:v>39.19</c:v>
                </c:pt>
                <c:pt idx="785">
                  <c:v>38.950000000000003</c:v>
                </c:pt>
                <c:pt idx="786">
                  <c:v>39.21</c:v>
                </c:pt>
                <c:pt idx="787">
                  <c:v>39.14</c:v>
                </c:pt>
                <c:pt idx="788">
                  <c:v>40.33</c:v>
                </c:pt>
                <c:pt idx="789">
                  <c:v>38.99</c:v>
                </c:pt>
                <c:pt idx="790">
                  <c:v>39.479999999999997</c:v>
                </c:pt>
                <c:pt idx="791">
                  <c:v>42</c:v>
                </c:pt>
                <c:pt idx="792">
                  <c:v>43.19</c:v>
                </c:pt>
                <c:pt idx="793">
                  <c:v>43.36</c:v>
                </c:pt>
                <c:pt idx="794">
                  <c:v>42.66</c:v>
                </c:pt>
                <c:pt idx="795">
                  <c:v>43.9</c:v>
                </c:pt>
                <c:pt idx="796">
                  <c:v>42.91</c:v>
                </c:pt>
                <c:pt idx="797">
                  <c:v>41.44</c:v>
                </c:pt>
                <c:pt idx="798">
                  <c:v>41.56</c:v>
                </c:pt>
                <c:pt idx="799">
                  <c:v>42.93</c:v>
                </c:pt>
                <c:pt idx="800">
                  <c:v>42.08</c:v>
                </c:pt>
                <c:pt idx="801">
                  <c:v>42.75</c:v>
                </c:pt>
                <c:pt idx="802">
                  <c:v>44.35</c:v>
                </c:pt>
                <c:pt idx="803">
                  <c:v>44.79</c:v>
                </c:pt>
                <c:pt idx="804">
                  <c:v>43.57</c:v>
                </c:pt>
                <c:pt idx="805">
                  <c:v>43.46</c:v>
                </c:pt>
                <c:pt idx="806">
                  <c:v>44.8</c:v>
                </c:pt>
                <c:pt idx="807">
                  <c:v>44.34</c:v>
                </c:pt>
                <c:pt idx="808">
                  <c:v>44.35</c:v>
                </c:pt>
                <c:pt idx="809">
                  <c:v>44.29</c:v>
                </c:pt>
                <c:pt idx="810">
                  <c:v>43.39</c:v>
                </c:pt>
                <c:pt idx="811">
                  <c:v>42.29</c:v>
                </c:pt>
                <c:pt idx="812">
                  <c:v>42.88</c:v>
                </c:pt>
                <c:pt idx="813">
                  <c:v>42.86</c:v>
                </c:pt>
                <c:pt idx="814">
                  <c:v>42.04</c:v>
                </c:pt>
                <c:pt idx="815">
                  <c:v>39.97</c:v>
                </c:pt>
                <c:pt idx="816">
                  <c:v>40.56</c:v>
                </c:pt>
                <c:pt idx="817">
                  <c:v>39.64</c:v>
                </c:pt>
                <c:pt idx="818">
                  <c:v>39.549999999999997</c:v>
                </c:pt>
                <c:pt idx="819">
                  <c:v>39.57</c:v>
                </c:pt>
                <c:pt idx="820">
                  <c:v>40.18</c:v>
                </c:pt>
                <c:pt idx="821">
                  <c:v>41.55</c:v>
                </c:pt>
                <c:pt idx="822">
                  <c:v>42.07</c:v>
                </c:pt>
                <c:pt idx="823">
                  <c:v>42.97</c:v>
                </c:pt>
                <c:pt idx="824">
                  <c:v>42.13</c:v>
                </c:pt>
                <c:pt idx="825">
                  <c:v>42.58</c:v>
                </c:pt>
                <c:pt idx="826">
                  <c:v>43.37</c:v>
                </c:pt>
                <c:pt idx="827">
                  <c:v>42.72</c:v>
                </c:pt>
                <c:pt idx="828">
                  <c:v>41.22</c:v>
                </c:pt>
                <c:pt idx="829">
                  <c:v>40.26</c:v>
                </c:pt>
                <c:pt idx="830">
                  <c:v>40.86</c:v>
                </c:pt>
                <c:pt idx="831">
                  <c:v>40.24</c:v>
                </c:pt>
                <c:pt idx="832">
                  <c:v>39.79</c:v>
                </c:pt>
                <c:pt idx="833">
                  <c:v>39</c:v>
                </c:pt>
                <c:pt idx="834">
                  <c:v>38.76</c:v>
                </c:pt>
                <c:pt idx="835">
                  <c:v>38.549999999999997</c:v>
                </c:pt>
                <c:pt idx="836">
                  <c:v>38.36</c:v>
                </c:pt>
                <c:pt idx="837">
                  <c:v>37.97</c:v>
                </c:pt>
                <c:pt idx="838">
                  <c:v>39.1</c:v>
                </c:pt>
                <c:pt idx="839">
                  <c:v>39.520000000000003</c:v>
                </c:pt>
                <c:pt idx="840">
                  <c:v>39.65</c:v>
                </c:pt>
                <c:pt idx="841">
                  <c:v>39.35</c:v>
                </c:pt>
                <c:pt idx="842">
                  <c:v>39.04</c:v>
                </c:pt>
                <c:pt idx="843">
                  <c:v>38.51</c:v>
                </c:pt>
                <c:pt idx="844">
                  <c:v>37.729999999999997</c:v>
                </c:pt>
                <c:pt idx="845">
                  <c:v>38.83</c:v>
                </c:pt>
                <c:pt idx="846">
                  <c:v>38.17</c:v>
                </c:pt>
                <c:pt idx="847">
                  <c:v>39.020000000000003</c:v>
                </c:pt>
                <c:pt idx="848">
                  <c:v>40.14</c:v>
                </c:pt>
                <c:pt idx="849">
                  <c:v>39.880000000000003</c:v>
                </c:pt>
                <c:pt idx="850">
                  <c:v>41.06</c:v>
                </c:pt>
                <c:pt idx="851">
                  <c:v>40.229999999999997</c:v>
                </c:pt>
                <c:pt idx="852">
                  <c:v>41.34</c:v>
                </c:pt>
                <c:pt idx="853">
                  <c:v>42.37</c:v>
                </c:pt>
                <c:pt idx="854">
                  <c:v>42.66</c:v>
                </c:pt>
                <c:pt idx="855">
                  <c:v>40.96</c:v>
                </c:pt>
                <c:pt idx="856">
                  <c:v>41.51</c:v>
                </c:pt>
                <c:pt idx="857">
                  <c:v>38.869999999999997</c:v>
                </c:pt>
                <c:pt idx="858">
                  <c:v>39.61</c:v>
                </c:pt>
                <c:pt idx="859">
                  <c:v>39.770000000000003</c:v>
                </c:pt>
                <c:pt idx="860">
                  <c:v>40.659999999999997</c:v>
                </c:pt>
                <c:pt idx="861">
                  <c:v>40.130000000000003</c:v>
                </c:pt>
                <c:pt idx="862">
                  <c:v>40.1</c:v>
                </c:pt>
                <c:pt idx="863">
                  <c:v>41.83</c:v>
                </c:pt>
                <c:pt idx="864">
                  <c:v>40.950000000000003</c:v>
                </c:pt>
                <c:pt idx="865">
                  <c:v>41.67</c:v>
                </c:pt>
                <c:pt idx="866">
                  <c:v>41.07</c:v>
                </c:pt>
                <c:pt idx="867">
                  <c:v>41.06</c:v>
                </c:pt>
                <c:pt idx="868">
                  <c:v>41.54</c:v>
                </c:pt>
                <c:pt idx="869">
                  <c:v>41.76</c:v>
                </c:pt>
                <c:pt idx="870">
                  <c:v>42.26</c:v>
                </c:pt>
                <c:pt idx="871">
                  <c:v>43.19</c:v>
                </c:pt>
                <c:pt idx="872">
                  <c:v>42.61</c:v>
                </c:pt>
                <c:pt idx="873">
                  <c:v>43.23</c:v>
                </c:pt>
                <c:pt idx="874">
                  <c:v>42.79</c:v>
                </c:pt>
                <c:pt idx="875">
                  <c:v>43.86</c:v>
                </c:pt>
                <c:pt idx="876">
                  <c:v>43.98</c:v>
                </c:pt>
                <c:pt idx="877">
                  <c:v>43.67</c:v>
                </c:pt>
                <c:pt idx="878">
                  <c:v>41.8</c:v>
                </c:pt>
                <c:pt idx="879">
                  <c:v>42.44</c:v>
                </c:pt>
                <c:pt idx="880">
                  <c:v>43.55</c:v>
                </c:pt>
                <c:pt idx="881">
                  <c:v>43.57</c:v>
                </c:pt>
                <c:pt idx="882">
                  <c:v>44.5</c:v>
                </c:pt>
                <c:pt idx="883">
                  <c:v>45.89</c:v>
                </c:pt>
                <c:pt idx="884">
                  <c:v>47.5</c:v>
                </c:pt>
                <c:pt idx="885">
                  <c:v>47.73</c:v>
                </c:pt>
                <c:pt idx="886">
                  <c:v>47.67</c:v>
                </c:pt>
                <c:pt idx="887">
                  <c:v>48.09</c:v>
                </c:pt>
                <c:pt idx="888">
                  <c:v>49.07</c:v>
                </c:pt>
                <c:pt idx="889">
                  <c:v>48.67</c:v>
                </c:pt>
                <c:pt idx="890">
                  <c:v>48</c:v>
                </c:pt>
                <c:pt idx="891">
                  <c:v>48.11</c:v>
                </c:pt>
                <c:pt idx="892">
                  <c:v>47.33</c:v>
                </c:pt>
                <c:pt idx="893">
                  <c:v>47.53</c:v>
                </c:pt>
                <c:pt idx="894">
                  <c:v>47.75</c:v>
                </c:pt>
                <c:pt idx="895">
                  <c:v>47.29</c:v>
                </c:pt>
                <c:pt idx="896">
                  <c:v>47.22</c:v>
                </c:pt>
                <c:pt idx="897">
                  <c:v>45.44</c:v>
                </c:pt>
                <c:pt idx="898">
                  <c:v>45.8</c:v>
                </c:pt>
                <c:pt idx="899">
                  <c:v>45.52</c:v>
                </c:pt>
                <c:pt idx="900">
                  <c:v>45.9</c:v>
                </c:pt>
                <c:pt idx="901">
                  <c:v>45.72</c:v>
                </c:pt>
                <c:pt idx="902">
                  <c:v>46.74</c:v>
                </c:pt>
                <c:pt idx="903">
                  <c:v>47.43</c:v>
                </c:pt>
                <c:pt idx="904">
                  <c:v>48.9</c:v>
                </c:pt>
                <c:pt idx="905">
                  <c:v>49.39</c:v>
                </c:pt>
                <c:pt idx="906">
                  <c:v>48.77</c:v>
                </c:pt>
                <c:pt idx="907">
                  <c:v>48.51</c:v>
                </c:pt>
                <c:pt idx="908">
                  <c:v>49.83</c:v>
                </c:pt>
                <c:pt idx="909">
                  <c:v>49.99</c:v>
                </c:pt>
                <c:pt idx="910">
                  <c:v>48.83</c:v>
                </c:pt>
                <c:pt idx="911">
                  <c:v>49</c:v>
                </c:pt>
                <c:pt idx="912">
                  <c:v>48.89</c:v>
                </c:pt>
                <c:pt idx="913">
                  <c:v>50.33</c:v>
                </c:pt>
                <c:pt idx="914">
                  <c:v>50</c:v>
                </c:pt>
                <c:pt idx="915">
                  <c:v>50.66</c:v>
                </c:pt>
                <c:pt idx="916">
                  <c:v>50.49</c:v>
                </c:pt>
                <c:pt idx="917">
                  <c:v>50.07</c:v>
                </c:pt>
                <c:pt idx="918">
                  <c:v>51.57</c:v>
                </c:pt>
                <c:pt idx="919">
                  <c:v>51.27</c:v>
                </c:pt>
                <c:pt idx="920">
                  <c:v>52.94</c:v>
                </c:pt>
                <c:pt idx="921">
                  <c:v>51.69</c:v>
                </c:pt>
                <c:pt idx="922">
                  <c:v>51.58</c:v>
                </c:pt>
                <c:pt idx="923">
                  <c:v>50.88</c:v>
                </c:pt>
                <c:pt idx="924">
                  <c:v>51.1</c:v>
                </c:pt>
                <c:pt idx="925">
                  <c:v>52</c:v>
                </c:pt>
                <c:pt idx="926">
                  <c:v>51.68</c:v>
                </c:pt>
                <c:pt idx="927">
                  <c:v>50.02</c:v>
                </c:pt>
                <c:pt idx="928">
                  <c:v>49.74</c:v>
                </c:pt>
                <c:pt idx="929">
                  <c:v>51.35</c:v>
                </c:pt>
                <c:pt idx="930">
                  <c:v>50.73</c:v>
                </c:pt>
                <c:pt idx="931">
                  <c:v>50.77</c:v>
                </c:pt>
                <c:pt idx="932">
                  <c:v>51.04</c:v>
                </c:pt>
                <c:pt idx="933">
                  <c:v>50.39</c:v>
                </c:pt>
                <c:pt idx="934">
                  <c:v>51.89</c:v>
                </c:pt>
                <c:pt idx="935">
                  <c:v>52.34</c:v>
                </c:pt>
                <c:pt idx="936">
                  <c:v>52.41</c:v>
                </c:pt>
                <c:pt idx="937">
                  <c:v>52.51</c:v>
                </c:pt>
                <c:pt idx="938">
                  <c:v>52.45</c:v>
                </c:pt>
                <c:pt idx="939">
                  <c:v>51.86</c:v>
                </c:pt>
                <c:pt idx="940">
                  <c:v>53.78</c:v>
                </c:pt>
                <c:pt idx="941">
                  <c:v>52.99</c:v>
                </c:pt>
                <c:pt idx="942">
                  <c:v>53.92</c:v>
                </c:pt>
                <c:pt idx="943">
                  <c:v>54.24</c:v>
                </c:pt>
                <c:pt idx="944">
                  <c:v>55.4</c:v>
                </c:pt>
                <c:pt idx="945">
                  <c:v>56.12</c:v>
                </c:pt>
                <c:pt idx="946">
                  <c:v>56.31</c:v>
                </c:pt>
                <c:pt idx="947">
                  <c:v>55.46</c:v>
                </c:pt>
                <c:pt idx="948">
                  <c:v>55.54</c:v>
                </c:pt>
                <c:pt idx="949">
                  <c:v>54.94</c:v>
                </c:pt>
                <c:pt idx="950">
                  <c:v>53.29</c:v>
                </c:pt>
                <c:pt idx="951">
                  <c:v>51.54</c:v>
                </c:pt>
                <c:pt idx="952">
                  <c:v>52.91</c:v>
                </c:pt>
                <c:pt idx="953">
                  <c:v>52.83</c:v>
                </c:pt>
                <c:pt idx="954">
                  <c:v>52.88</c:v>
                </c:pt>
                <c:pt idx="955">
                  <c:v>52.97</c:v>
                </c:pt>
                <c:pt idx="956">
                  <c:v>54.62</c:v>
                </c:pt>
                <c:pt idx="957">
                  <c:v>53.91</c:v>
                </c:pt>
                <c:pt idx="958">
                  <c:v>52.64</c:v>
                </c:pt>
                <c:pt idx="959">
                  <c:v>53.97</c:v>
                </c:pt>
                <c:pt idx="960">
                  <c:v>56.52</c:v>
                </c:pt>
                <c:pt idx="961">
                  <c:v>59.59</c:v>
                </c:pt>
                <c:pt idx="962">
                  <c:v>57.5</c:v>
                </c:pt>
                <c:pt idx="963">
                  <c:v>57.36</c:v>
                </c:pt>
                <c:pt idx="964">
                  <c:v>57.02</c:v>
                </c:pt>
                <c:pt idx="965">
                  <c:v>56.21</c:v>
                </c:pt>
                <c:pt idx="966">
                  <c:v>56.95</c:v>
                </c:pt>
                <c:pt idx="967">
                  <c:v>57.82</c:v>
                </c:pt>
                <c:pt idx="968">
                  <c:v>57.88</c:v>
                </c:pt>
                <c:pt idx="969">
                  <c:v>58.12</c:v>
                </c:pt>
                <c:pt idx="970">
                  <c:v>58.22</c:v>
                </c:pt>
                <c:pt idx="971">
                  <c:v>58.5</c:v>
                </c:pt>
                <c:pt idx="972">
                  <c:v>56.46</c:v>
                </c:pt>
                <c:pt idx="973">
                  <c:v>56.29</c:v>
                </c:pt>
                <c:pt idx="974">
                  <c:v>56.14</c:v>
                </c:pt>
                <c:pt idx="975">
                  <c:v>55.9</c:v>
                </c:pt>
                <c:pt idx="976">
                  <c:v>56.75</c:v>
                </c:pt>
                <c:pt idx="977">
                  <c:v>57.34</c:v>
                </c:pt>
                <c:pt idx="978">
                  <c:v>57.06</c:v>
                </c:pt>
                <c:pt idx="979">
                  <c:v>57.48</c:v>
                </c:pt>
                <c:pt idx="980">
                  <c:v>57.04</c:v>
                </c:pt>
                <c:pt idx="981">
                  <c:v>58.75</c:v>
                </c:pt>
                <c:pt idx="982">
                  <c:v>54.83</c:v>
                </c:pt>
                <c:pt idx="983">
                  <c:v>54.89</c:v>
                </c:pt>
                <c:pt idx="984">
                  <c:v>54.59</c:v>
                </c:pt>
                <c:pt idx="985">
                  <c:v>53.21</c:v>
                </c:pt>
                <c:pt idx="986">
                  <c:v>52.9</c:v>
                </c:pt>
                <c:pt idx="987">
                  <c:v>51.94</c:v>
                </c:pt>
                <c:pt idx="988">
                  <c:v>52.7</c:v>
                </c:pt>
                <c:pt idx="989">
                  <c:v>51.2</c:v>
                </c:pt>
                <c:pt idx="990">
                  <c:v>50.15</c:v>
                </c:pt>
                <c:pt idx="991">
                  <c:v>50.67</c:v>
                </c:pt>
                <c:pt idx="992">
                  <c:v>50.49</c:v>
                </c:pt>
                <c:pt idx="993">
                  <c:v>50.81</c:v>
                </c:pt>
                <c:pt idx="994">
                  <c:v>50.06</c:v>
                </c:pt>
                <c:pt idx="995">
                  <c:v>50.49</c:v>
                </c:pt>
                <c:pt idx="996">
                  <c:v>50.09</c:v>
                </c:pt>
                <c:pt idx="997">
                  <c:v>50.42</c:v>
                </c:pt>
                <c:pt idx="998">
                  <c:v>49.55</c:v>
                </c:pt>
                <c:pt idx="999">
                  <c:v>49.53</c:v>
                </c:pt>
                <c:pt idx="1000">
                  <c:v>50.1</c:v>
                </c:pt>
                <c:pt idx="1001">
                  <c:v>50.53</c:v>
                </c:pt>
                <c:pt idx="1002">
                  <c:v>50.67</c:v>
                </c:pt>
                <c:pt idx="1003">
                  <c:v>50.77</c:v>
                </c:pt>
                <c:pt idx="1004">
                  <c:v>50.41</c:v>
                </c:pt>
                <c:pt idx="1005">
                  <c:v>50.73</c:v>
                </c:pt>
                <c:pt idx="1006">
                  <c:v>50.96</c:v>
                </c:pt>
                <c:pt idx="1007">
                  <c:v>50.26</c:v>
                </c:pt>
                <c:pt idx="1008">
                  <c:v>52.35</c:v>
                </c:pt>
                <c:pt idx="1009">
                  <c:v>50.52</c:v>
                </c:pt>
                <c:pt idx="1010">
                  <c:v>51.26</c:v>
                </c:pt>
                <c:pt idx="1011">
                  <c:v>51.9</c:v>
                </c:pt>
                <c:pt idx="1012">
                  <c:v>50.76</c:v>
                </c:pt>
                <c:pt idx="1013">
                  <c:v>52.38</c:v>
                </c:pt>
                <c:pt idx="1014">
                  <c:v>53.38</c:v>
                </c:pt>
                <c:pt idx="1015">
                  <c:v>53.42</c:v>
                </c:pt>
                <c:pt idx="1016">
                  <c:v>53.46</c:v>
                </c:pt>
                <c:pt idx="1017">
                  <c:v>52.11</c:v>
                </c:pt>
                <c:pt idx="1018">
                  <c:v>48.76</c:v>
                </c:pt>
                <c:pt idx="1019">
                  <c:v>49.95</c:v>
                </c:pt>
                <c:pt idx="1020">
                  <c:v>40.659999999999997</c:v>
                </c:pt>
                <c:pt idx="1021">
                  <c:v>40.31</c:v>
                </c:pt>
                <c:pt idx="1022">
                  <c:v>39.78</c:v>
                </c:pt>
                <c:pt idx="1023">
                  <c:v>40.450000000000003</c:v>
                </c:pt>
                <c:pt idx="1024">
                  <c:v>39.61</c:v>
                </c:pt>
                <c:pt idx="1025">
                  <c:v>38.5</c:v>
                </c:pt>
                <c:pt idx="1026">
                  <c:v>37.159999999999997</c:v>
                </c:pt>
                <c:pt idx="1027">
                  <c:v>36.380000000000003</c:v>
                </c:pt>
                <c:pt idx="1028">
                  <c:v>38.25</c:v>
                </c:pt>
                <c:pt idx="1029">
                  <c:v>39.28</c:v>
                </c:pt>
                <c:pt idx="1030">
                  <c:v>38.979999999999997</c:v>
                </c:pt>
                <c:pt idx="1031">
                  <c:v>39.56</c:v>
                </c:pt>
                <c:pt idx="1032">
                  <c:v>38.94</c:v>
                </c:pt>
                <c:pt idx="1033">
                  <c:v>38.75</c:v>
                </c:pt>
                <c:pt idx="1034">
                  <c:v>40.54</c:v>
                </c:pt>
                <c:pt idx="1035">
                  <c:v>40.96</c:v>
                </c:pt>
                <c:pt idx="1036">
                  <c:v>37.909999999999997</c:v>
                </c:pt>
                <c:pt idx="1037">
                  <c:v>37.58</c:v>
                </c:pt>
                <c:pt idx="1038">
                  <c:v>37.49</c:v>
                </c:pt>
                <c:pt idx="1039">
                  <c:v>35.700000000000003</c:v>
                </c:pt>
                <c:pt idx="1040">
                  <c:v>35.450000000000003</c:v>
                </c:pt>
                <c:pt idx="1041">
                  <c:v>33.25</c:v>
                </c:pt>
                <c:pt idx="1042">
                  <c:v>32.380000000000003</c:v>
                </c:pt>
                <c:pt idx="1043">
                  <c:v>32.67</c:v>
                </c:pt>
                <c:pt idx="1044">
                  <c:v>31.55</c:v>
                </c:pt>
                <c:pt idx="1045">
                  <c:v>31.26</c:v>
                </c:pt>
                <c:pt idx="1046">
                  <c:v>31.5</c:v>
                </c:pt>
                <c:pt idx="1047">
                  <c:v>31.42</c:v>
                </c:pt>
                <c:pt idx="1048">
                  <c:v>30.84</c:v>
                </c:pt>
                <c:pt idx="1049">
                  <c:v>31.13</c:v>
                </c:pt>
                <c:pt idx="1050">
                  <c:v>30.82</c:v>
                </c:pt>
                <c:pt idx="1051">
                  <c:v>32.29</c:v>
                </c:pt>
                <c:pt idx="1052">
                  <c:v>31.89</c:v>
                </c:pt>
                <c:pt idx="1053">
                  <c:v>32.18</c:v>
                </c:pt>
                <c:pt idx="1054">
                  <c:v>32.840000000000003</c:v>
                </c:pt>
                <c:pt idx="1055">
                  <c:v>33.049999999999997</c:v>
                </c:pt>
                <c:pt idx="1056">
                  <c:v>34.270000000000003</c:v>
                </c:pt>
                <c:pt idx="1057">
                  <c:v>34.869999999999997</c:v>
                </c:pt>
                <c:pt idx="1058">
                  <c:v>33.5</c:v>
                </c:pt>
                <c:pt idx="1059">
                  <c:v>33.950000000000003</c:v>
                </c:pt>
                <c:pt idx="1060">
                  <c:v>35.090000000000003</c:v>
                </c:pt>
                <c:pt idx="1061">
                  <c:v>35.020000000000003</c:v>
                </c:pt>
                <c:pt idx="1062">
                  <c:v>34.56</c:v>
                </c:pt>
                <c:pt idx="1063">
                  <c:v>33.9</c:v>
                </c:pt>
                <c:pt idx="1064">
                  <c:v>33.46</c:v>
                </c:pt>
                <c:pt idx="1065">
                  <c:v>32.78</c:v>
                </c:pt>
                <c:pt idx="1066">
                  <c:v>32.44</c:v>
                </c:pt>
                <c:pt idx="1067">
                  <c:v>32.15</c:v>
                </c:pt>
                <c:pt idx="1068">
                  <c:v>30.99</c:v>
                </c:pt>
                <c:pt idx="1069">
                  <c:v>33.1</c:v>
                </c:pt>
                <c:pt idx="1070">
                  <c:v>33.04</c:v>
                </c:pt>
                <c:pt idx="1071">
                  <c:v>35.54</c:v>
                </c:pt>
                <c:pt idx="1072">
                  <c:v>34.76</c:v>
                </c:pt>
                <c:pt idx="1073">
                  <c:v>34.32</c:v>
                </c:pt>
                <c:pt idx="1074">
                  <c:v>33.81</c:v>
                </c:pt>
                <c:pt idx="1075">
                  <c:v>33.74</c:v>
                </c:pt>
                <c:pt idx="1076">
                  <c:v>33.19</c:v>
                </c:pt>
                <c:pt idx="1077">
                  <c:v>34.229999999999997</c:v>
                </c:pt>
                <c:pt idx="1078">
                  <c:v>33.840000000000003</c:v>
                </c:pt>
                <c:pt idx="1079">
                  <c:v>34.57</c:v>
                </c:pt>
                <c:pt idx="1080">
                  <c:v>35.25</c:v>
                </c:pt>
                <c:pt idx="1081">
                  <c:v>35.85</c:v>
                </c:pt>
                <c:pt idx="1082">
                  <c:v>36.79</c:v>
                </c:pt>
                <c:pt idx="1083">
                  <c:v>37.24</c:v>
                </c:pt>
                <c:pt idx="1084">
                  <c:v>36.54</c:v>
                </c:pt>
                <c:pt idx="1085">
                  <c:v>34.93</c:v>
                </c:pt>
                <c:pt idx="1086">
                  <c:v>34.33</c:v>
                </c:pt>
                <c:pt idx="1087">
                  <c:v>33.26</c:v>
                </c:pt>
                <c:pt idx="1088">
                  <c:v>32.74</c:v>
                </c:pt>
                <c:pt idx="1089">
                  <c:v>33.33</c:v>
                </c:pt>
                <c:pt idx="1090">
                  <c:v>33</c:v>
                </c:pt>
                <c:pt idx="1091">
                  <c:v>31.89</c:v>
                </c:pt>
                <c:pt idx="1092">
                  <c:v>31.5</c:v>
                </c:pt>
                <c:pt idx="1093">
                  <c:v>31.88</c:v>
                </c:pt>
                <c:pt idx="1094">
                  <c:v>31.04</c:v>
                </c:pt>
                <c:pt idx="1095">
                  <c:v>31.45</c:v>
                </c:pt>
                <c:pt idx="1096">
                  <c:v>33.21</c:v>
                </c:pt>
                <c:pt idx="1097">
                  <c:v>33.299999999999997</c:v>
                </c:pt>
                <c:pt idx="1098">
                  <c:v>32.700000000000003</c:v>
                </c:pt>
                <c:pt idx="1099">
                  <c:v>32.74</c:v>
                </c:pt>
                <c:pt idx="1100">
                  <c:v>32.380000000000003</c:v>
                </c:pt>
                <c:pt idx="1101">
                  <c:v>32.770000000000003</c:v>
                </c:pt>
                <c:pt idx="1102">
                  <c:v>32.79</c:v>
                </c:pt>
                <c:pt idx="1103">
                  <c:v>31.8</c:v>
                </c:pt>
                <c:pt idx="1104">
                  <c:v>32.68</c:v>
                </c:pt>
                <c:pt idx="1105">
                  <c:v>33.159999999999997</c:v>
                </c:pt>
                <c:pt idx="1106">
                  <c:v>33.659999999999997</c:v>
                </c:pt>
                <c:pt idx="1107">
                  <c:v>33.869999999999997</c:v>
                </c:pt>
                <c:pt idx="1108">
                  <c:v>32.78</c:v>
                </c:pt>
                <c:pt idx="1109">
                  <c:v>33.229999999999997</c:v>
                </c:pt>
                <c:pt idx="1110">
                  <c:v>32.42</c:v>
                </c:pt>
                <c:pt idx="1111">
                  <c:v>32.130000000000003</c:v>
                </c:pt>
                <c:pt idx="1112">
                  <c:v>33.14</c:v>
                </c:pt>
                <c:pt idx="1113">
                  <c:v>33.14</c:v>
                </c:pt>
                <c:pt idx="1114">
                  <c:v>33.72</c:v>
                </c:pt>
                <c:pt idx="1115">
                  <c:v>33.200000000000003</c:v>
                </c:pt>
                <c:pt idx="1116">
                  <c:v>32.950000000000003</c:v>
                </c:pt>
                <c:pt idx="1117">
                  <c:v>32.75</c:v>
                </c:pt>
                <c:pt idx="1118">
                  <c:v>33.07</c:v>
                </c:pt>
                <c:pt idx="1119">
                  <c:v>33.840000000000003</c:v>
                </c:pt>
                <c:pt idx="1120">
                  <c:v>33.409999999999997</c:v>
                </c:pt>
                <c:pt idx="1121">
                  <c:v>32.56</c:v>
                </c:pt>
                <c:pt idx="1122">
                  <c:v>32.619999999999997</c:v>
                </c:pt>
                <c:pt idx="1123">
                  <c:v>32.26</c:v>
                </c:pt>
                <c:pt idx="1124">
                  <c:v>31.34</c:v>
                </c:pt>
                <c:pt idx="1125">
                  <c:v>29.92</c:v>
                </c:pt>
                <c:pt idx="1126">
                  <c:v>29.98</c:v>
                </c:pt>
                <c:pt idx="1127">
                  <c:v>28.2</c:v>
                </c:pt>
                <c:pt idx="1128">
                  <c:v>28.5</c:v>
                </c:pt>
                <c:pt idx="1129">
                  <c:v>26.83</c:v>
                </c:pt>
                <c:pt idx="1130">
                  <c:v>27.8</c:v>
                </c:pt>
                <c:pt idx="1131">
                  <c:v>28.42</c:v>
                </c:pt>
                <c:pt idx="1132">
                  <c:v>29.66</c:v>
                </c:pt>
                <c:pt idx="1133">
                  <c:v>31.15</c:v>
                </c:pt>
                <c:pt idx="1134">
                  <c:v>31.42</c:v>
                </c:pt>
                <c:pt idx="1135">
                  <c:v>30.65</c:v>
                </c:pt>
                <c:pt idx="1136">
                  <c:v>29.46</c:v>
                </c:pt>
                <c:pt idx="1137">
                  <c:v>29.67</c:v>
                </c:pt>
                <c:pt idx="1138">
                  <c:v>29.88</c:v>
                </c:pt>
                <c:pt idx="1139">
                  <c:v>30.24</c:v>
                </c:pt>
                <c:pt idx="1140">
                  <c:v>30.77</c:v>
                </c:pt>
                <c:pt idx="1141">
                  <c:v>30.27</c:v>
                </c:pt>
                <c:pt idx="1142">
                  <c:v>29.78</c:v>
                </c:pt>
                <c:pt idx="1143">
                  <c:v>30.43</c:v>
                </c:pt>
                <c:pt idx="1144">
                  <c:v>30.7</c:v>
                </c:pt>
                <c:pt idx="1145">
                  <c:v>30.58</c:v>
                </c:pt>
                <c:pt idx="1146">
                  <c:v>28.7</c:v>
                </c:pt>
                <c:pt idx="1147">
                  <c:v>27.2</c:v>
                </c:pt>
                <c:pt idx="1148">
                  <c:v>27.76</c:v>
                </c:pt>
                <c:pt idx="1149">
                  <c:v>27.32</c:v>
                </c:pt>
                <c:pt idx="1150">
                  <c:v>27.47</c:v>
                </c:pt>
                <c:pt idx="1151">
                  <c:v>27.32</c:v>
                </c:pt>
                <c:pt idx="1152">
                  <c:v>27.34</c:v>
                </c:pt>
                <c:pt idx="1153">
                  <c:v>27.5</c:v>
                </c:pt>
                <c:pt idx="1154">
                  <c:v>26.9</c:v>
                </c:pt>
                <c:pt idx="1155">
                  <c:v>27.31</c:v>
                </c:pt>
                <c:pt idx="1156">
                  <c:v>27.54</c:v>
                </c:pt>
                <c:pt idx="1157">
                  <c:v>27.09</c:v>
                </c:pt>
                <c:pt idx="1158">
                  <c:v>26.16</c:v>
                </c:pt>
                <c:pt idx="1159">
                  <c:v>27.61</c:v>
                </c:pt>
                <c:pt idx="1160">
                  <c:v>28.15</c:v>
                </c:pt>
                <c:pt idx="1161">
                  <c:v>28.48</c:v>
                </c:pt>
                <c:pt idx="1162">
                  <c:v>28.65</c:v>
                </c:pt>
                <c:pt idx="1163">
                  <c:v>27.81</c:v>
                </c:pt>
                <c:pt idx="1164">
                  <c:v>27.6</c:v>
                </c:pt>
                <c:pt idx="1165">
                  <c:v>28</c:v>
                </c:pt>
                <c:pt idx="1166">
                  <c:v>28.27</c:v>
                </c:pt>
                <c:pt idx="1167">
                  <c:v>28.96</c:v>
                </c:pt>
                <c:pt idx="1168">
                  <c:v>28.8</c:v>
                </c:pt>
                <c:pt idx="1169">
                  <c:v>27.01</c:v>
                </c:pt>
                <c:pt idx="1170">
                  <c:v>27.18</c:v>
                </c:pt>
                <c:pt idx="1171">
                  <c:v>27.41</c:v>
                </c:pt>
                <c:pt idx="1172">
                  <c:v>27.02</c:v>
                </c:pt>
                <c:pt idx="1173">
                  <c:v>27.93</c:v>
                </c:pt>
                <c:pt idx="1174">
                  <c:v>27.34</c:v>
                </c:pt>
                <c:pt idx="1175">
                  <c:v>26.91</c:v>
                </c:pt>
                <c:pt idx="1176">
                  <c:v>28.05</c:v>
                </c:pt>
                <c:pt idx="1177">
                  <c:v>27.5</c:v>
                </c:pt>
                <c:pt idx="1178">
                  <c:v>27.48</c:v>
                </c:pt>
                <c:pt idx="1179">
                  <c:v>28.15</c:v>
                </c:pt>
                <c:pt idx="1180">
                  <c:v>28.91</c:v>
                </c:pt>
                <c:pt idx="1181">
                  <c:v>29.75</c:v>
                </c:pt>
                <c:pt idx="1182">
                  <c:v>29.7</c:v>
                </c:pt>
                <c:pt idx="1183">
                  <c:v>30.68</c:v>
                </c:pt>
                <c:pt idx="1184">
                  <c:v>29.88</c:v>
                </c:pt>
                <c:pt idx="1185">
                  <c:v>29.85</c:v>
                </c:pt>
                <c:pt idx="1186">
                  <c:v>30.24</c:v>
                </c:pt>
                <c:pt idx="1187">
                  <c:v>30.52</c:v>
                </c:pt>
                <c:pt idx="1188">
                  <c:v>30.34</c:v>
                </c:pt>
                <c:pt idx="1189">
                  <c:v>29.46</c:v>
                </c:pt>
                <c:pt idx="1190">
                  <c:v>29.24</c:v>
                </c:pt>
                <c:pt idx="1191">
                  <c:v>28.42</c:v>
                </c:pt>
                <c:pt idx="1192">
                  <c:v>25.58</c:v>
                </c:pt>
                <c:pt idx="1193">
                  <c:v>24.9</c:v>
                </c:pt>
                <c:pt idx="1194">
                  <c:v>25.25</c:v>
                </c:pt>
                <c:pt idx="1195">
                  <c:v>25.36</c:v>
                </c:pt>
                <c:pt idx="1196">
                  <c:v>24.01</c:v>
                </c:pt>
                <c:pt idx="1197">
                  <c:v>24.28</c:v>
                </c:pt>
                <c:pt idx="1198">
                  <c:v>23.65</c:v>
                </c:pt>
                <c:pt idx="1199">
                  <c:v>24.32</c:v>
                </c:pt>
                <c:pt idx="1200">
                  <c:v>24.68</c:v>
                </c:pt>
                <c:pt idx="1201">
                  <c:v>25.09</c:v>
                </c:pt>
                <c:pt idx="1202">
                  <c:v>23.21</c:v>
                </c:pt>
                <c:pt idx="1203">
                  <c:v>23.63</c:v>
                </c:pt>
                <c:pt idx="1204">
                  <c:v>23.59</c:v>
                </c:pt>
                <c:pt idx="1205">
                  <c:v>23.81</c:v>
                </c:pt>
                <c:pt idx="1206">
                  <c:v>23.29</c:v>
                </c:pt>
                <c:pt idx="1207">
                  <c:v>23.45</c:v>
                </c:pt>
                <c:pt idx="1208">
                  <c:v>24.17</c:v>
                </c:pt>
                <c:pt idx="1209">
                  <c:v>24.18</c:v>
                </c:pt>
                <c:pt idx="1210">
                  <c:v>25.33</c:v>
                </c:pt>
                <c:pt idx="1211">
                  <c:v>23.52</c:v>
                </c:pt>
                <c:pt idx="1212">
                  <c:v>23.94</c:v>
                </c:pt>
                <c:pt idx="1213">
                  <c:v>24.09</c:v>
                </c:pt>
                <c:pt idx="1214">
                  <c:v>24.15</c:v>
                </c:pt>
                <c:pt idx="1215">
                  <c:v>24.01</c:v>
                </c:pt>
                <c:pt idx="1216">
                  <c:v>24.13</c:v>
                </c:pt>
                <c:pt idx="1217">
                  <c:v>24.37</c:v>
                </c:pt>
                <c:pt idx="1218">
                  <c:v>23.77</c:v>
                </c:pt>
                <c:pt idx="1219">
                  <c:v>24.3</c:v>
                </c:pt>
                <c:pt idx="1220">
                  <c:v>25.08</c:v>
                </c:pt>
                <c:pt idx="1221">
                  <c:v>25.4</c:v>
                </c:pt>
                <c:pt idx="1222">
                  <c:v>25.68</c:v>
                </c:pt>
                <c:pt idx="1223">
                  <c:v>26.14</c:v>
                </c:pt>
                <c:pt idx="1224">
                  <c:v>25.16</c:v>
                </c:pt>
                <c:pt idx="1225">
                  <c:v>25.64</c:v>
                </c:pt>
                <c:pt idx="1226">
                  <c:v>26.94</c:v>
                </c:pt>
                <c:pt idx="1227">
                  <c:v>26.24</c:v>
                </c:pt>
                <c:pt idx="1228">
                  <c:v>26.26</c:v>
                </c:pt>
                <c:pt idx="1229">
                  <c:v>25.44</c:v>
                </c:pt>
                <c:pt idx="1230">
                  <c:v>27.49</c:v>
                </c:pt>
                <c:pt idx="1231">
                  <c:v>29.13</c:v>
                </c:pt>
                <c:pt idx="1232">
                  <c:v>31.65</c:v>
                </c:pt>
                <c:pt idx="1233">
                  <c:v>30.01</c:v>
                </c:pt>
                <c:pt idx="1234">
                  <c:v>28.21</c:v>
                </c:pt>
                <c:pt idx="1235">
                  <c:v>28.93</c:v>
                </c:pt>
                <c:pt idx="1236">
                  <c:v>27.2</c:v>
                </c:pt>
                <c:pt idx="1237">
                  <c:v>27.17</c:v>
                </c:pt>
                <c:pt idx="1238">
                  <c:v>26.27</c:v>
                </c:pt>
                <c:pt idx="1239">
                  <c:v>25.96</c:v>
                </c:pt>
                <c:pt idx="1240">
                  <c:v>25.95</c:v>
                </c:pt>
                <c:pt idx="1241">
                  <c:v>23.45</c:v>
                </c:pt>
                <c:pt idx="1242">
                  <c:v>24.82</c:v>
                </c:pt>
                <c:pt idx="1243">
                  <c:v>24.94</c:v>
                </c:pt>
                <c:pt idx="1244">
                  <c:v>24.76</c:v>
                </c:pt>
                <c:pt idx="1245">
                  <c:v>25.29</c:v>
                </c:pt>
                <c:pt idx="1246">
                  <c:v>25.14</c:v>
                </c:pt>
                <c:pt idx="1247">
                  <c:v>26.25</c:v>
                </c:pt>
                <c:pt idx="1248">
                  <c:v>23.1</c:v>
                </c:pt>
                <c:pt idx="1249">
                  <c:v>23.43</c:v>
                </c:pt>
                <c:pt idx="1250">
                  <c:v>24.48</c:v>
                </c:pt>
                <c:pt idx="1251">
                  <c:v>26.1</c:v>
                </c:pt>
                <c:pt idx="1252">
                  <c:v>25.08</c:v>
                </c:pt>
                <c:pt idx="1253">
                  <c:v>24.6</c:v>
                </c:pt>
                <c:pt idx="1254">
                  <c:v>23.28</c:v>
                </c:pt>
                <c:pt idx="1255">
                  <c:v>23.28</c:v>
                </c:pt>
                <c:pt idx="1256">
                  <c:v>23.77</c:v>
                </c:pt>
                <c:pt idx="1257">
                  <c:v>24.18</c:v>
                </c:pt>
                <c:pt idx="1258">
                  <c:v>25.61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F-49FD-B0F4-7901722B9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15375"/>
        <c:axId val="450416815"/>
      </c:lineChart>
      <c:catAx>
        <c:axId val="45041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16815"/>
        <c:crosses val="autoZero"/>
        <c:auto val="1"/>
        <c:lblAlgn val="ctr"/>
        <c:lblOffset val="100"/>
        <c:noMultiLvlLbl val="0"/>
      </c:catAx>
      <c:valAx>
        <c:axId val="4504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1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Precios último</a:t>
            </a:r>
            <a:r>
              <a:rPr lang="en-US" baseline="0"/>
              <a:t>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TLEVISACPO!$B$1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TLEVISACPO!$A$2:$A$253</c:f>
              <c:strCache>
                <c:ptCount val="252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  <c:pt idx="251">
                  <c:v>29.04.2024</c:v>
                </c:pt>
              </c:strCache>
            </c:strRef>
          </c:cat>
          <c:val>
            <c:numRef>
              <c:f>TLEVISACPO!$B$2:$B$253</c:f>
              <c:numCache>
                <c:formatCode>General</c:formatCode>
                <c:ptCount val="252"/>
                <c:pt idx="0">
                  <c:v>7.14</c:v>
                </c:pt>
                <c:pt idx="1">
                  <c:v>7.24</c:v>
                </c:pt>
                <c:pt idx="2">
                  <c:v>7.75</c:v>
                </c:pt>
                <c:pt idx="3">
                  <c:v>7.8</c:v>
                </c:pt>
                <c:pt idx="4">
                  <c:v>7.59</c:v>
                </c:pt>
                <c:pt idx="5">
                  <c:v>7.65</c:v>
                </c:pt>
                <c:pt idx="6">
                  <c:v>7.31</c:v>
                </c:pt>
                <c:pt idx="7">
                  <c:v>7.19</c:v>
                </c:pt>
                <c:pt idx="8">
                  <c:v>7.04</c:v>
                </c:pt>
                <c:pt idx="9">
                  <c:v>6.97</c:v>
                </c:pt>
                <c:pt idx="10">
                  <c:v>6.89</c:v>
                </c:pt>
                <c:pt idx="11">
                  <c:v>6.84</c:v>
                </c:pt>
                <c:pt idx="12">
                  <c:v>6.72</c:v>
                </c:pt>
                <c:pt idx="13">
                  <c:v>7.01</c:v>
                </c:pt>
                <c:pt idx="14">
                  <c:v>6.67</c:v>
                </c:pt>
                <c:pt idx="15">
                  <c:v>6.62</c:v>
                </c:pt>
                <c:pt idx="16">
                  <c:v>6.82</c:v>
                </c:pt>
                <c:pt idx="17">
                  <c:v>6.98</c:v>
                </c:pt>
                <c:pt idx="18">
                  <c:v>7.25</c:v>
                </c:pt>
                <c:pt idx="19">
                  <c:v>7.17</c:v>
                </c:pt>
                <c:pt idx="20">
                  <c:v>7.08</c:v>
                </c:pt>
                <c:pt idx="21">
                  <c:v>7.04</c:v>
                </c:pt>
                <c:pt idx="22">
                  <c:v>7.22</c:v>
                </c:pt>
                <c:pt idx="23">
                  <c:v>7.11</c:v>
                </c:pt>
                <c:pt idx="24">
                  <c:v>7.27</c:v>
                </c:pt>
                <c:pt idx="25">
                  <c:v>7.01</c:v>
                </c:pt>
                <c:pt idx="26">
                  <c:v>6.82</c:v>
                </c:pt>
                <c:pt idx="27">
                  <c:v>6.9</c:v>
                </c:pt>
                <c:pt idx="28">
                  <c:v>6.69</c:v>
                </c:pt>
                <c:pt idx="29">
                  <c:v>6.83</c:v>
                </c:pt>
                <c:pt idx="30">
                  <c:v>7.09</c:v>
                </c:pt>
                <c:pt idx="31">
                  <c:v>7.06</c:v>
                </c:pt>
                <c:pt idx="32">
                  <c:v>7.48</c:v>
                </c:pt>
                <c:pt idx="33">
                  <c:v>7.97</c:v>
                </c:pt>
                <c:pt idx="34">
                  <c:v>8.15</c:v>
                </c:pt>
                <c:pt idx="35">
                  <c:v>8.36</c:v>
                </c:pt>
                <c:pt idx="36">
                  <c:v>8.14</c:v>
                </c:pt>
                <c:pt idx="37">
                  <c:v>7.94</c:v>
                </c:pt>
                <c:pt idx="38">
                  <c:v>7.82</c:v>
                </c:pt>
                <c:pt idx="39">
                  <c:v>7.84</c:v>
                </c:pt>
                <c:pt idx="40">
                  <c:v>8</c:v>
                </c:pt>
                <c:pt idx="41">
                  <c:v>7.79</c:v>
                </c:pt>
                <c:pt idx="42">
                  <c:v>7.95</c:v>
                </c:pt>
                <c:pt idx="43">
                  <c:v>7.98</c:v>
                </c:pt>
                <c:pt idx="44">
                  <c:v>7.97</c:v>
                </c:pt>
                <c:pt idx="45">
                  <c:v>7.88</c:v>
                </c:pt>
                <c:pt idx="46">
                  <c:v>8.27</c:v>
                </c:pt>
                <c:pt idx="47">
                  <c:v>8.35</c:v>
                </c:pt>
                <c:pt idx="48">
                  <c:v>8.59</c:v>
                </c:pt>
                <c:pt idx="49">
                  <c:v>8.6999999999999993</c:v>
                </c:pt>
                <c:pt idx="50">
                  <c:v>8.73</c:v>
                </c:pt>
                <c:pt idx="51">
                  <c:v>8.6999999999999993</c:v>
                </c:pt>
                <c:pt idx="52">
                  <c:v>8.52</c:v>
                </c:pt>
                <c:pt idx="53">
                  <c:v>8.15</c:v>
                </c:pt>
                <c:pt idx="54">
                  <c:v>8.07</c:v>
                </c:pt>
                <c:pt idx="55">
                  <c:v>8.01</c:v>
                </c:pt>
                <c:pt idx="56">
                  <c:v>7.95</c:v>
                </c:pt>
                <c:pt idx="57">
                  <c:v>8.17</c:v>
                </c:pt>
                <c:pt idx="58">
                  <c:v>8.16</c:v>
                </c:pt>
                <c:pt idx="59">
                  <c:v>7.9</c:v>
                </c:pt>
                <c:pt idx="60">
                  <c:v>7.82</c:v>
                </c:pt>
                <c:pt idx="61">
                  <c:v>7.58</c:v>
                </c:pt>
                <c:pt idx="62">
                  <c:v>7.39</c:v>
                </c:pt>
                <c:pt idx="63">
                  <c:v>7.25</c:v>
                </c:pt>
                <c:pt idx="64">
                  <c:v>7.39</c:v>
                </c:pt>
                <c:pt idx="65">
                  <c:v>7.35</c:v>
                </c:pt>
                <c:pt idx="66">
                  <c:v>7.32</c:v>
                </c:pt>
                <c:pt idx="67">
                  <c:v>7.16</c:v>
                </c:pt>
                <c:pt idx="68">
                  <c:v>7.13</c:v>
                </c:pt>
                <c:pt idx="69">
                  <c:v>7.08</c:v>
                </c:pt>
                <c:pt idx="70">
                  <c:v>7.07</c:v>
                </c:pt>
                <c:pt idx="71">
                  <c:v>7.08</c:v>
                </c:pt>
                <c:pt idx="72">
                  <c:v>7.05</c:v>
                </c:pt>
                <c:pt idx="73">
                  <c:v>7.06</c:v>
                </c:pt>
                <c:pt idx="74">
                  <c:v>7.41</c:v>
                </c:pt>
                <c:pt idx="75">
                  <c:v>7.59</c:v>
                </c:pt>
                <c:pt idx="76">
                  <c:v>7.58</c:v>
                </c:pt>
                <c:pt idx="77">
                  <c:v>7.88</c:v>
                </c:pt>
                <c:pt idx="78">
                  <c:v>7.56</c:v>
                </c:pt>
                <c:pt idx="79">
                  <c:v>7.03</c:v>
                </c:pt>
                <c:pt idx="80">
                  <c:v>7.08</c:v>
                </c:pt>
                <c:pt idx="81">
                  <c:v>6.91</c:v>
                </c:pt>
                <c:pt idx="82">
                  <c:v>6.93</c:v>
                </c:pt>
                <c:pt idx="83">
                  <c:v>7.06</c:v>
                </c:pt>
                <c:pt idx="84">
                  <c:v>7.03</c:v>
                </c:pt>
                <c:pt idx="85">
                  <c:v>7.02</c:v>
                </c:pt>
                <c:pt idx="86">
                  <c:v>7.05</c:v>
                </c:pt>
                <c:pt idx="87">
                  <c:v>6.98</c:v>
                </c:pt>
                <c:pt idx="88">
                  <c:v>7.1</c:v>
                </c:pt>
                <c:pt idx="89">
                  <c:v>7.21</c:v>
                </c:pt>
                <c:pt idx="90">
                  <c:v>7.4</c:v>
                </c:pt>
                <c:pt idx="91">
                  <c:v>7.59</c:v>
                </c:pt>
                <c:pt idx="92">
                  <c:v>7.84</c:v>
                </c:pt>
                <c:pt idx="93">
                  <c:v>7.68</c:v>
                </c:pt>
                <c:pt idx="94">
                  <c:v>7.69</c:v>
                </c:pt>
                <c:pt idx="95">
                  <c:v>7.9</c:v>
                </c:pt>
                <c:pt idx="96">
                  <c:v>7.87</c:v>
                </c:pt>
                <c:pt idx="97">
                  <c:v>7.96</c:v>
                </c:pt>
                <c:pt idx="98">
                  <c:v>7.94</c:v>
                </c:pt>
                <c:pt idx="99">
                  <c:v>8</c:v>
                </c:pt>
                <c:pt idx="100">
                  <c:v>8.0299999999999994</c:v>
                </c:pt>
                <c:pt idx="101">
                  <c:v>7.95</c:v>
                </c:pt>
                <c:pt idx="102">
                  <c:v>8.0299999999999994</c:v>
                </c:pt>
                <c:pt idx="103">
                  <c:v>7.88</c:v>
                </c:pt>
                <c:pt idx="104">
                  <c:v>7.92</c:v>
                </c:pt>
                <c:pt idx="105">
                  <c:v>8</c:v>
                </c:pt>
                <c:pt idx="106">
                  <c:v>8.41</c:v>
                </c:pt>
                <c:pt idx="107">
                  <c:v>8.25</c:v>
                </c:pt>
                <c:pt idx="108">
                  <c:v>8.0299999999999994</c:v>
                </c:pt>
                <c:pt idx="109">
                  <c:v>8.06</c:v>
                </c:pt>
                <c:pt idx="110">
                  <c:v>8.52</c:v>
                </c:pt>
                <c:pt idx="111">
                  <c:v>8.86</c:v>
                </c:pt>
                <c:pt idx="112">
                  <c:v>8.83</c:v>
                </c:pt>
                <c:pt idx="113">
                  <c:v>8.82</c:v>
                </c:pt>
                <c:pt idx="114">
                  <c:v>8.93</c:v>
                </c:pt>
                <c:pt idx="115">
                  <c:v>9.6300000000000008</c:v>
                </c:pt>
                <c:pt idx="116">
                  <c:v>9.52</c:v>
                </c:pt>
                <c:pt idx="117">
                  <c:v>9.9</c:v>
                </c:pt>
                <c:pt idx="118">
                  <c:v>9.77</c:v>
                </c:pt>
                <c:pt idx="119">
                  <c:v>9.69</c:v>
                </c:pt>
                <c:pt idx="120">
                  <c:v>10.029999999999999</c:v>
                </c:pt>
                <c:pt idx="121">
                  <c:v>9.9600000000000009</c:v>
                </c:pt>
                <c:pt idx="122">
                  <c:v>9.9</c:v>
                </c:pt>
                <c:pt idx="123">
                  <c:v>9.8000000000000007</c:v>
                </c:pt>
                <c:pt idx="124">
                  <c:v>8.61</c:v>
                </c:pt>
                <c:pt idx="125">
                  <c:v>8.43</c:v>
                </c:pt>
                <c:pt idx="126">
                  <c:v>9.25</c:v>
                </c:pt>
                <c:pt idx="127">
                  <c:v>8.9700000000000006</c:v>
                </c:pt>
                <c:pt idx="128">
                  <c:v>9.34</c:v>
                </c:pt>
                <c:pt idx="129">
                  <c:v>9.34</c:v>
                </c:pt>
                <c:pt idx="130">
                  <c:v>9.49</c:v>
                </c:pt>
                <c:pt idx="131">
                  <c:v>9.32</c:v>
                </c:pt>
                <c:pt idx="132">
                  <c:v>8.9600000000000009</c:v>
                </c:pt>
                <c:pt idx="133">
                  <c:v>8.6</c:v>
                </c:pt>
                <c:pt idx="134">
                  <c:v>8.8699999999999992</c:v>
                </c:pt>
                <c:pt idx="135">
                  <c:v>9.41</c:v>
                </c:pt>
                <c:pt idx="136">
                  <c:v>9.5</c:v>
                </c:pt>
                <c:pt idx="137">
                  <c:v>9.74</c:v>
                </c:pt>
                <c:pt idx="138">
                  <c:v>9.8800000000000008</c:v>
                </c:pt>
                <c:pt idx="139">
                  <c:v>9.8000000000000007</c:v>
                </c:pt>
                <c:pt idx="140">
                  <c:v>9.9700000000000006</c:v>
                </c:pt>
                <c:pt idx="141">
                  <c:v>9.9700000000000006</c:v>
                </c:pt>
                <c:pt idx="142">
                  <c:v>10.31</c:v>
                </c:pt>
                <c:pt idx="143">
                  <c:v>9.9700000000000006</c:v>
                </c:pt>
                <c:pt idx="144">
                  <c:v>9.68</c:v>
                </c:pt>
                <c:pt idx="145">
                  <c:v>9.4</c:v>
                </c:pt>
                <c:pt idx="146">
                  <c:v>9.02</c:v>
                </c:pt>
                <c:pt idx="147">
                  <c:v>8.86</c:v>
                </c:pt>
                <c:pt idx="148">
                  <c:v>8.5399999999999991</c:v>
                </c:pt>
                <c:pt idx="149">
                  <c:v>8.34</c:v>
                </c:pt>
                <c:pt idx="150">
                  <c:v>8.8000000000000007</c:v>
                </c:pt>
                <c:pt idx="151">
                  <c:v>8.16</c:v>
                </c:pt>
                <c:pt idx="152">
                  <c:v>7.6</c:v>
                </c:pt>
                <c:pt idx="153">
                  <c:v>7.13</c:v>
                </c:pt>
                <c:pt idx="154">
                  <c:v>7.14</c:v>
                </c:pt>
                <c:pt idx="155">
                  <c:v>7.41</c:v>
                </c:pt>
                <c:pt idx="156">
                  <c:v>7.42</c:v>
                </c:pt>
                <c:pt idx="157">
                  <c:v>7.34</c:v>
                </c:pt>
                <c:pt idx="158">
                  <c:v>7.3</c:v>
                </c:pt>
                <c:pt idx="159">
                  <c:v>7.09</c:v>
                </c:pt>
                <c:pt idx="160">
                  <c:v>7.14</c:v>
                </c:pt>
                <c:pt idx="161">
                  <c:v>7.14</c:v>
                </c:pt>
                <c:pt idx="162">
                  <c:v>7.52</c:v>
                </c:pt>
                <c:pt idx="163">
                  <c:v>7.88</c:v>
                </c:pt>
                <c:pt idx="164">
                  <c:v>7.92</c:v>
                </c:pt>
                <c:pt idx="165">
                  <c:v>7.9</c:v>
                </c:pt>
                <c:pt idx="166">
                  <c:v>7.93</c:v>
                </c:pt>
                <c:pt idx="167">
                  <c:v>7.81</c:v>
                </c:pt>
                <c:pt idx="168">
                  <c:v>7.75</c:v>
                </c:pt>
                <c:pt idx="169">
                  <c:v>7.74</c:v>
                </c:pt>
                <c:pt idx="170">
                  <c:v>7.79</c:v>
                </c:pt>
                <c:pt idx="171">
                  <c:v>7.83</c:v>
                </c:pt>
                <c:pt idx="172">
                  <c:v>7.51</c:v>
                </c:pt>
                <c:pt idx="173">
                  <c:v>7.37</c:v>
                </c:pt>
                <c:pt idx="174">
                  <c:v>7.47</c:v>
                </c:pt>
                <c:pt idx="175">
                  <c:v>7.42</c:v>
                </c:pt>
                <c:pt idx="176">
                  <c:v>7.74</c:v>
                </c:pt>
                <c:pt idx="177">
                  <c:v>7.76</c:v>
                </c:pt>
                <c:pt idx="178">
                  <c:v>7.85</c:v>
                </c:pt>
                <c:pt idx="179">
                  <c:v>7.83</c:v>
                </c:pt>
                <c:pt idx="180">
                  <c:v>7.73</c:v>
                </c:pt>
                <c:pt idx="181">
                  <c:v>7.75</c:v>
                </c:pt>
                <c:pt idx="182">
                  <c:v>7.64</c:v>
                </c:pt>
                <c:pt idx="183">
                  <c:v>7.7</c:v>
                </c:pt>
                <c:pt idx="184">
                  <c:v>7.99</c:v>
                </c:pt>
                <c:pt idx="185">
                  <c:v>8.23</c:v>
                </c:pt>
                <c:pt idx="186">
                  <c:v>8.2200000000000006</c:v>
                </c:pt>
                <c:pt idx="187">
                  <c:v>8.27</c:v>
                </c:pt>
                <c:pt idx="188">
                  <c:v>8.32</c:v>
                </c:pt>
                <c:pt idx="189">
                  <c:v>8.3000000000000007</c:v>
                </c:pt>
                <c:pt idx="190">
                  <c:v>8.41</c:v>
                </c:pt>
                <c:pt idx="191">
                  <c:v>8.4700000000000006</c:v>
                </c:pt>
                <c:pt idx="192">
                  <c:v>8.67</c:v>
                </c:pt>
                <c:pt idx="193">
                  <c:v>8.6999999999999993</c:v>
                </c:pt>
                <c:pt idx="194">
                  <c:v>8.74</c:v>
                </c:pt>
                <c:pt idx="195">
                  <c:v>8.82</c:v>
                </c:pt>
                <c:pt idx="196">
                  <c:v>9.16</c:v>
                </c:pt>
                <c:pt idx="197">
                  <c:v>9.08</c:v>
                </c:pt>
                <c:pt idx="198">
                  <c:v>9.24</c:v>
                </c:pt>
                <c:pt idx="199">
                  <c:v>9.17</c:v>
                </c:pt>
                <c:pt idx="200">
                  <c:v>9.2799999999999994</c:v>
                </c:pt>
                <c:pt idx="201">
                  <c:v>9.61</c:v>
                </c:pt>
                <c:pt idx="202">
                  <c:v>9.7200000000000006</c:v>
                </c:pt>
                <c:pt idx="203">
                  <c:v>9.49</c:v>
                </c:pt>
                <c:pt idx="204">
                  <c:v>9.6999999999999993</c:v>
                </c:pt>
                <c:pt idx="205">
                  <c:v>9.58</c:v>
                </c:pt>
                <c:pt idx="206">
                  <c:v>9.58</c:v>
                </c:pt>
                <c:pt idx="207">
                  <c:v>9.9499999999999993</c:v>
                </c:pt>
                <c:pt idx="208">
                  <c:v>10</c:v>
                </c:pt>
                <c:pt idx="209">
                  <c:v>9.9600000000000009</c:v>
                </c:pt>
                <c:pt idx="210">
                  <c:v>9.9700000000000006</c:v>
                </c:pt>
                <c:pt idx="211">
                  <c:v>9.7200000000000006</c:v>
                </c:pt>
                <c:pt idx="212">
                  <c:v>10</c:v>
                </c:pt>
                <c:pt idx="213">
                  <c:v>9.93</c:v>
                </c:pt>
                <c:pt idx="214">
                  <c:v>10.52</c:v>
                </c:pt>
                <c:pt idx="215">
                  <c:v>10.029999999999999</c:v>
                </c:pt>
                <c:pt idx="216">
                  <c:v>10.1</c:v>
                </c:pt>
                <c:pt idx="217">
                  <c:v>9.8699999999999992</c:v>
                </c:pt>
                <c:pt idx="218">
                  <c:v>9.8000000000000007</c:v>
                </c:pt>
                <c:pt idx="219">
                  <c:v>9.8000000000000007</c:v>
                </c:pt>
                <c:pt idx="220">
                  <c:v>10.210000000000001</c:v>
                </c:pt>
                <c:pt idx="221">
                  <c:v>10.48</c:v>
                </c:pt>
                <c:pt idx="222">
                  <c:v>10.36</c:v>
                </c:pt>
                <c:pt idx="223">
                  <c:v>10.44</c:v>
                </c:pt>
                <c:pt idx="224">
                  <c:v>10.58</c:v>
                </c:pt>
                <c:pt idx="225">
                  <c:v>10.55</c:v>
                </c:pt>
                <c:pt idx="226">
                  <c:v>10.68</c:v>
                </c:pt>
                <c:pt idx="227">
                  <c:v>10.6</c:v>
                </c:pt>
                <c:pt idx="228">
                  <c:v>11.11</c:v>
                </c:pt>
                <c:pt idx="229">
                  <c:v>11.09</c:v>
                </c:pt>
                <c:pt idx="230">
                  <c:v>10.93</c:v>
                </c:pt>
                <c:pt idx="231">
                  <c:v>10.66</c:v>
                </c:pt>
                <c:pt idx="232">
                  <c:v>10.78</c:v>
                </c:pt>
                <c:pt idx="233">
                  <c:v>10.58</c:v>
                </c:pt>
                <c:pt idx="234">
                  <c:v>10.66</c:v>
                </c:pt>
                <c:pt idx="235">
                  <c:v>10.75</c:v>
                </c:pt>
                <c:pt idx="236">
                  <c:v>10.96</c:v>
                </c:pt>
                <c:pt idx="237">
                  <c:v>11.28</c:v>
                </c:pt>
                <c:pt idx="238">
                  <c:v>11.07</c:v>
                </c:pt>
                <c:pt idx="239">
                  <c:v>11.11</c:v>
                </c:pt>
                <c:pt idx="240">
                  <c:v>11.14</c:v>
                </c:pt>
                <c:pt idx="241">
                  <c:v>11.07</c:v>
                </c:pt>
                <c:pt idx="242">
                  <c:v>11.15</c:v>
                </c:pt>
                <c:pt idx="243">
                  <c:v>11.11</c:v>
                </c:pt>
                <c:pt idx="244">
                  <c:v>11.14</c:v>
                </c:pt>
                <c:pt idx="245">
                  <c:v>10.97</c:v>
                </c:pt>
                <c:pt idx="246">
                  <c:v>11.12</c:v>
                </c:pt>
                <c:pt idx="247">
                  <c:v>11.04</c:v>
                </c:pt>
                <c:pt idx="248">
                  <c:v>10.82</c:v>
                </c:pt>
                <c:pt idx="249">
                  <c:v>10.26</c:v>
                </c:pt>
                <c:pt idx="250">
                  <c:v>10.130000000000001</c:v>
                </c:pt>
                <c:pt idx="251">
                  <c:v>10.78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D-49F2-8960-B5BFCF031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83055"/>
        <c:axId val="450471535"/>
      </c:lineChart>
      <c:catAx>
        <c:axId val="45048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71535"/>
        <c:crosses val="autoZero"/>
        <c:auto val="1"/>
        <c:lblAlgn val="ctr"/>
        <c:lblOffset val="100"/>
        <c:noMultiLvlLbl val="0"/>
      </c:catAx>
      <c:valAx>
        <c:axId val="45047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8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Precios último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TLEVISACPO!$B$1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TLEVISACPO!$A$2:$A$21</c:f>
              <c:strCache>
                <c:ptCount val="20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</c:strCache>
            </c:strRef>
          </c:cat>
          <c:val>
            <c:numRef>
              <c:f>TLEVISACPO!$B$2:$B$21</c:f>
              <c:numCache>
                <c:formatCode>General</c:formatCode>
                <c:ptCount val="20"/>
                <c:pt idx="0">
                  <c:v>7.14</c:v>
                </c:pt>
                <c:pt idx="1">
                  <c:v>7.24</c:v>
                </c:pt>
                <c:pt idx="2">
                  <c:v>7.75</c:v>
                </c:pt>
                <c:pt idx="3">
                  <c:v>7.8</c:v>
                </c:pt>
                <c:pt idx="4">
                  <c:v>7.59</c:v>
                </c:pt>
                <c:pt idx="5">
                  <c:v>7.65</c:v>
                </c:pt>
                <c:pt idx="6">
                  <c:v>7.31</c:v>
                </c:pt>
                <c:pt idx="7">
                  <c:v>7.19</c:v>
                </c:pt>
                <c:pt idx="8">
                  <c:v>7.04</c:v>
                </c:pt>
                <c:pt idx="9">
                  <c:v>6.97</c:v>
                </c:pt>
                <c:pt idx="10">
                  <c:v>6.89</c:v>
                </c:pt>
                <c:pt idx="11">
                  <c:v>6.84</c:v>
                </c:pt>
                <c:pt idx="12">
                  <c:v>6.72</c:v>
                </c:pt>
                <c:pt idx="13">
                  <c:v>7.01</c:v>
                </c:pt>
                <c:pt idx="14">
                  <c:v>6.67</c:v>
                </c:pt>
                <c:pt idx="15">
                  <c:v>6.62</c:v>
                </c:pt>
                <c:pt idx="16">
                  <c:v>6.82</c:v>
                </c:pt>
                <c:pt idx="17">
                  <c:v>6.98</c:v>
                </c:pt>
                <c:pt idx="18">
                  <c:v>7.25</c:v>
                </c:pt>
                <c:pt idx="19">
                  <c:v>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8-493F-BB8B-45C9C24A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26415"/>
        <c:axId val="450449935"/>
      </c:lineChart>
      <c:catAx>
        <c:axId val="45042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49935"/>
        <c:crosses val="autoZero"/>
        <c:auto val="1"/>
        <c:lblAlgn val="ctr"/>
        <c:lblOffset val="100"/>
        <c:noMultiLvlLbl val="0"/>
      </c:catAx>
      <c:valAx>
        <c:axId val="45044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2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Todos</a:t>
            </a:r>
            <a:r>
              <a:rPr lang="en-US" baseline="0"/>
              <a:t> los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WALMEX!$B$1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WALMEX!$A$2:$A$1260</c:f>
              <c:strCache>
                <c:ptCount val="1259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  <c:pt idx="251">
                  <c:v>29.04.2024</c:v>
                </c:pt>
                <c:pt idx="252">
                  <c:v>26.04.2024</c:v>
                </c:pt>
                <c:pt idx="253">
                  <c:v>25.04.2024</c:v>
                </c:pt>
                <c:pt idx="254">
                  <c:v>24.04.2024</c:v>
                </c:pt>
                <c:pt idx="255">
                  <c:v>23.04.2024</c:v>
                </c:pt>
                <c:pt idx="256">
                  <c:v>22.04.2024</c:v>
                </c:pt>
                <c:pt idx="257">
                  <c:v>19.04.2024</c:v>
                </c:pt>
                <c:pt idx="258">
                  <c:v>18.04.2024</c:v>
                </c:pt>
                <c:pt idx="259">
                  <c:v>17.04.2024</c:v>
                </c:pt>
                <c:pt idx="260">
                  <c:v>16.04.2024</c:v>
                </c:pt>
                <c:pt idx="261">
                  <c:v>15.04.2024</c:v>
                </c:pt>
                <c:pt idx="262">
                  <c:v>12.04.2024</c:v>
                </c:pt>
                <c:pt idx="263">
                  <c:v>11.04.2024</c:v>
                </c:pt>
                <c:pt idx="264">
                  <c:v>10.04.2024</c:v>
                </c:pt>
                <c:pt idx="265">
                  <c:v>09.04.2024</c:v>
                </c:pt>
                <c:pt idx="266">
                  <c:v>08.04.2024</c:v>
                </c:pt>
                <c:pt idx="267">
                  <c:v>05.04.2024</c:v>
                </c:pt>
                <c:pt idx="268">
                  <c:v>04.04.2024</c:v>
                </c:pt>
                <c:pt idx="269">
                  <c:v>03.04.2024</c:v>
                </c:pt>
                <c:pt idx="270">
                  <c:v>02.04.2024</c:v>
                </c:pt>
                <c:pt idx="271">
                  <c:v>01.04.2024</c:v>
                </c:pt>
                <c:pt idx="272">
                  <c:v>27.03.2024</c:v>
                </c:pt>
                <c:pt idx="273">
                  <c:v>26.03.2024</c:v>
                </c:pt>
                <c:pt idx="274">
                  <c:v>25.03.2024</c:v>
                </c:pt>
                <c:pt idx="275">
                  <c:v>22.03.2024</c:v>
                </c:pt>
                <c:pt idx="276">
                  <c:v>21.03.2024</c:v>
                </c:pt>
                <c:pt idx="277">
                  <c:v>20.03.2024</c:v>
                </c:pt>
                <c:pt idx="278">
                  <c:v>19.03.2024</c:v>
                </c:pt>
                <c:pt idx="279">
                  <c:v>15.03.2024</c:v>
                </c:pt>
                <c:pt idx="280">
                  <c:v>14.03.2024</c:v>
                </c:pt>
                <c:pt idx="281">
                  <c:v>13.03.2024</c:v>
                </c:pt>
                <c:pt idx="282">
                  <c:v>12.03.2024</c:v>
                </c:pt>
                <c:pt idx="283">
                  <c:v>11.03.2024</c:v>
                </c:pt>
                <c:pt idx="284">
                  <c:v>08.03.2024</c:v>
                </c:pt>
                <c:pt idx="285">
                  <c:v>07.03.2024</c:v>
                </c:pt>
                <c:pt idx="286">
                  <c:v>06.03.2024</c:v>
                </c:pt>
                <c:pt idx="287">
                  <c:v>05.03.2024</c:v>
                </c:pt>
                <c:pt idx="288">
                  <c:v>04.03.2024</c:v>
                </c:pt>
                <c:pt idx="289">
                  <c:v>01.03.2024</c:v>
                </c:pt>
                <c:pt idx="290">
                  <c:v>29.02.2024</c:v>
                </c:pt>
                <c:pt idx="291">
                  <c:v>28.02.2024</c:v>
                </c:pt>
                <c:pt idx="292">
                  <c:v>27.02.2024</c:v>
                </c:pt>
                <c:pt idx="293">
                  <c:v>26.02.2024</c:v>
                </c:pt>
                <c:pt idx="294">
                  <c:v>23.02.2024</c:v>
                </c:pt>
                <c:pt idx="295">
                  <c:v>22.02.2024</c:v>
                </c:pt>
                <c:pt idx="296">
                  <c:v>21.02.2024</c:v>
                </c:pt>
                <c:pt idx="297">
                  <c:v>20.02.2024</c:v>
                </c:pt>
                <c:pt idx="298">
                  <c:v>19.02.2024</c:v>
                </c:pt>
                <c:pt idx="299">
                  <c:v>16.02.2024</c:v>
                </c:pt>
                <c:pt idx="300">
                  <c:v>15.02.2024</c:v>
                </c:pt>
                <c:pt idx="301">
                  <c:v>14.02.2024</c:v>
                </c:pt>
                <c:pt idx="302">
                  <c:v>13.02.2024</c:v>
                </c:pt>
                <c:pt idx="303">
                  <c:v>12.02.2024</c:v>
                </c:pt>
                <c:pt idx="304">
                  <c:v>09.02.2024</c:v>
                </c:pt>
                <c:pt idx="305">
                  <c:v>08.02.2024</c:v>
                </c:pt>
                <c:pt idx="306">
                  <c:v>07.02.2024</c:v>
                </c:pt>
                <c:pt idx="307">
                  <c:v>06.02.2024</c:v>
                </c:pt>
                <c:pt idx="308">
                  <c:v>02.02.2024</c:v>
                </c:pt>
                <c:pt idx="309">
                  <c:v>01.02.2024</c:v>
                </c:pt>
                <c:pt idx="310">
                  <c:v>31.01.2024</c:v>
                </c:pt>
                <c:pt idx="311">
                  <c:v>30.01.2024</c:v>
                </c:pt>
                <c:pt idx="312">
                  <c:v>29.01.2024</c:v>
                </c:pt>
                <c:pt idx="313">
                  <c:v>26.01.2024</c:v>
                </c:pt>
                <c:pt idx="314">
                  <c:v>25.01.2024</c:v>
                </c:pt>
                <c:pt idx="315">
                  <c:v>24.01.2024</c:v>
                </c:pt>
                <c:pt idx="316">
                  <c:v>23.01.2024</c:v>
                </c:pt>
                <c:pt idx="317">
                  <c:v>22.01.2024</c:v>
                </c:pt>
                <c:pt idx="318">
                  <c:v>19.01.2024</c:v>
                </c:pt>
                <c:pt idx="319">
                  <c:v>18.01.2024</c:v>
                </c:pt>
                <c:pt idx="320">
                  <c:v>17.01.2024</c:v>
                </c:pt>
                <c:pt idx="321">
                  <c:v>16.01.2024</c:v>
                </c:pt>
                <c:pt idx="322">
                  <c:v>15.01.2024</c:v>
                </c:pt>
                <c:pt idx="323">
                  <c:v>12.01.2024</c:v>
                </c:pt>
                <c:pt idx="324">
                  <c:v>11.01.2024</c:v>
                </c:pt>
                <c:pt idx="325">
                  <c:v>10.01.2024</c:v>
                </c:pt>
                <c:pt idx="326">
                  <c:v>09.01.2024</c:v>
                </c:pt>
                <c:pt idx="327">
                  <c:v>08.01.2024</c:v>
                </c:pt>
                <c:pt idx="328">
                  <c:v>05.01.2024</c:v>
                </c:pt>
                <c:pt idx="329">
                  <c:v>04.01.2024</c:v>
                </c:pt>
                <c:pt idx="330">
                  <c:v>03.01.2024</c:v>
                </c:pt>
                <c:pt idx="331">
                  <c:v>02.01.2024</c:v>
                </c:pt>
                <c:pt idx="332">
                  <c:v>29.12.2023</c:v>
                </c:pt>
                <c:pt idx="333">
                  <c:v>28.12.2023</c:v>
                </c:pt>
                <c:pt idx="334">
                  <c:v>27.12.2023</c:v>
                </c:pt>
                <c:pt idx="335">
                  <c:v>26.12.2023</c:v>
                </c:pt>
                <c:pt idx="336">
                  <c:v>22.12.2023</c:v>
                </c:pt>
                <c:pt idx="337">
                  <c:v>21.12.2023</c:v>
                </c:pt>
                <c:pt idx="338">
                  <c:v>20.12.2023</c:v>
                </c:pt>
                <c:pt idx="339">
                  <c:v>19.12.2023</c:v>
                </c:pt>
                <c:pt idx="340">
                  <c:v>18.12.2023</c:v>
                </c:pt>
                <c:pt idx="341">
                  <c:v>15.12.2023</c:v>
                </c:pt>
                <c:pt idx="342">
                  <c:v>14.12.2023</c:v>
                </c:pt>
                <c:pt idx="343">
                  <c:v>13.12.2023</c:v>
                </c:pt>
                <c:pt idx="344">
                  <c:v>11.12.2023</c:v>
                </c:pt>
                <c:pt idx="345">
                  <c:v>08.12.2023</c:v>
                </c:pt>
                <c:pt idx="346">
                  <c:v>07.12.2023</c:v>
                </c:pt>
                <c:pt idx="347">
                  <c:v>06.12.2023</c:v>
                </c:pt>
                <c:pt idx="348">
                  <c:v>05.12.2023</c:v>
                </c:pt>
                <c:pt idx="349">
                  <c:v>04.12.2023</c:v>
                </c:pt>
                <c:pt idx="350">
                  <c:v>01.12.2023</c:v>
                </c:pt>
                <c:pt idx="351">
                  <c:v>30.11.2023</c:v>
                </c:pt>
                <c:pt idx="352">
                  <c:v>29.11.2023</c:v>
                </c:pt>
                <c:pt idx="353">
                  <c:v>28.11.2023</c:v>
                </c:pt>
                <c:pt idx="354">
                  <c:v>27.11.2023</c:v>
                </c:pt>
                <c:pt idx="355">
                  <c:v>24.11.2023</c:v>
                </c:pt>
                <c:pt idx="356">
                  <c:v>23.11.2023</c:v>
                </c:pt>
                <c:pt idx="357">
                  <c:v>22.11.2023</c:v>
                </c:pt>
                <c:pt idx="358">
                  <c:v>21.11.2023</c:v>
                </c:pt>
                <c:pt idx="359">
                  <c:v>17.11.2023</c:v>
                </c:pt>
                <c:pt idx="360">
                  <c:v>16.11.2023</c:v>
                </c:pt>
                <c:pt idx="361">
                  <c:v>15.11.2023</c:v>
                </c:pt>
                <c:pt idx="362">
                  <c:v>14.11.2023</c:v>
                </c:pt>
                <c:pt idx="363">
                  <c:v>13.11.2023</c:v>
                </c:pt>
                <c:pt idx="364">
                  <c:v>10.11.2023</c:v>
                </c:pt>
                <c:pt idx="365">
                  <c:v>09.11.2023</c:v>
                </c:pt>
                <c:pt idx="366">
                  <c:v>08.11.2023</c:v>
                </c:pt>
                <c:pt idx="367">
                  <c:v>07.11.2023</c:v>
                </c:pt>
                <c:pt idx="368">
                  <c:v>06.11.2023</c:v>
                </c:pt>
                <c:pt idx="369">
                  <c:v>03.11.2023</c:v>
                </c:pt>
                <c:pt idx="370">
                  <c:v>01.11.2023</c:v>
                </c:pt>
                <c:pt idx="371">
                  <c:v>31.10.2023</c:v>
                </c:pt>
                <c:pt idx="372">
                  <c:v>30.10.2023</c:v>
                </c:pt>
                <c:pt idx="373">
                  <c:v>27.10.2023</c:v>
                </c:pt>
                <c:pt idx="374">
                  <c:v>26.10.2023</c:v>
                </c:pt>
                <c:pt idx="375">
                  <c:v>25.10.2023</c:v>
                </c:pt>
                <c:pt idx="376">
                  <c:v>24.10.2023</c:v>
                </c:pt>
                <c:pt idx="377">
                  <c:v>23.10.2023</c:v>
                </c:pt>
                <c:pt idx="378">
                  <c:v>20.10.2023</c:v>
                </c:pt>
                <c:pt idx="379">
                  <c:v>19.10.2023</c:v>
                </c:pt>
                <c:pt idx="380">
                  <c:v>18.10.2023</c:v>
                </c:pt>
                <c:pt idx="381">
                  <c:v>17.10.2023</c:v>
                </c:pt>
                <c:pt idx="382">
                  <c:v>16.10.2023</c:v>
                </c:pt>
                <c:pt idx="383">
                  <c:v>13.10.2023</c:v>
                </c:pt>
                <c:pt idx="384">
                  <c:v>12.10.2023</c:v>
                </c:pt>
                <c:pt idx="385">
                  <c:v>11.10.2023</c:v>
                </c:pt>
                <c:pt idx="386">
                  <c:v>10.10.2023</c:v>
                </c:pt>
                <c:pt idx="387">
                  <c:v>09.10.2023</c:v>
                </c:pt>
                <c:pt idx="388">
                  <c:v>06.10.2023</c:v>
                </c:pt>
                <c:pt idx="389">
                  <c:v>05.10.2023</c:v>
                </c:pt>
                <c:pt idx="390">
                  <c:v>04.10.2023</c:v>
                </c:pt>
                <c:pt idx="391">
                  <c:v>03.10.2023</c:v>
                </c:pt>
                <c:pt idx="392">
                  <c:v>02.10.2023</c:v>
                </c:pt>
                <c:pt idx="393">
                  <c:v>29.09.2023</c:v>
                </c:pt>
                <c:pt idx="394">
                  <c:v>28.09.2023</c:v>
                </c:pt>
                <c:pt idx="395">
                  <c:v>27.09.2023</c:v>
                </c:pt>
                <c:pt idx="396">
                  <c:v>26.09.2023</c:v>
                </c:pt>
                <c:pt idx="397">
                  <c:v>25.09.2023</c:v>
                </c:pt>
                <c:pt idx="398">
                  <c:v>22.09.2023</c:v>
                </c:pt>
                <c:pt idx="399">
                  <c:v>21.09.2023</c:v>
                </c:pt>
                <c:pt idx="400">
                  <c:v>20.09.2023</c:v>
                </c:pt>
                <c:pt idx="401">
                  <c:v>19.09.2023</c:v>
                </c:pt>
                <c:pt idx="402">
                  <c:v>18.09.2023</c:v>
                </c:pt>
                <c:pt idx="403">
                  <c:v>15.09.2023</c:v>
                </c:pt>
                <c:pt idx="404">
                  <c:v>14.09.2023</c:v>
                </c:pt>
                <c:pt idx="405">
                  <c:v>13.09.2023</c:v>
                </c:pt>
                <c:pt idx="406">
                  <c:v>12.09.2023</c:v>
                </c:pt>
                <c:pt idx="407">
                  <c:v>11.09.2023</c:v>
                </c:pt>
                <c:pt idx="408">
                  <c:v>08.09.2023</c:v>
                </c:pt>
                <c:pt idx="409">
                  <c:v>07.09.2023</c:v>
                </c:pt>
                <c:pt idx="410">
                  <c:v>06.09.2023</c:v>
                </c:pt>
                <c:pt idx="411">
                  <c:v>05.09.2023</c:v>
                </c:pt>
                <c:pt idx="412">
                  <c:v>04.09.2023</c:v>
                </c:pt>
                <c:pt idx="413">
                  <c:v>01.09.2023</c:v>
                </c:pt>
                <c:pt idx="414">
                  <c:v>31.08.2023</c:v>
                </c:pt>
                <c:pt idx="415">
                  <c:v>30.08.2023</c:v>
                </c:pt>
                <c:pt idx="416">
                  <c:v>29.08.2023</c:v>
                </c:pt>
                <c:pt idx="417">
                  <c:v>28.08.2023</c:v>
                </c:pt>
                <c:pt idx="418">
                  <c:v>25.08.2023</c:v>
                </c:pt>
                <c:pt idx="419">
                  <c:v>24.08.2023</c:v>
                </c:pt>
                <c:pt idx="420">
                  <c:v>23.08.2023</c:v>
                </c:pt>
                <c:pt idx="421">
                  <c:v>22.08.2023</c:v>
                </c:pt>
                <c:pt idx="422">
                  <c:v>21.08.2023</c:v>
                </c:pt>
                <c:pt idx="423">
                  <c:v>18.08.2023</c:v>
                </c:pt>
                <c:pt idx="424">
                  <c:v>17.08.2023</c:v>
                </c:pt>
                <c:pt idx="425">
                  <c:v>16.08.2023</c:v>
                </c:pt>
                <c:pt idx="426">
                  <c:v>15.08.2023</c:v>
                </c:pt>
                <c:pt idx="427">
                  <c:v>14.08.2023</c:v>
                </c:pt>
                <c:pt idx="428">
                  <c:v>11.08.2023</c:v>
                </c:pt>
                <c:pt idx="429">
                  <c:v>10.08.2023</c:v>
                </c:pt>
                <c:pt idx="430">
                  <c:v>09.08.2023</c:v>
                </c:pt>
                <c:pt idx="431">
                  <c:v>08.08.2023</c:v>
                </c:pt>
                <c:pt idx="432">
                  <c:v>07.08.2023</c:v>
                </c:pt>
                <c:pt idx="433">
                  <c:v>04.08.2023</c:v>
                </c:pt>
                <c:pt idx="434">
                  <c:v>03.08.2023</c:v>
                </c:pt>
                <c:pt idx="435">
                  <c:v>02.08.2023</c:v>
                </c:pt>
                <c:pt idx="436">
                  <c:v>01.08.2023</c:v>
                </c:pt>
                <c:pt idx="437">
                  <c:v>31.07.2023</c:v>
                </c:pt>
                <c:pt idx="438">
                  <c:v>28.07.2023</c:v>
                </c:pt>
                <c:pt idx="439">
                  <c:v>27.07.2023</c:v>
                </c:pt>
                <c:pt idx="440">
                  <c:v>26.07.2023</c:v>
                </c:pt>
                <c:pt idx="441">
                  <c:v>25.07.2023</c:v>
                </c:pt>
                <c:pt idx="442">
                  <c:v>24.07.2023</c:v>
                </c:pt>
                <c:pt idx="443">
                  <c:v>21.07.2023</c:v>
                </c:pt>
                <c:pt idx="444">
                  <c:v>20.07.2023</c:v>
                </c:pt>
                <c:pt idx="445">
                  <c:v>19.07.2023</c:v>
                </c:pt>
                <c:pt idx="446">
                  <c:v>18.07.2023</c:v>
                </c:pt>
                <c:pt idx="447">
                  <c:v>17.07.2023</c:v>
                </c:pt>
                <c:pt idx="448">
                  <c:v>14.07.2023</c:v>
                </c:pt>
                <c:pt idx="449">
                  <c:v>13.07.2023</c:v>
                </c:pt>
                <c:pt idx="450">
                  <c:v>12.07.2023</c:v>
                </c:pt>
                <c:pt idx="451">
                  <c:v>11.07.2023</c:v>
                </c:pt>
                <c:pt idx="452">
                  <c:v>10.07.2023</c:v>
                </c:pt>
                <c:pt idx="453">
                  <c:v>07.07.2023</c:v>
                </c:pt>
                <c:pt idx="454">
                  <c:v>06.07.2023</c:v>
                </c:pt>
                <c:pt idx="455">
                  <c:v>05.07.2023</c:v>
                </c:pt>
                <c:pt idx="456">
                  <c:v>04.07.2023</c:v>
                </c:pt>
                <c:pt idx="457">
                  <c:v>03.07.2023</c:v>
                </c:pt>
                <c:pt idx="458">
                  <c:v>30.06.2023</c:v>
                </c:pt>
                <c:pt idx="459">
                  <c:v>29.06.2023</c:v>
                </c:pt>
                <c:pt idx="460">
                  <c:v>28.06.2023</c:v>
                </c:pt>
                <c:pt idx="461">
                  <c:v>27.06.2023</c:v>
                </c:pt>
                <c:pt idx="462">
                  <c:v>26.06.2023</c:v>
                </c:pt>
                <c:pt idx="463">
                  <c:v>23.06.2023</c:v>
                </c:pt>
                <c:pt idx="464">
                  <c:v>22.06.2023</c:v>
                </c:pt>
                <c:pt idx="465">
                  <c:v>21.06.2023</c:v>
                </c:pt>
                <c:pt idx="466">
                  <c:v>20.06.2023</c:v>
                </c:pt>
                <c:pt idx="467">
                  <c:v>19.06.2023</c:v>
                </c:pt>
                <c:pt idx="468">
                  <c:v>16.06.2023</c:v>
                </c:pt>
                <c:pt idx="469">
                  <c:v>15.06.2023</c:v>
                </c:pt>
                <c:pt idx="470">
                  <c:v>14.06.2023</c:v>
                </c:pt>
                <c:pt idx="471">
                  <c:v>13.06.2023</c:v>
                </c:pt>
                <c:pt idx="472">
                  <c:v>12.06.2023</c:v>
                </c:pt>
                <c:pt idx="473">
                  <c:v>09.06.2023</c:v>
                </c:pt>
                <c:pt idx="474">
                  <c:v>08.06.2023</c:v>
                </c:pt>
                <c:pt idx="475">
                  <c:v>07.06.2023</c:v>
                </c:pt>
                <c:pt idx="476">
                  <c:v>06.06.2023</c:v>
                </c:pt>
                <c:pt idx="477">
                  <c:v>05.06.2023</c:v>
                </c:pt>
                <c:pt idx="478">
                  <c:v>02.06.2023</c:v>
                </c:pt>
                <c:pt idx="479">
                  <c:v>01.06.2023</c:v>
                </c:pt>
                <c:pt idx="480">
                  <c:v>31.05.2023</c:v>
                </c:pt>
                <c:pt idx="481">
                  <c:v>30.05.2023</c:v>
                </c:pt>
                <c:pt idx="482">
                  <c:v>29.05.2023</c:v>
                </c:pt>
                <c:pt idx="483">
                  <c:v>26.05.2023</c:v>
                </c:pt>
                <c:pt idx="484">
                  <c:v>25.05.2023</c:v>
                </c:pt>
                <c:pt idx="485">
                  <c:v>24.05.2023</c:v>
                </c:pt>
                <c:pt idx="486">
                  <c:v>23.05.2023</c:v>
                </c:pt>
                <c:pt idx="487">
                  <c:v>22.05.2023</c:v>
                </c:pt>
                <c:pt idx="488">
                  <c:v>19.05.2023</c:v>
                </c:pt>
                <c:pt idx="489">
                  <c:v>18.05.2023</c:v>
                </c:pt>
                <c:pt idx="490">
                  <c:v>17.05.2023</c:v>
                </c:pt>
                <c:pt idx="491">
                  <c:v>16.05.2023</c:v>
                </c:pt>
                <c:pt idx="492">
                  <c:v>15.05.2023</c:v>
                </c:pt>
                <c:pt idx="493">
                  <c:v>12.05.2023</c:v>
                </c:pt>
                <c:pt idx="494">
                  <c:v>11.05.2023</c:v>
                </c:pt>
                <c:pt idx="495">
                  <c:v>10.05.2023</c:v>
                </c:pt>
                <c:pt idx="496">
                  <c:v>09.05.2023</c:v>
                </c:pt>
                <c:pt idx="497">
                  <c:v>08.05.2023</c:v>
                </c:pt>
                <c:pt idx="498">
                  <c:v>05.05.2023</c:v>
                </c:pt>
                <c:pt idx="499">
                  <c:v>04.05.2023</c:v>
                </c:pt>
                <c:pt idx="500">
                  <c:v>03.05.2023</c:v>
                </c:pt>
                <c:pt idx="501">
                  <c:v>02.05.2023</c:v>
                </c:pt>
                <c:pt idx="502">
                  <c:v>28.04.2023</c:v>
                </c:pt>
                <c:pt idx="503">
                  <c:v>27.04.2023</c:v>
                </c:pt>
                <c:pt idx="504">
                  <c:v>26.04.2023</c:v>
                </c:pt>
                <c:pt idx="505">
                  <c:v>25.04.2023</c:v>
                </c:pt>
                <c:pt idx="506">
                  <c:v>24.04.2023</c:v>
                </c:pt>
                <c:pt idx="507">
                  <c:v>21.04.2023</c:v>
                </c:pt>
                <c:pt idx="508">
                  <c:v>20.04.2023</c:v>
                </c:pt>
                <c:pt idx="509">
                  <c:v>19.04.2023</c:v>
                </c:pt>
                <c:pt idx="510">
                  <c:v>18.04.2023</c:v>
                </c:pt>
                <c:pt idx="511">
                  <c:v>17.04.2023</c:v>
                </c:pt>
                <c:pt idx="512">
                  <c:v>14.04.2023</c:v>
                </c:pt>
                <c:pt idx="513">
                  <c:v>13.04.2023</c:v>
                </c:pt>
                <c:pt idx="514">
                  <c:v>12.04.2023</c:v>
                </c:pt>
                <c:pt idx="515">
                  <c:v>11.04.2023</c:v>
                </c:pt>
                <c:pt idx="516">
                  <c:v>10.04.2023</c:v>
                </c:pt>
                <c:pt idx="517">
                  <c:v>05.04.2023</c:v>
                </c:pt>
                <c:pt idx="518">
                  <c:v>04.04.2023</c:v>
                </c:pt>
                <c:pt idx="519">
                  <c:v>03.04.2023</c:v>
                </c:pt>
                <c:pt idx="520">
                  <c:v>31.03.2023</c:v>
                </c:pt>
                <c:pt idx="521">
                  <c:v>30.03.2023</c:v>
                </c:pt>
                <c:pt idx="522">
                  <c:v>29.03.2023</c:v>
                </c:pt>
                <c:pt idx="523">
                  <c:v>28.03.2023</c:v>
                </c:pt>
                <c:pt idx="524">
                  <c:v>27.03.2023</c:v>
                </c:pt>
                <c:pt idx="525">
                  <c:v>24.03.2023</c:v>
                </c:pt>
                <c:pt idx="526">
                  <c:v>23.03.2023</c:v>
                </c:pt>
                <c:pt idx="527">
                  <c:v>22.03.2023</c:v>
                </c:pt>
                <c:pt idx="528">
                  <c:v>21.03.2023</c:v>
                </c:pt>
                <c:pt idx="529">
                  <c:v>17.03.2023</c:v>
                </c:pt>
                <c:pt idx="530">
                  <c:v>16.03.2023</c:v>
                </c:pt>
                <c:pt idx="531">
                  <c:v>15.03.2023</c:v>
                </c:pt>
                <c:pt idx="532">
                  <c:v>14.03.2023</c:v>
                </c:pt>
                <c:pt idx="533">
                  <c:v>13.03.2023</c:v>
                </c:pt>
                <c:pt idx="534">
                  <c:v>10.03.2023</c:v>
                </c:pt>
                <c:pt idx="535">
                  <c:v>09.03.2023</c:v>
                </c:pt>
                <c:pt idx="536">
                  <c:v>08.03.2023</c:v>
                </c:pt>
                <c:pt idx="537">
                  <c:v>07.03.2023</c:v>
                </c:pt>
                <c:pt idx="538">
                  <c:v>06.03.2023</c:v>
                </c:pt>
                <c:pt idx="539">
                  <c:v>03.03.2023</c:v>
                </c:pt>
                <c:pt idx="540">
                  <c:v>02.03.2023</c:v>
                </c:pt>
                <c:pt idx="541">
                  <c:v>01.03.2023</c:v>
                </c:pt>
                <c:pt idx="542">
                  <c:v>28.02.2023</c:v>
                </c:pt>
                <c:pt idx="543">
                  <c:v>27.02.2023</c:v>
                </c:pt>
                <c:pt idx="544">
                  <c:v>24.02.2023</c:v>
                </c:pt>
                <c:pt idx="545">
                  <c:v>23.02.2023</c:v>
                </c:pt>
                <c:pt idx="546">
                  <c:v>22.02.2023</c:v>
                </c:pt>
                <c:pt idx="547">
                  <c:v>21.02.2023</c:v>
                </c:pt>
                <c:pt idx="548">
                  <c:v>20.02.2023</c:v>
                </c:pt>
                <c:pt idx="549">
                  <c:v>17.02.2023</c:v>
                </c:pt>
                <c:pt idx="550">
                  <c:v>16.02.2023</c:v>
                </c:pt>
                <c:pt idx="551">
                  <c:v>15.02.2023</c:v>
                </c:pt>
                <c:pt idx="552">
                  <c:v>14.02.2023</c:v>
                </c:pt>
                <c:pt idx="553">
                  <c:v>13.02.2023</c:v>
                </c:pt>
                <c:pt idx="554">
                  <c:v>10.02.2023</c:v>
                </c:pt>
                <c:pt idx="555">
                  <c:v>09.02.2023</c:v>
                </c:pt>
                <c:pt idx="556">
                  <c:v>08.02.2023</c:v>
                </c:pt>
                <c:pt idx="557">
                  <c:v>07.02.2023</c:v>
                </c:pt>
                <c:pt idx="558">
                  <c:v>03.02.2023</c:v>
                </c:pt>
                <c:pt idx="559">
                  <c:v>02.02.2023</c:v>
                </c:pt>
                <c:pt idx="560">
                  <c:v>01.02.2023</c:v>
                </c:pt>
                <c:pt idx="561">
                  <c:v>31.01.2023</c:v>
                </c:pt>
                <c:pt idx="562">
                  <c:v>30.01.2023</c:v>
                </c:pt>
                <c:pt idx="563">
                  <c:v>27.01.2023</c:v>
                </c:pt>
                <c:pt idx="564">
                  <c:v>26.01.2023</c:v>
                </c:pt>
                <c:pt idx="565">
                  <c:v>25.01.2023</c:v>
                </c:pt>
                <c:pt idx="566">
                  <c:v>24.01.2023</c:v>
                </c:pt>
                <c:pt idx="567">
                  <c:v>23.01.2023</c:v>
                </c:pt>
                <c:pt idx="568">
                  <c:v>20.01.2023</c:v>
                </c:pt>
                <c:pt idx="569">
                  <c:v>19.01.2023</c:v>
                </c:pt>
                <c:pt idx="570">
                  <c:v>18.01.2023</c:v>
                </c:pt>
                <c:pt idx="571">
                  <c:v>17.01.2023</c:v>
                </c:pt>
                <c:pt idx="572">
                  <c:v>16.01.2023</c:v>
                </c:pt>
                <c:pt idx="573">
                  <c:v>13.01.2023</c:v>
                </c:pt>
                <c:pt idx="574">
                  <c:v>12.01.2023</c:v>
                </c:pt>
                <c:pt idx="575">
                  <c:v>11.01.2023</c:v>
                </c:pt>
                <c:pt idx="576">
                  <c:v>10.01.2023</c:v>
                </c:pt>
                <c:pt idx="577">
                  <c:v>09.01.2023</c:v>
                </c:pt>
                <c:pt idx="578">
                  <c:v>06.01.2023</c:v>
                </c:pt>
                <c:pt idx="579">
                  <c:v>05.01.2023</c:v>
                </c:pt>
                <c:pt idx="580">
                  <c:v>04.01.2023</c:v>
                </c:pt>
                <c:pt idx="581">
                  <c:v>03.01.2023</c:v>
                </c:pt>
                <c:pt idx="582">
                  <c:v>02.01.2023</c:v>
                </c:pt>
                <c:pt idx="583">
                  <c:v>30.12.2022</c:v>
                </c:pt>
                <c:pt idx="584">
                  <c:v>29.12.2022</c:v>
                </c:pt>
                <c:pt idx="585">
                  <c:v>28.12.2022</c:v>
                </c:pt>
                <c:pt idx="586">
                  <c:v>27.12.2022</c:v>
                </c:pt>
                <c:pt idx="587">
                  <c:v>26.12.2022</c:v>
                </c:pt>
                <c:pt idx="588">
                  <c:v>23.12.2022</c:v>
                </c:pt>
                <c:pt idx="589">
                  <c:v>22.12.2022</c:v>
                </c:pt>
                <c:pt idx="590">
                  <c:v>21.12.2022</c:v>
                </c:pt>
                <c:pt idx="591">
                  <c:v>20.12.2022</c:v>
                </c:pt>
                <c:pt idx="592">
                  <c:v>19.12.2022</c:v>
                </c:pt>
                <c:pt idx="593">
                  <c:v>16.12.2022</c:v>
                </c:pt>
                <c:pt idx="594">
                  <c:v>15.12.2022</c:v>
                </c:pt>
                <c:pt idx="595">
                  <c:v>14.12.2022</c:v>
                </c:pt>
                <c:pt idx="596">
                  <c:v>13.12.2022</c:v>
                </c:pt>
                <c:pt idx="597">
                  <c:v>09.12.2022</c:v>
                </c:pt>
                <c:pt idx="598">
                  <c:v>08.12.2022</c:v>
                </c:pt>
                <c:pt idx="599">
                  <c:v>07.12.2022</c:v>
                </c:pt>
                <c:pt idx="600">
                  <c:v>06.12.2022</c:v>
                </c:pt>
                <c:pt idx="601">
                  <c:v>05.12.2022</c:v>
                </c:pt>
                <c:pt idx="602">
                  <c:v>02.12.2022</c:v>
                </c:pt>
                <c:pt idx="603">
                  <c:v>01.12.2022</c:v>
                </c:pt>
                <c:pt idx="604">
                  <c:v>30.11.2022</c:v>
                </c:pt>
                <c:pt idx="605">
                  <c:v>29.11.2022</c:v>
                </c:pt>
                <c:pt idx="606">
                  <c:v>28.11.2022</c:v>
                </c:pt>
                <c:pt idx="607">
                  <c:v>25.11.2022</c:v>
                </c:pt>
                <c:pt idx="608">
                  <c:v>24.11.2022</c:v>
                </c:pt>
                <c:pt idx="609">
                  <c:v>23.11.2022</c:v>
                </c:pt>
                <c:pt idx="610">
                  <c:v>22.11.2022</c:v>
                </c:pt>
                <c:pt idx="611">
                  <c:v>18.11.2022</c:v>
                </c:pt>
                <c:pt idx="612">
                  <c:v>17.11.2022</c:v>
                </c:pt>
                <c:pt idx="613">
                  <c:v>16.11.2022</c:v>
                </c:pt>
                <c:pt idx="614">
                  <c:v>15.11.2022</c:v>
                </c:pt>
                <c:pt idx="615">
                  <c:v>14.11.2022</c:v>
                </c:pt>
                <c:pt idx="616">
                  <c:v>11.11.2022</c:v>
                </c:pt>
                <c:pt idx="617">
                  <c:v>10.11.2022</c:v>
                </c:pt>
                <c:pt idx="618">
                  <c:v>09.11.2022</c:v>
                </c:pt>
                <c:pt idx="619">
                  <c:v>08.11.2022</c:v>
                </c:pt>
                <c:pt idx="620">
                  <c:v>07.11.2022</c:v>
                </c:pt>
                <c:pt idx="621">
                  <c:v>04.11.2022</c:v>
                </c:pt>
                <c:pt idx="622">
                  <c:v>03.11.2022</c:v>
                </c:pt>
                <c:pt idx="623">
                  <c:v>01.11.2022</c:v>
                </c:pt>
                <c:pt idx="624">
                  <c:v>31.10.2022</c:v>
                </c:pt>
                <c:pt idx="625">
                  <c:v>28.10.2022</c:v>
                </c:pt>
                <c:pt idx="626">
                  <c:v>27.10.2022</c:v>
                </c:pt>
                <c:pt idx="627">
                  <c:v>26.10.2022</c:v>
                </c:pt>
                <c:pt idx="628">
                  <c:v>25.10.2022</c:v>
                </c:pt>
                <c:pt idx="629">
                  <c:v>24.10.2022</c:v>
                </c:pt>
                <c:pt idx="630">
                  <c:v>21.10.2022</c:v>
                </c:pt>
                <c:pt idx="631">
                  <c:v>20.10.2022</c:v>
                </c:pt>
                <c:pt idx="632">
                  <c:v>19.10.2022</c:v>
                </c:pt>
                <c:pt idx="633">
                  <c:v>18.10.2022</c:v>
                </c:pt>
                <c:pt idx="634">
                  <c:v>17.10.2022</c:v>
                </c:pt>
                <c:pt idx="635">
                  <c:v>14.10.2022</c:v>
                </c:pt>
                <c:pt idx="636">
                  <c:v>13.10.2022</c:v>
                </c:pt>
                <c:pt idx="637">
                  <c:v>12.10.2022</c:v>
                </c:pt>
                <c:pt idx="638">
                  <c:v>11.10.2022</c:v>
                </c:pt>
                <c:pt idx="639">
                  <c:v>10.10.2022</c:v>
                </c:pt>
                <c:pt idx="640">
                  <c:v>07.10.2022</c:v>
                </c:pt>
                <c:pt idx="641">
                  <c:v>06.10.2022</c:v>
                </c:pt>
                <c:pt idx="642">
                  <c:v>05.10.2022</c:v>
                </c:pt>
                <c:pt idx="643">
                  <c:v>04.10.2022</c:v>
                </c:pt>
                <c:pt idx="644">
                  <c:v>03.10.2022</c:v>
                </c:pt>
                <c:pt idx="645">
                  <c:v>30.09.2022</c:v>
                </c:pt>
                <c:pt idx="646">
                  <c:v>29.09.2022</c:v>
                </c:pt>
                <c:pt idx="647">
                  <c:v>28.09.2022</c:v>
                </c:pt>
                <c:pt idx="648">
                  <c:v>27.09.2022</c:v>
                </c:pt>
                <c:pt idx="649">
                  <c:v>26.09.2022</c:v>
                </c:pt>
                <c:pt idx="650">
                  <c:v>23.09.2022</c:v>
                </c:pt>
                <c:pt idx="651">
                  <c:v>22.09.2022</c:v>
                </c:pt>
                <c:pt idx="652">
                  <c:v>21.09.2022</c:v>
                </c:pt>
                <c:pt idx="653">
                  <c:v>20.09.2022</c:v>
                </c:pt>
                <c:pt idx="654">
                  <c:v>19.09.2022</c:v>
                </c:pt>
                <c:pt idx="655">
                  <c:v>15.09.2022</c:v>
                </c:pt>
                <c:pt idx="656">
                  <c:v>14.09.2022</c:v>
                </c:pt>
                <c:pt idx="657">
                  <c:v>13.09.2022</c:v>
                </c:pt>
                <c:pt idx="658">
                  <c:v>12.09.2022</c:v>
                </c:pt>
                <c:pt idx="659">
                  <c:v>09.09.2022</c:v>
                </c:pt>
                <c:pt idx="660">
                  <c:v>08.09.2022</c:v>
                </c:pt>
                <c:pt idx="661">
                  <c:v>07.09.2022</c:v>
                </c:pt>
                <c:pt idx="662">
                  <c:v>06.09.2022</c:v>
                </c:pt>
                <c:pt idx="663">
                  <c:v>05.09.2022</c:v>
                </c:pt>
                <c:pt idx="664">
                  <c:v>02.09.2022</c:v>
                </c:pt>
                <c:pt idx="665">
                  <c:v>01.09.2022</c:v>
                </c:pt>
                <c:pt idx="666">
                  <c:v>31.08.2022</c:v>
                </c:pt>
                <c:pt idx="667">
                  <c:v>30.08.2022</c:v>
                </c:pt>
                <c:pt idx="668">
                  <c:v>29.08.2022</c:v>
                </c:pt>
                <c:pt idx="669">
                  <c:v>26.08.2022</c:v>
                </c:pt>
                <c:pt idx="670">
                  <c:v>25.08.2022</c:v>
                </c:pt>
                <c:pt idx="671">
                  <c:v>24.08.2022</c:v>
                </c:pt>
                <c:pt idx="672">
                  <c:v>23.08.2022</c:v>
                </c:pt>
                <c:pt idx="673">
                  <c:v>22.08.2022</c:v>
                </c:pt>
                <c:pt idx="674">
                  <c:v>19.08.2022</c:v>
                </c:pt>
                <c:pt idx="675">
                  <c:v>18.08.2022</c:v>
                </c:pt>
                <c:pt idx="676">
                  <c:v>17.08.2022</c:v>
                </c:pt>
                <c:pt idx="677">
                  <c:v>16.08.2022</c:v>
                </c:pt>
                <c:pt idx="678">
                  <c:v>15.08.2022</c:v>
                </c:pt>
                <c:pt idx="679">
                  <c:v>12.08.2022</c:v>
                </c:pt>
                <c:pt idx="680">
                  <c:v>11.08.2022</c:v>
                </c:pt>
                <c:pt idx="681">
                  <c:v>10.08.2022</c:v>
                </c:pt>
                <c:pt idx="682">
                  <c:v>09.08.2022</c:v>
                </c:pt>
                <c:pt idx="683">
                  <c:v>08.08.2022</c:v>
                </c:pt>
                <c:pt idx="684">
                  <c:v>05.08.2022</c:v>
                </c:pt>
                <c:pt idx="685">
                  <c:v>04.08.2022</c:v>
                </c:pt>
                <c:pt idx="686">
                  <c:v>03.08.2022</c:v>
                </c:pt>
                <c:pt idx="687">
                  <c:v>02.08.2022</c:v>
                </c:pt>
                <c:pt idx="688">
                  <c:v>01.08.2022</c:v>
                </c:pt>
                <c:pt idx="689">
                  <c:v>29.07.2022</c:v>
                </c:pt>
                <c:pt idx="690">
                  <c:v>28.07.2022</c:v>
                </c:pt>
                <c:pt idx="691">
                  <c:v>27.07.2022</c:v>
                </c:pt>
                <c:pt idx="692">
                  <c:v>26.07.2022</c:v>
                </c:pt>
                <c:pt idx="693">
                  <c:v>25.07.2022</c:v>
                </c:pt>
                <c:pt idx="694">
                  <c:v>22.07.2022</c:v>
                </c:pt>
                <c:pt idx="695">
                  <c:v>21.07.2022</c:v>
                </c:pt>
                <c:pt idx="696">
                  <c:v>20.07.2022</c:v>
                </c:pt>
                <c:pt idx="697">
                  <c:v>19.07.2022</c:v>
                </c:pt>
                <c:pt idx="698">
                  <c:v>18.07.2022</c:v>
                </c:pt>
                <c:pt idx="699">
                  <c:v>15.07.2022</c:v>
                </c:pt>
                <c:pt idx="700">
                  <c:v>14.07.2022</c:v>
                </c:pt>
                <c:pt idx="701">
                  <c:v>13.07.2022</c:v>
                </c:pt>
                <c:pt idx="702">
                  <c:v>12.07.2022</c:v>
                </c:pt>
                <c:pt idx="703">
                  <c:v>11.07.2022</c:v>
                </c:pt>
                <c:pt idx="704">
                  <c:v>08.07.2022</c:v>
                </c:pt>
                <c:pt idx="705">
                  <c:v>07.07.2022</c:v>
                </c:pt>
                <c:pt idx="706">
                  <c:v>06.07.2022</c:v>
                </c:pt>
                <c:pt idx="707">
                  <c:v>05.07.2022</c:v>
                </c:pt>
                <c:pt idx="708">
                  <c:v>04.07.2022</c:v>
                </c:pt>
                <c:pt idx="709">
                  <c:v>01.07.2022</c:v>
                </c:pt>
                <c:pt idx="710">
                  <c:v>30.06.2022</c:v>
                </c:pt>
                <c:pt idx="711">
                  <c:v>29.06.2022</c:v>
                </c:pt>
                <c:pt idx="712">
                  <c:v>28.06.2022</c:v>
                </c:pt>
                <c:pt idx="713">
                  <c:v>27.06.2022</c:v>
                </c:pt>
                <c:pt idx="714">
                  <c:v>24.06.2022</c:v>
                </c:pt>
                <c:pt idx="715">
                  <c:v>23.06.2022</c:v>
                </c:pt>
                <c:pt idx="716">
                  <c:v>22.06.2022</c:v>
                </c:pt>
                <c:pt idx="717">
                  <c:v>21.06.2022</c:v>
                </c:pt>
                <c:pt idx="718">
                  <c:v>20.06.2022</c:v>
                </c:pt>
                <c:pt idx="719">
                  <c:v>17.06.2022</c:v>
                </c:pt>
                <c:pt idx="720">
                  <c:v>16.06.2022</c:v>
                </c:pt>
                <c:pt idx="721">
                  <c:v>15.06.2022</c:v>
                </c:pt>
                <c:pt idx="722">
                  <c:v>14.06.2022</c:v>
                </c:pt>
                <c:pt idx="723">
                  <c:v>13.06.2022</c:v>
                </c:pt>
                <c:pt idx="724">
                  <c:v>10.06.2022</c:v>
                </c:pt>
                <c:pt idx="725">
                  <c:v>09.06.2022</c:v>
                </c:pt>
                <c:pt idx="726">
                  <c:v>08.06.2022</c:v>
                </c:pt>
                <c:pt idx="727">
                  <c:v>07.06.2022</c:v>
                </c:pt>
                <c:pt idx="728">
                  <c:v>06.06.2022</c:v>
                </c:pt>
                <c:pt idx="729">
                  <c:v>03.06.2022</c:v>
                </c:pt>
                <c:pt idx="730">
                  <c:v>02.06.2022</c:v>
                </c:pt>
                <c:pt idx="731">
                  <c:v>01.06.2022</c:v>
                </c:pt>
                <c:pt idx="732">
                  <c:v>31.05.2022</c:v>
                </c:pt>
                <c:pt idx="733">
                  <c:v>30.05.2022</c:v>
                </c:pt>
                <c:pt idx="734">
                  <c:v>27.05.2022</c:v>
                </c:pt>
                <c:pt idx="735">
                  <c:v>26.05.2022</c:v>
                </c:pt>
                <c:pt idx="736">
                  <c:v>25.05.2022</c:v>
                </c:pt>
                <c:pt idx="737">
                  <c:v>24.05.2022</c:v>
                </c:pt>
                <c:pt idx="738">
                  <c:v>23.05.2022</c:v>
                </c:pt>
                <c:pt idx="739">
                  <c:v>20.05.2022</c:v>
                </c:pt>
                <c:pt idx="740">
                  <c:v>19.05.2022</c:v>
                </c:pt>
                <c:pt idx="741">
                  <c:v>18.05.2022</c:v>
                </c:pt>
                <c:pt idx="742">
                  <c:v>17.05.2022</c:v>
                </c:pt>
                <c:pt idx="743">
                  <c:v>16.05.2022</c:v>
                </c:pt>
                <c:pt idx="744">
                  <c:v>13.05.2022</c:v>
                </c:pt>
                <c:pt idx="745">
                  <c:v>12.05.2022</c:v>
                </c:pt>
                <c:pt idx="746">
                  <c:v>11.05.2022</c:v>
                </c:pt>
                <c:pt idx="747">
                  <c:v>10.05.2022</c:v>
                </c:pt>
                <c:pt idx="748">
                  <c:v>09.05.2022</c:v>
                </c:pt>
                <c:pt idx="749">
                  <c:v>06.05.2022</c:v>
                </c:pt>
                <c:pt idx="750">
                  <c:v>05.05.2022</c:v>
                </c:pt>
                <c:pt idx="751">
                  <c:v>04.05.2022</c:v>
                </c:pt>
                <c:pt idx="752">
                  <c:v>03.05.2022</c:v>
                </c:pt>
                <c:pt idx="753">
                  <c:v>02.05.2022</c:v>
                </c:pt>
                <c:pt idx="754">
                  <c:v>29.04.2022</c:v>
                </c:pt>
                <c:pt idx="755">
                  <c:v>28.04.2022</c:v>
                </c:pt>
                <c:pt idx="756">
                  <c:v>27.04.2022</c:v>
                </c:pt>
                <c:pt idx="757">
                  <c:v>26.04.2022</c:v>
                </c:pt>
                <c:pt idx="758">
                  <c:v>25.04.2022</c:v>
                </c:pt>
                <c:pt idx="759">
                  <c:v>22.04.2022</c:v>
                </c:pt>
                <c:pt idx="760">
                  <c:v>21.04.2022</c:v>
                </c:pt>
                <c:pt idx="761">
                  <c:v>20.04.2022</c:v>
                </c:pt>
                <c:pt idx="762">
                  <c:v>19.04.2022</c:v>
                </c:pt>
                <c:pt idx="763">
                  <c:v>18.04.2022</c:v>
                </c:pt>
                <c:pt idx="764">
                  <c:v>13.04.2022</c:v>
                </c:pt>
                <c:pt idx="765">
                  <c:v>12.04.2022</c:v>
                </c:pt>
                <c:pt idx="766">
                  <c:v>11.04.2022</c:v>
                </c:pt>
                <c:pt idx="767">
                  <c:v>08.04.2022</c:v>
                </c:pt>
                <c:pt idx="768">
                  <c:v>07.04.2022</c:v>
                </c:pt>
                <c:pt idx="769">
                  <c:v>06.04.2022</c:v>
                </c:pt>
                <c:pt idx="770">
                  <c:v>05.04.2022</c:v>
                </c:pt>
                <c:pt idx="771">
                  <c:v>04.04.2022</c:v>
                </c:pt>
                <c:pt idx="772">
                  <c:v>01.04.2022</c:v>
                </c:pt>
                <c:pt idx="773">
                  <c:v>31.03.2022</c:v>
                </c:pt>
                <c:pt idx="774">
                  <c:v>30.03.2022</c:v>
                </c:pt>
                <c:pt idx="775">
                  <c:v>29.03.2022</c:v>
                </c:pt>
                <c:pt idx="776">
                  <c:v>28.03.2022</c:v>
                </c:pt>
                <c:pt idx="777">
                  <c:v>25.03.2022</c:v>
                </c:pt>
                <c:pt idx="778">
                  <c:v>24.03.2022</c:v>
                </c:pt>
                <c:pt idx="779">
                  <c:v>23.03.2022</c:v>
                </c:pt>
                <c:pt idx="780">
                  <c:v>22.03.2022</c:v>
                </c:pt>
                <c:pt idx="781">
                  <c:v>18.03.2022</c:v>
                </c:pt>
                <c:pt idx="782">
                  <c:v>17.03.2022</c:v>
                </c:pt>
                <c:pt idx="783">
                  <c:v>16.03.2022</c:v>
                </c:pt>
                <c:pt idx="784">
                  <c:v>15.03.2022</c:v>
                </c:pt>
                <c:pt idx="785">
                  <c:v>14.03.2022</c:v>
                </c:pt>
                <c:pt idx="786">
                  <c:v>11.03.2022</c:v>
                </c:pt>
                <c:pt idx="787">
                  <c:v>10.03.2022</c:v>
                </c:pt>
                <c:pt idx="788">
                  <c:v>09.03.2022</c:v>
                </c:pt>
                <c:pt idx="789">
                  <c:v>08.03.2022</c:v>
                </c:pt>
                <c:pt idx="790">
                  <c:v>07.03.2022</c:v>
                </c:pt>
                <c:pt idx="791">
                  <c:v>04.03.2022</c:v>
                </c:pt>
                <c:pt idx="792">
                  <c:v>03.03.2022</c:v>
                </c:pt>
                <c:pt idx="793">
                  <c:v>02.03.2022</c:v>
                </c:pt>
                <c:pt idx="794">
                  <c:v>01.03.2022</c:v>
                </c:pt>
                <c:pt idx="795">
                  <c:v>28.02.2022</c:v>
                </c:pt>
                <c:pt idx="796">
                  <c:v>25.02.2022</c:v>
                </c:pt>
                <c:pt idx="797">
                  <c:v>24.02.2022</c:v>
                </c:pt>
                <c:pt idx="798">
                  <c:v>23.02.2022</c:v>
                </c:pt>
                <c:pt idx="799">
                  <c:v>22.02.2022</c:v>
                </c:pt>
                <c:pt idx="800">
                  <c:v>21.02.2022</c:v>
                </c:pt>
                <c:pt idx="801">
                  <c:v>18.02.2022</c:v>
                </c:pt>
                <c:pt idx="802">
                  <c:v>17.02.2022</c:v>
                </c:pt>
                <c:pt idx="803">
                  <c:v>16.02.2022</c:v>
                </c:pt>
                <c:pt idx="804">
                  <c:v>15.02.2022</c:v>
                </c:pt>
                <c:pt idx="805">
                  <c:v>14.02.2022</c:v>
                </c:pt>
                <c:pt idx="806">
                  <c:v>11.02.2022</c:v>
                </c:pt>
                <c:pt idx="807">
                  <c:v>10.02.2022</c:v>
                </c:pt>
                <c:pt idx="808">
                  <c:v>09.02.2022</c:v>
                </c:pt>
                <c:pt idx="809">
                  <c:v>08.02.2022</c:v>
                </c:pt>
                <c:pt idx="810">
                  <c:v>04.02.2022</c:v>
                </c:pt>
                <c:pt idx="811">
                  <c:v>03.02.2022</c:v>
                </c:pt>
                <c:pt idx="812">
                  <c:v>02.02.2022</c:v>
                </c:pt>
                <c:pt idx="813">
                  <c:v>01.02.2022</c:v>
                </c:pt>
                <c:pt idx="814">
                  <c:v>31.01.2022</c:v>
                </c:pt>
                <c:pt idx="815">
                  <c:v>28.01.2022</c:v>
                </c:pt>
                <c:pt idx="816">
                  <c:v>27.01.2022</c:v>
                </c:pt>
                <c:pt idx="817">
                  <c:v>26.01.2022</c:v>
                </c:pt>
                <c:pt idx="818">
                  <c:v>25.01.2022</c:v>
                </c:pt>
                <c:pt idx="819">
                  <c:v>24.01.2022</c:v>
                </c:pt>
                <c:pt idx="820">
                  <c:v>21.01.2022</c:v>
                </c:pt>
                <c:pt idx="821">
                  <c:v>20.01.2022</c:v>
                </c:pt>
                <c:pt idx="822">
                  <c:v>19.01.2022</c:v>
                </c:pt>
                <c:pt idx="823">
                  <c:v>18.01.2022</c:v>
                </c:pt>
                <c:pt idx="824">
                  <c:v>17.01.2022</c:v>
                </c:pt>
                <c:pt idx="825">
                  <c:v>14.01.2022</c:v>
                </c:pt>
                <c:pt idx="826">
                  <c:v>13.01.2022</c:v>
                </c:pt>
                <c:pt idx="827">
                  <c:v>12.01.2022</c:v>
                </c:pt>
                <c:pt idx="828">
                  <c:v>11.01.2022</c:v>
                </c:pt>
                <c:pt idx="829">
                  <c:v>10.01.2022</c:v>
                </c:pt>
                <c:pt idx="830">
                  <c:v>07.01.2022</c:v>
                </c:pt>
                <c:pt idx="831">
                  <c:v>06.01.2022</c:v>
                </c:pt>
                <c:pt idx="832">
                  <c:v>05.01.2022</c:v>
                </c:pt>
                <c:pt idx="833">
                  <c:v>04.01.2022</c:v>
                </c:pt>
                <c:pt idx="834">
                  <c:v>03.01.2022</c:v>
                </c:pt>
                <c:pt idx="835">
                  <c:v>31.12.2021</c:v>
                </c:pt>
                <c:pt idx="836">
                  <c:v>30.12.2021</c:v>
                </c:pt>
                <c:pt idx="837">
                  <c:v>29.12.2021</c:v>
                </c:pt>
                <c:pt idx="838">
                  <c:v>28.12.2021</c:v>
                </c:pt>
                <c:pt idx="839">
                  <c:v>27.12.2021</c:v>
                </c:pt>
                <c:pt idx="840">
                  <c:v>24.12.2021</c:v>
                </c:pt>
                <c:pt idx="841">
                  <c:v>23.12.2021</c:v>
                </c:pt>
                <c:pt idx="842">
                  <c:v>22.12.2021</c:v>
                </c:pt>
                <c:pt idx="843">
                  <c:v>21.12.2021</c:v>
                </c:pt>
                <c:pt idx="844">
                  <c:v>20.12.2021</c:v>
                </c:pt>
                <c:pt idx="845">
                  <c:v>17.12.2021</c:v>
                </c:pt>
                <c:pt idx="846">
                  <c:v>16.12.2021</c:v>
                </c:pt>
                <c:pt idx="847">
                  <c:v>15.12.2021</c:v>
                </c:pt>
                <c:pt idx="848">
                  <c:v>14.12.2021</c:v>
                </c:pt>
                <c:pt idx="849">
                  <c:v>13.12.2021</c:v>
                </c:pt>
                <c:pt idx="850">
                  <c:v>10.12.2021</c:v>
                </c:pt>
                <c:pt idx="851">
                  <c:v>09.12.2021</c:v>
                </c:pt>
                <c:pt idx="852">
                  <c:v>08.12.2021</c:v>
                </c:pt>
                <c:pt idx="853">
                  <c:v>07.12.2021</c:v>
                </c:pt>
                <c:pt idx="854">
                  <c:v>06.12.2021</c:v>
                </c:pt>
                <c:pt idx="855">
                  <c:v>03.12.2021</c:v>
                </c:pt>
                <c:pt idx="856">
                  <c:v>02.12.2021</c:v>
                </c:pt>
                <c:pt idx="857">
                  <c:v>01.12.2021</c:v>
                </c:pt>
                <c:pt idx="858">
                  <c:v>30.11.2021</c:v>
                </c:pt>
                <c:pt idx="859">
                  <c:v>29.11.2021</c:v>
                </c:pt>
                <c:pt idx="860">
                  <c:v>26.11.2021</c:v>
                </c:pt>
                <c:pt idx="861">
                  <c:v>25.11.2021</c:v>
                </c:pt>
                <c:pt idx="862">
                  <c:v>24.11.2021</c:v>
                </c:pt>
                <c:pt idx="863">
                  <c:v>23.11.2021</c:v>
                </c:pt>
                <c:pt idx="864">
                  <c:v>22.11.2021</c:v>
                </c:pt>
                <c:pt idx="865">
                  <c:v>19.11.2021</c:v>
                </c:pt>
                <c:pt idx="866">
                  <c:v>18.11.2021</c:v>
                </c:pt>
                <c:pt idx="867">
                  <c:v>17.11.2021</c:v>
                </c:pt>
                <c:pt idx="868">
                  <c:v>16.11.2021</c:v>
                </c:pt>
                <c:pt idx="869">
                  <c:v>12.11.2021</c:v>
                </c:pt>
                <c:pt idx="870">
                  <c:v>11.11.2021</c:v>
                </c:pt>
                <c:pt idx="871">
                  <c:v>10.11.2021</c:v>
                </c:pt>
                <c:pt idx="872">
                  <c:v>09.11.2021</c:v>
                </c:pt>
                <c:pt idx="873">
                  <c:v>08.11.2021</c:v>
                </c:pt>
                <c:pt idx="874">
                  <c:v>05.11.2021</c:v>
                </c:pt>
                <c:pt idx="875">
                  <c:v>04.11.2021</c:v>
                </c:pt>
                <c:pt idx="876">
                  <c:v>03.11.2021</c:v>
                </c:pt>
                <c:pt idx="877">
                  <c:v>01.11.2021</c:v>
                </c:pt>
                <c:pt idx="878">
                  <c:v>29.10.2021</c:v>
                </c:pt>
                <c:pt idx="879">
                  <c:v>28.10.2021</c:v>
                </c:pt>
                <c:pt idx="880">
                  <c:v>27.10.2021</c:v>
                </c:pt>
                <c:pt idx="881">
                  <c:v>26.10.2021</c:v>
                </c:pt>
                <c:pt idx="882">
                  <c:v>25.10.2021</c:v>
                </c:pt>
                <c:pt idx="883">
                  <c:v>22.10.2021</c:v>
                </c:pt>
                <c:pt idx="884">
                  <c:v>21.10.2021</c:v>
                </c:pt>
                <c:pt idx="885">
                  <c:v>20.10.2021</c:v>
                </c:pt>
                <c:pt idx="886">
                  <c:v>19.10.2021</c:v>
                </c:pt>
                <c:pt idx="887">
                  <c:v>18.10.2021</c:v>
                </c:pt>
                <c:pt idx="888">
                  <c:v>15.10.2021</c:v>
                </c:pt>
                <c:pt idx="889">
                  <c:v>14.10.2021</c:v>
                </c:pt>
                <c:pt idx="890">
                  <c:v>13.10.2021</c:v>
                </c:pt>
                <c:pt idx="891">
                  <c:v>12.10.2021</c:v>
                </c:pt>
                <c:pt idx="892">
                  <c:v>11.10.2021</c:v>
                </c:pt>
                <c:pt idx="893">
                  <c:v>08.10.2021</c:v>
                </c:pt>
                <c:pt idx="894">
                  <c:v>07.10.2021</c:v>
                </c:pt>
                <c:pt idx="895">
                  <c:v>06.10.2021</c:v>
                </c:pt>
                <c:pt idx="896">
                  <c:v>05.10.2021</c:v>
                </c:pt>
                <c:pt idx="897">
                  <c:v>04.10.2021</c:v>
                </c:pt>
                <c:pt idx="898">
                  <c:v>01.10.2021</c:v>
                </c:pt>
                <c:pt idx="899">
                  <c:v>30.09.2021</c:v>
                </c:pt>
                <c:pt idx="900">
                  <c:v>29.09.2021</c:v>
                </c:pt>
                <c:pt idx="901">
                  <c:v>28.09.2021</c:v>
                </c:pt>
                <c:pt idx="902">
                  <c:v>27.09.2021</c:v>
                </c:pt>
                <c:pt idx="903">
                  <c:v>24.09.2021</c:v>
                </c:pt>
                <c:pt idx="904">
                  <c:v>23.09.2021</c:v>
                </c:pt>
                <c:pt idx="905">
                  <c:v>22.09.2021</c:v>
                </c:pt>
                <c:pt idx="906">
                  <c:v>21.09.2021</c:v>
                </c:pt>
                <c:pt idx="907">
                  <c:v>20.09.2021</c:v>
                </c:pt>
                <c:pt idx="908">
                  <c:v>17.09.2021</c:v>
                </c:pt>
                <c:pt idx="909">
                  <c:v>15.09.2021</c:v>
                </c:pt>
                <c:pt idx="910">
                  <c:v>14.09.2021</c:v>
                </c:pt>
                <c:pt idx="911">
                  <c:v>13.09.2021</c:v>
                </c:pt>
                <c:pt idx="912">
                  <c:v>10.09.2021</c:v>
                </c:pt>
                <c:pt idx="913">
                  <c:v>09.09.2021</c:v>
                </c:pt>
                <c:pt idx="914">
                  <c:v>08.09.2021</c:v>
                </c:pt>
                <c:pt idx="915">
                  <c:v>07.09.2021</c:v>
                </c:pt>
                <c:pt idx="916">
                  <c:v>06.09.2021</c:v>
                </c:pt>
                <c:pt idx="917">
                  <c:v>03.09.2021</c:v>
                </c:pt>
                <c:pt idx="918">
                  <c:v>02.09.2021</c:v>
                </c:pt>
                <c:pt idx="919">
                  <c:v>01.09.2021</c:v>
                </c:pt>
                <c:pt idx="920">
                  <c:v>31.08.2021</c:v>
                </c:pt>
                <c:pt idx="921">
                  <c:v>30.08.2021</c:v>
                </c:pt>
                <c:pt idx="922">
                  <c:v>27.08.2021</c:v>
                </c:pt>
                <c:pt idx="923">
                  <c:v>26.08.2021</c:v>
                </c:pt>
                <c:pt idx="924">
                  <c:v>25.08.2021</c:v>
                </c:pt>
                <c:pt idx="925">
                  <c:v>24.08.2021</c:v>
                </c:pt>
                <c:pt idx="926">
                  <c:v>23.08.2021</c:v>
                </c:pt>
                <c:pt idx="927">
                  <c:v>20.08.2021</c:v>
                </c:pt>
                <c:pt idx="928">
                  <c:v>19.08.2021</c:v>
                </c:pt>
                <c:pt idx="929">
                  <c:v>18.08.2021</c:v>
                </c:pt>
                <c:pt idx="930">
                  <c:v>17.08.2021</c:v>
                </c:pt>
                <c:pt idx="931">
                  <c:v>16.08.2021</c:v>
                </c:pt>
                <c:pt idx="932">
                  <c:v>13.08.2021</c:v>
                </c:pt>
                <c:pt idx="933">
                  <c:v>12.08.2021</c:v>
                </c:pt>
                <c:pt idx="934">
                  <c:v>11.08.2021</c:v>
                </c:pt>
                <c:pt idx="935">
                  <c:v>10.08.2021</c:v>
                </c:pt>
                <c:pt idx="936">
                  <c:v>09.08.2021</c:v>
                </c:pt>
                <c:pt idx="937">
                  <c:v>06.08.2021</c:v>
                </c:pt>
                <c:pt idx="938">
                  <c:v>05.08.2021</c:v>
                </c:pt>
                <c:pt idx="939">
                  <c:v>04.08.2021</c:v>
                </c:pt>
                <c:pt idx="940">
                  <c:v>03.08.2021</c:v>
                </c:pt>
                <c:pt idx="941">
                  <c:v>02.08.2021</c:v>
                </c:pt>
                <c:pt idx="942">
                  <c:v>30.07.2021</c:v>
                </c:pt>
                <c:pt idx="943">
                  <c:v>29.07.2021</c:v>
                </c:pt>
                <c:pt idx="944">
                  <c:v>28.07.2021</c:v>
                </c:pt>
                <c:pt idx="945">
                  <c:v>27.07.2021</c:v>
                </c:pt>
                <c:pt idx="946">
                  <c:v>26.07.2021</c:v>
                </c:pt>
                <c:pt idx="947">
                  <c:v>23.07.2021</c:v>
                </c:pt>
                <c:pt idx="948">
                  <c:v>22.07.2021</c:v>
                </c:pt>
                <c:pt idx="949">
                  <c:v>21.07.2021</c:v>
                </c:pt>
                <c:pt idx="950">
                  <c:v>20.07.2021</c:v>
                </c:pt>
                <c:pt idx="951">
                  <c:v>19.07.2021</c:v>
                </c:pt>
                <c:pt idx="952">
                  <c:v>16.07.2021</c:v>
                </c:pt>
                <c:pt idx="953">
                  <c:v>15.07.2021</c:v>
                </c:pt>
                <c:pt idx="954">
                  <c:v>14.07.2021</c:v>
                </c:pt>
                <c:pt idx="955">
                  <c:v>13.07.2021</c:v>
                </c:pt>
                <c:pt idx="956">
                  <c:v>12.07.2021</c:v>
                </c:pt>
                <c:pt idx="957">
                  <c:v>09.07.2021</c:v>
                </c:pt>
                <c:pt idx="958">
                  <c:v>08.07.2021</c:v>
                </c:pt>
                <c:pt idx="959">
                  <c:v>07.07.2021</c:v>
                </c:pt>
                <c:pt idx="960">
                  <c:v>06.07.2021</c:v>
                </c:pt>
                <c:pt idx="961">
                  <c:v>05.07.2021</c:v>
                </c:pt>
                <c:pt idx="962">
                  <c:v>02.07.2021</c:v>
                </c:pt>
                <c:pt idx="963">
                  <c:v>01.07.2021</c:v>
                </c:pt>
                <c:pt idx="964">
                  <c:v>30.06.2021</c:v>
                </c:pt>
                <c:pt idx="965">
                  <c:v>29.06.2021</c:v>
                </c:pt>
                <c:pt idx="966">
                  <c:v>28.06.2021</c:v>
                </c:pt>
                <c:pt idx="967">
                  <c:v>25.06.2021</c:v>
                </c:pt>
                <c:pt idx="968">
                  <c:v>24.06.2021</c:v>
                </c:pt>
                <c:pt idx="969">
                  <c:v>23.06.2021</c:v>
                </c:pt>
                <c:pt idx="970">
                  <c:v>22.06.2021</c:v>
                </c:pt>
                <c:pt idx="971">
                  <c:v>21.06.2021</c:v>
                </c:pt>
                <c:pt idx="972">
                  <c:v>18.06.2021</c:v>
                </c:pt>
                <c:pt idx="973">
                  <c:v>17.06.2021</c:v>
                </c:pt>
                <c:pt idx="974">
                  <c:v>16.06.2021</c:v>
                </c:pt>
                <c:pt idx="975">
                  <c:v>15.06.2021</c:v>
                </c:pt>
                <c:pt idx="976">
                  <c:v>14.06.2021</c:v>
                </c:pt>
                <c:pt idx="977">
                  <c:v>11.06.2021</c:v>
                </c:pt>
                <c:pt idx="978">
                  <c:v>10.06.2021</c:v>
                </c:pt>
                <c:pt idx="979">
                  <c:v>09.06.2021</c:v>
                </c:pt>
                <c:pt idx="980">
                  <c:v>08.06.2021</c:v>
                </c:pt>
                <c:pt idx="981">
                  <c:v>07.06.2021</c:v>
                </c:pt>
                <c:pt idx="982">
                  <c:v>04.06.2021</c:v>
                </c:pt>
                <c:pt idx="983">
                  <c:v>03.06.2021</c:v>
                </c:pt>
                <c:pt idx="984">
                  <c:v>02.06.2021</c:v>
                </c:pt>
                <c:pt idx="985">
                  <c:v>01.06.2021</c:v>
                </c:pt>
                <c:pt idx="986">
                  <c:v>31.05.2021</c:v>
                </c:pt>
                <c:pt idx="987">
                  <c:v>28.05.2021</c:v>
                </c:pt>
                <c:pt idx="988">
                  <c:v>27.05.2021</c:v>
                </c:pt>
                <c:pt idx="989">
                  <c:v>26.05.2021</c:v>
                </c:pt>
                <c:pt idx="990">
                  <c:v>25.05.2021</c:v>
                </c:pt>
                <c:pt idx="991">
                  <c:v>24.05.2021</c:v>
                </c:pt>
                <c:pt idx="992">
                  <c:v>21.05.2021</c:v>
                </c:pt>
                <c:pt idx="993">
                  <c:v>20.05.2021</c:v>
                </c:pt>
                <c:pt idx="994">
                  <c:v>19.05.2021</c:v>
                </c:pt>
                <c:pt idx="995">
                  <c:v>18.05.2021</c:v>
                </c:pt>
                <c:pt idx="996">
                  <c:v>17.05.2021</c:v>
                </c:pt>
                <c:pt idx="997">
                  <c:v>14.05.2021</c:v>
                </c:pt>
                <c:pt idx="998">
                  <c:v>13.05.2021</c:v>
                </c:pt>
                <c:pt idx="999">
                  <c:v>12.05.2021</c:v>
                </c:pt>
                <c:pt idx="1000">
                  <c:v>11.05.2021</c:v>
                </c:pt>
                <c:pt idx="1001">
                  <c:v>10.05.2021</c:v>
                </c:pt>
                <c:pt idx="1002">
                  <c:v>07.05.2021</c:v>
                </c:pt>
                <c:pt idx="1003">
                  <c:v>06.05.2021</c:v>
                </c:pt>
                <c:pt idx="1004">
                  <c:v>05.05.2021</c:v>
                </c:pt>
                <c:pt idx="1005">
                  <c:v>04.05.2021</c:v>
                </c:pt>
                <c:pt idx="1006">
                  <c:v>03.05.2021</c:v>
                </c:pt>
                <c:pt idx="1007">
                  <c:v>30.04.2021</c:v>
                </c:pt>
                <c:pt idx="1008">
                  <c:v>29.04.2021</c:v>
                </c:pt>
                <c:pt idx="1009">
                  <c:v>28.04.2021</c:v>
                </c:pt>
                <c:pt idx="1010">
                  <c:v>27.04.2021</c:v>
                </c:pt>
                <c:pt idx="1011">
                  <c:v>26.04.2021</c:v>
                </c:pt>
                <c:pt idx="1012">
                  <c:v>23.04.2021</c:v>
                </c:pt>
                <c:pt idx="1013">
                  <c:v>22.04.2021</c:v>
                </c:pt>
                <c:pt idx="1014">
                  <c:v>21.04.2021</c:v>
                </c:pt>
                <c:pt idx="1015">
                  <c:v>20.04.2021</c:v>
                </c:pt>
                <c:pt idx="1016">
                  <c:v>19.04.2021</c:v>
                </c:pt>
                <c:pt idx="1017">
                  <c:v>16.04.2021</c:v>
                </c:pt>
                <c:pt idx="1018">
                  <c:v>15.04.2021</c:v>
                </c:pt>
                <c:pt idx="1019">
                  <c:v>14.04.2021</c:v>
                </c:pt>
                <c:pt idx="1020">
                  <c:v>13.04.2021</c:v>
                </c:pt>
                <c:pt idx="1021">
                  <c:v>12.04.2021</c:v>
                </c:pt>
                <c:pt idx="1022">
                  <c:v>09.04.2021</c:v>
                </c:pt>
                <c:pt idx="1023">
                  <c:v>08.04.2021</c:v>
                </c:pt>
                <c:pt idx="1024">
                  <c:v>07.04.2021</c:v>
                </c:pt>
                <c:pt idx="1025">
                  <c:v>06.04.2021</c:v>
                </c:pt>
                <c:pt idx="1026">
                  <c:v>05.04.2021</c:v>
                </c:pt>
                <c:pt idx="1027">
                  <c:v>31.03.2021</c:v>
                </c:pt>
                <c:pt idx="1028">
                  <c:v>30.03.2021</c:v>
                </c:pt>
                <c:pt idx="1029">
                  <c:v>29.03.2021</c:v>
                </c:pt>
                <c:pt idx="1030">
                  <c:v>26.03.2021</c:v>
                </c:pt>
                <c:pt idx="1031">
                  <c:v>25.03.2021</c:v>
                </c:pt>
                <c:pt idx="1032">
                  <c:v>24.03.2021</c:v>
                </c:pt>
                <c:pt idx="1033">
                  <c:v>23.03.2021</c:v>
                </c:pt>
                <c:pt idx="1034">
                  <c:v>22.03.2021</c:v>
                </c:pt>
                <c:pt idx="1035">
                  <c:v>19.03.2021</c:v>
                </c:pt>
                <c:pt idx="1036">
                  <c:v>18.03.2021</c:v>
                </c:pt>
                <c:pt idx="1037">
                  <c:v>17.03.2021</c:v>
                </c:pt>
                <c:pt idx="1038">
                  <c:v>16.03.2021</c:v>
                </c:pt>
                <c:pt idx="1039">
                  <c:v>12.03.2021</c:v>
                </c:pt>
                <c:pt idx="1040">
                  <c:v>11.03.2021</c:v>
                </c:pt>
                <c:pt idx="1041">
                  <c:v>10.03.2021</c:v>
                </c:pt>
                <c:pt idx="1042">
                  <c:v>09.03.2021</c:v>
                </c:pt>
                <c:pt idx="1043">
                  <c:v>08.03.2021</c:v>
                </c:pt>
                <c:pt idx="1044">
                  <c:v>05.03.2021</c:v>
                </c:pt>
                <c:pt idx="1045">
                  <c:v>04.03.2021</c:v>
                </c:pt>
                <c:pt idx="1046">
                  <c:v>03.03.2021</c:v>
                </c:pt>
                <c:pt idx="1047">
                  <c:v>02.03.2021</c:v>
                </c:pt>
                <c:pt idx="1048">
                  <c:v>01.03.2021</c:v>
                </c:pt>
                <c:pt idx="1049">
                  <c:v>26.02.2021</c:v>
                </c:pt>
                <c:pt idx="1050">
                  <c:v>25.02.2021</c:v>
                </c:pt>
                <c:pt idx="1051">
                  <c:v>24.02.2021</c:v>
                </c:pt>
                <c:pt idx="1052">
                  <c:v>23.02.2021</c:v>
                </c:pt>
                <c:pt idx="1053">
                  <c:v>22.02.2021</c:v>
                </c:pt>
                <c:pt idx="1054">
                  <c:v>19.02.2021</c:v>
                </c:pt>
                <c:pt idx="1055">
                  <c:v>18.02.2021</c:v>
                </c:pt>
                <c:pt idx="1056">
                  <c:v>17.02.2021</c:v>
                </c:pt>
                <c:pt idx="1057">
                  <c:v>16.02.2021</c:v>
                </c:pt>
                <c:pt idx="1058">
                  <c:v>15.02.2021</c:v>
                </c:pt>
                <c:pt idx="1059">
                  <c:v>12.02.2021</c:v>
                </c:pt>
                <c:pt idx="1060">
                  <c:v>11.02.2021</c:v>
                </c:pt>
                <c:pt idx="1061">
                  <c:v>10.02.2021</c:v>
                </c:pt>
                <c:pt idx="1062">
                  <c:v>09.02.2021</c:v>
                </c:pt>
                <c:pt idx="1063">
                  <c:v>08.02.2021</c:v>
                </c:pt>
                <c:pt idx="1064">
                  <c:v>05.02.2021</c:v>
                </c:pt>
                <c:pt idx="1065">
                  <c:v>04.02.2021</c:v>
                </c:pt>
                <c:pt idx="1066">
                  <c:v>03.02.2021</c:v>
                </c:pt>
                <c:pt idx="1067">
                  <c:v>02.02.2021</c:v>
                </c:pt>
                <c:pt idx="1068">
                  <c:v>29.01.2021</c:v>
                </c:pt>
                <c:pt idx="1069">
                  <c:v>28.01.2021</c:v>
                </c:pt>
                <c:pt idx="1070">
                  <c:v>27.01.2021</c:v>
                </c:pt>
                <c:pt idx="1071">
                  <c:v>26.01.2021</c:v>
                </c:pt>
                <c:pt idx="1072">
                  <c:v>25.01.2021</c:v>
                </c:pt>
                <c:pt idx="1073">
                  <c:v>22.01.2021</c:v>
                </c:pt>
                <c:pt idx="1074">
                  <c:v>21.01.2021</c:v>
                </c:pt>
                <c:pt idx="1075">
                  <c:v>20.01.2021</c:v>
                </c:pt>
                <c:pt idx="1076">
                  <c:v>19.01.2021</c:v>
                </c:pt>
                <c:pt idx="1077">
                  <c:v>18.01.2021</c:v>
                </c:pt>
                <c:pt idx="1078">
                  <c:v>15.01.2021</c:v>
                </c:pt>
                <c:pt idx="1079">
                  <c:v>14.01.2021</c:v>
                </c:pt>
                <c:pt idx="1080">
                  <c:v>13.01.2021</c:v>
                </c:pt>
                <c:pt idx="1081">
                  <c:v>12.01.2021</c:v>
                </c:pt>
                <c:pt idx="1082">
                  <c:v>11.01.2021</c:v>
                </c:pt>
                <c:pt idx="1083">
                  <c:v>08.01.2021</c:v>
                </c:pt>
                <c:pt idx="1084">
                  <c:v>07.01.2021</c:v>
                </c:pt>
                <c:pt idx="1085">
                  <c:v>06.01.2021</c:v>
                </c:pt>
                <c:pt idx="1086">
                  <c:v>05.01.2021</c:v>
                </c:pt>
                <c:pt idx="1087">
                  <c:v>04.01.2021</c:v>
                </c:pt>
                <c:pt idx="1088">
                  <c:v>31.12.2020</c:v>
                </c:pt>
                <c:pt idx="1089">
                  <c:v>30.12.2020</c:v>
                </c:pt>
                <c:pt idx="1090">
                  <c:v>29.12.2020</c:v>
                </c:pt>
                <c:pt idx="1091">
                  <c:v>28.12.2020</c:v>
                </c:pt>
                <c:pt idx="1092">
                  <c:v>24.12.2020</c:v>
                </c:pt>
                <c:pt idx="1093">
                  <c:v>23.12.2020</c:v>
                </c:pt>
                <c:pt idx="1094">
                  <c:v>22.12.2020</c:v>
                </c:pt>
                <c:pt idx="1095">
                  <c:v>21.12.2020</c:v>
                </c:pt>
                <c:pt idx="1096">
                  <c:v>18.12.2020</c:v>
                </c:pt>
                <c:pt idx="1097">
                  <c:v>17.12.2020</c:v>
                </c:pt>
                <c:pt idx="1098">
                  <c:v>16.12.2020</c:v>
                </c:pt>
                <c:pt idx="1099">
                  <c:v>15.12.2020</c:v>
                </c:pt>
                <c:pt idx="1100">
                  <c:v>14.12.2020</c:v>
                </c:pt>
                <c:pt idx="1101">
                  <c:v>11.12.2020</c:v>
                </c:pt>
                <c:pt idx="1102">
                  <c:v>10.12.2020</c:v>
                </c:pt>
                <c:pt idx="1103">
                  <c:v>09.12.2020</c:v>
                </c:pt>
                <c:pt idx="1104">
                  <c:v>08.12.2020</c:v>
                </c:pt>
                <c:pt idx="1105">
                  <c:v>07.12.2020</c:v>
                </c:pt>
                <c:pt idx="1106">
                  <c:v>04.12.2020</c:v>
                </c:pt>
                <c:pt idx="1107">
                  <c:v>03.12.2020</c:v>
                </c:pt>
                <c:pt idx="1108">
                  <c:v>02.12.2020</c:v>
                </c:pt>
                <c:pt idx="1109">
                  <c:v>01.12.2020</c:v>
                </c:pt>
                <c:pt idx="1110">
                  <c:v>30.11.2020</c:v>
                </c:pt>
                <c:pt idx="1111">
                  <c:v>27.11.2020</c:v>
                </c:pt>
                <c:pt idx="1112">
                  <c:v>26.11.2020</c:v>
                </c:pt>
                <c:pt idx="1113">
                  <c:v>25.11.2020</c:v>
                </c:pt>
                <c:pt idx="1114">
                  <c:v>24.11.2020</c:v>
                </c:pt>
                <c:pt idx="1115">
                  <c:v>23.11.2020</c:v>
                </c:pt>
                <c:pt idx="1116">
                  <c:v>20.11.2020</c:v>
                </c:pt>
                <c:pt idx="1117">
                  <c:v>19.11.2020</c:v>
                </c:pt>
                <c:pt idx="1118">
                  <c:v>18.11.2020</c:v>
                </c:pt>
                <c:pt idx="1119">
                  <c:v>17.11.2020</c:v>
                </c:pt>
                <c:pt idx="1120">
                  <c:v>13.11.2020</c:v>
                </c:pt>
                <c:pt idx="1121">
                  <c:v>12.11.2020</c:v>
                </c:pt>
                <c:pt idx="1122">
                  <c:v>11.11.2020</c:v>
                </c:pt>
                <c:pt idx="1123">
                  <c:v>10.11.2020</c:v>
                </c:pt>
                <c:pt idx="1124">
                  <c:v>09.11.2020</c:v>
                </c:pt>
                <c:pt idx="1125">
                  <c:v>06.11.2020</c:v>
                </c:pt>
                <c:pt idx="1126">
                  <c:v>05.11.2020</c:v>
                </c:pt>
                <c:pt idx="1127">
                  <c:v>04.11.2020</c:v>
                </c:pt>
                <c:pt idx="1128">
                  <c:v>03.11.2020</c:v>
                </c:pt>
                <c:pt idx="1129">
                  <c:v>30.10.2020</c:v>
                </c:pt>
                <c:pt idx="1130">
                  <c:v>29.10.2020</c:v>
                </c:pt>
                <c:pt idx="1131">
                  <c:v>28.10.2020</c:v>
                </c:pt>
                <c:pt idx="1132">
                  <c:v>27.10.2020</c:v>
                </c:pt>
                <c:pt idx="1133">
                  <c:v>26.10.2020</c:v>
                </c:pt>
                <c:pt idx="1134">
                  <c:v>23.10.2020</c:v>
                </c:pt>
                <c:pt idx="1135">
                  <c:v>22.10.2020</c:v>
                </c:pt>
                <c:pt idx="1136">
                  <c:v>21.10.2020</c:v>
                </c:pt>
                <c:pt idx="1137">
                  <c:v>20.10.2020</c:v>
                </c:pt>
                <c:pt idx="1138">
                  <c:v>19.10.2020</c:v>
                </c:pt>
                <c:pt idx="1139">
                  <c:v>16.10.2020</c:v>
                </c:pt>
                <c:pt idx="1140">
                  <c:v>15.10.2020</c:v>
                </c:pt>
                <c:pt idx="1141">
                  <c:v>14.10.2020</c:v>
                </c:pt>
                <c:pt idx="1142">
                  <c:v>13.10.2020</c:v>
                </c:pt>
                <c:pt idx="1143">
                  <c:v>12.10.2020</c:v>
                </c:pt>
                <c:pt idx="1144">
                  <c:v>09.10.2020</c:v>
                </c:pt>
                <c:pt idx="1145">
                  <c:v>08.10.2020</c:v>
                </c:pt>
                <c:pt idx="1146">
                  <c:v>07.10.2020</c:v>
                </c:pt>
                <c:pt idx="1147">
                  <c:v>06.10.2020</c:v>
                </c:pt>
                <c:pt idx="1148">
                  <c:v>05.10.2020</c:v>
                </c:pt>
                <c:pt idx="1149">
                  <c:v>02.10.2020</c:v>
                </c:pt>
                <c:pt idx="1150">
                  <c:v>01.10.2020</c:v>
                </c:pt>
                <c:pt idx="1151">
                  <c:v>30.09.2020</c:v>
                </c:pt>
                <c:pt idx="1152">
                  <c:v>29.09.2020</c:v>
                </c:pt>
                <c:pt idx="1153">
                  <c:v>28.09.2020</c:v>
                </c:pt>
                <c:pt idx="1154">
                  <c:v>25.09.2020</c:v>
                </c:pt>
                <c:pt idx="1155">
                  <c:v>24.09.2020</c:v>
                </c:pt>
                <c:pt idx="1156">
                  <c:v>23.09.2020</c:v>
                </c:pt>
                <c:pt idx="1157">
                  <c:v>22.09.2020</c:v>
                </c:pt>
                <c:pt idx="1158">
                  <c:v>21.09.2020</c:v>
                </c:pt>
                <c:pt idx="1159">
                  <c:v>18.09.2020</c:v>
                </c:pt>
                <c:pt idx="1160">
                  <c:v>17.09.2020</c:v>
                </c:pt>
                <c:pt idx="1161">
                  <c:v>15.09.2020</c:v>
                </c:pt>
                <c:pt idx="1162">
                  <c:v>14.09.2020</c:v>
                </c:pt>
                <c:pt idx="1163">
                  <c:v>11.09.2020</c:v>
                </c:pt>
                <c:pt idx="1164">
                  <c:v>10.09.2020</c:v>
                </c:pt>
                <c:pt idx="1165">
                  <c:v>09.09.2020</c:v>
                </c:pt>
                <c:pt idx="1166">
                  <c:v>08.09.2020</c:v>
                </c:pt>
                <c:pt idx="1167">
                  <c:v>07.09.2020</c:v>
                </c:pt>
                <c:pt idx="1168">
                  <c:v>04.09.2020</c:v>
                </c:pt>
                <c:pt idx="1169">
                  <c:v>03.09.2020</c:v>
                </c:pt>
                <c:pt idx="1170">
                  <c:v>02.09.2020</c:v>
                </c:pt>
                <c:pt idx="1171">
                  <c:v>01.09.2020</c:v>
                </c:pt>
                <c:pt idx="1172">
                  <c:v>31.08.2020</c:v>
                </c:pt>
                <c:pt idx="1173">
                  <c:v>28.08.2020</c:v>
                </c:pt>
                <c:pt idx="1174">
                  <c:v>27.08.2020</c:v>
                </c:pt>
                <c:pt idx="1175">
                  <c:v>26.08.2020</c:v>
                </c:pt>
                <c:pt idx="1176">
                  <c:v>25.08.2020</c:v>
                </c:pt>
                <c:pt idx="1177">
                  <c:v>24.08.2020</c:v>
                </c:pt>
                <c:pt idx="1178">
                  <c:v>21.08.2020</c:v>
                </c:pt>
                <c:pt idx="1179">
                  <c:v>20.08.2020</c:v>
                </c:pt>
                <c:pt idx="1180">
                  <c:v>19.08.2020</c:v>
                </c:pt>
                <c:pt idx="1181">
                  <c:v>18.08.2020</c:v>
                </c:pt>
                <c:pt idx="1182">
                  <c:v>17.08.2020</c:v>
                </c:pt>
                <c:pt idx="1183">
                  <c:v>14.08.2020</c:v>
                </c:pt>
                <c:pt idx="1184">
                  <c:v>13.08.2020</c:v>
                </c:pt>
                <c:pt idx="1185">
                  <c:v>12.08.2020</c:v>
                </c:pt>
                <c:pt idx="1186">
                  <c:v>11.08.2020</c:v>
                </c:pt>
                <c:pt idx="1187">
                  <c:v>10.08.2020</c:v>
                </c:pt>
                <c:pt idx="1188">
                  <c:v>07.08.2020</c:v>
                </c:pt>
                <c:pt idx="1189">
                  <c:v>06.08.2020</c:v>
                </c:pt>
                <c:pt idx="1190">
                  <c:v>05.08.2020</c:v>
                </c:pt>
                <c:pt idx="1191">
                  <c:v>04.08.2020</c:v>
                </c:pt>
                <c:pt idx="1192">
                  <c:v>03.08.2020</c:v>
                </c:pt>
                <c:pt idx="1193">
                  <c:v>31.07.2020</c:v>
                </c:pt>
                <c:pt idx="1194">
                  <c:v>30.07.2020</c:v>
                </c:pt>
                <c:pt idx="1195">
                  <c:v>29.07.2020</c:v>
                </c:pt>
                <c:pt idx="1196">
                  <c:v>28.07.2020</c:v>
                </c:pt>
                <c:pt idx="1197">
                  <c:v>27.07.2020</c:v>
                </c:pt>
                <c:pt idx="1198">
                  <c:v>24.07.2020</c:v>
                </c:pt>
                <c:pt idx="1199">
                  <c:v>23.07.2020</c:v>
                </c:pt>
                <c:pt idx="1200">
                  <c:v>22.07.2020</c:v>
                </c:pt>
                <c:pt idx="1201">
                  <c:v>21.07.2020</c:v>
                </c:pt>
                <c:pt idx="1202">
                  <c:v>20.07.2020</c:v>
                </c:pt>
                <c:pt idx="1203">
                  <c:v>17.07.2020</c:v>
                </c:pt>
                <c:pt idx="1204">
                  <c:v>16.07.2020</c:v>
                </c:pt>
                <c:pt idx="1205">
                  <c:v>15.07.2020</c:v>
                </c:pt>
                <c:pt idx="1206">
                  <c:v>14.07.2020</c:v>
                </c:pt>
                <c:pt idx="1207">
                  <c:v>13.07.2020</c:v>
                </c:pt>
                <c:pt idx="1208">
                  <c:v>10.07.2020</c:v>
                </c:pt>
                <c:pt idx="1209">
                  <c:v>09.07.2020</c:v>
                </c:pt>
                <c:pt idx="1210">
                  <c:v>08.07.2020</c:v>
                </c:pt>
                <c:pt idx="1211">
                  <c:v>07.07.2020</c:v>
                </c:pt>
                <c:pt idx="1212">
                  <c:v>06.07.2020</c:v>
                </c:pt>
                <c:pt idx="1213">
                  <c:v>03.07.2020</c:v>
                </c:pt>
                <c:pt idx="1214">
                  <c:v>02.07.2020</c:v>
                </c:pt>
                <c:pt idx="1215">
                  <c:v>01.07.2020</c:v>
                </c:pt>
                <c:pt idx="1216">
                  <c:v>30.06.2020</c:v>
                </c:pt>
                <c:pt idx="1217">
                  <c:v>29.06.2020</c:v>
                </c:pt>
                <c:pt idx="1218">
                  <c:v>26.06.2020</c:v>
                </c:pt>
                <c:pt idx="1219">
                  <c:v>25.06.2020</c:v>
                </c:pt>
                <c:pt idx="1220">
                  <c:v>24.06.2020</c:v>
                </c:pt>
                <c:pt idx="1221">
                  <c:v>23.06.2020</c:v>
                </c:pt>
                <c:pt idx="1222">
                  <c:v>22.06.2020</c:v>
                </c:pt>
                <c:pt idx="1223">
                  <c:v>19.06.2020</c:v>
                </c:pt>
                <c:pt idx="1224">
                  <c:v>18.06.2020</c:v>
                </c:pt>
                <c:pt idx="1225">
                  <c:v>17.06.2020</c:v>
                </c:pt>
                <c:pt idx="1226">
                  <c:v>16.06.2020</c:v>
                </c:pt>
                <c:pt idx="1227">
                  <c:v>15.06.2020</c:v>
                </c:pt>
                <c:pt idx="1228">
                  <c:v>12.06.2020</c:v>
                </c:pt>
                <c:pt idx="1229">
                  <c:v>11.06.2020</c:v>
                </c:pt>
                <c:pt idx="1230">
                  <c:v>10.06.2020</c:v>
                </c:pt>
                <c:pt idx="1231">
                  <c:v>09.06.2020</c:v>
                </c:pt>
                <c:pt idx="1232">
                  <c:v>08.06.2020</c:v>
                </c:pt>
                <c:pt idx="1233">
                  <c:v>05.06.2020</c:v>
                </c:pt>
                <c:pt idx="1234">
                  <c:v>04.06.2020</c:v>
                </c:pt>
                <c:pt idx="1235">
                  <c:v>03.06.2020</c:v>
                </c:pt>
                <c:pt idx="1236">
                  <c:v>02.06.2020</c:v>
                </c:pt>
                <c:pt idx="1237">
                  <c:v>01.06.2020</c:v>
                </c:pt>
                <c:pt idx="1238">
                  <c:v>29.05.2020</c:v>
                </c:pt>
                <c:pt idx="1239">
                  <c:v>28.05.2020</c:v>
                </c:pt>
                <c:pt idx="1240">
                  <c:v>27.05.2020</c:v>
                </c:pt>
                <c:pt idx="1241">
                  <c:v>26.05.2020</c:v>
                </c:pt>
                <c:pt idx="1242">
                  <c:v>25.05.2020</c:v>
                </c:pt>
                <c:pt idx="1243">
                  <c:v>22.05.2020</c:v>
                </c:pt>
                <c:pt idx="1244">
                  <c:v>21.05.2020</c:v>
                </c:pt>
                <c:pt idx="1245">
                  <c:v>20.05.2020</c:v>
                </c:pt>
                <c:pt idx="1246">
                  <c:v>19.05.2020</c:v>
                </c:pt>
                <c:pt idx="1247">
                  <c:v>18.05.2020</c:v>
                </c:pt>
                <c:pt idx="1248">
                  <c:v>15.05.2020</c:v>
                </c:pt>
                <c:pt idx="1249">
                  <c:v>14.05.2020</c:v>
                </c:pt>
                <c:pt idx="1250">
                  <c:v>13.05.2020</c:v>
                </c:pt>
                <c:pt idx="1251">
                  <c:v>12.05.2020</c:v>
                </c:pt>
                <c:pt idx="1252">
                  <c:v>11.05.2020</c:v>
                </c:pt>
                <c:pt idx="1253">
                  <c:v>08.05.2020</c:v>
                </c:pt>
                <c:pt idx="1254">
                  <c:v>07.05.2020</c:v>
                </c:pt>
                <c:pt idx="1255">
                  <c:v>06.05.2020</c:v>
                </c:pt>
                <c:pt idx="1256">
                  <c:v>05.05.2020</c:v>
                </c:pt>
                <c:pt idx="1257">
                  <c:v>04.05.2020</c:v>
                </c:pt>
                <c:pt idx="1258">
                  <c:v>30.04.2020</c:v>
                </c:pt>
              </c:strCache>
            </c:strRef>
          </c:cat>
          <c:val>
            <c:numRef>
              <c:f>WALMEX!$B$2:$B$1260</c:f>
              <c:numCache>
                <c:formatCode>General</c:formatCode>
                <c:ptCount val="1259"/>
                <c:pt idx="0">
                  <c:v>62.15</c:v>
                </c:pt>
                <c:pt idx="1">
                  <c:v>59.72</c:v>
                </c:pt>
                <c:pt idx="2">
                  <c:v>62.25</c:v>
                </c:pt>
                <c:pt idx="3">
                  <c:v>61.11</c:v>
                </c:pt>
                <c:pt idx="4">
                  <c:v>62.54</c:v>
                </c:pt>
                <c:pt idx="5">
                  <c:v>62.18</c:v>
                </c:pt>
                <c:pt idx="6">
                  <c:v>63.51</c:v>
                </c:pt>
                <c:pt idx="7">
                  <c:v>60.79</c:v>
                </c:pt>
                <c:pt idx="8">
                  <c:v>58.88</c:v>
                </c:pt>
                <c:pt idx="9">
                  <c:v>57.09</c:v>
                </c:pt>
                <c:pt idx="10">
                  <c:v>56.6</c:v>
                </c:pt>
                <c:pt idx="11">
                  <c:v>55.66</c:v>
                </c:pt>
                <c:pt idx="12">
                  <c:v>56.17</c:v>
                </c:pt>
                <c:pt idx="13">
                  <c:v>57.93</c:v>
                </c:pt>
                <c:pt idx="14">
                  <c:v>56.33</c:v>
                </c:pt>
                <c:pt idx="15">
                  <c:v>56.95</c:v>
                </c:pt>
                <c:pt idx="16">
                  <c:v>56.8</c:v>
                </c:pt>
                <c:pt idx="17">
                  <c:v>59.38</c:v>
                </c:pt>
                <c:pt idx="18">
                  <c:v>57.89</c:v>
                </c:pt>
                <c:pt idx="19">
                  <c:v>57.22</c:v>
                </c:pt>
                <c:pt idx="20">
                  <c:v>56.36</c:v>
                </c:pt>
                <c:pt idx="21">
                  <c:v>57.28</c:v>
                </c:pt>
                <c:pt idx="22">
                  <c:v>58.39</c:v>
                </c:pt>
                <c:pt idx="23">
                  <c:v>56.4</c:v>
                </c:pt>
                <c:pt idx="24">
                  <c:v>56.31</c:v>
                </c:pt>
                <c:pt idx="25">
                  <c:v>56.13</c:v>
                </c:pt>
                <c:pt idx="26">
                  <c:v>56.17</c:v>
                </c:pt>
                <c:pt idx="27">
                  <c:v>54.78</c:v>
                </c:pt>
                <c:pt idx="28">
                  <c:v>54.47</c:v>
                </c:pt>
                <c:pt idx="29">
                  <c:v>54.95</c:v>
                </c:pt>
                <c:pt idx="30">
                  <c:v>53.52</c:v>
                </c:pt>
                <c:pt idx="31">
                  <c:v>52.77</c:v>
                </c:pt>
                <c:pt idx="32">
                  <c:v>54.33</c:v>
                </c:pt>
                <c:pt idx="33">
                  <c:v>53.52</c:v>
                </c:pt>
                <c:pt idx="34">
                  <c:v>54.07</c:v>
                </c:pt>
                <c:pt idx="35">
                  <c:v>55.43</c:v>
                </c:pt>
                <c:pt idx="36">
                  <c:v>54.35</c:v>
                </c:pt>
                <c:pt idx="37">
                  <c:v>55.45</c:v>
                </c:pt>
                <c:pt idx="38">
                  <c:v>54.79</c:v>
                </c:pt>
                <c:pt idx="39">
                  <c:v>54.83</c:v>
                </c:pt>
                <c:pt idx="40">
                  <c:v>54.38</c:v>
                </c:pt>
                <c:pt idx="41">
                  <c:v>55.61</c:v>
                </c:pt>
                <c:pt idx="42">
                  <c:v>55.88</c:v>
                </c:pt>
                <c:pt idx="43">
                  <c:v>55.87</c:v>
                </c:pt>
                <c:pt idx="44">
                  <c:v>56.77</c:v>
                </c:pt>
                <c:pt idx="45">
                  <c:v>56.29</c:v>
                </c:pt>
                <c:pt idx="46">
                  <c:v>56.47</c:v>
                </c:pt>
                <c:pt idx="47">
                  <c:v>55.75</c:v>
                </c:pt>
                <c:pt idx="48">
                  <c:v>55.66</c:v>
                </c:pt>
                <c:pt idx="49">
                  <c:v>54.91</c:v>
                </c:pt>
                <c:pt idx="50">
                  <c:v>54.6</c:v>
                </c:pt>
                <c:pt idx="51">
                  <c:v>58.49</c:v>
                </c:pt>
                <c:pt idx="52">
                  <c:v>57.97</c:v>
                </c:pt>
                <c:pt idx="53">
                  <c:v>57.99</c:v>
                </c:pt>
                <c:pt idx="54">
                  <c:v>56.29</c:v>
                </c:pt>
                <c:pt idx="55">
                  <c:v>55.36</c:v>
                </c:pt>
                <c:pt idx="56">
                  <c:v>55.56</c:v>
                </c:pt>
                <c:pt idx="57">
                  <c:v>54.76</c:v>
                </c:pt>
                <c:pt idx="58">
                  <c:v>55.06</c:v>
                </c:pt>
                <c:pt idx="59">
                  <c:v>53.72</c:v>
                </c:pt>
                <c:pt idx="60">
                  <c:v>54.71</c:v>
                </c:pt>
                <c:pt idx="61">
                  <c:v>54.71</c:v>
                </c:pt>
                <c:pt idx="62">
                  <c:v>56.09</c:v>
                </c:pt>
                <c:pt idx="63">
                  <c:v>57.18</c:v>
                </c:pt>
                <c:pt idx="64">
                  <c:v>57.62</c:v>
                </c:pt>
                <c:pt idx="65">
                  <c:v>56.83</c:v>
                </c:pt>
                <c:pt idx="66">
                  <c:v>57.47</c:v>
                </c:pt>
                <c:pt idx="67">
                  <c:v>56.29</c:v>
                </c:pt>
                <c:pt idx="68">
                  <c:v>55.25</c:v>
                </c:pt>
                <c:pt idx="69">
                  <c:v>53.58</c:v>
                </c:pt>
                <c:pt idx="70">
                  <c:v>54.79</c:v>
                </c:pt>
                <c:pt idx="71">
                  <c:v>57.14</c:v>
                </c:pt>
                <c:pt idx="72">
                  <c:v>57.65</c:v>
                </c:pt>
                <c:pt idx="73">
                  <c:v>57.89</c:v>
                </c:pt>
                <c:pt idx="74">
                  <c:v>57.03</c:v>
                </c:pt>
                <c:pt idx="75">
                  <c:v>56.96</c:v>
                </c:pt>
                <c:pt idx="76">
                  <c:v>55.94</c:v>
                </c:pt>
                <c:pt idx="77">
                  <c:v>56.13</c:v>
                </c:pt>
                <c:pt idx="78">
                  <c:v>54.94</c:v>
                </c:pt>
                <c:pt idx="79">
                  <c:v>54.22</c:v>
                </c:pt>
                <c:pt idx="80">
                  <c:v>55.31</c:v>
                </c:pt>
                <c:pt idx="81">
                  <c:v>54.89</c:v>
                </c:pt>
                <c:pt idx="82">
                  <c:v>54.03</c:v>
                </c:pt>
                <c:pt idx="83">
                  <c:v>55.02</c:v>
                </c:pt>
                <c:pt idx="84">
                  <c:v>55.92</c:v>
                </c:pt>
                <c:pt idx="85">
                  <c:v>56.18</c:v>
                </c:pt>
                <c:pt idx="86">
                  <c:v>56.3</c:v>
                </c:pt>
                <c:pt idx="87">
                  <c:v>57.36</c:v>
                </c:pt>
                <c:pt idx="88">
                  <c:v>58.03</c:v>
                </c:pt>
                <c:pt idx="89">
                  <c:v>58.33</c:v>
                </c:pt>
                <c:pt idx="90">
                  <c:v>57.45</c:v>
                </c:pt>
                <c:pt idx="91">
                  <c:v>59.71</c:v>
                </c:pt>
                <c:pt idx="92">
                  <c:v>61.4</c:v>
                </c:pt>
                <c:pt idx="93">
                  <c:v>57.1</c:v>
                </c:pt>
                <c:pt idx="94">
                  <c:v>57.01</c:v>
                </c:pt>
                <c:pt idx="95">
                  <c:v>57.23</c:v>
                </c:pt>
                <c:pt idx="96">
                  <c:v>57.28</c:v>
                </c:pt>
                <c:pt idx="97">
                  <c:v>57.02</c:v>
                </c:pt>
                <c:pt idx="98">
                  <c:v>56.51</c:v>
                </c:pt>
                <c:pt idx="99">
                  <c:v>54.83</c:v>
                </c:pt>
                <c:pt idx="100">
                  <c:v>54.14</c:v>
                </c:pt>
                <c:pt idx="101">
                  <c:v>53.9</c:v>
                </c:pt>
                <c:pt idx="102">
                  <c:v>53.42</c:v>
                </c:pt>
                <c:pt idx="103">
                  <c:v>54.32</c:v>
                </c:pt>
                <c:pt idx="104">
                  <c:v>53.52</c:v>
                </c:pt>
                <c:pt idx="105">
                  <c:v>53.25</c:v>
                </c:pt>
                <c:pt idx="106">
                  <c:v>53.49</c:v>
                </c:pt>
                <c:pt idx="107">
                  <c:v>51.89</c:v>
                </c:pt>
                <c:pt idx="108">
                  <c:v>53.32</c:v>
                </c:pt>
                <c:pt idx="109">
                  <c:v>53.76</c:v>
                </c:pt>
                <c:pt idx="110">
                  <c:v>55.02</c:v>
                </c:pt>
                <c:pt idx="111">
                  <c:v>55.04</c:v>
                </c:pt>
                <c:pt idx="112">
                  <c:v>56.35</c:v>
                </c:pt>
                <c:pt idx="113">
                  <c:v>55.59</c:v>
                </c:pt>
                <c:pt idx="114">
                  <c:v>55.28</c:v>
                </c:pt>
                <c:pt idx="115">
                  <c:v>56.04</c:v>
                </c:pt>
                <c:pt idx="116">
                  <c:v>56.1</c:v>
                </c:pt>
                <c:pt idx="117">
                  <c:v>56.05</c:v>
                </c:pt>
                <c:pt idx="118">
                  <c:v>55.89</c:v>
                </c:pt>
                <c:pt idx="119">
                  <c:v>56.29</c:v>
                </c:pt>
                <c:pt idx="120">
                  <c:v>55.91</c:v>
                </c:pt>
                <c:pt idx="121">
                  <c:v>55.02</c:v>
                </c:pt>
                <c:pt idx="122">
                  <c:v>55.17</c:v>
                </c:pt>
                <c:pt idx="123">
                  <c:v>55.9</c:v>
                </c:pt>
                <c:pt idx="124">
                  <c:v>56.98</c:v>
                </c:pt>
                <c:pt idx="125">
                  <c:v>57.08</c:v>
                </c:pt>
                <c:pt idx="126">
                  <c:v>59.12</c:v>
                </c:pt>
                <c:pt idx="127">
                  <c:v>61.54</c:v>
                </c:pt>
                <c:pt idx="128">
                  <c:v>60.3</c:v>
                </c:pt>
                <c:pt idx="129">
                  <c:v>60.03</c:v>
                </c:pt>
                <c:pt idx="130">
                  <c:v>59.81</c:v>
                </c:pt>
                <c:pt idx="131">
                  <c:v>59.54</c:v>
                </c:pt>
                <c:pt idx="132">
                  <c:v>58.99</c:v>
                </c:pt>
                <c:pt idx="133">
                  <c:v>58.99</c:v>
                </c:pt>
                <c:pt idx="134">
                  <c:v>58.78</c:v>
                </c:pt>
                <c:pt idx="135">
                  <c:v>59.41</c:v>
                </c:pt>
                <c:pt idx="136">
                  <c:v>59.57</c:v>
                </c:pt>
                <c:pt idx="137">
                  <c:v>56.37</c:v>
                </c:pt>
                <c:pt idx="138">
                  <c:v>57.02</c:v>
                </c:pt>
                <c:pt idx="139">
                  <c:v>57.95</c:v>
                </c:pt>
                <c:pt idx="140">
                  <c:v>58.93</c:v>
                </c:pt>
                <c:pt idx="141">
                  <c:v>57.64</c:v>
                </c:pt>
                <c:pt idx="142">
                  <c:v>57.71</c:v>
                </c:pt>
                <c:pt idx="143">
                  <c:v>59.17</c:v>
                </c:pt>
                <c:pt idx="144">
                  <c:v>58.13</c:v>
                </c:pt>
                <c:pt idx="145">
                  <c:v>59.67</c:v>
                </c:pt>
                <c:pt idx="146">
                  <c:v>60.75</c:v>
                </c:pt>
                <c:pt idx="147">
                  <c:v>61.97</c:v>
                </c:pt>
                <c:pt idx="148">
                  <c:v>60.6</c:v>
                </c:pt>
                <c:pt idx="149">
                  <c:v>60.93</c:v>
                </c:pt>
                <c:pt idx="150">
                  <c:v>61.24</c:v>
                </c:pt>
                <c:pt idx="151">
                  <c:v>61.14</c:v>
                </c:pt>
                <c:pt idx="152">
                  <c:v>62.01</c:v>
                </c:pt>
                <c:pt idx="153">
                  <c:v>60.64</c:v>
                </c:pt>
                <c:pt idx="154">
                  <c:v>61.22</c:v>
                </c:pt>
                <c:pt idx="155">
                  <c:v>60.98</c:v>
                </c:pt>
                <c:pt idx="156">
                  <c:v>59.95</c:v>
                </c:pt>
                <c:pt idx="157">
                  <c:v>60.78</c:v>
                </c:pt>
                <c:pt idx="158">
                  <c:v>59.69</c:v>
                </c:pt>
                <c:pt idx="159">
                  <c:v>59.94</c:v>
                </c:pt>
                <c:pt idx="160">
                  <c:v>60.56</c:v>
                </c:pt>
                <c:pt idx="161">
                  <c:v>61.91</c:v>
                </c:pt>
                <c:pt idx="162">
                  <c:v>63.39</c:v>
                </c:pt>
                <c:pt idx="163">
                  <c:v>62.77</c:v>
                </c:pt>
                <c:pt idx="164">
                  <c:v>62.47</c:v>
                </c:pt>
                <c:pt idx="165">
                  <c:v>61.5</c:v>
                </c:pt>
                <c:pt idx="166">
                  <c:v>62.41</c:v>
                </c:pt>
                <c:pt idx="167">
                  <c:v>62.59</c:v>
                </c:pt>
                <c:pt idx="168">
                  <c:v>63.09</c:v>
                </c:pt>
                <c:pt idx="169">
                  <c:v>63.05</c:v>
                </c:pt>
                <c:pt idx="170">
                  <c:v>64.09</c:v>
                </c:pt>
                <c:pt idx="171">
                  <c:v>62.64</c:v>
                </c:pt>
                <c:pt idx="172">
                  <c:v>62.9</c:v>
                </c:pt>
                <c:pt idx="173">
                  <c:v>63.1</c:v>
                </c:pt>
                <c:pt idx="174">
                  <c:v>63.15</c:v>
                </c:pt>
                <c:pt idx="175">
                  <c:v>62.76</c:v>
                </c:pt>
                <c:pt idx="176">
                  <c:v>63.36</c:v>
                </c:pt>
                <c:pt idx="177">
                  <c:v>62.64</c:v>
                </c:pt>
                <c:pt idx="178">
                  <c:v>62.33</c:v>
                </c:pt>
                <c:pt idx="179">
                  <c:v>61.76</c:v>
                </c:pt>
                <c:pt idx="180">
                  <c:v>60.84</c:v>
                </c:pt>
                <c:pt idx="181">
                  <c:v>60.81</c:v>
                </c:pt>
                <c:pt idx="182">
                  <c:v>59.06</c:v>
                </c:pt>
                <c:pt idx="183">
                  <c:v>60.26</c:v>
                </c:pt>
                <c:pt idx="184">
                  <c:v>60.84</c:v>
                </c:pt>
                <c:pt idx="185">
                  <c:v>61.96</c:v>
                </c:pt>
                <c:pt idx="186">
                  <c:v>61.59</c:v>
                </c:pt>
                <c:pt idx="187">
                  <c:v>62.09</c:v>
                </c:pt>
                <c:pt idx="188">
                  <c:v>61.38</c:v>
                </c:pt>
                <c:pt idx="189">
                  <c:v>62.83</c:v>
                </c:pt>
                <c:pt idx="190">
                  <c:v>62.7</c:v>
                </c:pt>
                <c:pt idx="191">
                  <c:v>63.26</c:v>
                </c:pt>
                <c:pt idx="192">
                  <c:v>63.46</c:v>
                </c:pt>
                <c:pt idx="193">
                  <c:v>63.84</c:v>
                </c:pt>
                <c:pt idx="194">
                  <c:v>63.33</c:v>
                </c:pt>
                <c:pt idx="195">
                  <c:v>64.77</c:v>
                </c:pt>
                <c:pt idx="196">
                  <c:v>65.56</c:v>
                </c:pt>
                <c:pt idx="197">
                  <c:v>67.069999999999993</c:v>
                </c:pt>
                <c:pt idx="198">
                  <c:v>68.02</c:v>
                </c:pt>
                <c:pt idx="199">
                  <c:v>65.55</c:v>
                </c:pt>
                <c:pt idx="200">
                  <c:v>64.42</c:v>
                </c:pt>
                <c:pt idx="201">
                  <c:v>63.95</c:v>
                </c:pt>
                <c:pt idx="202">
                  <c:v>61.89</c:v>
                </c:pt>
                <c:pt idx="203">
                  <c:v>61.51</c:v>
                </c:pt>
                <c:pt idx="204">
                  <c:v>61.45</c:v>
                </c:pt>
                <c:pt idx="205">
                  <c:v>61.48</c:v>
                </c:pt>
                <c:pt idx="206">
                  <c:v>61.42</c:v>
                </c:pt>
                <c:pt idx="207">
                  <c:v>62.53</c:v>
                </c:pt>
                <c:pt idx="208">
                  <c:v>62.26</c:v>
                </c:pt>
                <c:pt idx="209">
                  <c:v>62.09</c:v>
                </c:pt>
                <c:pt idx="210">
                  <c:v>62.04</c:v>
                </c:pt>
                <c:pt idx="211">
                  <c:v>62.49</c:v>
                </c:pt>
                <c:pt idx="212">
                  <c:v>60.64</c:v>
                </c:pt>
                <c:pt idx="213">
                  <c:v>61.89</c:v>
                </c:pt>
                <c:pt idx="214">
                  <c:v>62.02</c:v>
                </c:pt>
                <c:pt idx="215">
                  <c:v>62.39</c:v>
                </c:pt>
                <c:pt idx="216">
                  <c:v>62.03</c:v>
                </c:pt>
                <c:pt idx="217">
                  <c:v>61.25</c:v>
                </c:pt>
                <c:pt idx="218">
                  <c:v>60.6</c:v>
                </c:pt>
                <c:pt idx="219">
                  <c:v>60.96</c:v>
                </c:pt>
                <c:pt idx="220">
                  <c:v>61.03</c:v>
                </c:pt>
                <c:pt idx="221">
                  <c:v>62.01</c:v>
                </c:pt>
                <c:pt idx="222">
                  <c:v>62.4</c:v>
                </c:pt>
                <c:pt idx="223">
                  <c:v>62.59</c:v>
                </c:pt>
                <c:pt idx="224">
                  <c:v>63.4</c:v>
                </c:pt>
                <c:pt idx="225">
                  <c:v>62.79</c:v>
                </c:pt>
                <c:pt idx="226">
                  <c:v>61.55</c:v>
                </c:pt>
                <c:pt idx="227">
                  <c:v>59.94</c:v>
                </c:pt>
                <c:pt idx="228">
                  <c:v>63.79</c:v>
                </c:pt>
                <c:pt idx="229">
                  <c:v>63.65</c:v>
                </c:pt>
                <c:pt idx="230">
                  <c:v>63.65</c:v>
                </c:pt>
                <c:pt idx="231">
                  <c:v>64.56</c:v>
                </c:pt>
                <c:pt idx="232">
                  <c:v>65.03</c:v>
                </c:pt>
                <c:pt idx="233">
                  <c:v>65.069999999999993</c:v>
                </c:pt>
                <c:pt idx="234">
                  <c:v>66.39</c:v>
                </c:pt>
                <c:pt idx="235">
                  <c:v>66.62</c:v>
                </c:pt>
                <c:pt idx="236">
                  <c:v>66.78</c:v>
                </c:pt>
                <c:pt idx="237">
                  <c:v>67.97</c:v>
                </c:pt>
                <c:pt idx="238">
                  <c:v>67.900000000000006</c:v>
                </c:pt>
                <c:pt idx="239">
                  <c:v>68.069999999999993</c:v>
                </c:pt>
                <c:pt idx="240">
                  <c:v>67.73</c:v>
                </c:pt>
                <c:pt idx="241">
                  <c:v>67.11</c:v>
                </c:pt>
                <c:pt idx="242">
                  <c:v>68.5</c:v>
                </c:pt>
                <c:pt idx="243">
                  <c:v>69</c:v>
                </c:pt>
                <c:pt idx="244">
                  <c:v>68.34</c:v>
                </c:pt>
                <c:pt idx="245">
                  <c:v>66.5</c:v>
                </c:pt>
                <c:pt idx="246">
                  <c:v>65.53</c:v>
                </c:pt>
                <c:pt idx="247">
                  <c:v>65.67</c:v>
                </c:pt>
                <c:pt idx="248">
                  <c:v>64.34</c:v>
                </c:pt>
                <c:pt idx="249">
                  <c:v>63.49</c:v>
                </c:pt>
                <c:pt idx="250">
                  <c:v>63.92</c:v>
                </c:pt>
                <c:pt idx="251">
                  <c:v>66.86</c:v>
                </c:pt>
                <c:pt idx="252">
                  <c:v>66.459999999999994</c:v>
                </c:pt>
                <c:pt idx="253">
                  <c:v>67.56</c:v>
                </c:pt>
                <c:pt idx="254">
                  <c:v>65.709999999999994</c:v>
                </c:pt>
                <c:pt idx="255">
                  <c:v>65.22</c:v>
                </c:pt>
                <c:pt idx="256">
                  <c:v>64.11</c:v>
                </c:pt>
                <c:pt idx="257">
                  <c:v>64.36</c:v>
                </c:pt>
                <c:pt idx="258">
                  <c:v>63.11</c:v>
                </c:pt>
                <c:pt idx="259">
                  <c:v>63.74</c:v>
                </c:pt>
                <c:pt idx="260">
                  <c:v>63.5</c:v>
                </c:pt>
                <c:pt idx="261">
                  <c:v>65.42</c:v>
                </c:pt>
                <c:pt idx="262">
                  <c:v>64.849999999999994</c:v>
                </c:pt>
                <c:pt idx="263">
                  <c:v>65.87</c:v>
                </c:pt>
                <c:pt idx="264">
                  <c:v>64.989999999999995</c:v>
                </c:pt>
                <c:pt idx="265">
                  <c:v>65.77</c:v>
                </c:pt>
                <c:pt idx="266">
                  <c:v>66</c:v>
                </c:pt>
                <c:pt idx="267">
                  <c:v>66.790000000000006</c:v>
                </c:pt>
                <c:pt idx="268">
                  <c:v>65.09</c:v>
                </c:pt>
                <c:pt idx="269">
                  <c:v>66.430000000000007</c:v>
                </c:pt>
                <c:pt idx="270">
                  <c:v>66.31</c:v>
                </c:pt>
                <c:pt idx="271">
                  <c:v>66.069999999999993</c:v>
                </c:pt>
                <c:pt idx="272">
                  <c:v>67</c:v>
                </c:pt>
                <c:pt idx="273">
                  <c:v>67.02</c:v>
                </c:pt>
                <c:pt idx="274">
                  <c:v>66.95</c:v>
                </c:pt>
                <c:pt idx="275">
                  <c:v>66.95</c:v>
                </c:pt>
                <c:pt idx="276">
                  <c:v>67.52</c:v>
                </c:pt>
                <c:pt idx="277">
                  <c:v>67.78</c:v>
                </c:pt>
                <c:pt idx="278">
                  <c:v>65.5</c:v>
                </c:pt>
                <c:pt idx="279">
                  <c:v>66.44</c:v>
                </c:pt>
                <c:pt idx="280">
                  <c:v>67.31</c:v>
                </c:pt>
                <c:pt idx="281">
                  <c:v>67.38</c:v>
                </c:pt>
                <c:pt idx="282">
                  <c:v>67.14</c:v>
                </c:pt>
                <c:pt idx="283">
                  <c:v>66.7</c:v>
                </c:pt>
                <c:pt idx="284">
                  <c:v>67.099999999999994</c:v>
                </c:pt>
                <c:pt idx="285">
                  <c:v>66.67</c:v>
                </c:pt>
                <c:pt idx="286">
                  <c:v>66.790000000000006</c:v>
                </c:pt>
                <c:pt idx="287">
                  <c:v>66.819999999999993</c:v>
                </c:pt>
                <c:pt idx="288">
                  <c:v>67.22</c:v>
                </c:pt>
                <c:pt idx="289">
                  <c:v>67.53</c:v>
                </c:pt>
                <c:pt idx="290">
                  <c:v>68.25</c:v>
                </c:pt>
                <c:pt idx="291">
                  <c:v>67.7</c:v>
                </c:pt>
                <c:pt idx="292">
                  <c:v>67.86</c:v>
                </c:pt>
                <c:pt idx="293">
                  <c:v>68.930000000000007</c:v>
                </c:pt>
                <c:pt idx="294">
                  <c:v>69.61</c:v>
                </c:pt>
                <c:pt idx="295">
                  <c:v>68.73</c:v>
                </c:pt>
                <c:pt idx="296">
                  <c:v>69</c:v>
                </c:pt>
                <c:pt idx="297">
                  <c:v>68.95</c:v>
                </c:pt>
                <c:pt idx="298">
                  <c:v>68.41</c:v>
                </c:pt>
                <c:pt idx="299">
                  <c:v>68.010000000000005</c:v>
                </c:pt>
                <c:pt idx="300">
                  <c:v>68.72</c:v>
                </c:pt>
                <c:pt idx="301">
                  <c:v>70.739999999999995</c:v>
                </c:pt>
                <c:pt idx="302">
                  <c:v>70.69</c:v>
                </c:pt>
                <c:pt idx="303">
                  <c:v>71.400000000000006</c:v>
                </c:pt>
                <c:pt idx="304">
                  <c:v>71.77</c:v>
                </c:pt>
                <c:pt idx="305">
                  <c:v>71.56</c:v>
                </c:pt>
                <c:pt idx="306">
                  <c:v>71.61</c:v>
                </c:pt>
                <c:pt idx="307">
                  <c:v>72.88</c:v>
                </c:pt>
                <c:pt idx="308">
                  <c:v>71.819999999999993</c:v>
                </c:pt>
                <c:pt idx="309">
                  <c:v>71.959999999999994</c:v>
                </c:pt>
                <c:pt idx="310">
                  <c:v>71.11</c:v>
                </c:pt>
                <c:pt idx="311">
                  <c:v>71.78</c:v>
                </c:pt>
                <c:pt idx="312">
                  <c:v>70.5</c:v>
                </c:pt>
                <c:pt idx="313">
                  <c:v>70.72</c:v>
                </c:pt>
                <c:pt idx="314">
                  <c:v>69.209999999999994</c:v>
                </c:pt>
                <c:pt idx="315">
                  <c:v>66.75</c:v>
                </c:pt>
                <c:pt idx="316">
                  <c:v>67.38</c:v>
                </c:pt>
                <c:pt idx="317">
                  <c:v>65.92</c:v>
                </c:pt>
                <c:pt idx="318">
                  <c:v>68.42</c:v>
                </c:pt>
                <c:pt idx="319">
                  <c:v>68.22</c:v>
                </c:pt>
                <c:pt idx="320">
                  <c:v>68.97</c:v>
                </c:pt>
                <c:pt idx="321">
                  <c:v>70.12</c:v>
                </c:pt>
                <c:pt idx="322">
                  <c:v>70.55</c:v>
                </c:pt>
                <c:pt idx="323">
                  <c:v>70.930000000000007</c:v>
                </c:pt>
                <c:pt idx="324">
                  <c:v>69.989999999999995</c:v>
                </c:pt>
                <c:pt idx="325">
                  <c:v>69.59</c:v>
                </c:pt>
                <c:pt idx="326">
                  <c:v>67.67</c:v>
                </c:pt>
                <c:pt idx="327">
                  <c:v>70.14</c:v>
                </c:pt>
                <c:pt idx="328">
                  <c:v>69.62</c:v>
                </c:pt>
                <c:pt idx="329">
                  <c:v>69.98</c:v>
                </c:pt>
                <c:pt idx="330">
                  <c:v>69.88</c:v>
                </c:pt>
                <c:pt idx="331">
                  <c:v>71.69</c:v>
                </c:pt>
                <c:pt idx="332">
                  <c:v>71.569999999999993</c:v>
                </c:pt>
                <c:pt idx="333">
                  <c:v>71.430000000000007</c:v>
                </c:pt>
                <c:pt idx="334">
                  <c:v>71.900000000000006</c:v>
                </c:pt>
                <c:pt idx="335">
                  <c:v>71.3</c:v>
                </c:pt>
                <c:pt idx="336">
                  <c:v>70.63</c:v>
                </c:pt>
                <c:pt idx="337">
                  <c:v>70.75</c:v>
                </c:pt>
                <c:pt idx="338">
                  <c:v>70.78</c:v>
                </c:pt>
                <c:pt idx="339">
                  <c:v>71.510000000000005</c:v>
                </c:pt>
                <c:pt idx="340">
                  <c:v>70.08</c:v>
                </c:pt>
                <c:pt idx="341">
                  <c:v>68.930000000000007</c:v>
                </c:pt>
                <c:pt idx="342">
                  <c:v>70.099999999999994</c:v>
                </c:pt>
                <c:pt idx="343">
                  <c:v>67.78</c:v>
                </c:pt>
                <c:pt idx="344">
                  <c:v>65.95</c:v>
                </c:pt>
                <c:pt idx="345">
                  <c:v>66.11</c:v>
                </c:pt>
                <c:pt idx="346">
                  <c:v>66.05</c:v>
                </c:pt>
                <c:pt idx="347">
                  <c:v>66.47</c:v>
                </c:pt>
                <c:pt idx="348">
                  <c:v>66.94</c:v>
                </c:pt>
                <c:pt idx="349">
                  <c:v>66.17</c:v>
                </c:pt>
                <c:pt idx="350">
                  <c:v>67.239999999999995</c:v>
                </c:pt>
                <c:pt idx="351">
                  <c:v>68.09</c:v>
                </c:pt>
                <c:pt idx="352">
                  <c:v>66.97</c:v>
                </c:pt>
                <c:pt idx="353">
                  <c:v>67.02</c:v>
                </c:pt>
                <c:pt idx="354">
                  <c:v>66.489999999999995</c:v>
                </c:pt>
                <c:pt idx="355">
                  <c:v>69.34</c:v>
                </c:pt>
                <c:pt idx="356">
                  <c:v>69.89</c:v>
                </c:pt>
                <c:pt idx="357">
                  <c:v>69.709999999999994</c:v>
                </c:pt>
                <c:pt idx="358">
                  <c:v>67.98</c:v>
                </c:pt>
                <c:pt idx="359">
                  <c:v>68.17</c:v>
                </c:pt>
                <c:pt idx="360">
                  <c:v>68.05</c:v>
                </c:pt>
                <c:pt idx="361">
                  <c:v>69.010000000000005</c:v>
                </c:pt>
                <c:pt idx="362">
                  <c:v>69.56</c:v>
                </c:pt>
                <c:pt idx="363">
                  <c:v>66.05</c:v>
                </c:pt>
                <c:pt idx="364">
                  <c:v>66.97</c:v>
                </c:pt>
                <c:pt idx="365">
                  <c:v>64.510000000000005</c:v>
                </c:pt>
                <c:pt idx="366">
                  <c:v>65.55</c:v>
                </c:pt>
                <c:pt idx="367">
                  <c:v>66.19</c:v>
                </c:pt>
                <c:pt idx="368">
                  <c:v>66.86</c:v>
                </c:pt>
                <c:pt idx="369">
                  <c:v>66.95</c:v>
                </c:pt>
                <c:pt idx="370">
                  <c:v>65.2</c:v>
                </c:pt>
                <c:pt idx="371">
                  <c:v>64.53</c:v>
                </c:pt>
                <c:pt idx="372">
                  <c:v>64.83</c:v>
                </c:pt>
                <c:pt idx="373">
                  <c:v>66.209999999999994</c:v>
                </c:pt>
                <c:pt idx="374">
                  <c:v>64.150000000000006</c:v>
                </c:pt>
                <c:pt idx="375">
                  <c:v>60.68</c:v>
                </c:pt>
                <c:pt idx="376">
                  <c:v>60.02</c:v>
                </c:pt>
                <c:pt idx="377">
                  <c:v>60.25</c:v>
                </c:pt>
                <c:pt idx="378">
                  <c:v>59.51</c:v>
                </c:pt>
                <c:pt idx="379">
                  <c:v>60.15</c:v>
                </c:pt>
                <c:pt idx="380">
                  <c:v>60.38</c:v>
                </c:pt>
                <c:pt idx="381">
                  <c:v>59.99</c:v>
                </c:pt>
                <c:pt idx="382">
                  <c:v>60.95</c:v>
                </c:pt>
                <c:pt idx="383">
                  <c:v>59.89</c:v>
                </c:pt>
                <c:pt idx="384">
                  <c:v>61.52</c:v>
                </c:pt>
                <c:pt idx="385">
                  <c:v>61.83</c:v>
                </c:pt>
                <c:pt idx="386">
                  <c:v>62.73</c:v>
                </c:pt>
                <c:pt idx="387">
                  <c:v>60.7</c:v>
                </c:pt>
                <c:pt idx="388">
                  <c:v>64.03</c:v>
                </c:pt>
                <c:pt idx="389">
                  <c:v>64.92</c:v>
                </c:pt>
                <c:pt idx="390">
                  <c:v>65.69</c:v>
                </c:pt>
                <c:pt idx="391">
                  <c:v>64.88</c:v>
                </c:pt>
                <c:pt idx="392">
                  <c:v>65.67</c:v>
                </c:pt>
                <c:pt idx="393">
                  <c:v>65.599999999999994</c:v>
                </c:pt>
                <c:pt idx="394">
                  <c:v>66.099999999999994</c:v>
                </c:pt>
                <c:pt idx="395">
                  <c:v>66.03</c:v>
                </c:pt>
                <c:pt idx="396">
                  <c:v>65.989999999999995</c:v>
                </c:pt>
                <c:pt idx="397">
                  <c:v>66.430000000000007</c:v>
                </c:pt>
                <c:pt idx="398">
                  <c:v>66.77</c:v>
                </c:pt>
                <c:pt idx="399">
                  <c:v>66.59</c:v>
                </c:pt>
                <c:pt idx="400">
                  <c:v>65.78</c:v>
                </c:pt>
                <c:pt idx="401">
                  <c:v>65.819999999999993</c:v>
                </c:pt>
                <c:pt idx="402">
                  <c:v>64.790000000000006</c:v>
                </c:pt>
                <c:pt idx="403">
                  <c:v>63.15</c:v>
                </c:pt>
                <c:pt idx="404">
                  <c:v>64.33</c:v>
                </c:pt>
                <c:pt idx="405">
                  <c:v>64.849999999999994</c:v>
                </c:pt>
                <c:pt idx="406">
                  <c:v>65.61</c:v>
                </c:pt>
                <c:pt idx="407">
                  <c:v>66.34</c:v>
                </c:pt>
                <c:pt idx="408">
                  <c:v>66.849999999999994</c:v>
                </c:pt>
                <c:pt idx="409">
                  <c:v>66.81</c:v>
                </c:pt>
                <c:pt idx="410">
                  <c:v>67.38</c:v>
                </c:pt>
                <c:pt idx="411">
                  <c:v>67.38</c:v>
                </c:pt>
                <c:pt idx="412">
                  <c:v>67.23</c:v>
                </c:pt>
                <c:pt idx="413">
                  <c:v>67.260000000000005</c:v>
                </c:pt>
                <c:pt idx="414">
                  <c:v>67.17</c:v>
                </c:pt>
                <c:pt idx="415">
                  <c:v>68.900000000000006</c:v>
                </c:pt>
                <c:pt idx="416">
                  <c:v>69.05</c:v>
                </c:pt>
                <c:pt idx="417">
                  <c:v>68.489999999999995</c:v>
                </c:pt>
                <c:pt idx="418">
                  <c:v>67.83</c:v>
                </c:pt>
                <c:pt idx="419">
                  <c:v>67.959999999999994</c:v>
                </c:pt>
                <c:pt idx="420">
                  <c:v>68.73</c:v>
                </c:pt>
                <c:pt idx="421">
                  <c:v>68.05</c:v>
                </c:pt>
                <c:pt idx="422">
                  <c:v>68.2</c:v>
                </c:pt>
                <c:pt idx="423">
                  <c:v>67.16</c:v>
                </c:pt>
                <c:pt idx="424">
                  <c:v>67.13</c:v>
                </c:pt>
                <c:pt idx="425">
                  <c:v>69.13</c:v>
                </c:pt>
                <c:pt idx="426">
                  <c:v>69.66</c:v>
                </c:pt>
                <c:pt idx="427">
                  <c:v>68.83</c:v>
                </c:pt>
                <c:pt idx="428">
                  <c:v>67.89</c:v>
                </c:pt>
                <c:pt idx="429">
                  <c:v>68.459999999999994</c:v>
                </c:pt>
                <c:pt idx="430">
                  <c:v>68.260000000000005</c:v>
                </c:pt>
                <c:pt idx="431">
                  <c:v>67.78</c:v>
                </c:pt>
                <c:pt idx="432">
                  <c:v>68.349999999999994</c:v>
                </c:pt>
                <c:pt idx="433">
                  <c:v>69.02</c:v>
                </c:pt>
                <c:pt idx="434">
                  <c:v>67.489999999999995</c:v>
                </c:pt>
                <c:pt idx="435">
                  <c:v>69.41</c:v>
                </c:pt>
                <c:pt idx="436">
                  <c:v>70.63</c:v>
                </c:pt>
                <c:pt idx="437">
                  <c:v>69.709999999999994</c:v>
                </c:pt>
                <c:pt idx="438">
                  <c:v>70.14</c:v>
                </c:pt>
                <c:pt idx="439">
                  <c:v>69.88</c:v>
                </c:pt>
                <c:pt idx="440">
                  <c:v>69.62</c:v>
                </c:pt>
                <c:pt idx="441">
                  <c:v>68.66</c:v>
                </c:pt>
                <c:pt idx="442">
                  <c:v>68.239999999999995</c:v>
                </c:pt>
                <c:pt idx="443">
                  <c:v>68.599999999999994</c:v>
                </c:pt>
                <c:pt idx="444">
                  <c:v>68.239999999999995</c:v>
                </c:pt>
                <c:pt idx="445">
                  <c:v>68.44</c:v>
                </c:pt>
                <c:pt idx="446">
                  <c:v>68.599999999999994</c:v>
                </c:pt>
                <c:pt idx="447">
                  <c:v>67.89</c:v>
                </c:pt>
                <c:pt idx="448">
                  <c:v>67.59</c:v>
                </c:pt>
                <c:pt idx="449">
                  <c:v>68.31</c:v>
                </c:pt>
                <c:pt idx="450">
                  <c:v>68.59</c:v>
                </c:pt>
                <c:pt idx="451">
                  <c:v>69.62</c:v>
                </c:pt>
                <c:pt idx="452">
                  <c:v>69.099999999999994</c:v>
                </c:pt>
                <c:pt idx="453">
                  <c:v>68.790000000000006</c:v>
                </c:pt>
                <c:pt idx="454">
                  <c:v>68.03</c:v>
                </c:pt>
                <c:pt idx="455">
                  <c:v>68.430000000000007</c:v>
                </c:pt>
                <c:pt idx="456">
                  <c:v>68.819999999999993</c:v>
                </c:pt>
                <c:pt idx="457">
                  <c:v>68.95</c:v>
                </c:pt>
                <c:pt idx="458">
                  <c:v>67.72</c:v>
                </c:pt>
                <c:pt idx="459">
                  <c:v>68.069999999999993</c:v>
                </c:pt>
                <c:pt idx="460">
                  <c:v>68.5</c:v>
                </c:pt>
                <c:pt idx="461">
                  <c:v>69.75</c:v>
                </c:pt>
                <c:pt idx="462">
                  <c:v>68.459999999999994</c:v>
                </c:pt>
                <c:pt idx="463">
                  <c:v>67.709999999999994</c:v>
                </c:pt>
                <c:pt idx="464">
                  <c:v>67.86</c:v>
                </c:pt>
                <c:pt idx="465">
                  <c:v>68.290000000000006</c:v>
                </c:pt>
                <c:pt idx="466">
                  <c:v>67.680000000000007</c:v>
                </c:pt>
                <c:pt idx="467">
                  <c:v>69.03</c:v>
                </c:pt>
                <c:pt idx="468">
                  <c:v>68.12</c:v>
                </c:pt>
                <c:pt idx="469">
                  <c:v>70</c:v>
                </c:pt>
                <c:pt idx="470">
                  <c:v>68.47</c:v>
                </c:pt>
                <c:pt idx="471">
                  <c:v>66.73</c:v>
                </c:pt>
                <c:pt idx="472">
                  <c:v>67</c:v>
                </c:pt>
                <c:pt idx="473">
                  <c:v>67.47</c:v>
                </c:pt>
                <c:pt idx="474">
                  <c:v>68.22</c:v>
                </c:pt>
                <c:pt idx="475">
                  <c:v>69.66</c:v>
                </c:pt>
                <c:pt idx="476">
                  <c:v>69.52</c:v>
                </c:pt>
                <c:pt idx="477">
                  <c:v>69.25</c:v>
                </c:pt>
                <c:pt idx="478">
                  <c:v>67.3</c:v>
                </c:pt>
                <c:pt idx="479">
                  <c:v>66.569999999999993</c:v>
                </c:pt>
                <c:pt idx="480">
                  <c:v>67.22</c:v>
                </c:pt>
                <c:pt idx="481">
                  <c:v>68.37</c:v>
                </c:pt>
                <c:pt idx="482">
                  <c:v>68.900000000000006</c:v>
                </c:pt>
                <c:pt idx="483">
                  <c:v>68.489999999999995</c:v>
                </c:pt>
                <c:pt idx="484">
                  <c:v>70.03</c:v>
                </c:pt>
                <c:pt idx="485">
                  <c:v>70.58</c:v>
                </c:pt>
                <c:pt idx="486">
                  <c:v>71.09</c:v>
                </c:pt>
                <c:pt idx="487">
                  <c:v>70.61</c:v>
                </c:pt>
                <c:pt idx="488">
                  <c:v>72.040000000000006</c:v>
                </c:pt>
                <c:pt idx="489">
                  <c:v>72.12</c:v>
                </c:pt>
                <c:pt idx="490">
                  <c:v>72.099999999999994</c:v>
                </c:pt>
                <c:pt idx="491">
                  <c:v>72.88</c:v>
                </c:pt>
                <c:pt idx="492">
                  <c:v>72.739999999999995</c:v>
                </c:pt>
                <c:pt idx="493">
                  <c:v>74.02</c:v>
                </c:pt>
                <c:pt idx="494">
                  <c:v>73.92</c:v>
                </c:pt>
                <c:pt idx="495">
                  <c:v>74.87</c:v>
                </c:pt>
                <c:pt idx="496">
                  <c:v>73.56</c:v>
                </c:pt>
                <c:pt idx="497">
                  <c:v>72.849999999999994</c:v>
                </c:pt>
                <c:pt idx="498">
                  <c:v>72.41</c:v>
                </c:pt>
                <c:pt idx="499">
                  <c:v>71.709999999999994</c:v>
                </c:pt>
                <c:pt idx="500">
                  <c:v>72.06</c:v>
                </c:pt>
                <c:pt idx="501">
                  <c:v>72.180000000000007</c:v>
                </c:pt>
                <c:pt idx="502">
                  <c:v>72.489999999999995</c:v>
                </c:pt>
                <c:pt idx="503">
                  <c:v>71.91</c:v>
                </c:pt>
                <c:pt idx="504">
                  <c:v>72.260000000000005</c:v>
                </c:pt>
                <c:pt idx="505">
                  <c:v>72.44</c:v>
                </c:pt>
                <c:pt idx="506">
                  <c:v>71.959999999999994</c:v>
                </c:pt>
                <c:pt idx="507">
                  <c:v>71.2</c:v>
                </c:pt>
                <c:pt idx="508">
                  <c:v>70.430000000000007</c:v>
                </c:pt>
                <c:pt idx="509">
                  <c:v>69.930000000000007</c:v>
                </c:pt>
                <c:pt idx="510">
                  <c:v>70.08</c:v>
                </c:pt>
                <c:pt idx="511">
                  <c:v>70.27</c:v>
                </c:pt>
                <c:pt idx="512">
                  <c:v>70.510000000000005</c:v>
                </c:pt>
                <c:pt idx="513">
                  <c:v>70.78</c:v>
                </c:pt>
                <c:pt idx="514">
                  <c:v>70.989999999999995</c:v>
                </c:pt>
                <c:pt idx="515">
                  <c:v>71.22</c:v>
                </c:pt>
                <c:pt idx="516">
                  <c:v>70.540000000000006</c:v>
                </c:pt>
                <c:pt idx="517">
                  <c:v>70.33</c:v>
                </c:pt>
                <c:pt idx="518">
                  <c:v>71.52</c:v>
                </c:pt>
                <c:pt idx="519">
                  <c:v>72.44</c:v>
                </c:pt>
                <c:pt idx="520">
                  <c:v>72.03</c:v>
                </c:pt>
                <c:pt idx="521">
                  <c:v>73.5</c:v>
                </c:pt>
                <c:pt idx="522">
                  <c:v>73.23</c:v>
                </c:pt>
                <c:pt idx="523">
                  <c:v>73.97</c:v>
                </c:pt>
                <c:pt idx="524">
                  <c:v>73.540000000000006</c:v>
                </c:pt>
                <c:pt idx="525">
                  <c:v>72.94</c:v>
                </c:pt>
                <c:pt idx="526">
                  <c:v>72.23</c:v>
                </c:pt>
                <c:pt idx="527">
                  <c:v>72.510000000000005</c:v>
                </c:pt>
                <c:pt idx="528">
                  <c:v>72.52</c:v>
                </c:pt>
                <c:pt idx="529">
                  <c:v>71.31</c:v>
                </c:pt>
                <c:pt idx="530">
                  <c:v>73.28</c:v>
                </c:pt>
                <c:pt idx="531">
                  <c:v>74.34</c:v>
                </c:pt>
                <c:pt idx="532">
                  <c:v>73.64</c:v>
                </c:pt>
                <c:pt idx="533">
                  <c:v>73.78</c:v>
                </c:pt>
                <c:pt idx="534">
                  <c:v>73.31</c:v>
                </c:pt>
                <c:pt idx="535">
                  <c:v>71.930000000000007</c:v>
                </c:pt>
                <c:pt idx="536">
                  <c:v>72.39</c:v>
                </c:pt>
                <c:pt idx="537">
                  <c:v>72.64</c:v>
                </c:pt>
                <c:pt idx="538">
                  <c:v>73.22</c:v>
                </c:pt>
                <c:pt idx="539">
                  <c:v>72.260000000000005</c:v>
                </c:pt>
                <c:pt idx="540">
                  <c:v>71.08</c:v>
                </c:pt>
                <c:pt idx="541">
                  <c:v>71.290000000000006</c:v>
                </c:pt>
                <c:pt idx="542">
                  <c:v>72.010000000000005</c:v>
                </c:pt>
                <c:pt idx="543">
                  <c:v>71.83</c:v>
                </c:pt>
                <c:pt idx="544">
                  <c:v>70.7</c:v>
                </c:pt>
                <c:pt idx="545">
                  <c:v>70.83</c:v>
                </c:pt>
                <c:pt idx="546">
                  <c:v>72.12</c:v>
                </c:pt>
                <c:pt idx="547">
                  <c:v>70.23</c:v>
                </c:pt>
                <c:pt idx="548">
                  <c:v>70.5</c:v>
                </c:pt>
                <c:pt idx="549">
                  <c:v>70.790000000000006</c:v>
                </c:pt>
                <c:pt idx="550">
                  <c:v>71.05</c:v>
                </c:pt>
                <c:pt idx="551">
                  <c:v>71.569999999999993</c:v>
                </c:pt>
                <c:pt idx="552">
                  <c:v>70.930000000000007</c:v>
                </c:pt>
                <c:pt idx="553">
                  <c:v>71.3</c:v>
                </c:pt>
                <c:pt idx="554">
                  <c:v>71.27</c:v>
                </c:pt>
                <c:pt idx="555">
                  <c:v>71.33</c:v>
                </c:pt>
                <c:pt idx="556">
                  <c:v>71.97</c:v>
                </c:pt>
                <c:pt idx="557">
                  <c:v>72.16</c:v>
                </c:pt>
                <c:pt idx="558">
                  <c:v>73</c:v>
                </c:pt>
                <c:pt idx="559">
                  <c:v>72.599999999999994</c:v>
                </c:pt>
                <c:pt idx="560">
                  <c:v>74.95</c:v>
                </c:pt>
                <c:pt idx="561">
                  <c:v>73.760000000000005</c:v>
                </c:pt>
                <c:pt idx="562">
                  <c:v>75.489999999999995</c:v>
                </c:pt>
                <c:pt idx="563">
                  <c:v>75.42</c:v>
                </c:pt>
                <c:pt idx="564">
                  <c:v>75.95</c:v>
                </c:pt>
                <c:pt idx="565">
                  <c:v>75.959999999999994</c:v>
                </c:pt>
                <c:pt idx="566">
                  <c:v>75.22</c:v>
                </c:pt>
                <c:pt idx="567">
                  <c:v>74.599999999999994</c:v>
                </c:pt>
                <c:pt idx="568">
                  <c:v>73.900000000000006</c:v>
                </c:pt>
                <c:pt idx="569">
                  <c:v>72.790000000000006</c:v>
                </c:pt>
                <c:pt idx="570">
                  <c:v>71.73</c:v>
                </c:pt>
                <c:pt idx="571">
                  <c:v>71.849999999999994</c:v>
                </c:pt>
                <c:pt idx="572">
                  <c:v>72.23</c:v>
                </c:pt>
                <c:pt idx="573">
                  <c:v>73.33</c:v>
                </c:pt>
                <c:pt idx="574">
                  <c:v>72.89</c:v>
                </c:pt>
                <c:pt idx="575">
                  <c:v>72.91</c:v>
                </c:pt>
                <c:pt idx="576">
                  <c:v>72.17</c:v>
                </c:pt>
                <c:pt idx="577">
                  <c:v>72.33</c:v>
                </c:pt>
                <c:pt idx="578">
                  <c:v>72.459999999999994</c:v>
                </c:pt>
                <c:pt idx="579">
                  <c:v>70.489999999999995</c:v>
                </c:pt>
                <c:pt idx="580">
                  <c:v>70.62</c:v>
                </c:pt>
                <c:pt idx="581">
                  <c:v>69.239999999999995</c:v>
                </c:pt>
                <c:pt idx="582">
                  <c:v>69.19</c:v>
                </c:pt>
                <c:pt idx="583">
                  <c:v>68.59</c:v>
                </c:pt>
                <c:pt idx="584">
                  <c:v>69.94</c:v>
                </c:pt>
                <c:pt idx="585">
                  <c:v>70.069999999999993</c:v>
                </c:pt>
                <c:pt idx="586">
                  <c:v>71.040000000000006</c:v>
                </c:pt>
                <c:pt idx="587">
                  <c:v>71.03</c:v>
                </c:pt>
                <c:pt idx="588">
                  <c:v>71.760000000000005</c:v>
                </c:pt>
                <c:pt idx="589">
                  <c:v>72.53</c:v>
                </c:pt>
                <c:pt idx="590">
                  <c:v>72.48</c:v>
                </c:pt>
                <c:pt idx="591">
                  <c:v>71.89</c:v>
                </c:pt>
                <c:pt idx="592">
                  <c:v>70.92</c:v>
                </c:pt>
                <c:pt idx="593">
                  <c:v>70.540000000000006</c:v>
                </c:pt>
                <c:pt idx="594">
                  <c:v>68.790000000000006</c:v>
                </c:pt>
                <c:pt idx="595">
                  <c:v>69.12</c:v>
                </c:pt>
                <c:pt idx="596">
                  <c:v>68.790000000000006</c:v>
                </c:pt>
                <c:pt idx="597">
                  <c:v>70.87</c:v>
                </c:pt>
                <c:pt idx="598">
                  <c:v>72.69</c:v>
                </c:pt>
                <c:pt idx="599">
                  <c:v>72.67</c:v>
                </c:pt>
                <c:pt idx="600">
                  <c:v>73.650000000000006</c:v>
                </c:pt>
                <c:pt idx="601">
                  <c:v>72.959999999999994</c:v>
                </c:pt>
                <c:pt idx="602">
                  <c:v>74.94</c:v>
                </c:pt>
                <c:pt idx="603">
                  <c:v>73.03</c:v>
                </c:pt>
                <c:pt idx="604">
                  <c:v>76.72</c:v>
                </c:pt>
                <c:pt idx="605">
                  <c:v>72.38</c:v>
                </c:pt>
                <c:pt idx="606">
                  <c:v>75.06</c:v>
                </c:pt>
                <c:pt idx="607">
                  <c:v>74.72</c:v>
                </c:pt>
                <c:pt idx="608">
                  <c:v>74.819999999999993</c:v>
                </c:pt>
                <c:pt idx="609">
                  <c:v>75.099999999999994</c:v>
                </c:pt>
                <c:pt idx="610">
                  <c:v>74.290000000000006</c:v>
                </c:pt>
                <c:pt idx="611">
                  <c:v>71.319999999999993</c:v>
                </c:pt>
                <c:pt idx="612">
                  <c:v>72.02</c:v>
                </c:pt>
                <c:pt idx="613">
                  <c:v>72.84</c:v>
                </c:pt>
                <c:pt idx="614">
                  <c:v>71.73</c:v>
                </c:pt>
                <c:pt idx="615">
                  <c:v>72.3</c:v>
                </c:pt>
                <c:pt idx="616">
                  <c:v>72.7</c:v>
                </c:pt>
                <c:pt idx="617">
                  <c:v>73.3</c:v>
                </c:pt>
                <c:pt idx="618">
                  <c:v>73.98</c:v>
                </c:pt>
                <c:pt idx="619">
                  <c:v>75.400000000000006</c:v>
                </c:pt>
                <c:pt idx="620">
                  <c:v>76.03</c:v>
                </c:pt>
                <c:pt idx="621">
                  <c:v>76.36</c:v>
                </c:pt>
                <c:pt idx="622">
                  <c:v>77.400000000000006</c:v>
                </c:pt>
                <c:pt idx="623">
                  <c:v>78.89</c:v>
                </c:pt>
                <c:pt idx="624">
                  <c:v>76.53</c:v>
                </c:pt>
                <c:pt idx="625">
                  <c:v>75.56</c:v>
                </c:pt>
                <c:pt idx="626">
                  <c:v>76</c:v>
                </c:pt>
                <c:pt idx="627">
                  <c:v>76.97</c:v>
                </c:pt>
                <c:pt idx="628">
                  <c:v>75.48</c:v>
                </c:pt>
                <c:pt idx="629">
                  <c:v>74.819999999999993</c:v>
                </c:pt>
                <c:pt idx="630">
                  <c:v>74.73</c:v>
                </c:pt>
                <c:pt idx="631">
                  <c:v>72.900000000000006</c:v>
                </c:pt>
                <c:pt idx="632">
                  <c:v>71.209999999999994</c:v>
                </c:pt>
                <c:pt idx="633">
                  <c:v>71.5</c:v>
                </c:pt>
                <c:pt idx="634">
                  <c:v>70.930000000000007</c:v>
                </c:pt>
                <c:pt idx="635">
                  <c:v>71.459999999999994</c:v>
                </c:pt>
                <c:pt idx="636">
                  <c:v>72.709999999999994</c:v>
                </c:pt>
                <c:pt idx="637">
                  <c:v>73.510000000000005</c:v>
                </c:pt>
                <c:pt idx="638">
                  <c:v>73.37</c:v>
                </c:pt>
                <c:pt idx="639">
                  <c:v>72.75</c:v>
                </c:pt>
                <c:pt idx="640">
                  <c:v>71.89</c:v>
                </c:pt>
                <c:pt idx="641">
                  <c:v>73.64</c:v>
                </c:pt>
                <c:pt idx="642">
                  <c:v>72.89</c:v>
                </c:pt>
                <c:pt idx="643">
                  <c:v>71.67</c:v>
                </c:pt>
                <c:pt idx="644">
                  <c:v>71.319999999999993</c:v>
                </c:pt>
                <c:pt idx="645">
                  <c:v>70.83</c:v>
                </c:pt>
                <c:pt idx="646">
                  <c:v>72.989999999999995</c:v>
                </c:pt>
                <c:pt idx="647">
                  <c:v>72.27</c:v>
                </c:pt>
                <c:pt idx="648">
                  <c:v>72.73</c:v>
                </c:pt>
                <c:pt idx="649">
                  <c:v>72.510000000000005</c:v>
                </c:pt>
                <c:pt idx="650">
                  <c:v>73.319999999999993</c:v>
                </c:pt>
                <c:pt idx="651">
                  <c:v>74.73</c:v>
                </c:pt>
                <c:pt idx="652">
                  <c:v>76.180000000000007</c:v>
                </c:pt>
                <c:pt idx="653">
                  <c:v>76.099999999999994</c:v>
                </c:pt>
                <c:pt idx="654">
                  <c:v>73.37</c:v>
                </c:pt>
                <c:pt idx="655">
                  <c:v>73.16</c:v>
                </c:pt>
                <c:pt idx="656">
                  <c:v>73.06</c:v>
                </c:pt>
                <c:pt idx="657">
                  <c:v>74.069999999999993</c:v>
                </c:pt>
                <c:pt idx="658">
                  <c:v>75.02</c:v>
                </c:pt>
                <c:pt idx="659">
                  <c:v>74.02</c:v>
                </c:pt>
                <c:pt idx="660">
                  <c:v>73.14</c:v>
                </c:pt>
                <c:pt idx="661">
                  <c:v>70.930000000000007</c:v>
                </c:pt>
                <c:pt idx="662">
                  <c:v>70.569999999999993</c:v>
                </c:pt>
                <c:pt idx="663">
                  <c:v>70.48</c:v>
                </c:pt>
                <c:pt idx="664">
                  <c:v>69.36</c:v>
                </c:pt>
                <c:pt idx="665">
                  <c:v>69.7</c:v>
                </c:pt>
                <c:pt idx="666">
                  <c:v>65.84</c:v>
                </c:pt>
                <c:pt idx="667">
                  <c:v>67.41</c:v>
                </c:pt>
                <c:pt idx="668">
                  <c:v>68.540000000000006</c:v>
                </c:pt>
                <c:pt idx="669">
                  <c:v>68.930000000000007</c:v>
                </c:pt>
                <c:pt idx="670">
                  <c:v>69.67</c:v>
                </c:pt>
                <c:pt idx="671">
                  <c:v>69.53</c:v>
                </c:pt>
                <c:pt idx="672">
                  <c:v>71.010000000000005</c:v>
                </c:pt>
                <c:pt idx="673">
                  <c:v>70.09</c:v>
                </c:pt>
                <c:pt idx="674">
                  <c:v>71.42</c:v>
                </c:pt>
                <c:pt idx="675">
                  <c:v>72.87</c:v>
                </c:pt>
                <c:pt idx="676">
                  <c:v>72.81</c:v>
                </c:pt>
                <c:pt idx="677">
                  <c:v>71.959999999999994</c:v>
                </c:pt>
                <c:pt idx="678">
                  <c:v>71.569999999999993</c:v>
                </c:pt>
                <c:pt idx="679">
                  <c:v>71.78</c:v>
                </c:pt>
                <c:pt idx="680">
                  <c:v>71.73</c:v>
                </c:pt>
                <c:pt idx="681">
                  <c:v>71.5</c:v>
                </c:pt>
                <c:pt idx="682">
                  <c:v>71.17</c:v>
                </c:pt>
                <c:pt idx="683">
                  <c:v>71.040000000000006</c:v>
                </c:pt>
                <c:pt idx="684">
                  <c:v>69.930000000000007</c:v>
                </c:pt>
                <c:pt idx="685">
                  <c:v>69.760000000000005</c:v>
                </c:pt>
                <c:pt idx="686">
                  <c:v>70.84</c:v>
                </c:pt>
                <c:pt idx="687">
                  <c:v>70.099999999999994</c:v>
                </c:pt>
                <c:pt idx="688">
                  <c:v>71.77</c:v>
                </c:pt>
                <c:pt idx="689">
                  <c:v>73.84</c:v>
                </c:pt>
                <c:pt idx="690">
                  <c:v>73.599999999999994</c:v>
                </c:pt>
                <c:pt idx="691">
                  <c:v>71.459999999999994</c:v>
                </c:pt>
                <c:pt idx="692">
                  <c:v>70.760000000000005</c:v>
                </c:pt>
                <c:pt idx="693">
                  <c:v>71.86</c:v>
                </c:pt>
                <c:pt idx="694">
                  <c:v>73.28</c:v>
                </c:pt>
                <c:pt idx="695">
                  <c:v>72.599999999999994</c:v>
                </c:pt>
                <c:pt idx="696">
                  <c:v>71.290000000000006</c:v>
                </c:pt>
                <c:pt idx="697">
                  <c:v>70.930000000000007</c:v>
                </c:pt>
                <c:pt idx="698">
                  <c:v>71.69</c:v>
                </c:pt>
                <c:pt idx="699">
                  <c:v>72.72</c:v>
                </c:pt>
                <c:pt idx="700">
                  <c:v>71.3</c:v>
                </c:pt>
                <c:pt idx="701">
                  <c:v>72.930000000000007</c:v>
                </c:pt>
                <c:pt idx="702">
                  <c:v>70.36</c:v>
                </c:pt>
                <c:pt idx="703">
                  <c:v>69.06</c:v>
                </c:pt>
                <c:pt idx="704">
                  <c:v>68.56</c:v>
                </c:pt>
                <c:pt idx="705">
                  <c:v>68.900000000000006</c:v>
                </c:pt>
                <c:pt idx="706">
                  <c:v>68.84</c:v>
                </c:pt>
                <c:pt idx="707">
                  <c:v>69.66</c:v>
                </c:pt>
                <c:pt idx="708">
                  <c:v>69.790000000000006</c:v>
                </c:pt>
                <c:pt idx="709">
                  <c:v>70.23</c:v>
                </c:pt>
                <c:pt idx="710">
                  <c:v>69.33</c:v>
                </c:pt>
                <c:pt idx="711">
                  <c:v>69.66</c:v>
                </c:pt>
                <c:pt idx="712">
                  <c:v>69.66</c:v>
                </c:pt>
                <c:pt idx="713">
                  <c:v>67.930000000000007</c:v>
                </c:pt>
                <c:pt idx="714">
                  <c:v>66.599999999999994</c:v>
                </c:pt>
                <c:pt idx="715">
                  <c:v>66.13</c:v>
                </c:pt>
                <c:pt idx="716">
                  <c:v>66.39</c:v>
                </c:pt>
                <c:pt idx="717">
                  <c:v>68.64</c:v>
                </c:pt>
                <c:pt idx="718">
                  <c:v>68.06</c:v>
                </c:pt>
                <c:pt idx="719">
                  <c:v>68.83</c:v>
                </c:pt>
                <c:pt idx="720">
                  <c:v>68.680000000000007</c:v>
                </c:pt>
                <c:pt idx="721">
                  <c:v>69.040000000000006</c:v>
                </c:pt>
                <c:pt idx="722">
                  <c:v>66.64</c:v>
                </c:pt>
                <c:pt idx="723">
                  <c:v>67.62</c:v>
                </c:pt>
                <c:pt idx="724">
                  <c:v>67.63</c:v>
                </c:pt>
                <c:pt idx="725">
                  <c:v>68.599999999999994</c:v>
                </c:pt>
                <c:pt idx="726">
                  <c:v>69.349999999999994</c:v>
                </c:pt>
                <c:pt idx="727">
                  <c:v>68.5</c:v>
                </c:pt>
                <c:pt idx="728">
                  <c:v>69.27</c:v>
                </c:pt>
                <c:pt idx="729">
                  <c:v>71.19</c:v>
                </c:pt>
                <c:pt idx="730">
                  <c:v>71.3</c:v>
                </c:pt>
                <c:pt idx="731">
                  <c:v>73.599999999999994</c:v>
                </c:pt>
                <c:pt idx="732">
                  <c:v>72.77</c:v>
                </c:pt>
                <c:pt idx="733">
                  <c:v>71.62</c:v>
                </c:pt>
                <c:pt idx="734">
                  <c:v>73.34</c:v>
                </c:pt>
                <c:pt idx="735">
                  <c:v>72.56</c:v>
                </c:pt>
                <c:pt idx="736">
                  <c:v>71.61</c:v>
                </c:pt>
                <c:pt idx="737">
                  <c:v>71.22</c:v>
                </c:pt>
                <c:pt idx="738">
                  <c:v>72.45</c:v>
                </c:pt>
                <c:pt idx="739">
                  <c:v>73.7</c:v>
                </c:pt>
                <c:pt idx="740">
                  <c:v>74.849999999999994</c:v>
                </c:pt>
                <c:pt idx="741">
                  <c:v>75.650000000000006</c:v>
                </c:pt>
                <c:pt idx="742">
                  <c:v>77.239999999999995</c:v>
                </c:pt>
                <c:pt idx="743">
                  <c:v>76.72</c:v>
                </c:pt>
                <c:pt idx="744">
                  <c:v>74.22</c:v>
                </c:pt>
                <c:pt idx="745">
                  <c:v>73.72</c:v>
                </c:pt>
                <c:pt idx="746">
                  <c:v>73.91</c:v>
                </c:pt>
                <c:pt idx="747">
                  <c:v>72</c:v>
                </c:pt>
                <c:pt idx="748">
                  <c:v>69.48</c:v>
                </c:pt>
                <c:pt idx="749">
                  <c:v>69.64</c:v>
                </c:pt>
                <c:pt idx="750">
                  <c:v>71.209999999999994</c:v>
                </c:pt>
                <c:pt idx="751">
                  <c:v>72.5</c:v>
                </c:pt>
                <c:pt idx="752">
                  <c:v>71.260000000000005</c:v>
                </c:pt>
                <c:pt idx="753">
                  <c:v>73.72</c:v>
                </c:pt>
                <c:pt idx="754">
                  <c:v>72.16</c:v>
                </c:pt>
                <c:pt idx="755">
                  <c:v>73.34</c:v>
                </c:pt>
                <c:pt idx="756">
                  <c:v>74.09</c:v>
                </c:pt>
                <c:pt idx="757">
                  <c:v>76.319999999999993</c:v>
                </c:pt>
                <c:pt idx="758">
                  <c:v>76.650000000000006</c:v>
                </c:pt>
                <c:pt idx="759">
                  <c:v>75.7</c:v>
                </c:pt>
                <c:pt idx="760">
                  <c:v>76.040000000000006</c:v>
                </c:pt>
                <c:pt idx="761">
                  <c:v>76.48</c:v>
                </c:pt>
                <c:pt idx="762">
                  <c:v>76.2</c:v>
                </c:pt>
                <c:pt idx="763">
                  <c:v>77.59</c:v>
                </c:pt>
                <c:pt idx="764">
                  <c:v>77.86</c:v>
                </c:pt>
                <c:pt idx="765">
                  <c:v>79.16</c:v>
                </c:pt>
                <c:pt idx="766">
                  <c:v>78.92</c:v>
                </c:pt>
                <c:pt idx="767">
                  <c:v>79.63</c:v>
                </c:pt>
                <c:pt idx="768">
                  <c:v>80.25</c:v>
                </c:pt>
                <c:pt idx="769">
                  <c:v>80.819999999999993</c:v>
                </c:pt>
                <c:pt idx="770">
                  <c:v>78.67</c:v>
                </c:pt>
                <c:pt idx="771">
                  <c:v>77.989999999999995</c:v>
                </c:pt>
                <c:pt idx="772">
                  <c:v>80.510000000000005</c:v>
                </c:pt>
                <c:pt idx="773">
                  <c:v>81.92</c:v>
                </c:pt>
                <c:pt idx="774">
                  <c:v>80.34</c:v>
                </c:pt>
                <c:pt idx="775">
                  <c:v>78.58</c:v>
                </c:pt>
                <c:pt idx="776">
                  <c:v>79.83</c:v>
                </c:pt>
                <c:pt idx="777">
                  <c:v>78.59</c:v>
                </c:pt>
                <c:pt idx="778">
                  <c:v>78.56</c:v>
                </c:pt>
                <c:pt idx="779">
                  <c:v>77.989999999999995</c:v>
                </c:pt>
                <c:pt idx="780">
                  <c:v>78.89</c:v>
                </c:pt>
                <c:pt idx="781">
                  <c:v>77.69</c:v>
                </c:pt>
                <c:pt idx="782">
                  <c:v>77.14</c:v>
                </c:pt>
                <c:pt idx="783">
                  <c:v>76.62</c:v>
                </c:pt>
                <c:pt idx="784">
                  <c:v>78.099999999999994</c:v>
                </c:pt>
                <c:pt idx="785">
                  <c:v>75.97</c:v>
                </c:pt>
                <c:pt idx="786">
                  <c:v>76.08</c:v>
                </c:pt>
                <c:pt idx="787">
                  <c:v>78.5</c:v>
                </c:pt>
                <c:pt idx="788">
                  <c:v>79.52</c:v>
                </c:pt>
                <c:pt idx="789">
                  <c:v>76.900000000000006</c:v>
                </c:pt>
                <c:pt idx="790">
                  <c:v>74.52</c:v>
                </c:pt>
                <c:pt idx="791">
                  <c:v>75.73</c:v>
                </c:pt>
                <c:pt idx="792">
                  <c:v>75.25</c:v>
                </c:pt>
                <c:pt idx="793">
                  <c:v>74.38</c:v>
                </c:pt>
                <c:pt idx="794">
                  <c:v>76.81</c:v>
                </c:pt>
                <c:pt idx="795">
                  <c:v>77.900000000000006</c:v>
                </c:pt>
                <c:pt idx="796">
                  <c:v>75.53</c:v>
                </c:pt>
                <c:pt idx="797">
                  <c:v>72.31</c:v>
                </c:pt>
                <c:pt idx="798">
                  <c:v>71.56</c:v>
                </c:pt>
                <c:pt idx="799">
                  <c:v>72.28</c:v>
                </c:pt>
                <c:pt idx="800">
                  <c:v>71.790000000000006</c:v>
                </c:pt>
                <c:pt idx="801">
                  <c:v>72.5</c:v>
                </c:pt>
                <c:pt idx="802">
                  <c:v>73.25</c:v>
                </c:pt>
                <c:pt idx="803">
                  <c:v>75.900000000000006</c:v>
                </c:pt>
                <c:pt idx="804">
                  <c:v>74.61</c:v>
                </c:pt>
                <c:pt idx="805">
                  <c:v>72.760000000000005</c:v>
                </c:pt>
                <c:pt idx="806">
                  <c:v>74.790000000000006</c:v>
                </c:pt>
                <c:pt idx="807">
                  <c:v>73.47</c:v>
                </c:pt>
                <c:pt idx="808">
                  <c:v>73.66</c:v>
                </c:pt>
                <c:pt idx="809">
                  <c:v>73.239999999999995</c:v>
                </c:pt>
                <c:pt idx="810">
                  <c:v>71.19</c:v>
                </c:pt>
                <c:pt idx="811">
                  <c:v>70.36</c:v>
                </c:pt>
                <c:pt idx="812">
                  <c:v>72.709999999999994</c:v>
                </c:pt>
                <c:pt idx="813">
                  <c:v>71.819999999999993</c:v>
                </c:pt>
                <c:pt idx="814">
                  <c:v>70.14</c:v>
                </c:pt>
                <c:pt idx="815">
                  <c:v>70.2</c:v>
                </c:pt>
                <c:pt idx="816">
                  <c:v>69.56</c:v>
                </c:pt>
                <c:pt idx="817">
                  <c:v>69.400000000000006</c:v>
                </c:pt>
                <c:pt idx="818">
                  <c:v>71.010000000000005</c:v>
                </c:pt>
                <c:pt idx="819">
                  <c:v>70.61</c:v>
                </c:pt>
                <c:pt idx="820">
                  <c:v>70.540000000000006</c:v>
                </c:pt>
                <c:pt idx="821">
                  <c:v>70.42</c:v>
                </c:pt>
                <c:pt idx="822">
                  <c:v>71.16</c:v>
                </c:pt>
                <c:pt idx="823">
                  <c:v>70.95</c:v>
                </c:pt>
                <c:pt idx="824">
                  <c:v>71.38</c:v>
                </c:pt>
                <c:pt idx="825">
                  <c:v>71.459999999999994</c:v>
                </c:pt>
                <c:pt idx="826">
                  <c:v>71.849999999999994</c:v>
                </c:pt>
                <c:pt idx="827">
                  <c:v>72.73</c:v>
                </c:pt>
                <c:pt idx="828">
                  <c:v>72.28</c:v>
                </c:pt>
                <c:pt idx="829">
                  <c:v>72.14</c:v>
                </c:pt>
                <c:pt idx="830">
                  <c:v>73.12</c:v>
                </c:pt>
                <c:pt idx="831">
                  <c:v>73.05</c:v>
                </c:pt>
                <c:pt idx="832">
                  <c:v>73.81</c:v>
                </c:pt>
                <c:pt idx="833">
                  <c:v>73.489999999999995</c:v>
                </c:pt>
                <c:pt idx="834">
                  <c:v>73.98</c:v>
                </c:pt>
                <c:pt idx="835">
                  <c:v>76.09</c:v>
                </c:pt>
                <c:pt idx="836">
                  <c:v>76.22</c:v>
                </c:pt>
                <c:pt idx="837">
                  <c:v>76.11</c:v>
                </c:pt>
                <c:pt idx="838">
                  <c:v>77.540000000000006</c:v>
                </c:pt>
                <c:pt idx="839">
                  <c:v>77.680000000000007</c:v>
                </c:pt>
                <c:pt idx="840">
                  <c:v>77.41</c:v>
                </c:pt>
                <c:pt idx="841">
                  <c:v>77.459999999999994</c:v>
                </c:pt>
                <c:pt idx="842">
                  <c:v>77.349999999999994</c:v>
                </c:pt>
                <c:pt idx="843">
                  <c:v>76.569999999999993</c:v>
                </c:pt>
                <c:pt idx="844">
                  <c:v>76.87</c:v>
                </c:pt>
                <c:pt idx="845">
                  <c:v>78.78</c:v>
                </c:pt>
                <c:pt idx="846">
                  <c:v>76.94</c:v>
                </c:pt>
                <c:pt idx="847">
                  <c:v>75.510000000000005</c:v>
                </c:pt>
                <c:pt idx="848">
                  <c:v>75.569999999999993</c:v>
                </c:pt>
                <c:pt idx="849">
                  <c:v>74.5</c:v>
                </c:pt>
                <c:pt idx="850">
                  <c:v>73.7</c:v>
                </c:pt>
                <c:pt idx="851">
                  <c:v>72.69</c:v>
                </c:pt>
                <c:pt idx="852">
                  <c:v>73.180000000000007</c:v>
                </c:pt>
                <c:pt idx="853">
                  <c:v>69.89</c:v>
                </c:pt>
                <c:pt idx="854">
                  <c:v>70.13</c:v>
                </c:pt>
                <c:pt idx="855">
                  <c:v>69.86</c:v>
                </c:pt>
                <c:pt idx="856">
                  <c:v>70.040000000000006</c:v>
                </c:pt>
                <c:pt idx="857">
                  <c:v>69.62</c:v>
                </c:pt>
                <c:pt idx="858">
                  <c:v>67.38</c:v>
                </c:pt>
                <c:pt idx="859">
                  <c:v>69.790000000000006</c:v>
                </c:pt>
                <c:pt idx="860">
                  <c:v>71.569999999999993</c:v>
                </c:pt>
                <c:pt idx="861">
                  <c:v>71.38</c:v>
                </c:pt>
                <c:pt idx="862">
                  <c:v>71.900000000000006</c:v>
                </c:pt>
                <c:pt idx="863">
                  <c:v>72.760000000000005</c:v>
                </c:pt>
                <c:pt idx="864">
                  <c:v>71.97</c:v>
                </c:pt>
                <c:pt idx="865">
                  <c:v>72.459999999999994</c:v>
                </c:pt>
                <c:pt idx="866">
                  <c:v>72.150000000000006</c:v>
                </c:pt>
                <c:pt idx="867">
                  <c:v>72.56</c:v>
                </c:pt>
                <c:pt idx="868">
                  <c:v>72.06</c:v>
                </c:pt>
                <c:pt idx="869">
                  <c:v>73.540000000000006</c:v>
                </c:pt>
                <c:pt idx="870">
                  <c:v>72.2</c:v>
                </c:pt>
                <c:pt idx="871">
                  <c:v>73.69</c:v>
                </c:pt>
                <c:pt idx="872">
                  <c:v>74.540000000000006</c:v>
                </c:pt>
                <c:pt idx="873">
                  <c:v>75.86</c:v>
                </c:pt>
                <c:pt idx="874">
                  <c:v>76.290000000000006</c:v>
                </c:pt>
                <c:pt idx="875">
                  <c:v>75.87</c:v>
                </c:pt>
                <c:pt idx="876">
                  <c:v>75.06</c:v>
                </c:pt>
                <c:pt idx="877">
                  <c:v>73.33</c:v>
                </c:pt>
                <c:pt idx="878">
                  <c:v>71.81</c:v>
                </c:pt>
                <c:pt idx="879">
                  <c:v>72.67</c:v>
                </c:pt>
                <c:pt idx="880">
                  <c:v>72.7</c:v>
                </c:pt>
                <c:pt idx="881">
                  <c:v>73.11</c:v>
                </c:pt>
                <c:pt idx="882">
                  <c:v>73.180000000000007</c:v>
                </c:pt>
                <c:pt idx="883">
                  <c:v>73.569999999999993</c:v>
                </c:pt>
                <c:pt idx="884">
                  <c:v>71.17</c:v>
                </c:pt>
                <c:pt idx="885">
                  <c:v>70.7</c:v>
                </c:pt>
                <c:pt idx="886">
                  <c:v>70.39</c:v>
                </c:pt>
                <c:pt idx="887">
                  <c:v>70.42</c:v>
                </c:pt>
                <c:pt idx="888">
                  <c:v>71.069999999999993</c:v>
                </c:pt>
                <c:pt idx="889">
                  <c:v>72.16</c:v>
                </c:pt>
                <c:pt idx="890">
                  <c:v>71.98</c:v>
                </c:pt>
                <c:pt idx="891">
                  <c:v>71.989999999999995</c:v>
                </c:pt>
                <c:pt idx="892">
                  <c:v>71.59</c:v>
                </c:pt>
                <c:pt idx="893">
                  <c:v>70.39</c:v>
                </c:pt>
                <c:pt idx="894">
                  <c:v>70.040000000000006</c:v>
                </c:pt>
                <c:pt idx="895">
                  <c:v>70.86</c:v>
                </c:pt>
                <c:pt idx="896">
                  <c:v>69.099999999999994</c:v>
                </c:pt>
                <c:pt idx="897">
                  <c:v>68.930000000000007</c:v>
                </c:pt>
                <c:pt idx="898">
                  <c:v>70.16</c:v>
                </c:pt>
                <c:pt idx="899">
                  <c:v>70.13</c:v>
                </c:pt>
                <c:pt idx="900">
                  <c:v>71.27</c:v>
                </c:pt>
                <c:pt idx="901">
                  <c:v>70.650000000000006</c:v>
                </c:pt>
                <c:pt idx="902">
                  <c:v>73.09</c:v>
                </c:pt>
                <c:pt idx="903">
                  <c:v>71.45</c:v>
                </c:pt>
                <c:pt idx="904">
                  <c:v>72.33</c:v>
                </c:pt>
                <c:pt idx="905">
                  <c:v>72.959999999999994</c:v>
                </c:pt>
                <c:pt idx="906">
                  <c:v>72.94</c:v>
                </c:pt>
                <c:pt idx="907">
                  <c:v>71.41</c:v>
                </c:pt>
                <c:pt idx="908">
                  <c:v>72.53</c:v>
                </c:pt>
                <c:pt idx="909">
                  <c:v>71.540000000000006</c:v>
                </c:pt>
                <c:pt idx="910">
                  <c:v>71.61</c:v>
                </c:pt>
                <c:pt idx="911">
                  <c:v>71.7</c:v>
                </c:pt>
                <c:pt idx="912">
                  <c:v>71.05</c:v>
                </c:pt>
                <c:pt idx="913">
                  <c:v>72.069999999999993</c:v>
                </c:pt>
                <c:pt idx="914">
                  <c:v>70.89</c:v>
                </c:pt>
                <c:pt idx="915">
                  <c:v>70.400000000000006</c:v>
                </c:pt>
                <c:pt idx="916">
                  <c:v>70.599999999999994</c:v>
                </c:pt>
                <c:pt idx="917">
                  <c:v>69.64</c:v>
                </c:pt>
                <c:pt idx="918">
                  <c:v>69.680000000000007</c:v>
                </c:pt>
                <c:pt idx="919">
                  <c:v>71.290000000000006</c:v>
                </c:pt>
                <c:pt idx="920">
                  <c:v>71.459999999999994</c:v>
                </c:pt>
                <c:pt idx="921">
                  <c:v>70.67</c:v>
                </c:pt>
                <c:pt idx="922">
                  <c:v>71.3</c:v>
                </c:pt>
                <c:pt idx="923">
                  <c:v>72.569999999999993</c:v>
                </c:pt>
                <c:pt idx="924">
                  <c:v>73.010000000000005</c:v>
                </c:pt>
                <c:pt idx="925">
                  <c:v>72.62</c:v>
                </c:pt>
                <c:pt idx="926">
                  <c:v>71.78</c:v>
                </c:pt>
                <c:pt idx="927">
                  <c:v>70.900000000000006</c:v>
                </c:pt>
                <c:pt idx="928">
                  <c:v>71.569999999999993</c:v>
                </c:pt>
                <c:pt idx="929">
                  <c:v>73.3</c:v>
                </c:pt>
                <c:pt idx="930">
                  <c:v>70.3</c:v>
                </c:pt>
                <c:pt idx="931">
                  <c:v>69.91</c:v>
                </c:pt>
                <c:pt idx="932">
                  <c:v>70.23</c:v>
                </c:pt>
                <c:pt idx="933">
                  <c:v>68.989999999999995</c:v>
                </c:pt>
                <c:pt idx="934">
                  <c:v>68.17</c:v>
                </c:pt>
                <c:pt idx="935">
                  <c:v>67.650000000000006</c:v>
                </c:pt>
                <c:pt idx="936">
                  <c:v>67.67</c:v>
                </c:pt>
                <c:pt idx="937">
                  <c:v>66.87</c:v>
                </c:pt>
                <c:pt idx="938">
                  <c:v>66.75</c:v>
                </c:pt>
                <c:pt idx="939">
                  <c:v>66.430000000000007</c:v>
                </c:pt>
                <c:pt idx="940">
                  <c:v>66.55</c:v>
                </c:pt>
                <c:pt idx="941">
                  <c:v>66.66</c:v>
                </c:pt>
                <c:pt idx="942">
                  <c:v>65.62</c:v>
                </c:pt>
                <c:pt idx="943">
                  <c:v>65.41</c:v>
                </c:pt>
                <c:pt idx="944">
                  <c:v>66.3</c:v>
                </c:pt>
                <c:pt idx="945">
                  <c:v>65.599999999999994</c:v>
                </c:pt>
                <c:pt idx="946">
                  <c:v>66.09</c:v>
                </c:pt>
                <c:pt idx="947">
                  <c:v>64.86</c:v>
                </c:pt>
                <c:pt idx="948">
                  <c:v>65.040000000000006</c:v>
                </c:pt>
                <c:pt idx="949">
                  <c:v>63.96</c:v>
                </c:pt>
                <c:pt idx="950">
                  <c:v>63.99</c:v>
                </c:pt>
                <c:pt idx="951">
                  <c:v>64.44</c:v>
                </c:pt>
                <c:pt idx="952">
                  <c:v>65.88</c:v>
                </c:pt>
                <c:pt idx="953">
                  <c:v>65.78</c:v>
                </c:pt>
                <c:pt idx="954">
                  <c:v>63.36</c:v>
                </c:pt>
                <c:pt idx="955">
                  <c:v>63.49</c:v>
                </c:pt>
                <c:pt idx="956">
                  <c:v>62.91</c:v>
                </c:pt>
                <c:pt idx="957">
                  <c:v>63.19</c:v>
                </c:pt>
                <c:pt idx="958">
                  <c:v>63.91</c:v>
                </c:pt>
                <c:pt idx="959">
                  <c:v>63.23</c:v>
                </c:pt>
                <c:pt idx="960">
                  <c:v>63.53</c:v>
                </c:pt>
                <c:pt idx="961">
                  <c:v>64.55</c:v>
                </c:pt>
                <c:pt idx="962">
                  <c:v>63.8</c:v>
                </c:pt>
                <c:pt idx="963">
                  <c:v>64.180000000000007</c:v>
                </c:pt>
                <c:pt idx="964">
                  <c:v>65.069999999999993</c:v>
                </c:pt>
                <c:pt idx="965">
                  <c:v>66.23</c:v>
                </c:pt>
                <c:pt idx="966">
                  <c:v>65.209999999999994</c:v>
                </c:pt>
                <c:pt idx="967">
                  <c:v>64.84</c:v>
                </c:pt>
                <c:pt idx="968">
                  <c:v>64.91</c:v>
                </c:pt>
                <c:pt idx="969">
                  <c:v>63.69</c:v>
                </c:pt>
                <c:pt idx="970">
                  <c:v>63.36</c:v>
                </c:pt>
                <c:pt idx="971">
                  <c:v>63.31</c:v>
                </c:pt>
                <c:pt idx="972">
                  <c:v>63.49</c:v>
                </c:pt>
                <c:pt idx="973">
                  <c:v>63.45</c:v>
                </c:pt>
                <c:pt idx="974">
                  <c:v>64.02</c:v>
                </c:pt>
                <c:pt idx="975">
                  <c:v>65.650000000000006</c:v>
                </c:pt>
                <c:pt idx="976">
                  <c:v>64.92</c:v>
                </c:pt>
                <c:pt idx="977">
                  <c:v>65.03</c:v>
                </c:pt>
                <c:pt idx="978">
                  <c:v>65.209999999999994</c:v>
                </c:pt>
                <c:pt idx="979">
                  <c:v>64.81</c:v>
                </c:pt>
                <c:pt idx="980">
                  <c:v>65.94</c:v>
                </c:pt>
                <c:pt idx="981">
                  <c:v>64.62</c:v>
                </c:pt>
                <c:pt idx="982">
                  <c:v>63.84</c:v>
                </c:pt>
                <c:pt idx="983">
                  <c:v>65.05</c:v>
                </c:pt>
                <c:pt idx="984">
                  <c:v>64.89</c:v>
                </c:pt>
                <c:pt idx="985">
                  <c:v>65.05</c:v>
                </c:pt>
                <c:pt idx="986">
                  <c:v>65.400000000000006</c:v>
                </c:pt>
                <c:pt idx="987">
                  <c:v>63.73</c:v>
                </c:pt>
                <c:pt idx="988">
                  <c:v>62.75</c:v>
                </c:pt>
                <c:pt idx="989">
                  <c:v>63.04</c:v>
                </c:pt>
                <c:pt idx="990">
                  <c:v>63</c:v>
                </c:pt>
                <c:pt idx="991">
                  <c:v>62.77</c:v>
                </c:pt>
                <c:pt idx="992">
                  <c:v>62.88</c:v>
                </c:pt>
                <c:pt idx="993">
                  <c:v>62.51</c:v>
                </c:pt>
                <c:pt idx="994">
                  <c:v>62.55</c:v>
                </c:pt>
                <c:pt idx="995">
                  <c:v>62.14</c:v>
                </c:pt>
                <c:pt idx="996">
                  <c:v>62.32</c:v>
                </c:pt>
                <c:pt idx="997">
                  <c:v>62.08</c:v>
                </c:pt>
                <c:pt idx="998">
                  <c:v>61.75</c:v>
                </c:pt>
                <c:pt idx="999">
                  <c:v>62.66</c:v>
                </c:pt>
                <c:pt idx="1000">
                  <c:v>63.14</c:v>
                </c:pt>
                <c:pt idx="1001">
                  <c:v>63.95</c:v>
                </c:pt>
                <c:pt idx="1002">
                  <c:v>65.08</c:v>
                </c:pt>
                <c:pt idx="1003">
                  <c:v>65.040000000000006</c:v>
                </c:pt>
                <c:pt idx="1004">
                  <c:v>64.58</c:v>
                </c:pt>
                <c:pt idx="1005">
                  <c:v>65.44</c:v>
                </c:pt>
                <c:pt idx="1006">
                  <c:v>65.87</c:v>
                </c:pt>
                <c:pt idx="1007">
                  <c:v>66.31</c:v>
                </c:pt>
                <c:pt idx="1008">
                  <c:v>66.06</c:v>
                </c:pt>
                <c:pt idx="1009">
                  <c:v>65.64</c:v>
                </c:pt>
                <c:pt idx="1010">
                  <c:v>65.12</c:v>
                </c:pt>
                <c:pt idx="1011">
                  <c:v>64.45</c:v>
                </c:pt>
                <c:pt idx="1012">
                  <c:v>65.05</c:v>
                </c:pt>
                <c:pt idx="1013">
                  <c:v>64.58</c:v>
                </c:pt>
                <c:pt idx="1014">
                  <c:v>63.28</c:v>
                </c:pt>
                <c:pt idx="1015">
                  <c:v>63.9</c:v>
                </c:pt>
                <c:pt idx="1016">
                  <c:v>62.14</c:v>
                </c:pt>
                <c:pt idx="1017">
                  <c:v>63.64</c:v>
                </c:pt>
                <c:pt idx="1018">
                  <c:v>63.26</c:v>
                </c:pt>
                <c:pt idx="1019">
                  <c:v>64.12</c:v>
                </c:pt>
                <c:pt idx="1020">
                  <c:v>64.040000000000006</c:v>
                </c:pt>
                <c:pt idx="1021">
                  <c:v>63.44</c:v>
                </c:pt>
                <c:pt idx="1022">
                  <c:v>63.94</c:v>
                </c:pt>
                <c:pt idx="1023">
                  <c:v>66.11</c:v>
                </c:pt>
                <c:pt idx="1024">
                  <c:v>63.97</c:v>
                </c:pt>
                <c:pt idx="1025">
                  <c:v>65.11</c:v>
                </c:pt>
                <c:pt idx="1026">
                  <c:v>66.86</c:v>
                </c:pt>
                <c:pt idx="1027">
                  <c:v>64.47</c:v>
                </c:pt>
                <c:pt idx="1028">
                  <c:v>66.239999999999995</c:v>
                </c:pt>
                <c:pt idx="1029">
                  <c:v>66.31</c:v>
                </c:pt>
                <c:pt idx="1030">
                  <c:v>69.95</c:v>
                </c:pt>
                <c:pt idx="1031">
                  <c:v>65.48</c:v>
                </c:pt>
                <c:pt idx="1032">
                  <c:v>64.28</c:v>
                </c:pt>
                <c:pt idx="1033">
                  <c:v>62.73</c:v>
                </c:pt>
                <c:pt idx="1034">
                  <c:v>62.3</c:v>
                </c:pt>
                <c:pt idx="1035">
                  <c:v>62.11</c:v>
                </c:pt>
                <c:pt idx="1036">
                  <c:v>63.68</c:v>
                </c:pt>
                <c:pt idx="1037">
                  <c:v>63.49</c:v>
                </c:pt>
                <c:pt idx="1038">
                  <c:v>66.290000000000006</c:v>
                </c:pt>
                <c:pt idx="1039">
                  <c:v>65.19</c:v>
                </c:pt>
                <c:pt idx="1040">
                  <c:v>64.56</c:v>
                </c:pt>
                <c:pt idx="1041">
                  <c:v>65.89</c:v>
                </c:pt>
                <c:pt idx="1042">
                  <c:v>64.27</c:v>
                </c:pt>
                <c:pt idx="1043">
                  <c:v>64.42</c:v>
                </c:pt>
                <c:pt idx="1044">
                  <c:v>63.23</c:v>
                </c:pt>
                <c:pt idx="1045">
                  <c:v>63.86</c:v>
                </c:pt>
                <c:pt idx="1046">
                  <c:v>63.12</c:v>
                </c:pt>
                <c:pt idx="1047">
                  <c:v>61.36</c:v>
                </c:pt>
                <c:pt idx="1048">
                  <c:v>60.54</c:v>
                </c:pt>
                <c:pt idx="1049">
                  <c:v>59.68</c:v>
                </c:pt>
                <c:pt idx="1050">
                  <c:v>59.61</c:v>
                </c:pt>
                <c:pt idx="1051">
                  <c:v>61.54</c:v>
                </c:pt>
                <c:pt idx="1052">
                  <c:v>62.75</c:v>
                </c:pt>
                <c:pt idx="1053">
                  <c:v>60.31</c:v>
                </c:pt>
                <c:pt idx="1054">
                  <c:v>62.22</c:v>
                </c:pt>
                <c:pt idx="1055">
                  <c:v>60.15</c:v>
                </c:pt>
                <c:pt idx="1056">
                  <c:v>62.92</c:v>
                </c:pt>
                <c:pt idx="1057">
                  <c:v>61.98</c:v>
                </c:pt>
                <c:pt idx="1058">
                  <c:v>61.49</c:v>
                </c:pt>
                <c:pt idx="1059">
                  <c:v>60.83</c:v>
                </c:pt>
                <c:pt idx="1060">
                  <c:v>60.32</c:v>
                </c:pt>
                <c:pt idx="1061">
                  <c:v>61.33</c:v>
                </c:pt>
                <c:pt idx="1062">
                  <c:v>62.38</c:v>
                </c:pt>
                <c:pt idx="1063">
                  <c:v>60.65</c:v>
                </c:pt>
                <c:pt idx="1064">
                  <c:v>60.42</c:v>
                </c:pt>
                <c:pt idx="1065">
                  <c:v>59.72</c:v>
                </c:pt>
                <c:pt idx="1066">
                  <c:v>58.38</c:v>
                </c:pt>
                <c:pt idx="1067">
                  <c:v>59.57</c:v>
                </c:pt>
                <c:pt idx="1068">
                  <c:v>58.35</c:v>
                </c:pt>
                <c:pt idx="1069">
                  <c:v>60.01</c:v>
                </c:pt>
                <c:pt idx="1070">
                  <c:v>60.07</c:v>
                </c:pt>
                <c:pt idx="1071">
                  <c:v>61.33</c:v>
                </c:pt>
                <c:pt idx="1072">
                  <c:v>61.26</c:v>
                </c:pt>
                <c:pt idx="1073">
                  <c:v>60.27</c:v>
                </c:pt>
                <c:pt idx="1074">
                  <c:v>61</c:v>
                </c:pt>
                <c:pt idx="1075">
                  <c:v>61.96</c:v>
                </c:pt>
                <c:pt idx="1076">
                  <c:v>63.99</c:v>
                </c:pt>
                <c:pt idx="1077">
                  <c:v>67.62</c:v>
                </c:pt>
                <c:pt idx="1078">
                  <c:v>65.91</c:v>
                </c:pt>
                <c:pt idx="1079">
                  <c:v>64.510000000000005</c:v>
                </c:pt>
                <c:pt idx="1080">
                  <c:v>63.19</c:v>
                </c:pt>
                <c:pt idx="1081">
                  <c:v>61.75</c:v>
                </c:pt>
                <c:pt idx="1082">
                  <c:v>60.92</c:v>
                </c:pt>
                <c:pt idx="1083">
                  <c:v>60.75</c:v>
                </c:pt>
                <c:pt idx="1084">
                  <c:v>58.71</c:v>
                </c:pt>
                <c:pt idx="1085">
                  <c:v>59.81</c:v>
                </c:pt>
                <c:pt idx="1086">
                  <c:v>57.96</c:v>
                </c:pt>
                <c:pt idx="1087">
                  <c:v>57.22</c:v>
                </c:pt>
                <c:pt idx="1088">
                  <c:v>55.98</c:v>
                </c:pt>
                <c:pt idx="1089">
                  <c:v>57.44</c:v>
                </c:pt>
                <c:pt idx="1090">
                  <c:v>57.44</c:v>
                </c:pt>
                <c:pt idx="1091">
                  <c:v>56.07</c:v>
                </c:pt>
                <c:pt idx="1092">
                  <c:v>55.77</c:v>
                </c:pt>
                <c:pt idx="1093">
                  <c:v>56.03</c:v>
                </c:pt>
                <c:pt idx="1094">
                  <c:v>55.32</c:v>
                </c:pt>
                <c:pt idx="1095">
                  <c:v>55.56</c:v>
                </c:pt>
                <c:pt idx="1096">
                  <c:v>56.51</c:v>
                </c:pt>
                <c:pt idx="1097">
                  <c:v>56.31</c:v>
                </c:pt>
                <c:pt idx="1098">
                  <c:v>55.78</c:v>
                </c:pt>
                <c:pt idx="1099">
                  <c:v>55.42</c:v>
                </c:pt>
                <c:pt idx="1100">
                  <c:v>56.2</c:v>
                </c:pt>
                <c:pt idx="1101">
                  <c:v>57</c:v>
                </c:pt>
                <c:pt idx="1102">
                  <c:v>55.5</c:v>
                </c:pt>
                <c:pt idx="1103">
                  <c:v>53.71</c:v>
                </c:pt>
                <c:pt idx="1104">
                  <c:v>54.19</c:v>
                </c:pt>
                <c:pt idx="1105">
                  <c:v>54.08</c:v>
                </c:pt>
                <c:pt idx="1106">
                  <c:v>54.64</c:v>
                </c:pt>
                <c:pt idx="1107">
                  <c:v>56.65</c:v>
                </c:pt>
                <c:pt idx="1108">
                  <c:v>56.04</c:v>
                </c:pt>
                <c:pt idx="1109">
                  <c:v>55.18</c:v>
                </c:pt>
                <c:pt idx="1110">
                  <c:v>53.25</c:v>
                </c:pt>
                <c:pt idx="1111">
                  <c:v>52.88</c:v>
                </c:pt>
                <c:pt idx="1112">
                  <c:v>53.87</c:v>
                </c:pt>
                <c:pt idx="1113">
                  <c:v>53.09</c:v>
                </c:pt>
                <c:pt idx="1114">
                  <c:v>54.29</c:v>
                </c:pt>
                <c:pt idx="1115">
                  <c:v>56.77</c:v>
                </c:pt>
                <c:pt idx="1116">
                  <c:v>57.38</c:v>
                </c:pt>
                <c:pt idx="1117">
                  <c:v>56.52</c:v>
                </c:pt>
                <c:pt idx="1118">
                  <c:v>57.47</c:v>
                </c:pt>
                <c:pt idx="1119">
                  <c:v>57.05</c:v>
                </c:pt>
                <c:pt idx="1120">
                  <c:v>55.72</c:v>
                </c:pt>
                <c:pt idx="1121">
                  <c:v>54.42</c:v>
                </c:pt>
                <c:pt idx="1122">
                  <c:v>53.7</c:v>
                </c:pt>
                <c:pt idx="1123">
                  <c:v>53.62</c:v>
                </c:pt>
                <c:pt idx="1124">
                  <c:v>53.31</c:v>
                </c:pt>
                <c:pt idx="1125">
                  <c:v>54.08</c:v>
                </c:pt>
                <c:pt idx="1126">
                  <c:v>54.47</c:v>
                </c:pt>
                <c:pt idx="1127">
                  <c:v>53.45</c:v>
                </c:pt>
                <c:pt idx="1128">
                  <c:v>52.49</c:v>
                </c:pt>
                <c:pt idx="1129">
                  <c:v>51.25</c:v>
                </c:pt>
                <c:pt idx="1130">
                  <c:v>51.56</c:v>
                </c:pt>
                <c:pt idx="1131">
                  <c:v>51.79</c:v>
                </c:pt>
                <c:pt idx="1132">
                  <c:v>52.07</c:v>
                </c:pt>
                <c:pt idx="1133">
                  <c:v>52.26</c:v>
                </c:pt>
                <c:pt idx="1134">
                  <c:v>52.96</c:v>
                </c:pt>
                <c:pt idx="1135">
                  <c:v>53.21</c:v>
                </c:pt>
                <c:pt idx="1136">
                  <c:v>52.06</c:v>
                </c:pt>
                <c:pt idx="1137">
                  <c:v>51.9</c:v>
                </c:pt>
                <c:pt idx="1138">
                  <c:v>51.33</c:v>
                </c:pt>
                <c:pt idx="1139">
                  <c:v>50.91</c:v>
                </c:pt>
                <c:pt idx="1140">
                  <c:v>50.71</c:v>
                </c:pt>
                <c:pt idx="1141">
                  <c:v>50.77</c:v>
                </c:pt>
                <c:pt idx="1142">
                  <c:v>52.12</c:v>
                </c:pt>
                <c:pt idx="1143">
                  <c:v>53.31</c:v>
                </c:pt>
                <c:pt idx="1144">
                  <c:v>53.73</c:v>
                </c:pt>
                <c:pt idx="1145">
                  <c:v>53.19</c:v>
                </c:pt>
                <c:pt idx="1146">
                  <c:v>52.36</c:v>
                </c:pt>
                <c:pt idx="1147">
                  <c:v>52.31</c:v>
                </c:pt>
                <c:pt idx="1148">
                  <c:v>51.95</c:v>
                </c:pt>
                <c:pt idx="1149">
                  <c:v>51.97</c:v>
                </c:pt>
                <c:pt idx="1150">
                  <c:v>52.79</c:v>
                </c:pt>
                <c:pt idx="1151">
                  <c:v>53.05</c:v>
                </c:pt>
                <c:pt idx="1152">
                  <c:v>53.4</c:v>
                </c:pt>
                <c:pt idx="1153">
                  <c:v>53.84</c:v>
                </c:pt>
                <c:pt idx="1154">
                  <c:v>53.46</c:v>
                </c:pt>
                <c:pt idx="1155">
                  <c:v>52.16</c:v>
                </c:pt>
                <c:pt idx="1156">
                  <c:v>50.75</c:v>
                </c:pt>
                <c:pt idx="1157">
                  <c:v>51.48</c:v>
                </c:pt>
                <c:pt idx="1158">
                  <c:v>50.9</c:v>
                </c:pt>
                <c:pt idx="1159">
                  <c:v>50.82</c:v>
                </c:pt>
                <c:pt idx="1160">
                  <c:v>50.89</c:v>
                </c:pt>
                <c:pt idx="1161">
                  <c:v>50.97</c:v>
                </c:pt>
                <c:pt idx="1162">
                  <c:v>50.87</c:v>
                </c:pt>
                <c:pt idx="1163">
                  <c:v>50.61</c:v>
                </c:pt>
                <c:pt idx="1164">
                  <c:v>50.32</c:v>
                </c:pt>
                <c:pt idx="1165">
                  <c:v>51.04</c:v>
                </c:pt>
                <c:pt idx="1166">
                  <c:v>51.07</c:v>
                </c:pt>
                <c:pt idx="1167">
                  <c:v>52.04</c:v>
                </c:pt>
                <c:pt idx="1168">
                  <c:v>51.85</c:v>
                </c:pt>
                <c:pt idx="1169">
                  <c:v>52.37</c:v>
                </c:pt>
                <c:pt idx="1170">
                  <c:v>52.65</c:v>
                </c:pt>
                <c:pt idx="1171">
                  <c:v>53.09</c:v>
                </c:pt>
                <c:pt idx="1172">
                  <c:v>52.53</c:v>
                </c:pt>
                <c:pt idx="1173">
                  <c:v>54.34</c:v>
                </c:pt>
                <c:pt idx="1174">
                  <c:v>54.84</c:v>
                </c:pt>
                <c:pt idx="1175">
                  <c:v>55.56</c:v>
                </c:pt>
                <c:pt idx="1176">
                  <c:v>56.73</c:v>
                </c:pt>
                <c:pt idx="1177">
                  <c:v>57.07</c:v>
                </c:pt>
                <c:pt idx="1178">
                  <c:v>56.76</c:v>
                </c:pt>
                <c:pt idx="1179">
                  <c:v>57.52</c:v>
                </c:pt>
                <c:pt idx="1180">
                  <c:v>57.42</c:v>
                </c:pt>
                <c:pt idx="1181">
                  <c:v>57.9</c:v>
                </c:pt>
                <c:pt idx="1182">
                  <c:v>57.68</c:v>
                </c:pt>
                <c:pt idx="1183">
                  <c:v>57.11</c:v>
                </c:pt>
                <c:pt idx="1184">
                  <c:v>56.43</c:v>
                </c:pt>
                <c:pt idx="1185">
                  <c:v>56.31</c:v>
                </c:pt>
                <c:pt idx="1186">
                  <c:v>56.52</c:v>
                </c:pt>
                <c:pt idx="1187">
                  <c:v>56.13</c:v>
                </c:pt>
                <c:pt idx="1188">
                  <c:v>55.59</c:v>
                </c:pt>
                <c:pt idx="1189">
                  <c:v>54.03</c:v>
                </c:pt>
                <c:pt idx="1190">
                  <c:v>54.97</c:v>
                </c:pt>
                <c:pt idx="1191">
                  <c:v>54.43</c:v>
                </c:pt>
                <c:pt idx="1192">
                  <c:v>53.91</c:v>
                </c:pt>
                <c:pt idx="1193">
                  <c:v>52.23</c:v>
                </c:pt>
                <c:pt idx="1194">
                  <c:v>52.81</c:v>
                </c:pt>
                <c:pt idx="1195">
                  <c:v>54.4</c:v>
                </c:pt>
                <c:pt idx="1196">
                  <c:v>54.66</c:v>
                </c:pt>
                <c:pt idx="1197">
                  <c:v>56.32</c:v>
                </c:pt>
                <c:pt idx="1198">
                  <c:v>56.49</c:v>
                </c:pt>
                <c:pt idx="1199">
                  <c:v>55.62</c:v>
                </c:pt>
                <c:pt idx="1200">
                  <c:v>56.36</c:v>
                </c:pt>
                <c:pt idx="1201">
                  <c:v>56.5</c:v>
                </c:pt>
                <c:pt idx="1202">
                  <c:v>56.08</c:v>
                </c:pt>
                <c:pt idx="1203">
                  <c:v>56.43</c:v>
                </c:pt>
                <c:pt idx="1204">
                  <c:v>56.03</c:v>
                </c:pt>
                <c:pt idx="1205">
                  <c:v>54.6</c:v>
                </c:pt>
                <c:pt idx="1206">
                  <c:v>54.38</c:v>
                </c:pt>
                <c:pt idx="1207">
                  <c:v>53.89</c:v>
                </c:pt>
                <c:pt idx="1208">
                  <c:v>54.88</c:v>
                </c:pt>
                <c:pt idx="1209">
                  <c:v>55.02</c:v>
                </c:pt>
                <c:pt idx="1210">
                  <c:v>55.17</c:v>
                </c:pt>
                <c:pt idx="1211">
                  <c:v>55.81</c:v>
                </c:pt>
                <c:pt idx="1212">
                  <c:v>54.96</c:v>
                </c:pt>
                <c:pt idx="1213">
                  <c:v>56.56</c:v>
                </c:pt>
                <c:pt idx="1214">
                  <c:v>56.93</c:v>
                </c:pt>
                <c:pt idx="1215">
                  <c:v>55.78</c:v>
                </c:pt>
                <c:pt idx="1216">
                  <c:v>55.15</c:v>
                </c:pt>
                <c:pt idx="1217">
                  <c:v>55.52</c:v>
                </c:pt>
                <c:pt idx="1218">
                  <c:v>55.02</c:v>
                </c:pt>
                <c:pt idx="1219">
                  <c:v>55.06</c:v>
                </c:pt>
                <c:pt idx="1220">
                  <c:v>55.48</c:v>
                </c:pt>
                <c:pt idx="1221">
                  <c:v>54.91</c:v>
                </c:pt>
                <c:pt idx="1222">
                  <c:v>54.63</c:v>
                </c:pt>
                <c:pt idx="1223">
                  <c:v>54.98</c:v>
                </c:pt>
                <c:pt idx="1224">
                  <c:v>54.58</c:v>
                </c:pt>
                <c:pt idx="1225">
                  <c:v>55.23</c:v>
                </c:pt>
                <c:pt idx="1226">
                  <c:v>54.78</c:v>
                </c:pt>
                <c:pt idx="1227">
                  <c:v>55.29</c:v>
                </c:pt>
                <c:pt idx="1228">
                  <c:v>54.39</c:v>
                </c:pt>
                <c:pt idx="1229">
                  <c:v>55.05</c:v>
                </c:pt>
                <c:pt idx="1230">
                  <c:v>55.96</c:v>
                </c:pt>
                <c:pt idx="1231">
                  <c:v>56.79</c:v>
                </c:pt>
                <c:pt idx="1232">
                  <c:v>57.3</c:v>
                </c:pt>
                <c:pt idx="1233">
                  <c:v>55.36</c:v>
                </c:pt>
                <c:pt idx="1234">
                  <c:v>54.94</c:v>
                </c:pt>
                <c:pt idx="1235">
                  <c:v>55.01</c:v>
                </c:pt>
                <c:pt idx="1236">
                  <c:v>55.36</c:v>
                </c:pt>
                <c:pt idx="1237">
                  <c:v>56.645000000000003</c:v>
                </c:pt>
                <c:pt idx="1238">
                  <c:v>55.35</c:v>
                </c:pt>
                <c:pt idx="1239">
                  <c:v>55.86</c:v>
                </c:pt>
                <c:pt idx="1240">
                  <c:v>56.63</c:v>
                </c:pt>
                <c:pt idx="1241">
                  <c:v>56.17</c:v>
                </c:pt>
                <c:pt idx="1242">
                  <c:v>55.68</c:v>
                </c:pt>
                <c:pt idx="1243">
                  <c:v>55.81</c:v>
                </c:pt>
                <c:pt idx="1244">
                  <c:v>55.76</c:v>
                </c:pt>
                <c:pt idx="1245">
                  <c:v>56.33</c:v>
                </c:pt>
                <c:pt idx="1246">
                  <c:v>56.42</c:v>
                </c:pt>
                <c:pt idx="1247">
                  <c:v>58.48</c:v>
                </c:pt>
                <c:pt idx="1248">
                  <c:v>56.03</c:v>
                </c:pt>
                <c:pt idx="1249">
                  <c:v>56.72</c:v>
                </c:pt>
                <c:pt idx="1250">
                  <c:v>57.47</c:v>
                </c:pt>
                <c:pt idx="1251">
                  <c:v>58.37</c:v>
                </c:pt>
                <c:pt idx="1252">
                  <c:v>57.93</c:v>
                </c:pt>
                <c:pt idx="1253">
                  <c:v>58.59</c:v>
                </c:pt>
                <c:pt idx="1254">
                  <c:v>58.32</c:v>
                </c:pt>
                <c:pt idx="1255">
                  <c:v>58.41</c:v>
                </c:pt>
                <c:pt idx="1256">
                  <c:v>56.97</c:v>
                </c:pt>
                <c:pt idx="1257">
                  <c:v>57.63</c:v>
                </c:pt>
                <c:pt idx="1258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F-45A1-9AA5-446944086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36975"/>
        <c:axId val="450447055"/>
      </c:lineChart>
      <c:catAx>
        <c:axId val="4504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47055"/>
        <c:crosses val="autoZero"/>
        <c:auto val="1"/>
        <c:lblAlgn val="ctr"/>
        <c:lblOffset val="100"/>
        <c:noMultiLvlLbl val="0"/>
      </c:catAx>
      <c:valAx>
        <c:axId val="45044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3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últmo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WALMEX!$B$1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WALMEX!$A$2:$A$252</c:f>
              <c:strCache>
                <c:ptCount val="251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</c:strCache>
            </c:strRef>
          </c:cat>
          <c:val>
            <c:numRef>
              <c:f>WALMEX!$B$2:$B$252</c:f>
              <c:numCache>
                <c:formatCode>General</c:formatCode>
                <c:ptCount val="251"/>
                <c:pt idx="0">
                  <c:v>62.15</c:v>
                </c:pt>
                <c:pt idx="1">
                  <c:v>59.72</c:v>
                </c:pt>
                <c:pt idx="2">
                  <c:v>62.25</c:v>
                </c:pt>
                <c:pt idx="3">
                  <c:v>61.11</c:v>
                </c:pt>
                <c:pt idx="4">
                  <c:v>62.54</c:v>
                </c:pt>
                <c:pt idx="5">
                  <c:v>62.18</c:v>
                </c:pt>
                <c:pt idx="6">
                  <c:v>63.51</c:v>
                </c:pt>
                <c:pt idx="7">
                  <c:v>60.79</c:v>
                </c:pt>
                <c:pt idx="8">
                  <c:v>58.88</c:v>
                </c:pt>
                <c:pt idx="9">
                  <c:v>57.09</c:v>
                </c:pt>
                <c:pt idx="10">
                  <c:v>56.6</c:v>
                </c:pt>
                <c:pt idx="11">
                  <c:v>55.66</c:v>
                </c:pt>
                <c:pt idx="12">
                  <c:v>56.17</c:v>
                </c:pt>
                <c:pt idx="13">
                  <c:v>57.93</c:v>
                </c:pt>
                <c:pt idx="14">
                  <c:v>56.33</c:v>
                </c:pt>
                <c:pt idx="15">
                  <c:v>56.95</c:v>
                </c:pt>
                <c:pt idx="16">
                  <c:v>56.8</c:v>
                </c:pt>
                <c:pt idx="17">
                  <c:v>59.38</c:v>
                </c:pt>
                <c:pt idx="18">
                  <c:v>57.89</c:v>
                </c:pt>
                <c:pt idx="19">
                  <c:v>57.22</c:v>
                </c:pt>
                <c:pt idx="20">
                  <c:v>56.36</c:v>
                </c:pt>
                <c:pt idx="21">
                  <c:v>57.28</c:v>
                </c:pt>
                <c:pt idx="22">
                  <c:v>58.39</c:v>
                </c:pt>
                <c:pt idx="23">
                  <c:v>56.4</c:v>
                </c:pt>
                <c:pt idx="24">
                  <c:v>56.31</c:v>
                </c:pt>
                <c:pt idx="25">
                  <c:v>56.13</c:v>
                </c:pt>
                <c:pt idx="26">
                  <c:v>56.17</c:v>
                </c:pt>
                <c:pt idx="27">
                  <c:v>54.78</c:v>
                </c:pt>
                <c:pt idx="28">
                  <c:v>54.47</c:v>
                </c:pt>
                <c:pt idx="29">
                  <c:v>54.95</c:v>
                </c:pt>
                <c:pt idx="30">
                  <c:v>53.52</c:v>
                </c:pt>
                <c:pt idx="31">
                  <c:v>52.77</c:v>
                </c:pt>
                <c:pt idx="32">
                  <c:v>54.33</c:v>
                </c:pt>
                <c:pt idx="33">
                  <c:v>53.52</c:v>
                </c:pt>
                <c:pt idx="34">
                  <c:v>54.07</c:v>
                </c:pt>
                <c:pt idx="35">
                  <c:v>55.43</c:v>
                </c:pt>
                <c:pt idx="36">
                  <c:v>54.35</c:v>
                </c:pt>
                <c:pt idx="37">
                  <c:v>55.45</c:v>
                </c:pt>
                <c:pt idx="38">
                  <c:v>54.79</c:v>
                </c:pt>
                <c:pt idx="39">
                  <c:v>54.83</c:v>
                </c:pt>
                <c:pt idx="40">
                  <c:v>54.38</c:v>
                </c:pt>
                <c:pt idx="41">
                  <c:v>55.61</c:v>
                </c:pt>
                <c:pt idx="42">
                  <c:v>55.88</c:v>
                </c:pt>
                <c:pt idx="43">
                  <c:v>55.87</c:v>
                </c:pt>
                <c:pt idx="44">
                  <c:v>56.77</c:v>
                </c:pt>
                <c:pt idx="45">
                  <c:v>56.29</c:v>
                </c:pt>
                <c:pt idx="46">
                  <c:v>56.47</c:v>
                </c:pt>
                <c:pt idx="47">
                  <c:v>55.75</c:v>
                </c:pt>
                <c:pt idx="48">
                  <c:v>55.66</c:v>
                </c:pt>
                <c:pt idx="49">
                  <c:v>54.91</c:v>
                </c:pt>
                <c:pt idx="50">
                  <c:v>54.6</c:v>
                </c:pt>
                <c:pt idx="51">
                  <c:v>58.49</c:v>
                </c:pt>
                <c:pt idx="52">
                  <c:v>57.97</c:v>
                </c:pt>
                <c:pt idx="53">
                  <c:v>57.99</c:v>
                </c:pt>
                <c:pt idx="54">
                  <c:v>56.29</c:v>
                </c:pt>
                <c:pt idx="55">
                  <c:v>55.36</c:v>
                </c:pt>
                <c:pt idx="56">
                  <c:v>55.56</c:v>
                </c:pt>
                <c:pt idx="57">
                  <c:v>54.76</c:v>
                </c:pt>
                <c:pt idx="58">
                  <c:v>55.06</c:v>
                </c:pt>
                <c:pt idx="59">
                  <c:v>53.72</c:v>
                </c:pt>
                <c:pt idx="60">
                  <c:v>54.71</c:v>
                </c:pt>
                <c:pt idx="61">
                  <c:v>54.71</c:v>
                </c:pt>
                <c:pt idx="62">
                  <c:v>56.09</c:v>
                </c:pt>
                <c:pt idx="63">
                  <c:v>57.18</c:v>
                </c:pt>
                <c:pt idx="64">
                  <c:v>57.62</c:v>
                </c:pt>
                <c:pt idx="65">
                  <c:v>56.83</c:v>
                </c:pt>
                <c:pt idx="66">
                  <c:v>57.47</c:v>
                </c:pt>
                <c:pt idx="67">
                  <c:v>56.29</c:v>
                </c:pt>
                <c:pt idx="68">
                  <c:v>55.25</c:v>
                </c:pt>
                <c:pt idx="69">
                  <c:v>53.58</c:v>
                </c:pt>
                <c:pt idx="70">
                  <c:v>54.79</c:v>
                </c:pt>
                <c:pt idx="71">
                  <c:v>57.14</c:v>
                </c:pt>
                <c:pt idx="72">
                  <c:v>57.65</c:v>
                </c:pt>
                <c:pt idx="73">
                  <c:v>57.89</c:v>
                </c:pt>
                <c:pt idx="74">
                  <c:v>57.03</c:v>
                </c:pt>
                <c:pt idx="75">
                  <c:v>56.96</c:v>
                </c:pt>
                <c:pt idx="76">
                  <c:v>55.94</c:v>
                </c:pt>
                <c:pt idx="77">
                  <c:v>56.13</c:v>
                </c:pt>
                <c:pt idx="78">
                  <c:v>54.94</c:v>
                </c:pt>
                <c:pt idx="79">
                  <c:v>54.22</c:v>
                </c:pt>
                <c:pt idx="80">
                  <c:v>55.31</c:v>
                </c:pt>
                <c:pt idx="81">
                  <c:v>54.89</c:v>
                </c:pt>
                <c:pt idx="82">
                  <c:v>54.03</c:v>
                </c:pt>
                <c:pt idx="83">
                  <c:v>55.02</c:v>
                </c:pt>
                <c:pt idx="84">
                  <c:v>55.92</c:v>
                </c:pt>
                <c:pt idx="85">
                  <c:v>56.18</c:v>
                </c:pt>
                <c:pt idx="86">
                  <c:v>56.3</c:v>
                </c:pt>
                <c:pt idx="87">
                  <c:v>57.36</c:v>
                </c:pt>
                <c:pt idx="88">
                  <c:v>58.03</c:v>
                </c:pt>
                <c:pt idx="89">
                  <c:v>58.33</c:v>
                </c:pt>
                <c:pt idx="90">
                  <c:v>57.45</c:v>
                </c:pt>
                <c:pt idx="91">
                  <c:v>59.71</c:v>
                </c:pt>
                <c:pt idx="92">
                  <c:v>61.4</c:v>
                </c:pt>
                <c:pt idx="93">
                  <c:v>57.1</c:v>
                </c:pt>
                <c:pt idx="94">
                  <c:v>57.01</c:v>
                </c:pt>
                <c:pt idx="95">
                  <c:v>57.23</c:v>
                </c:pt>
                <c:pt idx="96">
                  <c:v>57.28</c:v>
                </c:pt>
                <c:pt idx="97">
                  <c:v>57.02</c:v>
                </c:pt>
                <c:pt idx="98">
                  <c:v>56.51</c:v>
                </c:pt>
                <c:pt idx="99">
                  <c:v>54.83</c:v>
                </c:pt>
                <c:pt idx="100">
                  <c:v>54.14</c:v>
                </c:pt>
                <c:pt idx="101">
                  <c:v>53.9</c:v>
                </c:pt>
                <c:pt idx="102">
                  <c:v>53.42</c:v>
                </c:pt>
                <c:pt idx="103">
                  <c:v>54.32</c:v>
                </c:pt>
                <c:pt idx="104">
                  <c:v>53.52</c:v>
                </c:pt>
                <c:pt idx="105">
                  <c:v>53.25</c:v>
                </c:pt>
                <c:pt idx="106">
                  <c:v>53.49</c:v>
                </c:pt>
                <c:pt idx="107">
                  <c:v>51.89</c:v>
                </c:pt>
                <c:pt idx="108">
                  <c:v>53.32</c:v>
                </c:pt>
                <c:pt idx="109">
                  <c:v>53.76</c:v>
                </c:pt>
                <c:pt idx="110">
                  <c:v>55.02</c:v>
                </c:pt>
                <c:pt idx="111">
                  <c:v>55.04</c:v>
                </c:pt>
                <c:pt idx="112">
                  <c:v>56.35</c:v>
                </c:pt>
                <c:pt idx="113">
                  <c:v>55.59</c:v>
                </c:pt>
                <c:pt idx="114">
                  <c:v>55.28</c:v>
                </c:pt>
                <c:pt idx="115">
                  <c:v>56.04</c:v>
                </c:pt>
                <c:pt idx="116">
                  <c:v>56.1</c:v>
                </c:pt>
                <c:pt idx="117">
                  <c:v>56.05</c:v>
                </c:pt>
                <c:pt idx="118">
                  <c:v>55.89</c:v>
                </c:pt>
                <c:pt idx="119">
                  <c:v>56.29</c:v>
                </c:pt>
                <c:pt idx="120">
                  <c:v>55.91</c:v>
                </c:pt>
                <c:pt idx="121">
                  <c:v>55.02</c:v>
                </c:pt>
                <c:pt idx="122">
                  <c:v>55.17</c:v>
                </c:pt>
                <c:pt idx="123">
                  <c:v>55.9</c:v>
                </c:pt>
                <c:pt idx="124">
                  <c:v>56.98</c:v>
                </c:pt>
                <c:pt idx="125">
                  <c:v>57.08</c:v>
                </c:pt>
                <c:pt idx="126">
                  <c:v>59.12</c:v>
                </c:pt>
                <c:pt idx="127">
                  <c:v>61.54</c:v>
                </c:pt>
                <c:pt idx="128">
                  <c:v>60.3</c:v>
                </c:pt>
                <c:pt idx="129">
                  <c:v>60.03</c:v>
                </c:pt>
                <c:pt idx="130">
                  <c:v>59.81</c:v>
                </c:pt>
                <c:pt idx="131">
                  <c:v>59.54</c:v>
                </c:pt>
                <c:pt idx="132">
                  <c:v>58.99</c:v>
                </c:pt>
                <c:pt idx="133">
                  <c:v>58.99</c:v>
                </c:pt>
                <c:pt idx="134">
                  <c:v>58.78</c:v>
                </c:pt>
                <c:pt idx="135">
                  <c:v>59.41</c:v>
                </c:pt>
                <c:pt idx="136">
                  <c:v>59.57</c:v>
                </c:pt>
                <c:pt idx="137">
                  <c:v>56.37</c:v>
                </c:pt>
                <c:pt idx="138">
                  <c:v>57.02</c:v>
                </c:pt>
                <c:pt idx="139">
                  <c:v>57.95</c:v>
                </c:pt>
                <c:pt idx="140">
                  <c:v>58.93</c:v>
                </c:pt>
                <c:pt idx="141">
                  <c:v>57.64</c:v>
                </c:pt>
                <c:pt idx="142">
                  <c:v>57.71</c:v>
                </c:pt>
                <c:pt idx="143">
                  <c:v>59.17</c:v>
                </c:pt>
                <c:pt idx="144">
                  <c:v>58.13</c:v>
                </c:pt>
                <c:pt idx="145">
                  <c:v>59.67</c:v>
                </c:pt>
                <c:pt idx="146">
                  <c:v>60.75</c:v>
                </c:pt>
                <c:pt idx="147">
                  <c:v>61.97</c:v>
                </c:pt>
                <c:pt idx="148">
                  <c:v>60.6</c:v>
                </c:pt>
                <c:pt idx="149">
                  <c:v>60.93</c:v>
                </c:pt>
                <c:pt idx="150">
                  <c:v>61.24</c:v>
                </c:pt>
                <c:pt idx="151">
                  <c:v>61.14</c:v>
                </c:pt>
                <c:pt idx="152">
                  <c:v>62.01</c:v>
                </c:pt>
                <c:pt idx="153">
                  <c:v>60.64</c:v>
                </c:pt>
                <c:pt idx="154">
                  <c:v>61.22</c:v>
                </c:pt>
                <c:pt idx="155">
                  <c:v>60.98</c:v>
                </c:pt>
                <c:pt idx="156">
                  <c:v>59.95</c:v>
                </c:pt>
                <c:pt idx="157">
                  <c:v>60.78</c:v>
                </c:pt>
                <c:pt idx="158">
                  <c:v>59.69</c:v>
                </c:pt>
                <c:pt idx="159">
                  <c:v>59.94</c:v>
                </c:pt>
                <c:pt idx="160">
                  <c:v>60.56</c:v>
                </c:pt>
                <c:pt idx="161">
                  <c:v>61.91</c:v>
                </c:pt>
                <c:pt idx="162">
                  <c:v>63.39</c:v>
                </c:pt>
                <c:pt idx="163">
                  <c:v>62.77</c:v>
                </c:pt>
                <c:pt idx="164">
                  <c:v>62.47</c:v>
                </c:pt>
                <c:pt idx="165">
                  <c:v>61.5</c:v>
                </c:pt>
                <c:pt idx="166">
                  <c:v>62.41</c:v>
                </c:pt>
                <c:pt idx="167">
                  <c:v>62.59</c:v>
                </c:pt>
                <c:pt idx="168">
                  <c:v>63.09</c:v>
                </c:pt>
                <c:pt idx="169">
                  <c:v>63.05</c:v>
                </c:pt>
                <c:pt idx="170">
                  <c:v>64.09</c:v>
                </c:pt>
                <c:pt idx="171">
                  <c:v>62.64</c:v>
                </c:pt>
                <c:pt idx="172">
                  <c:v>62.9</c:v>
                </c:pt>
                <c:pt idx="173">
                  <c:v>63.1</c:v>
                </c:pt>
                <c:pt idx="174">
                  <c:v>63.15</c:v>
                </c:pt>
                <c:pt idx="175">
                  <c:v>62.76</c:v>
                </c:pt>
                <c:pt idx="176">
                  <c:v>63.36</c:v>
                </c:pt>
                <c:pt idx="177">
                  <c:v>62.64</c:v>
                </c:pt>
                <c:pt idx="178">
                  <c:v>62.33</c:v>
                </c:pt>
                <c:pt idx="179">
                  <c:v>61.76</c:v>
                </c:pt>
                <c:pt idx="180">
                  <c:v>60.84</c:v>
                </c:pt>
                <c:pt idx="181">
                  <c:v>60.81</c:v>
                </c:pt>
                <c:pt idx="182">
                  <c:v>59.06</c:v>
                </c:pt>
                <c:pt idx="183">
                  <c:v>60.26</c:v>
                </c:pt>
                <c:pt idx="184">
                  <c:v>60.84</c:v>
                </c:pt>
                <c:pt idx="185">
                  <c:v>61.96</c:v>
                </c:pt>
                <c:pt idx="186">
                  <c:v>61.59</c:v>
                </c:pt>
                <c:pt idx="187">
                  <c:v>62.09</c:v>
                </c:pt>
                <c:pt idx="188">
                  <c:v>61.38</c:v>
                </c:pt>
                <c:pt idx="189">
                  <c:v>62.83</c:v>
                </c:pt>
                <c:pt idx="190">
                  <c:v>62.7</c:v>
                </c:pt>
                <c:pt idx="191">
                  <c:v>63.26</c:v>
                </c:pt>
                <c:pt idx="192">
                  <c:v>63.46</c:v>
                </c:pt>
                <c:pt idx="193">
                  <c:v>63.84</c:v>
                </c:pt>
                <c:pt idx="194">
                  <c:v>63.33</c:v>
                </c:pt>
                <c:pt idx="195">
                  <c:v>64.77</c:v>
                </c:pt>
                <c:pt idx="196">
                  <c:v>65.56</c:v>
                </c:pt>
                <c:pt idx="197">
                  <c:v>67.069999999999993</c:v>
                </c:pt>
                <c:pt idx="198">
                  <c:v>68.02</c:v>
                </c:pt>
                <c:pt idx="199">
                  <c:v>65.55</c:v>
                </c:pt>
                <c:pt idx="200">
                  <c:v>64.42</c:v>
                </c:pt>
                <c:pt idx="201">
                  <c:v>63.95</c:v>
                </c:pt>
                <c:pt idx="202">
                  <c:v>61.89</c:v>
                </c:pt>
                <c:pt idx="203">
                  <c:v>61.51</c:v>
                </c:pt>
                <c:pt idx="204">
                  <c:v>61.45</c:v>
                </c:pt>
                <c:pt idx="205">
                  <c:v>61.48</c:v>
                </c:pt>
                <c:pt idx="206">
                  <c:v>61.42</c:v>
                </c:pt>
                <c:pt idx="207">
                  <c:v>62.53</c:v>
                </c:pt>
                <c:pt idx="208">
                  <c:v>62.26</c:v>
                </c:pt>
                <c:pt idx="209">
                  <c:v>62.09</c:v>
                </c:pt>
                <c:pt idx="210">
                  <c:v>62.04</c:v>
                </c:pt>
                <c:pt idx="211">
                  <c:v>62.49</c:v>
                </c:pt>
                <c:pt idx="212">
                  <c:v>60.64</c:v>
                </c:pt>
                <c:pt idx="213">
                  <c:v>61.89</c:v>
                </c:pt>
                <c:pt idx="214">
                  <c:v>62.02</c:v>
                </c:pt>
                <c:pt idx="215">
                  <c:v>62.39</c:v>
                </c:pt>
                <c:pt idx="216">
                  <c:v>62.03</c:v>
                </c:pt>
                <c:pt idx="217">
                  <c:v>61.25</c:v>
                </c:pt>
                <c:pt idx="218">
                  <c:v>60.6</c:v>
                </c:pt>
                <c:pt idx="219">
                  <c:v>60.96</c:v>
                </c:pt>
                <c:pt idx="220">
                  <c:v>61.03</c:v>
                </c:pt>
                <c:pt idx="221">
                  <c:v>62.01</c:v>
                </c:pt>
                <c:pt idx="222">
                  <c:v>62.4</c:v>
                </c:pt>
                <c:pt idx="223">
                  <c:v>62.59</c:v>
                </c:pt>
                <c:pt idx="224">
                  <c:v>63.4</c:v>
                </c:pt>
                <c:pt idx="225">
                  <c:v>62.79</c:v>
                </c:pt>
                <c:pt idx="226">
                  <c:v>61.55</c:v>
                </c:pt>
                <c:pt idx="227">
                  <c:v>59.94</c:v>
                </c:pt>
                <c:pt idx="228">
                  <c:v>63.79</c:v>
                </c:pt>
                <c:pt idx="229">
                  <c:v>63.65</c:v>
                </c:pt>
                <c:pt idx="230">
                  <c:v>63.65</c:v>
                </c:pt>
                <c:pt idx="231">
                  <c:v>64.56</c:v>
                </c:pt>
                <c:pt idx="232">
                  <c:v>65.03</c:v>
                </c:pt>
                <c:pt idx="233">
                  <c:v>65.069999999999993</c:v>
                </c:pt>
                <c:pt idx="234">
                  <c:v>66.39</c:v>
                </c:pt>
                <c:pt idx="235">
                  <c:v>66.62</c:v>
                </c:pt>
                <c:pt idx="236">
                  <c:v>66.78</c:v>
                </c:pt>
                <c:pt idx="237">
                  <c:v>67.97</c:v>
                </c:pt>
                <c:pt idx="238">
                  <c:v>67.900000000000006</c:v>
                </c:pt>
                <c:pt idx="239">
                  <c:v>68.069999999999993</c:v>
                </c:pt>
                <c:pt idx="240">
                  <c:v>67.73</c:v>
                </c:pt>
                <c:pt idx="241">
                  <c:v>67.11</c:v>
                </c:pt>
                <c:pt idx="242">
                  <c:v>68.5</c:v>
                </c:pt>
                <c:pt idx="243">
                  <c:v>69</c:v>
                </c:pt>
                <c:pt idx="244">
                  <c:v>68.34</c:v>
                </c:pt>
                <c:pt idx="245">
                  <c:v>66.5</c:v>
                </c:pt>
                <c:pt idx="246">
                  <c:v>65.53</c:v>
                </c:pt>
                <c:pt idx="247">
                  <c:v>65.67</c:v>
                </c:pt>
                <c:pt idx="248">
                  <c:v>64.34</c:v>
                </c:pt>
                <c:pt idx="249">
                  <c:v>63.49</c:v>
                </c:pt>
                <c:pt idx="250">
                  <c:v>63.92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E-4179-865C-1836ECACE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92655"/>
        <c:axId val="450487375"/>
      </c:lineChart>
      <c:catAx>
        <c:axId val="45049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87375"/>
        <c:crosses val="autoZero"/>
        <c:auto val="1"/>
        <c:lblAlgn val="ctr"/>
        <c:lblOffset val="100"/>
        <c:noMultiLvlLbl val="0"/>
      </c:catAx>
      <c:valAx>
        <c:axId val="4504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9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último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WALMEX!$B$1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WALMEX!$A$2:$A$21</c:f>
              <c:strCache>
                <c:ptCount val="20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</c:strCache>
            </c:strRef>
          </c:cat>
          <c:val>
            <c:numRef>
              <c:f>WALMEX!$B$2:$B$21</c:f>
              <c:numCache>
                <c:formatCode>General</c:formatCode>
                <c:ptCount val="20"/>
                <c:pt idx="0">
                  <c:v>62.15</c:v>
                </c:pt>
                <c:pt idx="1">
                  <c:v>59.72</c:v>
                </c:pt>
                <c:pt idx="2">
                  <c:v>62.25</c:v>
                </c:pt>
                <c:pt idx="3">
                  <c:v>61.11</c:v>
                </c:pt>
                <c:pt idx="4">
                  <c:v>62.54</c:v>
                </c:pt>
                <c:pt idx="5">
                  <c:v>62.18</c:v>
                </c:pt>
                <c:pt idx="6">
                  <c:v>63.51</c:v>
                </c:pt>
                <c:pt idx="7">
                  <c:v>60.79</c:v>
                </c:pt>
                <c:pt idx="8">
                  <c:v>58.88</c:v>
                </c:pt>
                <c:pt idx="9">
                  <c:v>57.09</c:v>
                </c:pt>
                <c:pt idx="10">
                  <c:v>56.6</c:v>
                </c:pt>
                <c:pt idx="11">
                  <c:v>55.66</c:v>
                </c:pt>
                <c:pt idx="12">
                  <c:v>56.17</c:v>
                </c:pt>
                <c:pt idx="13">
                  <c:v>57.93</c:v>
                </c:pt>
                <c:pt idx="14">
                  <c:v>56.33</c:v>
                </c:pt>
                <c:pt idx="15">
                  <c:v>56.95</c:v>
                </c:pt>
                <c:pt idx="16">
                  <c:v>56.8</c:v>
                </c:pt>
                <c:pt idx="17">
                  <c:v>59.38</c:v>
                </c:pt>
                <c:pt idx="18">
                  <c:v>57.89</c:v>
                </c:pt>
                <c:pt idx="19">
                  <c:v>57.22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0-4638-9BC6-3138EF88B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53295"/>
        <c:axId val="450435535"/>
      </c:lineChart>
      <c:catAx>
        <c:axId val="45045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35535"/>
        <c:crosses val="autoZero"/>
        <c:auto val="1"/>
        <c:lblAlgn val="ctr"/>
        <c:lblOffset val="100"/>
        <c:noMultiLvlLbl val="0"/>
      </c:catAx>
      <c:valAx>
        <c:axId val="45043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Todos los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KIMBERA!$B$1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KIMBERA!$A$2:$A$1260</c:f>
              <c:strCache>
                <c:ptCount val="1259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  <c:pt idx="251">
                  <c:v>29.04.2024</c:v>
                </c:pt>
                <c:pt idx="252">
                  <c:v>26.04.2024</c:v>
                </c:pt>
                <c:pt idx="253">
                  <c:v>25.04.2024</c:v>
                </c:pt>
                <c:pt idx="254">
                  <c:v>24.04.2024</c:v>
                </c:pt>
                <c:pt idx="255">
                  <c:v>23.04.2024</c:v>
                </c:pt>
                <c:pt idx="256">
                  <c:v>22.04.2024</c:v>
                </c:pt>
                <c:pt idx="257">
                  <c:v>19.04.2024</c:v>
                </c:pt>
                <c:pt idx="258">
                  <c:v>18.04.2024</c:v>
                </c:pt>
                <c:pt idx="259">
                  <c:v>17.04.2024</c:v>
                </c:pt>
                <c:pt idx="260">
                  <c:v>16.04.2024</c:v>
                </c:pt>
                <c:pt idx="261">
                  <c:v>15.04.2024</c:v>
                </c:pt>
                <c:pt idx="262">
                  <c:v>12.04.2024</c:v>
                </c:pt>
                <c:pt idx="263">
                  <c:v>11.04.2024</c:v>
                </c:pt>
                <c:pt idx="264">
                  <c:v>10.04.2024</c:v>
                </c:pt>
                <c:pt idx="265">
                  <c:v>09.04.2024</c:v>
                </c:pt>
                <c:pt idx="266">
                  <c:v>08.04.2024</c:v>
                </c:pt>
                <c:pt idx="267">
                  <c:v>05.04.2024</c:v>
                </c:pt>
                <c:pt idx="268">
                  <c:v>04.04.2024</c:v>
                </c:pt>
                <c:pt idx="269">
                  <c:v>03.04.2024</c:v>
                </c:pt>
                <c:pt idx="270">
                  <c:v>02.04.2024</c:v>
                </c:pt>
                <c:pt idx="271">
                  <c:v>01.04.2024</c:v>
                </c:pt>
                <c:pt idx="272">
                  <c:v>27.03.2024</c:v>
                </c:pt>
                <c:pt idx="273">
                  <c:v>26.03.2024</c:v>
                </c:pt>
                <c:pt idx="274">
                  <c:v>25.03.2024</c:v>
                </c:pt>
                <c:pt idx="275">
                  <c:v>22.03.2024</c:v>
                </c:pt>
                <c:pt idx="276">
                  <c:v>21.03.2024</c:v>
                </c:pt>
                <c:pt idx="277">
                  <c:v>20.03.2024</c:v>
                </c:pt>
                <c:pt idx="278">
                  <c:v>19.03.2024</c:v>
                </c:pt>
                <c:pt idx="279">
                  <c:v>15.03.2024</c:v>
                </c:pt>
                <c:pt idx="280">
                  <c:v>14.03.2024</c:v>
                </c:pt>
                <c:pt idx="281">
                  <c:v>13.03.2024</c:v>
                </c:pt>
                <c:pt idx="282">
                  <c:v>12.03.2024</c:v>
                </c:pt>
                <c:pt idx="283">
                  <c:v>11.03.2024</c:v>
                </c:pt>
                <c:pt idx="284">
                  <c:v>08.03.2024</c:v>
                </c:pt>
                <c:pt idx="285">
                  <c:v>07.03.2024</c:v>
                </c:pt>
                <c:pt idx="286">
                  <c:v>06.03.2024</c:v>
                </c:pt>
                <c:pt idx="287">
                  <c:v>05.03.2024</c:v>
                </c:pt>
                <c:pt idx="288">
                  <c:v>04.03.2024</c:v>
                </c:pt>
                <c:pt idx="289">
                  <c:v>01.03.2024</c:v>
                </c:pt>
                <c:pt idx="290">
                  <c:v>29.02.2024</c:v>
                </c:pt>
                <c:pt idx="291">
                  <c:v>28.02.2024</c:v>
                </c:pt>
                <c:pt idx="292">
                  <c:v>27.02.2024</c:v>
                </c:pt>
                <c:pt idx="293">
                  <c:v>26.02.2024</c:v>
                </c:pt>
                <c:pt idx="294">
                  <c:v>23.02.2024</c:v>
                </c:pt>
                <c:pt idx="295">
                  <c:v>22.02.2024</c:v>
                </c:pt>
                <c:pt idx="296">
                  <c:v>21.02.2024</c:v>
                </c:pt>
                <c:pt idx="297">
                  <c:v>20.02.2024</c:v>
                </c:pt>
                <c:pt idx="298">
                  <c:v>19.02.2024</c:v>
                </c:pt>
                <c:pt idx="299">
                  <c:v>16.02.2024</c:v>
                </c:pt>
                <c:pt idx="300">
                  <c:v>15.02.2024</c:v>
                </c:pt>
                <c:pt idx="301">
                  <c:v>14.02.2024</c:v>
                </c:pt>
                <c:pt idx="302">
                  <c:v>13.02.2024</c:v>
                </c:pt>
                <c:pt idx="303">
                  <c:v>12.02.2024</c:v>
                </c:pt>
                <c:pt idx="304">
                  <c:v>09.02.2024</c:v>
                </c:pt>
                <c:pt idx="305">
                  <c:v>08.02.2024</c:v>
                </c:pt>
                <c:pt idx="306">
                  <c:v>07.02.2024</c:v>
                </c:pt>
                <c:pt idx="307">
                  <c:v>06.02.2024</c:v>
                </c:pt>
                <c:pt idx="308">
                  <c:v>02.02.2024</c:v>
                </c:pt>
                <c:pt idx="309">
                  <c:v>01.02.2024</c:v>
                </c:pt>
                <c:pt idx="310">
                  <c:v>31.01.2024</c:v>
                </c:pt>
                <c:pt idx="311">
                  <c:v>30.01.2024</c:v>
                </c:pt>
                <c:pt idx="312">
                  <c:v>29.01.2024</c:v>
                </c:pt>
                <c:pt idx="313">
                  <c:v>26.01.2024</c:v>
                </c:pt>
                <c:pt idx="314">
                  <c:v>25.01.2024</c:v>
                </c:pt>
                <c:pt idx="315">
                  <c:v>24.01.2024</c:v>
                </c:pt>
                <c:pt idx="316">
                  <c:v>23.01.2024</c:v>
                </c:pt>
                <c:pt idx="317">
                  <c:v>22.01.2024</c:v>
                </c:pt>
                <c:pt idx="318">
                  <c:v>19.01.2024</c:v>
                </c:pt>
                <c:pt idx="319">
                  <c:v>18.01.2024</c:v>
                </c:pt>
                <c:pt idx="320">
                  <c:v>17.01.2024</c:v>
                </c:pt>
                <c:pt idx="321">
                  <c:v>16.01.2024</c:v>
                </c:pt>
                <c:pt idx="322">
                  <c:v>15.01.2024</c:v>
                </c:pt>
                <c:pt idx="323">
                  <c:v>12.01.2024</c:v>
                </c:pt>
                <c:pt idx="324">
                  <c:v>11.01.2024</c:v>
                </c:pt>
                <c:pt idx="325">
                  <c:v>10.01.2024</c:v>
                </c:pt>
                <c:pt idx="326">
                  <c:v>09.01.2024</c:v>
                </c:pt>
                <c:pt idx="327">
                  <c:v>08.01.2024</c:v>
                </c:pt>
                <c:pt idx="328">
                  <c:v>05.01.2024</c:v>
                </c:pt>
                <c:pt idx="329">
                  <c:v>04.01.2024</c:v>
                </c:pt>
                <c:pt idx="330">
                  <c:v>03.01.2024</c:v>
                </c:pt>
                <c:pt idx="331">
                  <c:v>02.01.2024</c:v>
                </c:pt>
                <c:pt idx="332">
                  <c:v>29.12.2023</c:v>
                </c:pt>
                <c:pt idx="333">
                  <c:v>28.12.2023</c:v>
                </c:pt>
                <c:pt idx="334">
                  <c:v>27.12.2023</c:v>
                </c:pt>
                <c:pt idx="335">
                  <c:v>26.12.2023</c:v>
                </c:pt>
                <c:pt idx="336">
                  <c:v>22.12.2023</c:v>
                </c:pt>
                <c:pt idx="337">
                  <c:v>21.12.2023</c:v>
                </c:pt>
                <c:pt idx="338">
                  <c:v>20.12.2023</c:v>
                </c:pt>
                <c:pt idx="339">
                  <c:v>19.12.2023</c:v>
                </c:pt>
                <c:pt idx="340">
                  <c:v>18.12.2023</c:v>
                </c:pt>
                <c:pt idx="341">
                  <c:v>15.12.2023</c:v>
                </c:pt>
                <c:pt idx="342">
                  <c:v>14.12.2023</c:v>
                </c:pt>
                <c:pt idx="343">
                  <c:v>13.12.2023</c:v>
                </c:pt>
                <c:pt idx="344">
                  <c:v>11.12.2023</c:v>
                </c:pt>
                <c:pt idx="345">
                  <c:v>08.12.2023</c:v>
                </c:pt>
                <c:pt idx="346">
                  <c:v>07.12.2023</c:v>
                </c:pt>
                <c:pt idx="347">
                  <c:v>06.12.2023</c:v>
                </c:pt>
                <c:pt idx="348">
                  <c:v>05.12.2023</c:v>
                </c:pt>
                <c:pt idx="349">
                  <c:v>04.12.2023</c:v>
                </c:pt>
                <c:pt idx="350">
                  <c:v>01.12.2023</c:v>
                </c:pt>
                <c:pt idx="351">
                  <c:v>30.11.2023</c:v>
                </c:pt>
                <c:pt idx="352">
                  <c:v>29.11.2023</c:v>
                </c:pt>
                <c:pt idx="353">
                  <c:v>28.11.2023</c:v>
                </c:pt>
                <c:pt idx="354">
                  <c:v>27.11.2023</c:v>
                </c:pt>
                <c:pt idx="355">
                  <c:v>24.11.2023</c:v>
                </c:pt>
                <c:pt idx="356">
                  <c:v>23.11.2023</c:v>
                </c:pt>
                <c:pt idx="357">
                  <c:v>22.11.2023</c:v>
                </c:pt>
                <c:pt idx="358">
                  <c:v>21.11.2023</c:v>
                </c:pt>
                <c:pt idx="359">
                  <c:v>17.11.2023</c:v>
                </c:pt>
                <c:pt idx="360">
                  <c:v>16.11.2023</c:v>
                </c:pt>
                <c:pt idx="361">
                  <c:v>15.11.2023</c:v>
                </c:pt>
                <c:pt idx="362">
                  <c:v>14.11.2023</c:v>
                </c:pt>
                <c:pt idx="363">
                  <c:v>13.11.2023</c:v>
                </c:pt>
                <c:pt idx="364">
                  <c:v>10.11.2023</c:v>
                </c:pt>
                <c:pt idx="365">
                  <c:v>09.11.2023</c:v>
                </c:pt>
                <c:pt idx="366">
                  <c:v>08.11.2023</c:v>
                </c:pt>
                <c:pt idx="367">
                  <c:v>07.11.2023</c:v>
                </c:pt>
                <c:pt idx="368">
                  <c:v>06.11.2023</c:v>
                </c:pt>
                <c:pt idx="369">
                  <c:v>03.11.2023</c:v>
                </c:pt>
                <c:pt idx="370">
                  <c:v>01.11.2023</c:v>
                </c:pt>
                <c:pt idx="371">
                  <c:v>31.10.2023</c:v>
                </c:pt>
                <c:pt idx="372">
                  <c:v>30.10.2023</c:v>
                </c:pt>
                <c:pt idx="373">
                  <c:v>27.10.2023</c:v>
                </c:pt>
                <c:pt idx="374">
                  <c:v>26.10.2023</c:v>
                </c:pt>
                <c:pt idx="375">
                  <c:v>25.10.2023</c:v>
                </c:pt>
                <c:pt idx="376">
                  <c:v>24.10.2023</c:v>
                </c:pt>
                <c:pt idx="377">
                  <c:v>23.10.2023</c:v>
                </c:pt>
                <c:pt idx="378">
                  <c:v>20.10.2023</c:v>
                </c:pt>
                <c:pt idx="379">
                  <c:v>19.10.2023</c:v>
                </c:pt>
                <c:pt idx="380">
                  <c:v>18.10.2023</c:v>
                </c:pt>
                <c:pt idx="381">
                  <c:v>17.10.2023</c:v>
                </c:pt>
                <c:pt idx="382">
                  <c:v>16.10.2023</c:v>
                </c:pt>
                <c:pt idx="383">
                  <c:v>13.10.2023</c:v>
                </c:pt>
                <c:pt idx="384">
                  <c:v>12.10.2023</c:v>
                </c:pt>
                <c:pt idx="385">
                  <c:v>11.10.2023</c:v>
                </c:pt>
                <c:pt idx="386">
                  <c:v>10.10.2023</c:v>
                </c:pt>
                <c:pt idx="387">
                  <c:v>09.10.2023</c:v>
                </c:pt>
                <c:pt idx="388">
                  <c:v>06.10.2023</c:v>
                </c:pt>
                <c:pt idx="389">
                  <c:v>05.10.2023</c:v>
                </c:pt>
                <c:pt idx="390">
                  <c:v>04.10.2023</c:v>
                </c:pt>
                <c:pt idx="391">
                  <c:v>03.10.2023</c:v>
                </c:pt>
                <c:pt idx="392">
                  <c:v>02.10.2023</c:v>
                </c:pt>
                <c:pt idx="393">
                  <c:v>29.09.2023</c:v>
                </c:pt>
                <c:pt idx="394">
                  <c:v>28.09.2023</c:v>
                </c:pt>
                <c:pt idx="395">
                  <c:v>27.09.2023</c:v>
                </c:pt>
                <c:pt idx="396">
                  <c:v>26.09.2023</c:v>
                </c:pt>
                <c:pt idx="397">
                  <c:v>25.09.2023</c:v>
                </c:pt>
                <c:pt idx="398">
                  <c:v>22.09.2023</c:v>
                </c:pt>
                <c:pt idx="399">
                  <c:v>21.09.2023</c:v>
                </c:pt>
                <c:pt idx="400">
                  <c:v>20.09.2023</c:v>
                </c:pt>
                <c:pt idx="401">
                  <c:v>19.09.2023</c:v>
                </c:pt>
                <c:pt idx="402">
                  <c:v>18.09.2023</c:v>
                </c:pt>
                <c:pt idx="403">
                  <c:v>15.09.2023</c:v>
                </c:pt>
                <c:pt idx="404">
                  <c:v>14.09.2023</c:v>
                </c:pt>
                <c:pt idx="405">
                  <c:v>13.09.2023</c:v>
                </c:pt>
                <c:pt idx="406">
                  <c:v>12.09.2023</c:v>
                </c:pt>
                <c:pt idx="407">
                  <c:v>11.09.2023</c:v>
                </c:pt>
                <c:pt idx="408">
                  <c:v>08.09.2023</c:v>
                </c:pt>
                <c:pt idx="409">
                  <c:v>07.09.2023</c:v>
                </c:pt>
                <c:pt idx="410">
                  <c:v>06.09.2023</c:v>
                </c:pt>
                <c:pt idx="411">
                  <c:v>05.09.2023</c:v>
                </c:pt>
                <c:pt idx="412">
                  <c:v>04.09.2023</c:v>
                </c:pt>
                <c:pt idx="413">
                  <c:v>01.09.2023</c:v>
                </c:pt>
                <c:pt idx="414">
                  <c:v>31.08.2023</c:v>
                </c:pt>
                <c:pt idx="415">
                  <c:v>30.08.2023</c:v>
                </c:pt>
                <c:pt idx="416">
                  <c:v>29.08.2023</c:v>
                </c:pt>
                <c:pt idx="417">
                  <c:v>28.08.2023</c:v>
                </c:pt>
                <c:pt idx="418">
                  <c:v>25.08.2023</c:v>
                </c:pt>
                <c:pt idx="419">
                  <c:v>24.08.2023</c:v>
                </c:pt>
                <c:pt idx="420">
                  <c:v>23.08.2023</c:v>
                </c:pt>
                <c:pt idx="421">
                  <c:v>22.08.2023</c:v>
                </c:pt>
                <c:pt idx="422">
                  <c:v>21.08.2023</c:v>
                </c:pt>
                <c:pt idx="423">
                  <c:v>18.08.2023</c:v>
                </c:pt>
                <c:pt idx="424">
                  <c:v>17.08.2023</c:v>
                </c:pt>
                <c:pt idx="425">
                  <c:v>16.08.2023</c:v>
                </c:pt>
                <c:pt idx="426">
                  <c:v>15.08.2023</c:v>
                </c:pt>
                <c:pt idx="427">
                  <c:v>14.08.2023</c:v>
                </c:pt>
                <c:pt idx="428">
                  <c:v>11.08.2023</c:v>
                </c:pt>
                <c:pt idx="429">
                  <c:v>10.08.2023</c:v>
                </c:pt>
                <c:pt idx="430">
                  <c:v>09.08.2023</c:v>
                </c:pt>
                <c:pt idx="431">
                  <c:v>08.08.2023</c:v>
                </c:pt>
                <c:pt idx="432">
                  <c:v>07.08.2023</c:v>
                </c:pt>
                <c:pt idx="433">
                  <c:v>04.08.2023</c:v>
                </c:pt>
                <c:pt idx="434">
                  <c:v>03.08.2023</c:v>
                </c:pt>
                <c:pt idx="435">
                  <c:v>02.08.2023</c:v>
                </c:pt>
                <c:pt idx="436">
                  <c:v>01.08.2023</c:v>
                </c:pt>
                <c:pt idx="437">
                  <c:v>31.07.2023</c:v>
                </c:pt>
                <c:pt idx="438">
                  <c:v>28.07.2023</c:v>
                </c:pt>
                <c:pt idx="439">
                  <c:v>27.07.2023</c:v>
                </c:pt>
                <c:pt idx="440">
                  <c:v>26.07.2023</c:v>
                </c:pt>
                <c:pt idx="441">
                  <c:v>25.07.2023</c:v>
                </c:pt>
                <c:pt idx="442">
                  <c:v>24.07.2023</c:v>
                </c:pt>
                <c:pt idx="443">
                  <c:v>21.07.2023</c:v>
                </c:pt>
                <c:pt idx="444">
                  <c:v>20.07.2023</c:v>
                </c:pt>
                <c:pt idx="445">
                  <c:v>19.07.2023</c:v>
                </c:pt>
                <c:pt idx="446">
                  <c:v>18.07.2023</c:v>
                </c:pt>
                <c:pt idx="447">
                  <c:v>17.07.2023</c:v>
                </c:pt>
                <c:pt idx="448">
                  <c:v>14.07.2023</c:v>
                </c:pt>
                <c:pt idx="449">
                  <c:v>13.07.2023</c:v>
                </c:pt>
                <c:pt idx="450">
                  <c:v>12.07.2023</c:v>
                </c:pt>
                <c:pt idx="451">
                  <c:v>11.07.2023</c:v>
                </c:pt>
                <c:pt idx="452">
                  <c:v>10.07.2023</c:v>
                </c:pt>
                <c:pt idx="453">
                  <c:v>07.07.2023</c:v>
                </c:pt>
                <c:pt idx="454">
                  <c:v>06.07.2023</c:v>
                </c:pt>
                <c:pt idx="455">
                  <c:v>05.07.2023</c:v>
                </c:pt>
                <c:pt idx="456">
                  <c:v>04.07.2023</c:v>
                </c:pt>
                <c:pt idx="457">
                  <c:v>03.07.2023</c:v>
                </c:pt>
                <c:pt idx="458">
                  <c:v>30.06.2023</c:v>
                </c:pt>
                <c:pt idx="459">
                  <c:v>29.06.2023</c:v>
                </c:pt>
                <c:pt idx="460">
                  <c:v>28.06.2023</c:v>
                </c:pt>
                <c:pt idx="461">
                  <c:v>27.06.2023</c:v>
                </c:pt>
                <c:pt idx="462">
                  <c:v>26.06.2023</c:v>
                </c:pt>
                <c:pt idx="463">
                  <c:v>23.06.2023</c:v>
                </c:pt>
                <c:pt idx="464">
                  <c:v>22.06.2023</c:v>
                </c:pt>
                <c:pt idx="465">
                  <c:v>21.06.2023</c:v>
                </c:pt>
                <c:pt idx="466">
                  <c:v>20.06.2023</c:v>
                </c:pt>
                <c:pt idx="467">
                  <c:v>19.06.2023</c:v>
                </c:pt>
                <c:pt idx="468">
                  <c:v>16.06.2023</c:v>
                </c:pt>
                <c:pt idx="469">
                  <c:v>15.06.2023</c:v>
                </c:pt>
                <c:pt idx="470">
                  <c:v>14.06.2023</c:v>
                </c:pt>
                <c:pt idx="471">
                  <c:v>13.06.2023</c:v>
                </c:pt>
                <c:pt idx="472">
                  <c:v>12.06.2023</c:v>
                </c:pt>
                <c:pt idx="473">
                  <c:v>09.06.2023</c:v>
                </c:pt>
                <c:pt idx="474">
                  <c:v>08.06.2023</c:v>
                </c:pt>
                <c:pt idx="475">
                  <c:v>07.06.2023</c:v>
                </c:pt>
                <c:pt idx="476">
                  <c:v>06.06.2023</c:v>
                </c:pt>
                <c:pt idx="477">
                  <c:v>05.06.2023</c:v>
                </c:pt>
                <c:pt idx="478">
                  <c:v>02.06.2023</c:v>
                </c:pt>
                <c:pt idx="479">
                  <c:v>01.06.2023</c:v>
                </c:pt>
                <c:pt idx="480">
                  <c:v>31.05.2023</c:v>
                </c:pt>
                <c:pt idx="481">
                  <c:v>30.05.2023</c:v>
                </c:pt>
                <c:pt idx="482">
                  <c:v>29.05.2023</c:v>
                </c:pt>
                <c:pt idx="483">
                  <c:v>26.05.2023</c:v>
                </c:pt>
                <c:pt idx="484">
                  <c:v>25.05.2023</c:v>
                </c:pt>
                <c:pt idx="485">
                  <c:v>24.05.2023</c:v>
                </c:pt>
                <c:pt idx="486">
                  <c:v>23.05.2023</c:v>
                </c:pt>
                <c:pt idx="487">
                  <c:v>22.05.2023</c:v>
                </c:pt>
                <c:pt idx="488">
                  <c:v>19.05.2023</c:v>
                </c:pt>
                <c:pt idx="489">
                  <c:v>18.05.2023</c:v>
                </c:pt>
                <c:pt idx="490">
                  <c:v>17.05.2023</c:v>
                </c:pt>
                <c:pt idx="491">
                  <c:v>16.05.2023</c:v>
                </c:pt>
                <c:pt idx="492">
                  <c:v>15.05.2023</c:v>
                </c:pt>
                <c:pt idx="493">
                  <c:v>12.05.2023</c:v>
                </c:pt>
                <c:pt idx="494">
                  <c:v>11.05.2023</c:v>
                </c:pt>
                <c:pt idx="495">
                  <c:v>10.05.2023</c:v>
                </c:pt>
                <c:pt idx="496">
                  <c:v>09.05.2023</c:v>
                </c:pt>
                <c:pt idx="497">
                  <c:v>08.05.2023</c:v>
                </c:pt>
                <c:pt idx="498">
                  <c:v>05.05.2023</c:v>
                </c:pt>
                <c:pt idx="499">
                  <c:v>04.05.2023</c:v>
                </c:pt>
                <c:pt idx="500">
                  <c:v>03.05.2023</c:v>
                </c:pt>
                <c:pt idx="501">
                  <c:v>02.05.2023</c:v>
                </c:pt>
                <c:pt idx="502">
                  <c:v>28.04.2023</c:v>
                </c:pt>
                <c:pt idx="503">
                  <c:v>27.04.2023</c:v>
                </c:pt>
                <c:pt idx="504">
                  <c:v>26.04.2023</c:v>
                </c:pt>
                <c:pt idx="505">
                  <c:v>25.04.2023</c:v>
                </c:pt>
                <c:pt idx="506">
                  <c:v>24.04.2023</c:v>
                </c:pt>
                <c:pt idx="507">
                  <c:v>21.04.2023</c:v>
                </c:pt>
                <c:pt idx="508">
                  <c:v>20.04.2023</c:v>
                </c:pt>
                <c:pt idx="509">
                  <c:v>19.04.2023</c:v>
                </c:pt>
                <c:pt idx="510">
                  <c:v>18.04.2023</c:v>
                </c:pt>
                <c:pt idx="511">
                  <c:v>17.04.2023</c:v>
                </c:pt>
                <c:pt idx="512">
                  <c:v>14.04.2023</c:v>
                </c:pt>
                <c:pt idx="513">
                  <c:v>13.04.2023</c:v>
                </c:pt>
                <c:pt idx="514">
                  <c:v>12.04.2023</c:v>
                </c:pt>
                <c:pt idx="515">
                  <c:v>11.04.2023</c:v>
                </c:pt>
                <c:pt idx="516">
                  <c:v>10.04.2023</c:v>
                </c:pt>
                <c:pt idx="517">
                  <c:v>05.04.2023</c:v>
                </c:pt>
                <c:pt idx="518">
                  <c:v>04.04.2023</c:v>
                </c:pt>
                <c:pt idx="519">
                  <c:v>03.04.2023</c:v>
                </c:pt>
                <c:pt idx="520">
                  <c:v>31.03.2023</c:v>
                </c:pt>
                <c:pt idx="521">
                  <c:v>30.03.2023</c:v>
                </c:pt>
                <c:pt idx="522">
                  <c:v>29.03.2023</c:v>
                </c:pt>
                <c:pt idx="523">
                  <c:v>28.03.2023</c:v>
                </c:pt>
                <c:pt idx="524">
                  <c:v>27.03.2023</c:v>
                </c:pt>
                <c:pt idx="525">
                  <c:v>24.03.2023</c:v>
                </c:pt>
                <c:pt idx="526">
                  <c:v>23.03.2023</c:v>
                </c:pt>
                <c:pt idx="527">
                  <c:v>22.03.2023</c:v>
                </c:pt>
                <c:pt idx="528">
                  <c:v>21.03.2023</c:v>
                </c:pt>
                <c:pt idx="529">
                  <c:v>17.03.2023</c:v>
                </c:pt>
                <c:pt idx="530">
                  <c:v>16.03.2023</c:v>
                </c:pt>
                <c:pt idx="531">
                  <c:v>15.03.2023</c:v>
                </c:pt>
                <c:pt idx="532">
                  <c:v>14.03.2023</c:v>
                </c:pt>
                <c:pt idx="533">
                  <c:v>13.03.2023</c:v>
                </c:pt>
                <c:pt idx="534">
                  <c:v>10.03.2023</c:v>
                </c:pt>
                <c:pt idx="535">
                  <c:v>09.03.2023</c:v>
                </c:pt>
                <c:pt idx="536">
                  <c:v>08.03.2023</c:v>
                </c:pt>
                <c:pt idx="537">
                  <c:v>07.03.2023</c:v>
                </c:pt>
                <c:pt idx="538">
                  <c:v>06.03.2023</c:v>
                </c:pt>
                <c:pt idx="539">
                  <c:v>03.03.2023</c:v>
                </c:pt>
                <c:pt idx="540">
                  <c:v>02.03.2023</c:v>
                </c:pt>
                <c:pt idx="541">
                  <c:v>01.03.2023</c:v>
                </c:pt>
                <c:pt idx="542">
                  <c:v>28.02.2023</c:v>
                </c:pt>
                <c:pt idx="543">
                  <c:v>27.02.2023</c:v>
                </c:pt>
                <c:pt idx="544">
                  <c:v>24.02.2023</c:v>
                </c:pt>
                <c:pt idx="545">
                  <c:v>23.02.2023</c:v>
                </c:pt>
                <c:pt idx="546">
                  <c:v>22.02.2023</c:v>
                </c:pt>
                <c:pt idx="547">
                  <c:v>21.02.2023</c:v>
                </c:pt>
                <c:pt idx="548">
                  <c:v>20.02.2023</c:v>
                </c:pt>
                <c:pt idx="549">
                  <c:v>17.02.2023</c:v>
                </c:pt>
                <c:pt idx="550">
                  <c:v>16.02.2023</c:v>
                </c:pt>
                <c:pt idx="551">
                  <c:v>15.02.2023</c:v>
                </c:pt>
                <c:pt idx="552">
                  <c:v>14.02.2023</c:v>
                </c:pt>
                <c:pt idx="553">
                  <c:v>13.02.2023</c:v>
                </c:pt>
                <c:pt idx="554">
                  <c:v>10.02.2023</c:v>
                </c:pt>
                <c:pt idx="555">
                  <c:v>09.02.2023</c:v>
                </c:pt>
                <c:pt idx="556">
                  <c:v>08.02.2023</c:v>
                </c:pt>
                <c:pt idx="557">
                  <c:v>07.02.2023</c:v>
                </c:pt>
                <c:pt idx="558">
                  <c:v>03.02.2023</c:v>
                </c:pt>
                <c:pt idx="559">
                  <c:v>02.02.2023</c:v>
                </c:pt>
                <c:pt idx="560">
                  <c:v>01.02.2023</c:v>
                </c:pt>
                <c:pt idx="561">
                  <c:v>31.01.2023</c:v>
                </c:pt>
                <c:pt idx="562">
                  <c:v>30.01.2023</c:v>
                </c:pt>
                <c:pt idx="563">
                  <c:v>27.01.2023</c:v>
                </c:pt>
                <c:pt idx="564">
                  <c:v>26.01.2023</c:v>
                </c:pt>
                <c:pt idx="565">
                  <c:v>25.01.2023</c:v>
                </c:pt>
                <c:pt idx="566">
                  <c:v>24.01.2023</c:v>
                </c:pt>
                <c:pt idx="567">
                  <c:v>23.01.2023</c:v>
                </c:pt>
                <c:pt idx="568">
                  <c:v>20.01.2023</c:v>
                </c:pt>
                <c:pt idx="569">
                  <c:v>19.01.2023</c:v>
                </c:pt>
                <c:pt idx="570">
                  <c:v>18.01.2023</c:v>
                </c:pt>
                <c:pt idx="571">
                  <c:v>17.01.2023</c:v>
                </c:pt>
                <c:pt idx="572">
                  <c:v>16.01.2023</c:v>
                </c:pt>
                <c:pt idx="573">
                  <c:v>13.01.2023</c:v>
                </c:pt>
                <c:pt idx="574">
                  <c:v>12.01.2023</c:v>
                </c:pt>
                <c:pt idx="575">
                  <c:v>11.01.2023</c:v>
                </c:pt>
                <c:pt idx="576">
                  <c:v>10.01.2023</c:v>
                </c:pt>
                <c:pt idx="577">
                  <c:v>09.01.2023</c:v>
                </c:pt>
                <c:pt idx="578">
                  <c:v>06.01.2023</c:v>
                </c:pt>
                <c:pt idx="579">
                  <c:v>05.01.2023</c:v>
                </c:pt>
                <c:pt idx="580">
                  <c:v>04.01.2023</c:v>
                </c:pt>
                <c:pt idx="581">
                  <c:v>03.01.2023</c:v>
                </c:pt>
                <c:pt idx="582">
                  <c:v>02.01.2023</c:v>
                </c:pt>
                <c:pt idx="583">
                  <c:v>30.12.2022</c:v>
                </c:pt>
                <c:pt idx="584">
                  <c:v>29.12.2022</c:v>
                </c:pt>
                <c:pt idx="585">
                  <c:v>28.12.2022</c:v>
                </c:pt>
                <c:pt idx="586">
                  <c:v>27.12.2022</c:v>
                </c:pt>
                <c:pt idx="587">
                  <c:v>26.12.2022</c:v>
                </c:pt>
                <c:pt idx="588">
                  <c:v>23.12.2022</c:v>
                </c:pt>
                <c:pt idx="589">
                  <c:v>22.12.2022</c:v>
                </c:pt>
                <c:pt idx="590">
                  <c:v>21.12.2022</c:v>
                </c:pt>
                <c:pt idx="591">
                  <c:v>20.12.2022</c:v>
                </c:pt>
                <c:pt idx="592">
                  <c:v>19.12.2022</c:v>
                </c:pt>
                <c:pt idx="593">
                  <c:v>16.12.2022</c:v>
                </c:pt>
                <c:pt idx="594">
                  <c:v>15.12.2022</c:v>
                </c:pt>
                <c:pt idx="595">
                  <c:v>14.12.2022</c:v>
                </c:pt>
                <c:pt idx="596">
                  <c:v>13.12.2022</c:v>
                </c:pt>
                <c:pt idx="597">
                  <c:v>09.12.2022</c:v>
                </c:pt>
                <c:pt idx="598">
                  <c:v>08.12.2022</c:v>
                </c:pt>
                <c:pt idx="599">
                  <c:v>07.12.2022</c:v>
                </c:pt>
                <c:pt idx="600">
                  <c:v>06.12.2022</c:v>
                </c:pt>
                <c:pt idx="601">
                  <c:v>05.12.2022</c:v>
                </c:pt>
                <c:pt idx="602">
                  <c:v>02.12.2022</c:v>
                </c:pt>
                <c:pt idx="603">
                  <c:v>01.12.2022</c:v>
                </c:pt>
                <c:pt idx="604">
                  <c:v>30.11.2022</c:v>
                </c:pt>
                <c:pt idx="605">
                  <c:v>29.11.2022</c:v>
                </c:pt>
                <c:pt idx="606">
                  <c:v>28.11.2022</c:v>
                </c:pt>
                <c:pt idx="607">
                  <c:v>25.11.2022</c:v>
                </c:pt>
                <c:pt idx="608">
                  <c:v>24.11.2022</c:v>
                </c:pt>
                <c:pt idx="609">
                  <c:v>23.11.2022</c:v>
                </c:pt>
                <c:pt idx="610">
                  <c:v>22.11.2022</c:v>
                </c:pt>
                <c:pt idx="611">
                  <c:v>18.11.2022</c:v>
                </c:pt>
                <c:pt idx="612">
                  <c:v>17.11.2022</c:v>
                </c:pt>
                <c:pt idx="613">
                  <c:v>16.11.2022</c:v>
                </c:pt>
                <c:pt idx="614">
                  <c:v>15.11.2022</c:v>
                </c:pt>
                <c:pt idx="615">
                  <c:v>14.11.2022</c:v>
                </c:pt>
                <c:pt idx="616">
                  <c:v>11.11.2022</c:v>
                </c:pt>
                <c:pt idx="617">
                  <c:v>10.11.2022</c:v>
                </c:pt>
                <c:pt idx="618">
                  <c:v>09.11.2022</c:v>
                </c:pt>
                <c:pt idx="619">
                  <c:v>08.11.2022</c:v>
                </c:pt>
                <c:pt idx="620">
                  <c:v>07.11.2022</c:v>
                </c:pt>
                <c:pt idx="621">
                  <c:v>04.11.2022</c:v>
                </c:pt>
                <c:pt idx="622">
                  <c:v>03.11.2022</c:v>
                </c:pt>
                <c:pt idx="623">
                  <c:v>01.11.2022</c:v>
                </c:pt>
                <c:pt idx="624">
                  <c:v>31.10.2022</c:v>
                </c:pt>
                <c:pt idx="625">
                  <c:v>28.10.2022</c:v>
                </c:pt>
                <c:pt idx="626">
                  <c:v>27.10.2022</c:v>
                </c:pt>
                <c:pt idx="627">
                  <c:v>26.10.2022</c:v>
                </c:pt>
                <c:pt idx="628">
                  <c:v>25.10.2022</c:v>
                </c:pt>
                <c:pt idx="629">
                  <c:v>24.10.2022</c:v>
                </c:pt>
                <c:pt idx="630">
                  <c:v>21.10.2022</c:v>
                </c:pt>
                <c:pt idx="631">
                  <c:v>20.10.2022</c:v>
                </c:pt>
                <c:pt idx="632">
                  <c:v>19.10.2022</c:v>
                </c:pt>
                <c:pt idx="633">
                  <c:v>18.10.2022</c:v>
                </c:pt>
                <c:pt idx="634">
                  <c:v>17.10.2022</c:v>
                </c:pt>
                <c:pt idx="635">
                  <c:v>14.10.2022</c:v>
                </c:pt>
                <c:pt idx="636">
                  <c:v>13.10.2022</c:v>
                </c:pt>
                <c:pt idx="637">
                  <c:v>12.10.2022</c:v>
                </c:pt>
                <c:pt idx="638">
                  <c:v>11.10.2022</c:v>
                </c:pt>
                <c:pt idx="639">
                  <c:v>10.10.2022</c:v>
                </c:pt>
                <c:pt idx="640">
                  <c:v>07.10.2022</c:v>
                </c:pt>
                <c:pt idx="641">
                  <c:v>06.10.2022</c:v>
                </c:pt>
                <c:pt idx="642">
                  <c:v>05.10.2022</c:v>
                </c:pt>
                <c:pt idx="643">
                  <c:v>04.10.2022</c:v>
                </c:pt>
                <c:pt idx="644">
                  <c:v>03.10.2022</c:v>
                </c:pt>
                <c:pt idx="645">
                  <c:v>30.09.2022</c:v>
                </c:pt>
                <c:pt idx="646">
                  <c:v>29.09.2022</c:v>
                </c:pt>
                <c:pt idx="647">
                  <c:v>28.09.2022</c:v>
                </c:pt>
                <c:pt idx="648">
                  <c:v>27.09.2022</c:v>
                </c:pt>
                <c:pt idx="649">
                  <c:v>26.09.2022</c:v>
                </c:pt>
                <c:pt idx="650">
                  <c:v>23.09.2022</c:v>
                </c:pt>
                <c:pt idx="651">
                  <c:v>22.09.2022</c:v>
                </c:pt>
                <c:pt idx="652">
                  <c:v>21.09.2022</c:v>
                </c:pt>
                <c:pt idx="653">
                  <c:v>20.09.2022</c:v>
                </c:pt>
                <c:pt idx="654">
                  <c:v>19.09.2022</c:v>
                </c:pt>
                <c:pt idx="655">
                  <c:v>15.09.2022</c:v>
                </c:pt>
                <c:pt idx="656">
                  <c:v>14.09.2022</c:v>
                </c:pt>
                <c:pt idx="657">
                  <c:v>13.09.2022</c:v>
                </c:pt>
                <c:pt idx="658">
                  <c:v>12.09.2022</c:v>
                </c:pt>
                <c:pt idx="659">
                  <c:v>09.09.2022</c:v>
                </c:pt>
                <c:pt idx="660">
                  <c:v>08.09.2022</c:v>
                </c:pt>
                <c:pt idx="661">
                  <c:v>07.09.2022</c:v>
                </c:pt>
                <c:pt idx="662">
                  <c:v>06.09.2022</c:v>
                </c:pt>
                <c:pt idx="663">
                  <c:v>05.09.2022</c:v>
                </c:pt>
                <c:pt idx="664">
                  <c:v>02.09.2022</c:v>
                </c:pt>
                <c:pt idx="665">
                  <c:v>01.09.2022</c:v>
                </c:pt>
                <c:pt idx="666">
                  <c:v>31.08.2022</c:v>
                </c:pt>
                <c:pt idx="667">
                  <c:v>30.08.2022</c:v>
                </c:pt>
                <c:pt idx="668">
                  <c:v>29.08.2022</c:v>
                </c:pt>
                <c:pt idx="669">
                  <c:v>26.08.2022</c:v>
                </c:pt>
                <c:pt idx="670">
                  <c:v>25.08.2022</c:v>
                </c:pt>
                <c:pt idx="671">
                  <c:v>24.08.2022</c:v>
                </c:pt>
                <c:pt idx="672">
                  <c:v>23.08.2022</c:v>
                </c:pt>
                <c:pt idx="673">
                  <c:v>22.08.2022</c:v>
                </c:pt>
                <c:pt idx="674">
                  <c:v>19.08.2022</c:v>
                </c:pt>
                <c:pt idx="675">
                  <c:v>18.08.2022</c:v>
                </c:pt>
                <c:pt idx="676">
                  <c:v>17.08.2022</c:v>
                </c:pt>
                <c:pt idx="677">
                  <c:v>16.08.2022</c:v>
                </c:pt>
                <c:pt idx="678">
                  <c:v>15.08.2022</c:v>
                </c:pt>
                <c:pt idx="679">
                  <c:v>12.08.2022</c:v>
                </c:pt>
                <c:pt idx="680">
                  <c:v>11.08.2022</c:v>
                </c:pt>
                <c:pt idx="681">
                  <c:v>10.08.2022</c:v>
                </c:pt>
                <c:pt idx="682">
                  <c:v>09.08.2022</c:v>
                </c:pt>
                <c:pt idx="683">
                  <c:v>08.08.2022</c:v>
                </c:pt>
                <c:pt idx="684">
                  <c:v>05.08.2022</c:v>
                </c:pt>
                <c:pt idx="685">
                  <c:v>04.08.2022</c:v>
                </c:pt>
                <c:pt idx="686">
                  <c:v>03.08.2022</c:v>
                </c:pt>
                <c:pt idx="687">
                  <c:v>02.08.2022</c:v>
                </c:pt>
                <c:pt idx="688">
                  <c:v>01.08.2022</c:v>
                </c:pt>
                <c:pt idx="689">
                  <c:v>29.07.2022</c:v>
                </c:pt>
                <c:pt idx="690">
                  <c:v>28.07.2022</c:v>
                </c:pt>
                <c:pt idx="691">
                  <c:v>27.07.2022</c:v>
                </c:pt>
                <c:pt idx="692">
                  <c:v>26.07.2022</c:v>
                </c:pt>
                <c:pt idx="693">
                  <c:v>25.07.2022</c:v>
                </c:pt>
                <c:pt idx="694">
                  <c:v>22.07.2022</c:v>
                </c:pt>
                <c:pt idx="695">
                  <c:v>21.07.2022</c:v>
                </c:pt>
                <c:pt idx="696">
                  <c:v>20.07.2022</c:v>
                </c:pt>
                <c:pt idx="697">
                  <c:v>19.07.2022</c:v>
                </c:pt>
                <c:pt idx="698">
                  <c:v>18.07.2022</c:v>
                </c:pt>
                <c:pt idx="699">
                  <c:v>15.07.2022</c:v>
                </c:pt>
                <c:pt idx="700">
                  <c:v>14.07.2022</c:v>
                </c:pt>
                <c:pt idx="701">
                  <c:v>13.07.2022</c:v>
                </c:pt>
                <c:pt idx="702">
                  <c:v>12.07.2022</c:v>
                </c:pt>
                <c:pt idx="703">
                  <c:v>11.07.2022</c:v>
                </c:pt>
                <c:pt idx="704">
                  <c:v>08.07.2022</c:v>
                </c:pt>
                <c:pt idx="705">
                  <c:v>07.07.2022</c:v>
                </c:pt>
                <c:pt idx="706">
                  <c:v>06.07.2022</c:v>
                </c:pt>
                <c:pt idx="707">
                  <c:v>05.07.2022</c:v>
                </c:pt>
                <c:pt idx="708">
                  <c:v>04.07.2022</c:v>
                </c:pt>
                <c:pt idx="709">
                  <c:v>01.07.2022</c:v>
                </c:pt>
                <c:pt idx="710">
                  <c:v>30.06.2022</c:v>
                </c:pt>
                <c:pt idx="711">
                  <c:v>29.06.2022</c:v>
                </c:pt>
                <c:pt idx="712">
                  <c:v>28.06.2022</c:v>
                </c:pt>
                <c:pt idx="713">
                  <c:v>27.06.2022</c:v>
                </c:pt>
                <c:pt idx="714">
                  <c:v>24.06.2022</c:v>
                </c:pt>
                <c:pt idx="715">
                  <c:v>23.06.2022</c:v>
                </c:pt>
                <c:pt idx="716">
                  <c:v>22.06.2022</c:v>
                </c:pt>
                <c:pt idx="717">
                  <c:v>21.06.2022</c:v>
                </c:pt>
                <c:pt idx="718">
                  <c:v>20.06.2022</c:v>
                </c:pt>
                <c:pt idx="719">
                  <c:v>17.06.2022</c:v>
                </c:pt>
                <c:pt idx="720">
                  <c:v>16.06.2022</c:v>
                </c:pt>
                <c:pt idx="721">
                  <c:v>15.06.2022</c:v>
                </c:pt>
                <c:pt idx="722">
                  <c:v>14.06.2022</c:v>
                </c:pt>
                <c:pt idx="723">
                  <c:v>13.06.2022</c:v>
                </c:pt>
                <c:pt idx="724">
                  <c:v>10.06.2022</c:v>
                </c:pt>
                <c:pt idx="725">
                  <c:v>09.06.2022</c:v>
                </c:pt>
                <c:pt idx="726">
                  <c:v>08.06.2022</c:v>
                </c:pt>
                <c:pt idx="727">
                  <c:v>07.06.2022</c:v>
                </c:pt>
                <c:pt idx="728">
                  <c:v>06.06.2022</c:v>
                </c:pt>
                <c:pt idx="729">
                  <c:v>03.06.2022</c:v>
                </c:pt>
                <c:pt idx="730">
                  <c:v>02.06.2022</c:v>
                </c:pt>
                <c:pt idx="731">
                  <c:v>01.06.2022</c:v>
                </c:pt>
                <c:pt idx="732">
                  <c:v>31.05.2022</c:v>
                </c:pt>
                <c:pt idx="733">
                  <c:v>30.05.2022</c:v>
                </c:pt>
                <c:pt idx="734">
                  <c:v>27.05.2022</c:v>
                </c:pt>
                <c:pt idx="735">
                  <c:v>26.05.2022</c:v>
                </c:pt>
                <c:pt idx="736">
                  <c:v>25.05.2022</c:v>
                </c:pt>
                <c:pt idx="737">
                  <c:v>24.05.2022</c:v>
                </c:pt>
                <c:pt idx="738">
                  <c:v>23.05.2022</c:v>
                </c:pt>
                <c:pt idx="739">
                  <c:v>20.05.2022</c:v>
                </c:pt>
                <c:pt idx="740">
                  <c:v>19.05.2022</c:v>
                </c:pt>
                <c:pt idx="741">
                  <c:v>18.05.2022</c:v>
                </c:pt>
                <c:pt idx="742">
                  <c:v>17.05.2022</c:v>
                </c:pt>
                <c:pt idx="743">
                  <c:v>16.05.2022</c:v>
                </c:pt>
                <c:pt idx="744">
                  <c:v>13.05.2022</c:v>
                </c:pt>
                <c:pt idx="745">
                  <c:v>12.05.2022</c:v>
                </c:pt>
                <c:pt idx="746">
                  <c:v>11.05.2022</c:v>
                </c:pt>
                <c:pt idx="747">
                  <c:v>10.05.2022</c:v>
                </c:pt>
                <c:pt idx="748">
                  <c:v>09.05.2022</c:v>
                </c:pt>
                <c:pt idx="749">
                  <c:v>06.05.2022</c:v>
                </c:pt>
                <c:pt idx="750">
                  <c:v>05.05.2022</c:v>
                </c:pt>
                <c:pt idx="751">
                  <c:v>04.05.2022</c:v>
                </c:pt>
                <c:pt idx="752">
                  <c:v>03.05.2022</c:v>
                </c:pt>
                <c:pt idx="753">
                  <c:v>02.05.2022</c:v>
                </c:pt>
                <c:pt idx="754">
                  <c:v>29.04.2022</c:v>
                </c:pt>
                <c:pt idx="755">
                  <c:v>28.04.2022</c:v>
                </c:pt>
                <c:pt idx="756">
                  <c:v>27.04.2022</c:v>
                </c:pt>
                <c:pt idx="757">
                  <c:v>26.04.2022</c:v>
                </c:pt>
                <c:pt idx="758">
                  <c:v>25.04.2022</c:v>
                </c:pt>
                <c:pt idx="759">
                  <c:v>22.04.2022</c:v>
                </c:pt>
                <c:pt idx="760">
                  <c:v>21.04.2022</c:v>
                </c:pt>
                <c:pt idx="761">
                  <c:v>20.04.2022</c:v>
                </c:pt>
                <c:pt idx="762">
                  <c:v>19.04.2022</c:v>
                </c:pt>
                <c:pt idx="763">
                  <c:v>18.04.2022</c:v>
                </c:pt>
                <c:pt idx="764">
                  <c:v>13.04.2022</c:v>
                </c:pt>
                <c:pt idx="765">
                  <c:v>12.04.2022</c:v>
                </c:pt>
                <c:pt idx="766">
                  <c:v>11.04.2022</c:v>
                </c:pt>
                <c:pt idx="767">
                  <c:v>08.04.2022</c:v>
                </c:pt>
                <c:pt idx="768">
                  <c:v>07.04.2022</c:v>
                </c:pt>
                <c:pt idx="769">
                  <c:v>06.04.2022</c:v>
                </c:pt>
                <c:pt idx="770">
                  <c:v>05.04.2022</c:v>
                </c:pt>
                <c:pt idx="771">
                  <c:v>04.04.2022</c:v>
                </c:pt>
                <c:pt idx="772">
                  <c:v>01.04.2022</c:v>
                </c:pt>
                <c:pt idx="773">
                  <c:v>31.03.2022</c:v>
                </c:pt>
                <c:pt idx="774">
                  <c:v>30.03.2022</c:v>
                </c:pt>
                <c:pt idx="775">
                  <c:v>29.03.2022</c:v>
                </c:pt>
                <c:pt idx="776">
                  <c:v>28.03.2022</c:v>
                </c:pt>
                <c:pt idx="777">
                  <c:v>25.03.2022</c:v>
                </c:pt>
                <c:pt idx="778">
                  <c:v>24.03.2022</c:v>
                </c:pt>
                <c:pt idx="779">
                  <c:v>23.03.2022</c:v>
                </c:pt>
                <c:pt idx="780">
                  <c:v>22.03.2022</c:v>
                </c:pt>
                <c:pt idx="781">
                  <c:v>18.03.2022</c:v>
                </c:pt>
                <c:pt idx="782">
                  <c:v>17.03.2022</c:v>
                </c:pt>
                <c:pt idx="783">
                  <c:v>16.03.2022</c:v>
                </c:pt>
                <c:pt idx="784">
                  <c:v>15.03.2022</c:v>
                </c:pt>
                <c:pt idx="785">
                  <c:v>14.03.2022</c:v>
                </c:pt>
                <c:pt idx="786">
                  <c:v>11.03.2022</c:v>
                </c:pt>
                <c:pt idx="787">
                  <c:v>10.03.2022</c:v>
                </c:pt>
                <c:pt idx="788">
                  <c:v>09.03.2022</c:v>
                </c:pt>
                <c:pt idx="789">
                  <c:v>08.03.2022</c:v>
                </c:pt>
                <c:pt idx="790">
                  <c:v>07.03.2022</c:v>
                </c:pt>
                <c:pt idx="791">
                  <c:v>04.03.2022</c:v>
                </c:pt>
                <c:pt idx="792">
                  <c:v>03.03.2022</c:v>
                </c:pt>
                <c:pt idx="793">
                  <c:v>02.03.2022</c:v>
                </c:pt>
                <c:pt idx="794">
                  <c:v>01.03.2022</c:v>
                </c:pt>
                <c:pt idx="795">
                  <c:v>28.02.2022</c:v>
                </c:pt>
                <c:pt idx="796">
                  <c:v>25.02.2022</c:v>
                </c:pt>
                <c:pt idx="797">
                  <c:v>24.02.2022</c:v>
                </c:pt>
                <c:pt idx="798">
                  <c:v>23.02.2022</c:v>
                </c:pt>
                <c:pt idx="799">
                  <c:v>22.02.2022</c:v>
                </c:pt>
                <c:pt idx="800">
                  <c:v>21.02.2022</c:v>
                </c:pt>
                <c:pt idx="801">
                  <c:v>18.02.2022</c:v>
                </c:pt>
                <c:pt idx="802">
                  <c:v>17.02.2022</c:v>
                </c:pt>
                <c:pt idx="803">
                  <c:v>16.02.2022</c:v>
                </c:pt>
                <c:pt idx="804">
                  <c:v>15.02.2022</c:v>
                </c:pt>
                <c:pt idx="805">
                  <c:v>14.02.2022</c:v>
                </c:pt>
                <c:pt idx="806">
                  <c:v>11.02.2022</c:v>
                </c:pt>
                <c:pt idx="807">
                  <c:v>10.02.2022</c:v>
                </c:pt>
                <c:pt idx="808">
                  <c:v>09.02.2022</c:v>
                </c:pt>
                <c:pt idx="809">
                  <c:v>08.02.2022</c:v>
                </c:pt>
                <c:pt idx="810">
                  <c:v>04.02.2022</c:v>
                </c:pt>
                <c:pt idx="811">
                  <c:v>03.02.2022</c:v>
                </c:pt>
                <c:pt idx="812">
                  <c:v>02.02.2022</c:v>
                </c:pt>
                <c:pt idx="813">
                  <c:v>01.02.2022</c:v>
                </c:pt>
                <c:pt idx="814">
                  <c:v>31.01.2022</c:v>
                </c:pt>
                <c:pt idx="815">
                  <c:v>28.01.2022</c:v>
                </c:pt>
                <c:pt idx="816">
                  <c:v>27.01.2022</c:v>
                </c:pt>
                <c:pt idx="817">
                  <c:v>26.01.2022</c:v>
                </c:pt>
                <c:pt idx="818">
                  <c:v>25.01.2022</c:v>
                </c:pt>
                <c:pt idx="819">
                  <c:v>24.01.2022</c:v>
                </c:pt>
                <c:pt idx="820">
                  <c:v>21.01.2022</c:v>
                </c:pt>
                <c:pt idx="821">
                  <c:v>20.01.2022</c:v>
                </c:pt>
                <c:pt idx="822">
                  <c:v>19.01.2022</c:v>
                </c:pt>
                <c:pt idx="823">
                  <c:v>18.01.2022</c:v>
                </c:pt>
                <c:pt idx="824">
                  <c:v>17.01.2022</c:v>
                </c:pt>
                <c:pt idx="825">
                  <c:v>14.01.2022</c:v>
                </c:pt>
                <c:pt idx="826">
                  <c:v>13.01.2022</c:v>
                </c:pt>
                <c:pt idx="827">
                  <c:v>12.01.2022</c:v>
                </c:pt>
                <c:pt idx="828">
                  <c:v>11.01.2022</c:v>
                </c:pt>
                <c:pt idx="829">
                  <c:v>10.01.2022</c:v>
                </c:pt>
                <c:pt idx="830">
                  <c:v>07.01.2022</c:v>
                </c:pt>
                <c:pt idx="831">
                  <c:v>06.01.2022</c:v>
                </c:pt>
                <c:pt idx="832">
                  <c:v>05.01.2022</c:v>
                </c:pt>
                <c:pt idx="833">
                  <c:v>04.01.2022</c:v>
                </c:pt>
                <c:pt idx="834">
                  <c:v>03.01.2022</c:v>
                </c:pt>
                <c:pt idx="835">
                  <c:v>31.12.2021</c:v>
                </c:pt>
                <c:pt idx="836">
                  <c:v>30.12.2021</c:v>
                </c:pt>
                <c:pt idx="837">
                  <c:v>29.12.2021</c:v>
                </c:pt>
                <c:pt idx="838">
                  <c:v>28.12.2021</c:v>
                </c:pt>
                <c:pt idx="839">
                  <c:v>27.12.2021</c:v>
                </c:pt>
                <c:pt idx="840">
                  <c:v>24.12.2021</c:v>
                </c:pt>
                <c:pt idx="841">
                  <c:v>23.12.2021</c:v>
                </c:pt>
                <c:pt idx="842">
                  <c:v>22.12.2021</c:v>
                </c:pt>
                <c:pt idx="843">
                  <c:v>21.12.2021</c:v>
                </c:pt>
                <c:pt idx="844">
                  <c:v>20.12.2021</c:v>
                </c:pt>
                <c:pt idx="845">
                  <c:v>17.12.2021</c:v>
                </c:pt>
                <c:pt idx="846">
                  <c:v>16.12.2021</c:v>
                </c:pt>
                <c:pt idx="847">
                  <c:v>15.12.2021</c:v>
                </c:pt>
                <c:pt idx="848">
                  <c:v>14.12.2021</c:v>
                </c:pt>
                <c:pt idx="849">
                  <c:v>13.12.2021</c:v>
                </c:pt>
                <c:pt idx="850">
                  <c:v>10.12.2021</c:v>
                </c:pt>
                <c:pt idx="851">
                  <c:v>09.12.2021</c:v>
                </c:pt>
                <c:pt idx="852">
                  <c:v>08.12.2021</c:v>
                </c:pt>
                <c:pt idx="853">
                  <c:v>07.12.2021</c:v>
                </c:pt>
                <c:pt idx="854">
                  <c:v>06.12.2021</c:v>
                </c:pt>
                <c:pt idx="855">
                  <c:v>03.12.2021</c:v>
                </c:pt>
                <c:pt idx="856">
                  <c:v>02.12.2021</c:v>
                </c:pt>
                <c:pt idx="857">
                  <c:v>01.12.2021</c:v>
                </c:pt>
                <c:pt idx="858">
                  <c:v>30.11.2021</c:v>
                </c:pt>
                <c:pt idx="859">
                  <c:v>29.11.2021</c:v>
                </c:pt>
                <c:pt idx="860">
                  <c:v>26.11.2021</c:v>
                </c:pt>
                <c:pt idx="861">
                  <c:v>25.11.2021</c:v>
                </c:pt>
                <c:pt idx="862">
                  <c:v>24.11.2021</c:v>
                </c:pt>
                <c:pt idx="863">
                  <c:v>23.11.2021</c:v>
                </c:pt>
                <c:pt idx="864">
                  <c:v>22.11.2021</c:v>
                </c:pt>
                <c:pt idx="865">
                  <c:v>19.11.2021</c:v>
                </c:pt>
                <c:pt idx="866">
                  <c:v>18.11.2021</c:v>
                </c:pt>
                <c:pt idx="867">
                  <c:v>17.11.2021</c:v>
                </c:pt>
                <c:pt idx="868">
                  <c:v>16.11.2021</c:v>
                </c:pt>
                <c:pt idx="869">
                  <c:v>12.11.2021</c:v>
                </c:pt>
                <c:pt idx="870">
                  <c:v>11.11.2021</c:v>
                </c:pt>
                <c:pt idx="871">
                  <c:v>10.11.2021</c:v>
                </c:pt>
                <c:pt idx="872">
                  <c:v>09.11.2021</c:v>
                </c:pt>
                <c:pt idx="873">
                  <c:v>08.11.2021</c:v>
                </c:pt>
                <c:pt idx="874">
                  <c:v>05.11.2021</c:v>
                </c:pt>
                <c:pt idx="875">
                  <c:v>04.11.2021</c:v>
                </c:pt>
                <c:pt idx="876">
                  <c:v>03.11.2021</c:v>
                </c:pt>
                <c:pt idx="877">
                  <c:v>01.11.2021</c:v>
                </c:pt>
                <c:pt idx="878">
                  <c:v>29.10.2021</c:v>
                </c:pt>
                <c:pt idx="879">
                  <c:v>28.10.2021</c:v>
                </c:pt>
                <c:pt idx="880">
                  <c:v>27.10.2021</c:v>
                </c:pt>
                <c:pt idx="881">
                  <c:v>26.10.2021</c:v>
                </c:pt>
                <c:pt idx="882">
                  <c:v>25.10.2021</c:v>
                </c:pt>
                <c:pt idx="883">
                  <c:v>22.10.2021</c:v>
                </c:pt>
                <c:pt idx="884">
                  <c:v>21.10.2021</c:v>
                </c:pt>
                <c:pt idx="885">
                  <c:v>20.10.2021</c:v>
                </c:pt>
                <c:pt idx="886">
                  <c:v>19.10.2021</c:v>
                </c:pt>
                <c:pt idx="887">
                  <c:v>18.10.2021</c:v>
                </c:pt>
                <c:pt idx="888">
                  <c:v>15.10.2021</c:v>
                </c:pt>
                <c:pt idx="889">
                  <c:v>14.10.2021</c:v>
                </c:pt>
                <c:pt idx="890">
                  <c:v>13.10.2021</c:v>
                </c:pt>
                <c:pt idx="891">
                  <c:v>12.10.2021</c:v>
                </c:pt>
                <c:pt idx="892">
                  <c:v>11.10.2021</c:v>
                </c:pt>
                <c:pt idx="893">
                  <c:v>08.10.2021</c:v>
                </c:pt>
                <c:pt idx="894">
                  <c:v>07.10.2021</c:v>
                </c:pt>
                <c:pt idx="895">
                  <c:v>06.10.2021</c:v>
                </c:pt>
                <c:pt idx="896">
                  <c:v>05.10.2021</c:v>
                </c:pt>
                <c:pt idx="897">
                  <c:v>04.10.2021</c:v>
                </c:pt>
                <c:pt idx="898">
                  <c:v>01.10.2021</c:v>
                </c:pt>
                <c:pt idx="899">
                  <c:v>30.09.2021</c:v>
                </c:pt>
                <c:pt idx="900">
                  <c:v>29.09.2021</c:v>
                </c:pt>
                <c:pt idx="901">
                  <c:v>28.09.2021</c:v>
                </c:pt>
                <c:pt idx="902">
                  <c:v>27.09.2021</c:v>
                </c:pt>
                <c:pt idx="903">
                  <c:v>24.09.2021</c:v>
                </c:pt>
                <c:pt idx="904">
                  <c:v>23.09.2021</c:v>
                </c:pt>
                <c:pt idx="905">
                  <c:v>22.09.2021</c:v>
                </c:pt>
                <c:pt idx="906">
                  <c:v>21.09.2021</c:v>
                </c:pt>
                <c:pt idx="907">
                  <c:v>20.09.2021</c:v>
                </c:pt>
                <c:pt idx="908">
                  <c:v>17.09.2021</c:v>
                </c:pt>
                <c:pt idx="909">
                  <c:v>15.09.2021</c:v>
                </c:pt>
                <c:pt idx="910">
                  <c:v>14.09.2021</c:v>
                </c:pt>
                <c:pt idx="911">
                  <c:v>13.09.2021</c:v>
                </c:pt>
                <c:pt idx="912">
                  <c:v>10.09.2021</c:v>
                </c:pt>
                <c:pt idx="913">
                  <c:v>09.09.2021</c:v>
                </c:pt>
                <c:pt idx="914">
                  <c:v>08.09.2021</c:v>
                </c:pt>
                <c:pt idx="915">
                  <c:v>07.09.2021</c:v>
                </c:pt>
                <c:pt idx="916">
                  <c:v>06.09.2021</c:v>
                </c:pt>
                <c:pt idx="917">
                  <c:v>03.09.2021</c:v>
                </c:pt>
                <c:pt idx="918">
                  <c:v>02.09.2021</c:v>
                </c:pt>
                <c:pt idx="919">
                  <c:v>01.09.2021</c:v>
                </c:pt>
                <c:pt idx="920">
                  <c:v>31.08.2021</c:v>
                </c:pt>
                <c:pt idx="921">
                  <c:v>30.08.2021</c:v>
                </c:pt>
                <c:pt idx="922">
                  <c:v>27.08.2021</c:v>
                </c:pt>
                <c:pt idx="923">
                  <c:v>26.08.2021</c:v>
                </c:pt>
                <c:pt idx="924">
                  <c:v>25.08.2021</c:v>
                </c:pt>
                <c:pt idx="925">
                  <c:v>24.08.2021</c:v>
                </c:pt>
                <c:pt idx="926">
                  <c:v>23.08.2021</c:v>
                </c:pt>
                <c:pt idx="927">
                  <c:v>20.08.2021</c:v>
                </c:pt>
                <c:pt idx="928">
                  <c:v>19.08.2021</c:v>
                </c:pt>
                <c:pt idx="929">
                  <c:v>18.08.2021</c:v>
                </c:pt>
                <c:pt idx="930">
                  <c:v>17.08.2021</c:v>
                </c:pt>
                <c:pt idx="931">
                  <c:v>16.08.2021</c:v>
                </c:pt>
                <c:pt idx="932">
                  <c:v>13.08.2021</c:v>
                </c:pt>
                <c:pt idx="933">
                  <c:v>12.08.2021</c:v>
                </c:pt>
                <c:pt idx="934">
                  <c:v>11.08.2021</c:v>
                </c:pt>
                <c:pt idx="935">
                  <c:v>10.08.2021</c:v>
                </c:pt>
                <c:pt idx="936">
                  <c:v>09.08.2021</c:v>
                </c:pt>
                <c:pt idx="937">
                  <c:v>06.08.2021</c:v>
                </c:pt>
                <c:pt idx="938">
                  <c:v>05.08.2021</c:v>
                </c:pt>
                <c:pt idx="939">
                  <c:v>04.08.2021</c:v>
                </c:pt>
                <c:pt idx="940">
                  <c:v>03.08.2021</c:v>
                </c:pt>
                <c:pt idx="941">
                  <c:v>02.08.2021</c:v>
                </c:pt>
                <c:pt idx="942">
                  <c:v>30.07.2021</c:v>
                </c:pt>
                <c:pt idx="943">
                  <c:v>29.07.2021</c:v>
                </c:pt>
                <c:pt idx="944">
                  <c:v>28.07.2021</c:v>
                </c:pt>
                <c:pt idx="945">
                  <c:v>27.07.2021</c:v>
                </c:pt>
                <c:pt idx="946">
                  <c:v>26.07.2021</c:v>
                </c:pt>
                <c:pt idx="947">
                  <c:v>23.07.2021</c:v>
                </c:pt>
                <c:pt idx="948">
                  <c:v>22.07.2021</c:v>
                </c:pt>
                <c:pt idx="949">
                  <c:v>21.07.2021</c:v>
                </c:pt>
                <c:pt idx="950">
                  <c:v>20.07.2021</c:v>
                </c:pt>
                <c:pt idx="951">
                  <c:v>19.07.2021</c:v>
                </c:pt>
                <c:pt idx="952">
                  <c:v>16.07.2021</c:v>
                </c:pt>
                <c:pt idx="953">
                  <c:v>15.07.2021</c:v>
                </c:pt>
                <c:pt idx="954">
                  <c:v>14.07.2021</c:v>
                </c:pt>
                <c:pt idx="955">
                  <c:v>13.07.2021</c:v>
                </c:pt>
                <c:pt idx="956">
                  <c:v>12.07.2021</c:v>
                </c:pt>
                <c:pt idx="957">
                  <c:v>09.07.2021</c:v>
                </c:pt>
                <c:pt idx="958">
                  <c:v>08.07.2021</c:v>
                </c:pt>
                <c:pt idx="959">
                  <c:v>07.07.2021</c:v>
                </c:pt>
                <c:pt idx="960">
                  <c:v>06.07.2021</c:v>
                </c:pt>
                <c:pt idx="961">
                  <c:v>05.07.2021</c:v>
                </c:pt>
                <c:pt idx="962">
                  <c:v>02.07.2021</c:v>
                </c:pt>
                <c:pt idx="963">
                  <c:v>01.07.2021</c:v>
                </c:pt>
                <c:pt idx="964">
                  <c:v>30.06.2021</c:v>
                </c:pt>
                <c:pt idx="965">
                  <c:v>29.06.2021</c:v>
                </c:pt>
                <c:pt idx="966">
                  <c:v>28.06.2021</c:v>
                </c:pt>
                <c:pt idx="967">
                  <c:v>25.06.2021</c:v>
                </c:pt>
                <c:pt idx="968">
                  <c:v>24.06.2021</c:v>
                </c:pt>
                <c:pt idx="969">
                  <c:v>23.06.2021</c:v>
                </c:pt>
                <c:pt idx="970">
                  <c:v>22.06.2021</c:v>
                </c:pt>
                <c:pt idx="971">
                  <c:v>21.06.2021</c:v>
                </c:pt>
                <c:pt idx="972">
                  <c:v>18.06.2021</c:v>
                </c:pt>
                <c:pt idx="973">
                  <c:v>17.06.2021</c:v>
                </c:pt>
                <c:pt idx="974">
                  <c:v>16.06.2021</c:v>
                </c:pt>
                <c:pt idx="975">
                  <c:v>15.06.2021</c:v>
                </c:pt>
                <c:pt idx="976">
                  <c:v>14.06.2021</c:v>
                </c:pt>
                <c:pt idx="977">
                  <c:v>11.06.2021</c:v>
                </c:pt>
                <c:pt idx="978">
                  <c:v>10.06.2021</c:v>
                </c:pt>
                <c:pt idx="979">
                  <c:v>09.06.2021</c:v>
                </c:pt>
                <c:pt idx="980">
                  <c:v>08.06.2021</c:v>
                </c:pt>
                <c:pt idx="981">
                  <c:v>07.06.2021</c:v>
                </c:pt>
                <c:pt idx="982">
                  <c:v>04.06.2021</c:v>
                </c:pt>
                <c:pt idx="983">
                  <c:v>03.06.2021</c:v>
                </c:pt>
                <c:pt idx="984">
                  <c:v>02.06.2021</c:v>
                </c:pt>
                <c:pt idx="985">
                  <c:v>01.06.2021</c:v>
                </c:pt>
                <c:pt idx="986">
                  <c:v>31.05.2021</c:v>
                </c:pt>
                <c:pt idx="987">
                  <c:v>28.05.2021</c:v>
                </c:pt>
                <c:pt idx="988">
                  <c:v>27.05.2021</c:v>
                </c:pt>
                <c:pt idx="989">
                  <c:v>26.05.2021</c:v>
                </c:pt>
                <c:pt idx="990">
                  <c:v>25.05.2021</c:v>
                </c:pt>
                <c:pt idx="991">
                  <c:v>24.05.2021</c:v>
                </c:pt>
                <c:pt idx="992">
                  <c:v>21.05.2021</c:v>
                </c:pt>
                <c:pt idx="993">
                  <c:v>20.05.2021</c:v>
                </c:pt>
                <c:pt idx="994">
                  <c:v>19.05.2021</c:v>
                </c:pt>
                <c:pt idx="995">
                  <c:v>18.05.2021</c:v>
                </c:pt>
                <c:pt idx="996">
                  <c:v>17.05.2021</c:v>
                </c:pt>
                <c:pt idx="997">
                  <c:v>14.05.2021</c:v>
                </c:pt>
                <c:pt idx="998">
                  <c:v>13.05.2021</c:v>
                </c:pt>
                <c:pt idx="999">
                  <c:v>12.05.2021</c:v>
                </c:pt>
                <c:pt idx="1000">
                  <c:v>11.05.2021</c:v>
                </c:pt>
                <c:pt idx="1001">
                  <c:v>10.05.2021</c:v>
                </c:pt>
                <c:pt idx="1002">
                  <c:v>07.05.2021</c:v>
                </c:pt>
                <c:pt idx="1003">
                  <c:v>06.05.2021</c:v>
                </c:pt>
                <c:pt idx="1004">
                  <c:v>05.05.2021</c:v>
                </c:pt>
                <c:pt idx="1005">
                  <c:v>04.05.2021</c:v>
                </c:pt>
                <c:pt idx="1006">
                  <c:v>03.05.2021</c:v>
                </c:pt>
                <c:pt idx="1007">
                  <c:v>30.04.2021</c:v>
                </c:pt>
                <c:pt idx="1008">
                  <c:v>29.04.2021</c:v>
                </c:pt>
                <c:pt idx="1009">
                  <c:v>28.04.2021</c:v>
                </c:pt>
                <c:pt idx="1010">
                  <c:v>27.04.2021</c:v>
                </c:pt>
                <c:pt idx="1011">
                  <c:v>26.04.2021</c:v>
                </c:pt>
                <c:pt idx="1012">
                  <c:v>23.04.2021</c:v>
                </c:pt>
                <c:pt idx="1013">
                  <c:v>22.04.2021</c:v>
                </c:pt>
                <c:pt idx="1014">
                  <c:v>21.04.2021</c:v>
                </c:pt>
                <c:pt idx="1015">
                  <c:v>20.04.2021</c:v>
                </c:pt>
                <c:pt idx="1016">
                  <c:v>19.04.2021</c:v>
                </c:pt>
                <c:pt idx="1017">
                  <c:v>16.04.2021</c:v>
                </c:pt>
                <c:pt idx="1018">
                  <c:v>15.04.2021</c:v>
                </c:pt>
                <c:pt idx="1019">
                  <c:v>14.04.2021</c:v>
                </c:pt>
                <c:pt idx="1020">
                  <c:v>13.04.2021</c:v>
                </c:pt>
                <c:pt idx="1021">
                  <c:v>12.04.2021</c:v>
                </c:pt>
                <c:pt idx="1022">
                  <c:v>09.04.2021</c:v>
                </c:pt>
                <c:pt idx="1023">
                  <c:v>08.04.2021</c:v>
                </c:pt>
                <c:pt idx="1024">
                  <c:v>07.04.2021</c:v>
                </c:pt>
                <c:pt idx="1025">
                  <c:v>06.04.2021</c:v>
                </c:pt>
                <c:pt idx="1026">
                  <c:v>05.04.2021</c:v>
                </c:pt>
                <c:pt idx="1027">
                  <c:v>31.03.2021</c:v>
                </c:pt>
                <c:pt idx="1028">
                  <c:v>30.03.2021</c:v>
                </c:pt>
                <c:pt idx="1029">
                  <c:v>29.03.2021</c:v>
                </c:pt>
                <c:pt idx="1030">
                  <c:v>26.03.2021</c:v>
                </c:pt>
                <c:pt idx="1031">
                  <c:v>25.03.2021</c:v>
                </c:pt>
                <c:pt idx="1032">
                  <c:v>24.03.2021</c:v>
                </c:pt>
                <c:pt idx="1033">
                  <c:v>23.03.2021</c:v>
                </c:pt>
                <c:pt idx="1034">
                  <c:v>22.03.2021</c:v>
                </c:pt>
                <c:pt idx="1035">
                  <c:v>19.03.2021</c:v>
                </c:pt>
                <c:pt idx="1036">
                  <c:v>18.03.2021</c:v>
                </c:pt>
                <c:pt idx="1037">
                  <c:v>17.03.2021</c:v>
                </c:pt>
                <c:pt idx="1038">
                  <c:v>16.03.2021</c:v>
                </c:pt>
                <c:pt idx="1039">
                  <c:v>12.03.2021</c:v>
                </c:pt>
                <c:pt idx="1040">
                  <c:v>11.03.2021</c:v>
                </c:pt>
                <c:pt idx="1041">
                  <c:v>10.03.2021</c:v>
                </c:pt>
                <c:pt idx="1042">
                  <c:v>09.03.2021</c:v>
                </c:pt>
                <c:pt idx="1043">
                  <c:v>08.03.2021</c:v>
                </c:pt>
                <c:pt idx="1044">
                  <c:v>05.03.2021</c:v>
                </c:pt>
                <c:pt idx="1045">
                  <c:v>04.03.2021</c:v>
                </c:pt>
                <c:pt idx="1046">
                  <c:v>03.03.2021</c:v>
                </c:pt>
                <c:pt idx="1047">
                  <c:v>02.03.2021</c:v>
                </c:pt>
                <c:pt idx="1048">
                  <c:v>01.03.2021</c:v>
                </c:pt>
                <c:pt idx="1049">
                  <c:v>26.02.2021</c:v>
                </c:pt>
                <c:pt idx="1050">
                  <c:v>25.02.2021</c:v>
                </c:pt>
                <c:pt idx="1051">
                  <c:v>24.02.2021</c:v>
                </c:pt>
                <c:pt idx="1052">
                  <c:v>23.02.2021</c:v>
                </c:pt>
                <c:pt idx="1053">
                  <c:v>22.02.2021</c:v>
                </c:pt>
                <c:pt idx="1054">
                  <c:v>19.02.2021</c:v>
                </c:pt>
                <c:pt idx="1055">
                  <c:v>18.02.2021</c:v>
                </c:pt>
                <c:pt idx="1056">
                  <c:v>17.02.2021</c:v>
                </c:pt>
                <c:pt idx="1057">
                  <c:v>16.02.2021</c:v>
                </c:pt>
                <c:pt idx="1058">
                  <c:v>15.02.2021</c:v>
                </c:pt>
                <c:pt idx="1059">
                  <c:v>12.02.2021</c:v>
                </c:pt>
                <c:pt idx="1060">
                  <c:v>11.02.2021</c:v>
                </c:pt>
                <c:pt idx="1061">
                  <c:v>10.02.2021</c:v>
                </c:pt>
                <c:pt idx="1062">
                  <c:v>09.02.2021</c:v>
                </c:pt>
                <c:pt idx="1063">
                  <c:v>08.02.2021</c:v>
                </c:pt>
                <c:pt idx="1064">
                  <c:v>05.02.2021</c:v>
                </c:pt>
                <c:pt idx="1065">
                  <c:v>04.02.2021</c:v>
                </c:pt>
                <c:pt idx="1066">
                  <c:v>03.02.2021</c:v>
                </c:pt>
                <c:pt idx="1067">
                  <c:v>02.02.2021</c:v>
                </c:pt>
                <c:pt idx="1068">
                  <c:v>29.01.2021</c:v>
                </c:pt>
                <c:pt idx="1069">
                  <c:v>28.01.2021</c:v>
                </c:pt>
                <c:pt idx="1070">
                  <c:v>27.01.2021</c:v>
                </c:pt>
                <c:pt idx="1071">
                  <c:v>26.01.2021</c:v>
                </c:pt>
                <c:pt idx="1072">
                  <c:v>25.01.2021</c:v>
                </c:pt>
                <c:pt idx="1073">
                  <c:v>22.01.2021</c:v>
                </c:pt>
                <c:pt idx="1074">
                  <c:v>21.01.2021</c:v>
                </c:pt>
                <c:pt idx="1075">
                  <c:v>20.01.2021</c:v>
                </c:pt>
                <c:pt idx="1076">
                  <c:v>19.01.2021</c:v>
                </c:pt>
                <c:pt idx="1077">
                  <c:v>18.01.2021</c:v>
                </c:pt>
                <c:pt idx="1078">
                  <c:v>15.01.2021</c:v>
                </c:pt>
                <c:pt idx="1079">
                  <c:v>14.01.2021</c:v>
                </c:pt>
                <c:pt idx="1080">
                  <c:v>13.01.2021</c:v>
                </c:pt>
                <c:pt idx="1081">
                  <c:v>12.01.2021</c:v>
                </c:pt>
                <c:pt idx="1082">
                  <c:v>11.01.2021</c:v>
                </c:pt>
                <c:pt idx="1083">
                  <c:v>08.01.2021</c:v>
                </c:pt>
                <c:pt idx="1084">
                  <c:v>07.01.2021</c:v>
                </c:pt>
                <c:pt idx="1085">
                  <c:v>06.01.2021</c:v>
                </c:pt>
                <c:pt idx="1086">
                  <c:v>05.01.2021</c:v>
                </c:pt>
                <c:pt idx="1087">
                  <c:v>04.01.2021</c:v>
                </c:pt>
                <c:pt idx="1088">
                  <c:v>31.12.2020</c:v>
                </c:pt>
                <c:pt idx="1089">
                  <c:v>30.12.2020</c:v>
                </c:pt>
                <c:pt idx="1090">
                  <c:v>29.12.2020</c:v>
                </c:pt>
                <c:pt idx="1091">
                  <c:v>28.12.2020</c:v>
                </c:pt>
                <c:pt idx="1092">
                  <c:v>24.12.2020</c:v>
                </c:pt>
                <c:pt idx="1093">
                  <c:v>23.12.2020</c:v>
                </c:pt>
                <c:pt idx="1094">
                  <c:v>22.12.2020</c:v>
                </c:pt>
                <c:pt idx="1095">
                  <c:v>21.12.2020</c:v>
                </c:pt>
                <c:pt idx="1096">
                  <c:v>18.12.2020</c:v>
                </c:pt>
                <c:pt idx="1097">
                  <c:v>17.12.2020</c:v>
                </c:pt>
                <c:pt idx="1098">
                  <c:v>16.12.2020</c:v>
                </c:pt>
                <c:pt idx="1099">
                  <c:v>15.12.2020</c:v>
                </c:pt>
                <c:pt idx="1100">
                  <c:v>14.12.2020</c:v>
                </c:pt>
                <c:pt idx="1101">
                  <c:v>11.12.2020</c:v>
                </c:pt>
                <c:pt idx="1102">
                  <c:v>10.12.2020</c:v>
                </c:pt>
                <c:pt idx="1103">
                  <c:v>09.12.2020</c:v>
                </c:pt>
                <c:pt idx="1104">
                  <c:v>08.12.2020</c:v>
                </c:pt>
                <c:pt idx="1105">
                  <c:v>07.12.2020</c:v>
                </c:pt>
                <c:pt idx="1106">
                  <c:v>04.12.2020</c:v>
                </c:pt>
                <c:pt idx="1107">
                  <c:v>03.12.2020</c:v>
                </c:pt>
                <c:pt idx="1108">
                  <c:v>02.12.2020</c:v>
                </c:pt>
                <c:pt idx="1109">
                  <c:v>01.12.2020</c:v>
                </c:pt>
                <c:pt idx="1110">
                  <c:v>30.11.2020</c:v>
                </c:pt>
                <c:pt idx="1111">
                  <c:v>27.11.2020</c:v>
                </c:pt>
                <c:pt idx="1112">
                  <c:v>26.11.2020</c:v>
                </c:pt>
                <c:pt idx="1113">
                  <c:v>25.11.2020</c:v>
                </c:pt>
                <c:pt idx="1114">
                  <c:v>24.11.2020</c:v>
                </c:pt>
                <c:pt idx="1115">
                  <c:v>23.11.2020</c:v>
                </c:pt>
                <c:pt idx="1116">
                  <c:v>20.11.2020</c:v>
                </c:pt>
                <c:pt idx="1117">
                  <c:v>19.11.2020</c:v>
                </c:pt>
                <c:pt idx="1118">
                  <c:v>18.11.2020</c:v>
                </c:pt>
                <c:pt idx="1119">
                  <c:v>17.11.2020</c:v>
                </c:pt>
                <c:pt idx="1120">
                  <c:v>13.11.2020</c:v>
                </c:pt>
                <c:pt idx="1121">
                  <c:v>12.11.2020</c:v>
                </c:pt>
                <c:pt idx="1122">
                  <c:v>11.11.2020</c:v>
                </c:pt>
                <c:pt idx="1123">
                  <c:v>10.11.2020</c:v>
                </c:pt>
                <c:pt idx="1124">
                  <c:v>09.11.2020</c:v>
                </c:pt>
                <c:pt idx="1125">
                  <c:v>06.11.2020</c:v>
                </c:pt>
                <c:pt idx="1126">
                  <c:v>05.11.2020</c:v>
                </c:pt>
                <c:pt idx="1127">
                  <c:v>04.11.2020</c:v>
                </c:pt>
                <c:pt idx="1128">
                  <c:v>03.11.2020</c:v>
                </c:pt>
                <c:pt idx="1129">
                  <c:v>30.10.2020</c:v>
                </c:pt>
                <c:pt idx="1130">
                  <c:v>29.10.2020</c:v>
                </c:pt>
                <c:pt idx="1131">
                  <c:v>28.10.2020</c:v>
                </c:pt>
                <c:pt idx="1132">
                  <c:v>27.10.2020</c:v>
                </c:pt>
                <c:pt idx="1133">
                  <c:v>26.10.2020</c:v>
                </c:pt>
                <c:pt idx="1134">
                  <c:v>23.10.2020</c:v>
                </c:pt>
                <c:pt idx="1135">
                  <c:v>22.10.2020</c:v>
                </c:pt>
                <c:pt idx="1136">
                  <c:v>21.10.2020</c:v>
                </c:pt>
                <c:pt idx="1137">
                  <c:v>20.10.2020</c:v>
                </c:pt>
                <c:pt idx="1138">
                  <c:v>19.10.2020</c:v>
                </c:pt>
                <c:pt idx="1139">
                  <c:v>16.10.2020</c:v>
                </c:pt>
                <c:pt idx="1140">
                  <c:v>15.10.2020</c:v>
                </c:pt>
                <c:pt idx="1141">
                  <c:v>14.10.2020</c:v>
                </c:pt>
                <c:pt idx="1142">
                  <c:v>13.10.2020</c:v>
                </c:pt>
                <c:pt idx="1143">
                  <c:v>12.10.2020</c:v>
                </c:pt>
                <c:pt idx="1144">
                  <c:v>09.10.2020</c:v>
                </c:pt>
                <c:pt idx="1145">
                  <c:v>08.10.2020</c:v>
                </c:pt>
                <c:pt idx="1146">
                  <c:v>07.10.2020</c:v>
                </c:pt>
                <c:pt idx="1147">
                  <c:v>06.10.2020</c:v>
                </c:pt>
                <c:pt idx="1148">
                  <c:v>05.10.2020</c:v>
                </c:pt>
                <c:pt idx="1149">
                  <c:v>02.10.2020</c:v>
                </c:pt>
                <c:pt idx="1150">
                  <c:v>01.10.2020</c:v>
                </c:pt>
                <c:pt idx="1151">
                  <c:v>30.09.2020</c:v>
                </c:pt>
                <c:pt idx="1152">
                  <c:v>29.09.2020</c:v>
                </c:pt>
                <c:pt idx="1153">
                  <c:v>28.09.2020</c:v>
                </c:pt>
                <c:pt idx="1154">
                  <c:v>25.09.2020</c:v>
                </c:pt>
                <c:pt idx="1155">
                  <c:v>24.09.2020</c:v>
                </c:pt>
                <c:pt idx="1156">
                  <c:v>23.09.2020</c:v>
                </c:pt>
                <c:pt idx="1157">
                  <c:v>22.09.2020</c:v>
                </c:pt>
                <c:pt idx="1158">
                  <c:v>21.09.2020</c:v>
                </c:pt>
                <c:pt idx="1159">
                  <c:v>18.09.2020</c:v>
                </c:pt>
                <c:pt idx="1160">
                  <c:v>17.09.2020</c:v>
                </c:pt>
                <c:pt idx="1161">
                  <c:v>15.09.2020</c:v>
                </c:pt>
                <c:pt idx="1162">
                  <c:v>14.09.2020</c:v>
                </c:pt>
                <c:pt idx="1163">
                  <c:v>11.09.2020</c:v>
                </c:pt>
                <c:pt idx="1164">
                  <c:v>10.09.2020</c:v>
                </c:pt>
                <c:pt idx="1165">
                  <c:v>09.09.2020</c:v>
                </c:pt>
                <c:pt idx="1166">
                  <c:v>08.09.2020</c:v>
                </c:pt>
                <c:pt idx="1167">
                  <c:v>07.09.2020</c:v>
                </c:pt>
                <c:pt idx="1168">
                  <c:v>04.09.2020</c:v>
                </c:pt>
                <c:pt idx="1169">
                  <c:v>03.09.2020</c:v>
                </c:pt>
                <c:pt idx="1170">
                  <c:v>02.09.2020</c:v>
                </c:pt>
                <c:pt idx="1171">
                  <c:v>01.09.2020</c:v>
                </c:pt>
                <c:pt idx="1172">
                  <c:v>31.08.2020</c:v>
                </c:pt>
                <c:pt idx="1173">
                  <c:v>28.08.2020</c:v>
                </c:pt>
                <c:pt idx="1174">
                  <c:v>27.08.2020</c:v>
                </c:pt>
                <c:pt idx="1175">
                  <c:v>26.08.2020</c:v>
                </c:pt>
                <c:pt idx="1176">
                  <c:v>25.08.2020</c:v>
                </c:pt>
                <c:pt idx="1177">
                  <c:v>24.08.2020</c:v>
                </c:pt>
                <c:pt idx="1178">
                  <c:v>21.08.2020</c:v>
                </c:pt>
                <c:pt idx="1179">
                  <c:v>20.08.2020</c:v>
                </c:pt>
                <c:pt idx="1180">
                  <c:v>19.08.2020</c:v>
                </c:pt>
                <c:pt idx="1181">
                  <c:v>18.08.2020</c:v>
                </c:pt>
                <c:pt idx="1182">
                  <c:v>17.08.2020</c:v>
                </c:pt>
                <c:pt idx="1183">
                  <c:v>14.08.2020</c:v>
                </c:pt>
                <c:pt idx="1184">
                  <c:v>13.08.2020</c:v>
                </c:pt>
                <c:pt idx="1185">
                  <c:v>12.08.2020</c:v>
                </c:pt>
                <c:pt idx="1186">
                  <c:v>11.08.2020</c:v>
                </c:pt>
                <c:pt idx="1187">
                  <c:v>10.08.2020</c:v>
                </c:pt>
                <c:pt idx="1188">
                  <c:v>07.08.2020</c:v>
                </c:pt>
                <c:pt idx="1189">
                  <c:v>06.08.2020</c:v>
                </c:pt>
                <c:pt idx="1190">
                  <c:v>05.08.2020</c:v>
                </c:pt>
                <c:pt idx="1191">
                  <c:v>04.08.2020</c:v>
                </c:pt>
                <c:pt idx="1192">
                  <c:v>03.08.2020</c:v>
                </c:pt>
                <c:pt idx="1193">
                  <c:v>31.07.2020</c:v>
                </c:pt>
                <c:pt idx="1194">
                  <c:v>30.07.2020</c:v>
                </c:pt>
                <c:pt idx="1195">
                  <c:v>29.07.2020</c:v>
                </c:pt>
                <c:pt idx="1196">
                  <c:v>28.07.2020</c:v>
                </c:pt>
                <c:pt idx="1197">
                  <c:v>27.07.2020</c:v>
                </c:pt>
                <c:pt idx="1198">
                  <c:v>24.07.2020</c:v>
                </c:pt>
                <c:pt idx="1199">
                  <c:v>23.07.2020</c:v>
                </c:pt>
                <c:pt idx="1200">
                  <c:v>22.07.2020</c:v>
                </c:pt>
                <c:pt idx="1201">
                  <c:v>21.07.2020</c:v>
                </c:pt>
                <c:pt idx="1202">
                  <c:v>20.07.2020</c:v>
                </c:pt>
                <c:pt idx="1203">
                  <c:v>17.07.2020</c:v>
                </c:pt>
                <c:pt idx="1204">
                  <c:v>16.07.2020</c:v>
                </c:pt>
                <c:pt idx="1205">
                  <c:v>15.07.2020</c:v>
                </c:pt>
                <c:pt idx="1206">
                  <c:v>14.07.2020</c:v>
                </c:pt>
                <c:pt idx="1207">
                  <c:v>13.07.2020</c:v>
                </c:pt>
                <c:pt idx="1208">
                  <c:v>10.07.2020</c:v>
                </c:pt>
                <c:pt idx="1209">
                  <c:v>09.07.2020</c:v>
                </c:pt>
                <c:pt idx="1210">
                  <c:v>08.07.2020</c:v>
                </c:pt>
                <c:pt idx="1211">
                  <c:v>07.07.2020</c:v>
                </c:pt>
                <c:pt idx="1212">
                  <c:v>06.07.2020</c:v>
                </c:pt>
                <c:pt idx="1213">
                  <c:v>03.07.2020</c:v>
                </c:pt>
                <c:pt idx="1214">
                  <c:v>02.07.2020</c:v>
                </c:pt>
                <c:pt idx="1215">
                  <c:v>01.07.2020</c:v>
                </c:pt>
                <c:pt idx="1216">
                  <c:v>30.06.2020</c:v>
                </c:pt>
                <c:pt idx="1217">
                  <c:v>29.06.2020</c:v>
                </c:pt>
                <c:pt idx="1218">
                  <c:v>26.06.2020</c:v>
                </c:pt>
                <c:pt idx="1219">
                  <c:v>25.06.2020</c:v>
                </c:pt>
                <c:pt idx="1220">
                  <c:v>24.06.2020</c:v>
                </c:pt>
                <c:pt idx="1221">
                  <c:v>23.06.2020</c:v>
                </c:pt>
                <c:pt idx="1222">
                  <c:v>22.06.2020</c:v>
                </c:pt>
                <c:pt idx="1223">
                  <c:v>19.06.2020</c:v>
                </c:pt>
                <c:pt idx="1224">
                  <c:v>18.06.2020</c:v>
                </c:pt>
                <c:pt idx="1225">
                  <c:v>17.06.2020</c:v>
                </c:pt>
                <c:pt idx="1226">
                  <c:v>16.06.2020</c:v>
                </c:pt>
                <c:pt idx="1227">
                  <c:v>15.06.2020</c:v>
                </c:pt>
                <c:pt idx="1228">
                  <c:v>12.06.2020</c:v>
                </c:pt>
                <c:pt idx="1229">
                  <c:v>11.06.2020</c:v>
                </c:pt>
                <c:pt idx="1230">
                  <c:v>10.06.2020</c:v>
                </c:pt>
                <c:pt idx="1231">
                  <c:v>09.06.2020</c:v>
                </c:pt>
                <c:pt idx="1232">
                  <c:v>08.06.2020</c:v>
                </c:pt>
                <c:pt idx="1233">
                  <c:v>05.06.2020</c:v>
                </c:pt>
                <c:pt idx="1234">
                  <c:v>04.06.2020</c:v>
                </c:pt>
                <c:pt idx="1235">
                  <c:v>03.06.2020</c:v>
                </c:pt>
                <c:pt idx="1236">
                  <c:v>02.06.2020</c:v>
                </c:pt>
                <c:pt idx="1237">
                  <c:v>01.06.2020</c:v>
                </c:pt>
                <c:pt idx="1238">
                  <c:v>29.05.2020</c:v>
                </c:pt>
                <c:pt idx="1239">
                  <c:v>28.05.2020</c:v>
                </c:pt>
                <c:pt idx="1240">
                  <c:v>27.05.2020</c:v>
                </c:pt>
                <c:pt idx="1241">
                  <c:v>26.05.2020</c:v>
                </c:pt>
                <c:pt idx="1242">
                  <c:v>25.05.2020</c:v>
                </c:pt>
                <c:pt idx="1243">
                  <c:v>22.05.2020</c:v>
                </c:pt>
                <c:pt idx="1244">
                  <c:v>21.05.2020</c:v>
                </c:pt>
                <c:pt idx="1245">
                  <c:v>20.05.2020</c:v>
                </c:pt>
                <c:pt idx="1246">
                  <c:v>19.05.2020</c:v>
                </c:pt>
                <c:pt idx="1247">
                  <c:v>18.05.2020</c:v>
                </c:pt>
                <c:pt idx="1248">
                  <c:v>15.05.2020</c:v>
                </c:pt>
                <c:pt idx="1249">
                  <c:v>14.05.2020</c:v>
                </c:pt>
                <c:pt idx="1250">
                  <c:v>13.05.2020</c:v>
                </c:pt>
                <c:pt idx="1251">
                  <c:v>12.05.2020</c:v>
                </c:pt>
                <c:pt idx="1252">
                  <c:v>11.05.2020</c:v>
                </c:pt>
                <c:pt idx="1253">
                  <c:v>08.05.2020</c:v>
                </c:pt>
                <c:pt idx="1254">
                  <c:v>07.05.2020</c:v>
                </c:pt>
                <c:pt idx="1255">
                  <c:v>06.05.2020</c:v>
                </c:pt>
                <c:pt idx="1256">
                  <c:v>05.05.2020</c:v>
                </c:pt>
                <c:pt idx="1257">
                  <c:v>04.05.2020</c:v>
                </c:pt>
                <c:pt idx="1258">
                  <c:v>30.04.2020</c:v>
                </c:pt>
              </c:strCache>
            </c:strRef>
          </c:cat>
          <c:val>
            <c:numRef>
              <c:f>KIMBERA!$B$2:$B$1260</c:f>
              <c:numCache>
                <c:formatCode>General</c:formatCode>
                <c:ptCount val="1259"/>
                <c:pt idx="0">
                  <c:v>34.57</c:v>
                </c:pt>
                <c:pt idx="1">
                  <c:v>33.78</c:v>
                </c:pt>
                <c:pt idx="2">
                  <c:v>34.979999999999997</c:v>
                </c:pt>
                <c:pt idx="3">
                  <c:v>34.01</c:v>
                </c:pt>
                <c:pt idx="4">
                  <c:v>33.22</c:v>
                </c:pt>
                <c:pt idx="5">
                  <c:v>32.9</c:v>
                </c:pt>
                <c:pt idx="6">
                  <c:v>32.68</c:v>
                </c:pt>
                <c:pt idx="7">
                  <c:v>32.93</c:v>
                </c:pt>
                <c:pt idx="8">
                  <c:v>32.729999999999997</c:v>
                </c:pt>
                <c:pt idx="9">
                  <c:v>32.770000000000003</c:v>
                </c:pt>
                <c:pt idx="10">
                  <c:v>32.35</c:v>
                </c:pt>
                <c:pt idx="11">
                  <c:v>31.76</c:v>
                </c:pt>
                <c:pt idx="12">
                  <c:v>32.1</c:v>
                </c:pt>
                <c:pt idx="13">
                  <c:v>33.22</c:v>
                </c:pt>
                <c:pt idx="14">
                  <c:v>31.51</c:v>
                </c:pt>
                <c:pt idx="15">
                  <c:v>32.270000000000003</c:v>
                </c:pt>
                <c:pt idx="16">
                  <c:v>33.25</c:v>
                </c:pt>
                <c:pt idx="17">
                  <c:v>33.07</c:v>
                </c:pt>
                <c:pt idx="18">
                  <c:v>32.47</c:v>
                </c:pt>
                <c:pt idx="19">
                  <c:v>33.159999999999997</c:v>
                </c:pt>
                <c:pt idx="20">
                  <c:v>33.549999999999997</c:v>
                </c:pt>
                <c:pt idx="21">
                  <c:v>33.58</c:v>
                </c:pt>
                <c:pt idx="22">
                  <c:v>33.229999999999997</c:v>
                </c:pt>
                <c:pt idx="23">
                  <c:v>33.08</c:v>
                </c:pt>
                <c:pt idx="24">
                  <c:v>32.79</c:v>
                </c:pt>
                <c:pt idx="25">
                  <c:v>32.61</c:v>
                </c:pt>
                <c:pt idx="26">
                  <c:v>32.49</c:v>
                </c:pt>
                <c:pt idx="27">
                  <c:v>32.65</c:v>
                </c:pt>
                <c:pt idx="28">
                  <c:v>32.869999999999997</c:v>
                </c:pt>
                <c:pt idx="29">
                  <c:v>32.75</c:v>
                </c:pt>
                <c:pt idx="30">
                  <c:v>31.91</c:v>
                </c:pt>
                <c:pt idx="31">
                  <c:v>32.770000000000003</c:v>
                </c:pt>
                <c:pt idx="32">
                  <c:v>32.450000000000003</c:v>
                </c:pt>
                <c:pt idx="33">
                  <c:v>32.1</c:v>
                </c:pt>
                <c:pt idx="34">
                  <c:v>31.64</c:v>
                </c:pt>
                <c:pt idx="35">
                  <c:v>31.45</c:v>
                </c:pt>
                <c:pt idx="36">
                  <c:v>31.51</c:v>
                </c:pt>
                <c:pt idx="37">
                  <c:v>31.47</c:v>
                </c:pt>
                <c:pt idx="38">
                  <c:v>31.39</c:v>
                </c:pt>
                <c:pt idx="39">
                  <c:v>31.19</c:v>
                </c:pt>
                <c:pt idx="40">
                  <c:v>30.74</c:v>
                </c:pt>
                <c:pt idx="41">
                  <c:v>31.23</c:v>
                </c:pt>
                <c:pt idx="42">
                  <c:v>32.31</c:v>
                </c:pt>
                <c:pt idx="43">
                  <c:v>33.020000000000003</c:v>
                </c:pt>
                <c:pt idx="44">
                  <c:v>33.42</c:v>
                </c:pt>
                <c:pt idx="45">
                  <c:v>32.380000000000003</c:v>
                </c:pt>
                <c:pt idx="46">
                  <c:v>32.36</c:v>
                </c:pt>
                <c:pt idx="47">
                  <c:v>32.340000000000003</c:v>
                </c:pt>
                <c:pt idx="48">
                  <c:v>32.01</c:v>
                </c:pt>
                <c:pt idx="49">
                  <c:v>31.45</c:v>
                </c:pt>
                <c:pt idx="50">
                  <c:v>32.06</c:v>
                </c:pt>
                <c:pt idx="51">
                  <c:v>32.450000000000003</c:v>
                </c:pt>
                <c:pt idx="52">
                  <c:v>31.79</c:v>
                </c:pt>
                <c:pt idx="53">
                  <c:v>30.98</c:v>
                </c:pt>
                <c:pt idx="54">
                  <c:v>31.37</c:v>
                </c:pt>
                <c:pt idx="55">
                  <c:v>31.12</c:v>
                </c:pt>
                <c:pt idx="56">
                  <c:v>30.52</c:v>
                </c:pt>
                <c:pt idx="57">
                  <c:v>30.66</c:v>
                </c:pt>
                <c:pt idx="58">
                  <c:v>31.21</c:v>
                </c:pt>
                <c:pt idx="59">
                  <c:v>30.98</c:v>
                </c:pt>
                <c:pt idx="60">
                  <c:v>31.11</c:v>
                </c:pt>
                <c:pt idx="61">
                  <c:v>30.69</c:v>
                </c:pt>
                <c:pt idx="62">
                  <c:v>30.77</c:v>
                </c:pt>
                <c:pt idx="63">
                  <c:v>30.76</c:v>
                </c:pt>
                <c:pt idx="64">
                  <c:v>29.87</c:v>
                </c:pt>
                <c:pt idx="65">
                  <c:v>29.56</c:v>
                </c:pt>
                <c:pt idx="66">
                  <c:v>29.79</c:v>
                </c:pt>
                <c:pt idx="67">
                  <c:v>29.19</c:v>
                </c:pt>
                <c:pt idx="68">
                  <c:v>28.94</c:v>
                </c:pt>
                <c:pt idx="69">
                  <c:v>29.32</c:v>
                </c:pt>
                <c:pt idx="70">
                  <c:v>29</c:v>
                </c:pt>
                <c:pt idx="71">
                  <c:v>28.85</c:v>
                </c:pt>
                <c:pt idx="72">
                  <c:v>29.7</c:v>
                </c:pt>
                <c:pt idx="73">
                  <c:v>29.49</c:v>
                </c:pt>
                <c:pt idx="74">
                  <c:v>29.16</c:v>
                </c:pt>
                <c:pt idx="75">
                  <c:v>29</c:v>
                </c:pt>
                <c:pt idx="76">
                  <c:v>28.91</c:v>
                </c:pt>
                <c:pt idx="77">
                  <c:v>29.09</c:v>
                </c:pt>
                <c:pt idx="78">
                  <c:v>29</c:v>
                </c:pt>
                <c:pt idx="79">
                  <c:v>29.36</c:v>
                </c:pt>
                <c:pt idx="80">
                  <c:v>29.52</c:v>
                </c:pt>
                <c:pt idx="81">
                  <c:v>29.4</c:v>
                </c:pt>
                <c:pt idx="82">
                  <c:v>28.91</c:v>
                </c:pt>
                <c:pt idx="83">
                  <c:v>29.11</c:v>
                </c:pt>
                <c:pt idx="84">
                  <c:v>28.83</c:v>
                </c:pt>
                <c:pt idx="85">
                  <c:v>28.68</c:v>
                </c:pt>
                <c:pt idx="86">
                  <c:v>28.6</c:v>
                </c:pt>
                <c:pt idx="87">
                  <c:v>29.49</c:v>
                </c:pt>
                <c:pt idx="88">
                  <c:v>27.95</c:v>
                </c:pt>
                <c:pt idx="89">
                  <c:v>27.98</c:v>
                </c:pt>
                <c:pt idx="90">
                  <c:v>28.06</c:v>
                </c:pt>
                <c:pt idx="91">
                  <c:v>28.2</c:v>
                </c:pt>
                <c:pt idx="92">
                  <c:v>28.64</c:v>
                </c:pt>
                <c:pt idx="93">
                  <c:v>28.01</c:v>
                </c:pt>
                <c:pt idx="94">
                  <c:v>27.4</c:v>
                </c:pt>
                <c:pt idx="95">
                  <c:v>27.52</c:v>
                </c:pt>
                <c:pt idx="96">
                  <c:v>27.5</c:v>
                </c:pt>
                <c:pt idx="97">
                  <c:v>27.75</c:v>
                </c:pt>
                <c:pt idx="98">
                  <c:v>27.85</c:v>
                </c:pt>
                <c:pt idx="99">
                  <c:v>28.23</c:v>
                </c:pt>
                <c:pt idx="100">
                  <c:v>27.81</c:v>
                </c:pt>
                <c:pt idx="101">
                  <c:v>27.34</c:v>
                </c:pt>
                <c:pt idx="102">
                  <c:v>27.5</c:v>
                </c:pt>
                <c:pt idx="103">
                  <c:v>27.73</c:v>
                </c:pt>
                <c:pt idx="104">
                  <c:v>27.92</c:v>
                </c:pt>
                <c:pt idx="105">
                  <c:v>27.7</c:v>
                </c:pt>
                <c:pt idx="106">
                  <c:v>28.2</c:v>
                </c:pt>
                <c:pt idx="107">
                  <c:v>27.78</c:v>
                </c:pt>
                <c:pt idx="108">
                  <c:v>27.49</c:v>
                </c:pt>
                <c:pt idx="109">
                  <c:v>28.22</c:v>
                </c:pt>
                <c:pt idx="110">
                  <c:v>28.3</c:v>
                </c:pt>
                <c:pt idx="111">
                  <c:v>28.16</c:v>
                </c:pt>
                <c:pt idx="112">
                  <c:v>28.29</c:v>
                </c:pt>
                <c:pt idx="113">
                  <c:v>28.46</c:v>
                </c:pt>
                <c:pt idx="114">
                  <c:v>28.58</c:v>
                </c:pt>
                <c:pt idx="115">
                  <c:v>28.78</c:v>
                </c:pt>
                <c:pt idx="116">
                  <c:v>28.76</c:v>
                </c:pt>
                <c:pt idx="117">
                  <c:v>28.68</c:v>
                </c:pt>
                <c:pt idx="118">
                  <c:v>28.75</c:v>
                </c:pt>
                <c:pt idx="119">
                  <c:v>28.77</c:v>
                </c:pt>
                <c:pt idx="120">
                  <c:v>28.89</c:v>
                </c:pt>
                <c:pt idx="121">
                  <c:v>28.73</c:v>
                </c:pt>
                <c:pt idx="122">
                  <c:v>28.55</c:v>
                </c:pt>
                <c:pt idx="123">
                  <c:v>28.7</c:v>
                </c:pt>
                <c:pt idx="124">
                  <c:v>28.42</c:v>
                </c:pt>
                <c:pt idx="125">
                  <c:v>28.8</c:v>
                </c:pt>
                <c:pt idx="126">
                  <c:v>28.76</c:v>
                </c:pt>
                <c:pt idx="127">
                  <c:v>28.57</c:v>
                </c:pt>
                <c:pt idx="128">
                  <c:v>28.96</c:v>
                </c:pt>
                <c:pt idx="129">
                  <c:v>29.6</c:v>
                </c:pt>
                <c:pt idx="130">
                  <c:v>30.49</c:v>
                </c:pt>
                <c:pt idx="131">
                  <c:v>30.68</c:v>
                </c:pt>
                <c:pt idx="132">
                  <c:v>30.38</c:v>
                </c:pt>
                <c:pt idx="133">
                  <c:v>30.41</c:v>
                </c:pt>
                <c:pt idx="134">
                  <c:v>31.06</c:v>
                </c:pt>
                <c:pt idx="135">
                  <c:v>31.61</c:v>
                </c:pt>
                <c:pt idx="136">
                  <c:v>30.95</c:v>
                </c:pt>
                <c:pt idx="137">
                  <c:v>30.72</c:v>
                </c:pt>
                <c:pt idx="138">
                  <c:v>31.51</c:v>
                </c:pt>
                <c:pt idx="139">
                  <c:v>32.200000000000003</c:v>
                </c:pt>
                <c:pt idx="140">
                  <c:v>32.32</c:v>
                </c:pt>
                <c:pt idx="141">
                  <c:v>31.83</c:v>
                </c:pt>
                <c:pt idx="142">
                  <c:v>32.18</c:v>
                </c:pt>
                <c:pt idx="143">
                  <c:v>31.84</c:v>
                </c:pt>
                <c:pt idx="144">
                  <c:v>31.74</c:v>
                </c:pt>
                <c:pt idx="145">
                  <c:v>31.69</c:v>
                </c:pt>
                <c:pt idx="146">
                  <c:v>32.229999999999997</c:v>
                </c:pt>
                <c:pt idx="147">
                  <c:v>32.82</c:v>
                </c:pt>
                <c:pt idx="148">
                  <c:v>32.44</c:v>
                </c:pt>
                <c:pt idx="149">
                  <c:v>32.01</c:v>
                </c:pt>
                <c:pt idx="150">
                  <c:v>32.409999999999997</c:v>
                </c:pt>
                <c:pt idx="151">
                  <c:v>32.36</c:v>
                </c:pt>
                <c:pt idx="152">
                  <c:v>31.83</c:v>
                </c:pt>
                <c:pt idx="153">
                  <c:v>31.84</c:v>
                </c:pt>
                <c:pt idx="154">
                  <c:v>32.4</c:v>
                </c:pt>
                <c:pt idx="155">
                  <c:v>31.74</c:v>
                </c:pt>
                <c:pt idx="156">
                  <c:v>31.74</c:v>
                </c:pt>
                <c:pt idx="157">
                  <c:v>32</c:v>
                </c:pt>
                <c:pt idx="158">
                  <c:v>31.99</c:v>
                </c:pt>
                <c:pt idx="159">
                  <c:v>32.200000000000003</c:v>
                </c:pt>
                <c:pt idx="160">
                  <c:v>32.58</c:v>
                </c:pt>
                <c:pt idx="161">
                  <c:v>32.39</c:v>
                </c:pt>
                <c:pt idx="162">
                  <c:v>32.75</c:v>
                </c:pt>
                <c:pt idx="163">
                  <c:v>32.19</c:v>
                </c:pt>
                <c:pt idx="164">
                  <c:v>32.65</c:v>
                </c:pt>
                <c:pt idx="165">
                  <c:v>32.78</c:v>
                </c:pt>
                <c:pt idx="166">
                  <c:v>32.35</c:v>
                </c:pt>
                <c:pt idx="167">
                  <c:v>32.18</c:v>
                </c:pt>
                <c:pt idx="168">
                  <c:v>32.57</c:v>
                </c:pt>
                <c:pt idx="169">
                  <c:v>32.92</c:v>
                </c:pt>
                <c:pt idx="170">
                  <c:v>33.01</c:v>
                </c:pt>
                <c:pt idx="171">
                  <c:v>33.64</c:v>
                </c:pt>
                <c:pt idx="172">
                  <c:v>34.21</c:v>
                </c:pt>
                <c:pt idx="173">
                  <c:v>34.520000000000003</c:v>
                </c:pt>
                <c:pt idx="174">
                  <c:v>34.61</c:v>
                </c:pt>
                <c:pt idx="175">
                  <c:v>34.700000000000003</c:v>
                </c:pt>
                <c:pt idx="176">
                  <c:v>34.5</c:v>
                </c:pt>
                <c:pt idx="177">
                  <c:v>34.14</c:v>
                </c:pt>
                <c:pt idx="178">
                  <c:v>34.49</c:v>
                </c:pt>
                <c:pt idx="179">
                  <c:v>34.299999999999997</c:v>
                </c:pt>
                <c:pt idx="180">
                  <c:v>33.520000000000003</c:v>
                </c:pt>
                <c:pt idx="181">
                  <c:v>32.6</c:v>
                </c:pt>
                <c:pt idx="182">
                  <c:v>31.93</c:v>
                </c:pt>
                <c:pt idx="183">
                  <c:v>31.81</c:v>
                </c:pt>
                <c:pt idx="184">
                  <c:v>32.36</c:v>
                </c:pt>
                <c:pt idx="185">
                  <c:v>33.14</c:v>
                </c:pt>
                <c:pt idx="186">
                  <c:v>32.58</c:v>
                </c:pt>
                <c:pt idx="187">
                  <c:v>32.619999999999997</c:v>
                </c:pt>
                <c:pt idx="188">
                  <c:v>33.39</c:v>
                </c:pt>
                <c:pt idx="189">
                  <c:v>32.99</c:v>
                </c:pt>
                <c:pt idx="190">
                  <c:v>32.729999999999997</c:v>
                </c:pt>
                <c:pt idx="191">
                  <c:v>32.96</c:v>
                </c:pt>
                <c:pt idx="192">
                  <c:v>33.74</c:v>
                </c:pt>
                <c:pt idx="193">
                  <c:v>34.03</c:v>
                </c:pt>
                <c:pt idx="194">
                  <c:v>33.06</c:v>
                </c:pt>
                <c:pt idx="195">
                  <c:v>33.17</c:v>
                </c:pt>
                <c:pt idx="196">
                  <c:v>33.270000000000003</c:v>
                </c:pt>
                <c:pt idx="197">
                  <c:v>33.03</c:v>
                </c:pt>
                <c:pt idx="198">
                  <c:v>33.1</c:v>
                </c:pt>
                <c:pt idx="199">
                  <c:v>32.47</c:v>
                </c:pt>
                <c:pt idx="200">
                  <c:v>31.39</c:v>
                </c:pt>
                <c:pt idx="201">
                  <c:v>31.15</c:v>
                </c:pt>
                <c:pt idx="202">
                  <c:v>31.19</c:v>
                </c:pt>
                <c:pt idx="203">
                  <c:v>30.29</c:v>
                </c:pt>
                <c:pt idx="204">
                  <c:v>30.22</c:v>
                </c:pt>
                <c:pt idx="205">
                  <c:v>30.51</c:v>
                </c:pt>
                <c:pt idx="206">
                  <c:v>31.02</c:v>
                </c:pt>
                <c:pt idx="207">
                  <c:v>31.27</c:v>
                </c:pt>
                <c:pt idx="208">
                  <c:v>31.65</c:v>
                </c:pt>
                <c:pt idx="209">
                  <c:v>31.65</c:v>
                </c:pt>
                <c:pt idx="210">
                  <c:v>31.98</c:v>
                </c:pt>
                <c:pt idx="211">
                  <c:v>32.26</c:v>
                </c:pt>
                <c:pt idx="212">
                  <c:v>32.619999999999997</c:v>
                </c:pt>
                <c:pt idx="213">
                  <c:v>32.19</c:v>
                </c:pt>
                <c:pt idx="214">
                  <c:v>31.9</c:v>
                </c:pt>
                <c:pt idx="215">
                  <c:v>31.88</c:v>
                </c:pt>
                <c:pt idx="216">
                  <c:v>32.090000000000003</c:v>
                </c:pt>
                <c:pt idx="217">
                  <c:v>32.049999999999997</c:v>
                </c:pt>
                <c:pt idx="218">
                  <c:v>32.299999999999997</c:v>
                </c:pt>
                <c:pt idx="219">
                  <c:v>32.54</c:v>
                </c:pt>
                <c:pt idx="220">
                  <c:v>33.229999999999997</c:v>
                </c:pt>
                <c:pt idx="221">
                  <c:v>33.21</c:v>
                </c:pt>
                <c:pt idx="222">
                  <c:v>33.75</c:v>
                </c:pt>
                <c:pt idx="223">
                  <c:v>33.54</c:v>
                </c:pt>
                <c:pt idx="224">
                  <c:v>35.07</c:v>
                </c:pt>
                <c:pt idx="225">
                  <c:v>35.590000000000003</c:v>
                </c:pt>
                <c:pt idx="226">
                  <c:v>34.86</c:v>
                </c:pt>
                <c:pt idx="227">
                  <c:v>33.61</c:v>
                </c:pt>
                <c:pt idx="228">
                  <c:v>35.590000000000003</c:v>
                </c:pt>
                <c:pt idx="229">
                  <c:v>36.21</c:v>
                </c:pt>
                <c:pt idx="230">
                  <c:v>35.35</c:v>
                </c:pt>
                <c:pt idx="231">
                  <c:v>35.28</c:v>
                </c:pt>
                <c:pt idx="232">
                  <c:v>35.880000000000003</c:v>
                </c:pt>
                <c:pt idx="233">
                  <c:v>35.75</c:v>
                </c:pt>
                <c:pt idx="234">
                  <c:v>36.31</c:v>
                </c:pt>
                <c:pt idx="235">
                  <c:v>35.82</c:v>
                </c:pt>
                <c:pt idx="236">
                  <c:v>35.71</c:v>
                </c:pt>
                <c:pt idx="237">
                  <c:v>36.32</c:v>
                </c:pt>
                <c:pt idx="238">
                  <c:v>36.6</c:v>
                </c:pt>
                <c:pt idx="239">
                  <c:v>37.450000000000003</c:v>
                </c:pt>
                <c:pt idx="240">
                  <c:v>36.53</c:v>
                </c:pt>
                <c:pt idx="241">
                  <c:v>36.58</c:v>
                </c:pt>
                <c:pt idx="242">
                  <c:v>36.5</c:v>
                </c:pt>
                <c:pt idx="243">
                  <c:v>36.47</c:v>
                </c:pt>
                <c:pt idx="244">
                  <c:v>36.229999999999997</c:v>
                </c:pt>
                <c:pt idx="245">
                  <c:v>35.75</c:v>
                </c:pt>
                <c:pt idx="246">
                  <c:v>36.21</c:v>
                </c:pt>
                <c:pt idx="247">
                  <c:v>36.64</c:v>
                </c:pt>
                <c:pt idx="248">
                  <c:v>36.97</c:v>
                </c:pt>
                <c:pt idx="249">
                  <c:v>36.520000000000003</c:v>
                </c:pt>
                <c:pt idx="250">
                  <c:v>35.659999999999997</c:v>
                </c:pt>
                <c:pt idx="251">
                  <c:v>36.130000000000003</c:v>
                </c:pt>
                <c:pt idx="252">
                  <c:v>36.69</c:v>
                </c:pt>
                <c:pt idx="253">
                  <c:v>36.479999999999997</c:v>
                </c:pt>
                <c:pt idx="254">
                  <c:v>36.78</c:v>
                </c:pt>
                <c:pt idx="255">
                  <c:v>37.24</c:v>
                </c:pt>
                <c:pt idx="256">
                  <c:v>36.770000000000003</c:v>
                </c:pt>
                <c:pt idx="257">
                  <c:v>36.25</c:v>
                </c:pt>
                <c:pt idx="258">
                  <c:v>37.81</c:v>
                </c:pt>
                <c:pt idx="259">
                  <c:v>37.69</c:v>
                </c:pt>
                <c:pt idx="260">
                  <c:v>37.85</c:v>
                </c:pt>
                <c:pt idx="261">
                  <c:v>37.96</c:v>
                </c:pt>
                <c:pt idx="262">
                  <c:v>38.44</c:v>
                </c:pt>
                <c:pt idx="263">
                  <c:v>38.57</c:v>
                </c:pt>
                <c:pt idx="264">
                  <c:v>38.49</c:v>
                </c:pt>
                <c:pt idx="265">
                  <c:v>39.01</c:v>
                </c:pt>
                <c:pt idx="266">
                  <c:v>38.26</c:v>
                </c:pt>
                <c:pt idx="267">
                  <c:v>38.19</c:v>
                </c:pt>
                <c:pt idx="268">
                  <c:v>38.700000000000003</c:v>
                </c:pt>
                <c:pt idx="269">
                  <c:v>38.4</c:v>
                </c:pt>
                <c:pt idx="270">
                  <c:v>38.619999999999997</c:v>
                </c:pt>
                <c:pt idx="271">
                  <c:v>38.83</c:v>
                </c:pt>
                <c:pt idx="272">
                  <c:v>38.6</c:v>
                </c:pt>
                <c:pt idx="273">
                  <c:v>37.71</c:v>
                </c:pt>
                <c:pt idx="274">
                  <c:v>37.33</c:v>
                </c:pt>
                <c:pt idx="275">
                  <c:v>37.75</c:v>
                </c:pt>
                <c:pt idx="276">
                  <c:v>37.799999999999997</c:v>
                </c:pt>
                <c:pt idx="277">
                  <c:v>38.06</c:v>
                </c:pt>
                <c:pt idx="278">
                  <c:v>37.75</c:v>
                </c:pt>
                <c:pt idx="279">
                  <c:v>37.950000000000003</c:v>
                </c:pt>
                <c:pt idx="280">
                  <c:v>38.07</c:v>
                </c:pt>
                <c:pt idx="281">
                  <c:v>37.85</c:v>
                </c:pt>
                <c:pt idx="282">
                  <c:v>37.36</c:v>
                </c:pt>
                <c:pt idx="283">
                  <c:v>37.78</c:v>
                </c:pt>
                <c:pt idx="284">
                  <c:v>37.86</c:v>
                </c:pt>
                <c:pt idx="285">
                  <c:v>38.14</c:v>
                </c:pt>
                <c:pt idx="286">
                  <c:v>37.75</c:v>
                </c:pt>
                <c:pt idx="287">
                  <c:v>37.14</c:v>
                </c:pt>
                <c:pt idx="288">
                  <c:v>37.33</c:v>
                </c:pt>
                <c:pt idx="289">
                  <c:v>37.42</c:v>
                </c:pt>
                <c:pt idx="290">
                  <c:v>37.880000000000003</c:v>
                </c:pt>
                <c:pt idx="291">
                  <c:v>36.78</c:v>
                </c:pt>
                <c:pt idx="292">
                  <c:v>37.56</c:v>
                </c:pt>
                <c:pt idx="293">
                  <c:v>37.909999999999997</c:v>
                </c:pt>
                <c:pt idx="294">
                  <c:v>38.4</c:v>
                </c:pt>
                <c:pt idx="295">
                  <c:v>37.869999999999997</c:v>
                </c:pt>
                <c:pt idx="296">
                  <c:v>38.25</c:v>
                </c:pt>
                <c:pt idx="297">
                  <c:v>38.24</c:v>
                </c:pt>
                <c:pt idx="298">
                  <c:v>38.57</c:v>
                </c:pt>
                <c:pt idx="299">
                  <c:v>37.85</c:v>
                </c:pt>
                <c:pt idx="300">
                  <c:v>37.96</c:v>
                </c:pt>
                <c:pt idx="301">
                  <c:v>37.74</c:v>
                </c:pt>
                <c:pt idx="302">
                  <c:v>38.020000000000003</c:v>
                </c:pt>
                <c:pt idx="303">
                  <c:v>38.49</c:v>
                </c:pt>
                <c:pt idx="304">
                  <c:v>37.85</c:v>
                </c:pt>
                <c:pt idx="305">
                  <c:v>38.99</c:v>
                </c:pt>
                <c:pt idx="306">
                  <c:v>39.75</c:v>
                </c:pt>
                <c:pt idx="307">
                  <c:v>38.99</c:v>
                </c:pt>
                <c:pt idx="308">
                  <c:v>38.57</c:v>
                </c:pt>
                <c:pt idx="309">
                  <c:v>38.86</c:v>
                </c:pt>
                <c:pt idx="310">
                  <c:v>39.24</c:v>
                </c:pt>
                <c:pt idx="311">
                  <c:v>38.82</c:v>
                </c:pt>
                <c:pt idx="312">
                  <c:v>38.46</c:v>
                </c:pt>
                <c:pt idx="313">
                  <c:v>38.51</c:v>
                </c:pt>
                <c:pt idx="314">
                  <c:v>37.79</c:v>
                </c:pt>
                <c:pt idx="315">
                  <c:v>37.01</c:v>
                </c:pt>
                <c:pt idx="316">
                  <c:v>37.909999999999997</c:v>
                </c:pt>
                <c:pt idx="317">
                  <c:v>38.479999999999997</c:v>
                </c:pt>
                <c:pt idx="318">
                  <c:v>38.65</c:v>
                </c:pt>
                <c:pt idx="319">
                  <c:v>37.86</c:v>
                </c:pt>
                <c:pt idx="320">
                  <c:v>37.520000000000003</c:v>
                </c:pt>
                <c:pt idx="321">
                  <c:v>37.409999999999997</c:v>
                </c:pt>
                <c:pt idx="322">
                  <c:v>37.19</c:v>
                </c:pt>
                <c:pt idx="323">
                  <c:v>37.42</c:v>
                </c:pt>
                <c:pt idx="324">
                  <c:v>37.94</c:v>
                </c:pt>
                <c:pt idx="325">
                  <c:v>37.380000000000003</c:v>
                </c:pt>
                <c:pt idx="326">
                  <c:v>36.58</c:v>
                </c:pt>
                <c:pt idx="327">
                  <c:v>37.19</c:v>
                </c:pt>
                <c:pt idx="328">
                  <c:v>37.83</c:v>
                </c:pt>
                <c:pt idx="329">
                  <c:v>37.42</c:v>
                </c:pt>
                <c:pt idx="330">
                  <c:v>37.08</c:v>
                </c:pt>
                <c:pt idx="331">
                  <c:v>37.53</c:v>
                </c:pt>
                <c:pt idx="332">
                  <c:v>38.17</c:v>
                </c:pt>
                <c:pt idx="333">
                  <c:v>38.270000000000003</c:v>
                </c:pt>
                <c:pt idx="334">
                  <c:v>38.51</c:v>
                </c:pt>
                <c:pt idx="335">
                  <c:v>37.880000000000003</c:v>
                </c:pt>
                <c:pt idx="336">
                  <c:v>37.96</c:v>
                </c:pt>
                <c:pt idx="337">
                  <c:v>37.71</c:v>
                </c:pt>
                <c:pt idx="338">
                  <c:v>36.75</c:v>
                </c:pt>
                <c:pt idx="339">
                  <c:v>37.03</c:v>
                </c:pt>
                <c:pt idx="340">
                  <c:v>37.299999999999997</c:v>
                </c:pt>
                <c:pt idx="341">
                  <c:v>37</c:v>
                </c:pt>
                <c:pt idx="342">
                  <c:v>37.29</c:v>
                </c:pt>
                <c:pt idx="343">
                  <c:v>36.340000000000003</c:v>
                </c:pt>
                <c:pt idx="344">
                  <c:v>34.270000000000003</c:v>
                </c:pt>
                <c:pt idx="345">
                  <c:v>34.83</c:v>
                </c:pt>
                <c:pt idx="346">
                  <c:v>34.56</c:v>
                </c:pt>
                <c:pt idx="347">
                  <c:v>35.119999999999997</c:v>
                </c:pt>
                <c:pt idx="348">
                  <c:v>34.479999999999997</c:v>
                </c:pt>
                <c:pt idx="349">
                  <c:v>34.770000000000003</c:v>
                </c:pt>
                <c:pt idx="350">
                  <c:v>35.31</c:v>
                </c:pt>
                <c:pt idx="351">
                  <c:v>35.14</c:v>
                </c:pt>
                <c:pt idx="352">
                  <c:v>34.229999999999997</c:v>
                </c:pt>
                <c:pt idx="353">
                  <c:v>33.97</c:v>
                </c:pt>
                <c:pt idx="354">
                  <c:v>34.04</c:v>
                </c:pt>
                <c:pt idx="355">
                  <c:v>33.93</c:v>
                </c:pt>
                <c:pt idx="356">
                  <c:v>33.99</c:v>
                </c:pt>
                <c:pt idx="357">
                  <c:v>33.94</c:v>
                </c:pt>
                <c:pt idx="358">
                  <c:v>34.22</c:v>
                </c:pt>
                <c:pt idx="359">
                  <c:v>34.090000000000003</c:v>
                </c:pt>
                <c:pt idx="360">
                  <c:v>33.89</c:v>
                </c:pt>
                <c:pt idx="361">
                  <c:v>34.32</c:v>
                </c:pt>
                <c:pt idx="362">
                  <c:v>34.25</c:v>
                </c:pt>
                <c:pt idx="363">
                  <c:v>33.17</c:v>
                </c:pt>
                <c:pt idx="364">
                  <c:v>34.01</c:v>
                </c:pt>
                <c:pt idx="365">
                  <c:v>34.409999999999997</c:v>
                </c:pt>
                <c:pt idx="366">
                  <c:v>34.07</c:v>
                </c:pt>
                <c:pt idx="367">
                  <c:v>34.42</c:v>
                </c:pt>
                <c:pt idx="368">
                  <c:v>34.74</c:v>
                </c:pt>
                <c:pt idx="369">
                  <c:v>34.96</c:v>
                </c:pt>
                <c:pt idx="370">
                  <c:v>34.729999999999997</c:v>
                </c:pt>
                <c:pt idx="371">
                  <c:v>33.049999999999997</c:v>
                </c:pt>
                <c:pt idx="372">
                  <c:v>33.56</c:v>
                </c:pt>
                <c:pt idx="373">
                  <c:v>33.93</c:v>
                </c:pt>
                <c:pt idx="374">
                  <c:v>34</c:v>
                </c:pt>
                <c:pt idx="375">
                  <c:v>34.380000000000003</c:v>
                </c:pt>
                <c:pt idx="376">
                  <c:v>33.58</c:v>
                </c:pt>
                <c:pt idx="377">
                  <c:v>32.72</c:v>
                </c:pt>
                <c:pt idx="378">
                  <c:v>33.24</c:v>
                </c:pt>
                <c:pt idx="379">
                  <c:v>34.25</c:v>
                </c:pt>
                <c:pt idx="380">
                  <c:v>35.14</c:v>
                </c:pt>
                <c:pt idx="381">
                  <c:v>35.01</c:v>
                </c:pt>
                <c:pt idx="382">
                  <c:v>33.33</c:v>
                </c:pt>
                <c:pt idx="383">
                  <c:v>32.869999999999997</c:v>
                </c:pt>
                <c:pt idx="384">
                  <c:v>33.119999999999997</c:v>
                </c:pt>
                <c:pt idx="385">
                  <c:v>33.909999999999997</c:v>
                </c:pt>
                <c:pt idx="386">
                  <c:v>34.83</c:v>
                </c:pt>
                <c:pt idx="387">
                  <c:v>33.74</c:v>
                </c:pt>
                <c:pt idx="388">
                  <c:v>34.700000000000003</c:v>
                </c:pt>
                <c:pt idx="389">
                  <c:v>35.64</c:v>
                </c:pt>
                <c:pt idx="390">
                  <c:v>35.54</c:v>
                </c:pt>
                <c:pt idx="391">
                  <c:v>34.42</c:v>
                </c:pt>
                <c:pt idx="392">
                  <c:v>34.700000000000003</c:v>
                </c:pt>
                <c:pt idx="393">
                  <c:v>34.700000000000003</c:v>
                </c:pt>
                <c:pt idx="394">
                  <c:v>36.06</c:v>
                </c:pt>
                <c:pt idx="395">
                  <c:v>37.21</c:v>
                </c:pt>
                <c:pt idx="396">
                  <c:v>37.25</c:v>
                </c:pt>
                <c:pt idx="397">
                  <c:v>37.65</c:v>
                </c:pt>
                <c:pt idx="398">
                  <c:v>37.54</c:v>
                </c:pt>
                <c:pt idx="399">
                  <c:v>38.159999999999997</c:v>
                </c:pt>
                <c:pt idx="400">
                  <c:v>38.26</c:v>
                </c:pt>
                <c:pt idx="401">
                  <c:v>37.729999999999997</c:v>
                </c:pt>
                <c:pt idx="402">
                  <c:v>37.49</c:v>
                </c:pt>
                <c:pt idx="403">
                  <c:v>37.06</c:v>
                </c:pt>
                <c:pt idx="404">
                  <c:v>37.44</c:v>
                </c:pt>
                <c:pt idx="405">
                  <c:v>37.53</c:v>
                </c:pt>
                <c:pt idx="406">
                  <c:v>37.83</c:v>
                </c:pt>
                <c:pt idx="407">
                  <c:v>38.270000000000003</c:v>
                </c:pt>
                <c:pt idx="408">
                  <c:v>38.31</c:v>
                </c:pt>
                <c:pt idx="409">
                  <c:v>37.83</c:v>
                </c:pt>
                <c:pt idx="410">
                  <c:v>38.26</c:v>
                </c:pt>
                <c:pt idx="411">
                  <c:v>38.159999999999997</c:v>
                </c:pt>
                <c:pt idx="412">
                  <c:v>38.200000000000003</c:v>
                </c:pt>
                <c:pt idx="413">
                  <c:v>38.47</c:v>
                </c:pt>
                <c:pt idx="414">
                  <c:v>38.36</c:v>
                </c:pt>
                <c:pt idx="415">
                  <c:v>39.82</c:v>
                </c:pt>
                <c:pt idx="416">
                  <c:v>39.909999999999997</c:v>
                </c:pt>
                <c:pt idx="417">
                  <c:v>39.81</c:v>
                </c:pt>
                <c:pt idx="418">
                  <c:v>39.99</c:v>
                </c:pt>
                <c:pt idx="419">
                  <c:v>39.840000000000003</c:v>
                </c:pt>
                <c:pt idx="420">
                  <c:v>39.700000000000003</c:v>
                </c:pt>
                <c:pt idx="421">
                  <c:v>37.49</c:v>
                </c:pt>
                <c:pt idx="422">
                  <c:v>37.26</c:v>
                </c:pt>
                <c:pt idx="423">
                  <c:v>38.25</c:v>
                </c:pt>
                <c:pt idx="424">
                  <c:v>38.770000000000003</c:v>
                </c:pt>
                <c:pt idx="425">
                  <c:v>39.979999999999997</c:v>
                </c:pt>
                <c:pt idx="426">
                  <c:v>39.79</c:v>
                </c:pt>
                <c:pt idx="427">
                  <c:v>39.51</c:v>
                </c:pt>
                <c:pt idx="428">
                  <c:v>39.479999999999997</c:v>
                </c:pt>
                <c:pt idx="429">
                  <c:v>39.229999999999997</c:v>
                </c:pt>
                <c:pt idx="430">
                  <c:v>39.74</c:v>
                </c:pt>
                <c:pt idx="431">
                  <c:v>39.5</c:v>
                </c:pt>
                <c:pt idx="432">
                  <c:v>39.119999999999997</c:v>
                </c:pt>
                <c:pt idx="433">
                  <c:v>38.729999999999997</c:v>
                </c:pt>
                <c:pt idx="434">
                  <c:v>38.520000000000003</c:v>
                </c:pt>
                <c:pt idx="435">
                  <c:v>38.799999999999997</c:v>
                </c:pt>
                <c:pt idx="436">
                  <c:v>39.42</c:v>
                </c:pt>
                <c:pt idx="437">
                  <c:v>39.32</c:v>
                </c:pt>
                <c:pt idx="438">
                  <c:v>39.76</c:v>
                </c:pt>
                <c:pt idx="439">
                  <c:v>40.270000000000003</c:v>
                </c:pt>
                <c:pt idx="440">
                  <c:v>40.119999999999997</c:v>
                </c:pt>
                <c:pt idx="441">
                  <c:v>39.9</c:v>
                </c:pt>
                <c:pt idx="442">
                  <c:v>39.89</c:v>
                </c:pt>
                <c:pt idx="443">
                  <c:v>39.6</c:v>
                </c:pt>
                <c:pt idx="444">
                  <c:v>39.19</c:v>
                </c:pt>
                <c:pt idx="445">
                  <c:v>38.82</c:v>
                </c:pt>
                <c:pt idx="446">
                  <c:v>39.92</c:v>
                </c:pt>
                <c:pt idx="447">
                  <c:v>39.659999999999997</c:v>
                </c:pt>
                <c:pt idx="448">
                  <c:v>39.93</c:v>
                </c:pt>
                <c:pt idx="449">
                  <c:v>39.75</c:v>
                </c:pt>
                <c:pt idx="450">
                  <c:v>39.51</c:v>
                </c:pt>
                <c:pt idx="451">
                  <c:v>38.61</c:v>
                </c:pt>
                <c:pt idx="452">
                  <c:v>38.47</c:v>
                </c:pt>
                <c:pt idx="453">
                  <c:v>38.56</c:v>
                </c:pt>
                <c:pt idx="454">
                  <c:v>38.049999999999997</c:v>
                </c:pt>
                <c:pt idx="455">
                  <c:v>38.630000000000003</c:v>
                </c:pt>
                <c:pt idx="456">
                  <c:v>38.39</c:v>
                </c:pt>
                <c:pt idx="457">
                  <c:v>38.450000000000003</c:v>
                </c:pt>
                <c:pt idx="458">
                  <c:v>38.07</c:v>
                </c:pt>
                <c:pt idx="459">
                  <c:v>38.58</c:v>
                </c:pt>
                <c:pt idx="460">
                  <c:v>38.71</c:v>
                </c:pt>
                <c:pt idx="461">
                  <c:v>39.450000000000003</c:v>
                </c:pt>
                <c:pt idx="462">
                  <c:v>39.36</c:v>
                </c:pt>
                <c:pt idx="463">
                  <c:v>38.909999999999997</c:v>
                </c:pt>
                <c:pt idx="464">
                  <c:v>39.58</c:v>
                </c:pt>
                <c:pt idx="465">
                  <c:v>39.909999999999997</c:v>
                </c:pt>
                <c:pt idx="466">
                  <c:v>40</c:v>
                </c:pt>
                <c:pt idx="467">
                  <c:v>39.92</c:v>
                </c:pt>
                <c:pt idx="468">
                  <c:v>39.630000000000003</c:v>
                </c:pt>
                <c:pt idx="469">
                  <c:v>39.51</c:v>
                </c:pt>
                <c:pt idx="470">
                  <c:v>39.21</c:v>
                </c:pt>
                <c:pt idx="471">
                  <c:v>39.549999999999997</c:v>
                </c:pt>
                <c:pt idx="472">
                  <c:v>39</c:v>
                </c:pt>
                <c:pt idx="473">
                  <c:v>38.43</c:v>
                </c:pt>
                <c:pt idx="474">
                  <c:v>38.119999999999997</c:v>
                </c:pt>
                <c:pt idx="475">
                  <c:v>37.9</c:v>
                </c:pt>
                <c:pt idx="476">
                  <c:v>36.44</c:v>
                </c:pt>
                <c:pt idx="477">
                  <c:v>36.47</c:v>
                </c:pt>
                <c:pt idx="478">
                  <c:v>36.200000000000003</c:v>
                </c:pt>
                <c:pt idx="479">
                  <c:v>35.630000000000003</c:v>
                </c:pt>
                <c:pt idx="480">
                  <c:v>35.979999999999997</c:v>
                </c:pt>
                <c:pt idx="481">
                  <c:v>36.049999999999997</c:v>
                </c:pt>
                <c:pt idx="482">
                  <c:v>36.28</c:v>
                </c:pt>
                <c:pt idx="483">
                  <c:v>36.74</c:v>
                </c:pt>
                <c:pt idx="484">
                  <c:v>36.72</c:v>
                </c:pt>
                <c:pt idx="485">
                  <c:v>36.630000000000003</c:v>
                </c:pt>
                <c:pt idx="486">
                  <c:v>37.03</c:v>
                </c:pt>
                <c:pt idx="487">
                  <c:v>37.11</c:v>
                </c:pt>
                <c:pt idx="488">
                  <c:v>38.32</c:v>
                </c:pt>
                <c:pt idx="489">
                  <c:v>38.950000000000003</c:v>
                </c:pt>
                <c:pt idx="490">
                  <c:v>38.97</c:v>
                </c:pt>
                <c:pt idx="491">
                  <c:v>39.29</c:v>
                </c:pt>
                <c:pt idx="492">
                  <c:v>39.32</c:v>
                </c:pt>
                <c:pt idx="493">
                  <c:v>39.44</c:v>
                </c:pt>
                <c:pt idx="494">
                  <c:v>39.25</c:v>
                </c:pt>
                <c:pt idx="495">
                  <c:v>39.17</c:v>
                </c:pt>
                <c:pt idx="496">
                  <c:v>39.69</c:v>
                </c:pt>
                <c:pt idx="497">
                  <c:v>39.770000000000003</c:v>
                </c:pt>
                <c:pt idx="498">
                  <c:v>39.68</c:v>
                </c:pt>
                <c:pt idx="499">
                  <c:v>39.85</c:v>
                </c:pt>
                <c:pt idx="500">
                  <c:v>40.44</c:v>
                </c:pt>
                <c:pt idx="501">
                  <c:v>40.79</c:v>
                </c:pt>
                <c:pt idx="502">
                  <c:v>40.78</c:v>
                </c:pt>
                <c:pt idx="503">
                  <c:v>40.549999999999997</c:v>
                </c:pt>
                <c:pt idx="504">
                  <c:v>40.47</c:v>
                </c:pt>
                <c:pt idx="505">
                  <c:v>40.68</c:v>
                </c:pt>
                <c:pt idx="506">
                  <c:v>40.51</c:v>
                </c:pt>
                <c:pt idx="507">
                  <c:v>40.25</c:v>
                </c:pt>
                <c:pt idx="508">
                  <c:v>40.31</c:v>
                </c:pt>
                <c:pt idx="509">
                  <c:v>39.659999999999997</c:v>
                </c:pt>
                <c:pt idx="510">
                  <c:v>39.79</c:v>
                </c:pt>
                <c:pt idx="511">
                  <c:v>39.72</c:v>
                </c:pt>
                <c:pt idx="512">
                  <c:v>39.51</c:v>
                </c:pt>
                <c:pt idx="513">
                  <c:v>40.07</c:v>
                </c:pt>
                <c:pt idx="514">
                  <c:v>39.11</c:v>
                </c:pt>
                <c:pt idx="515">
                  <c:v>38.44</c:v>
                </c:pt>
                <c:pt idx="516">
                  <c:v>37.75</c:v>
                </c:pt>
                <c:pt idx="517">
                  <c:v>37.47</c:v>
                </c:pt>
                <c:pt idx="518">
                  <c:v>37.909999999999997</c:v>
                </c:pt>
                <c:pt idx="519">
                  <c:v>38.68</c:v>
                </c:pt>
                <c:pt idx="520">
                  <c:v>37.96</c:v>
                </c:pt>
                <c:pt idx="521">
                  <c:v>38.15</c:v>
                </c:pt>
                <c:pt idx="522">
                  <c:v>37.729999999999997</c:v>
                </c:pt>
                <c:pt idx="523">
                  <c:v>37.729999999999997</c:v>
                </c:pt>
                <c:pt idx="524">
                  <c:v>37.76</c:v>
                </c:pt>
                <c:pt idx="525">
                  <c:v>37.799999999999997</c:v>
                </c:pt>
                <c:pt idx="526">
                  <c:v>37.9</c:v>
                </c:pt>
                <c:pt idx="527">
                  <c:v>37.94</c:v>
                </c:pt>
                <c:pt idx="528">
                  <c:v>38.69</c:v>
                </c:pt>
                <c:pt idx="529">
                  <c:v>37.729999999999997</c:v>
                </c:pt>
                <c:pt idx="530">
                  <c:v>37.51</c:v>
                </c:pt>
                <c:pt idx="531">
                  <c:v>36.81</c:v>
                </c:pt>
                <c:pt idx="532">
                  <c:v>36.78</c:v>
                </c:pt>
                <c:pt idx="533">
                  <c:v>36.53</c:v>
                </c:pt>
                <c:pt idx="534">
                  <c:v>36.26</c:v>
                </c:pt>
                <c:pt idx="535">
                  <c:v>36.369999999999997</c:v>
                </c:pt>
                <c:pt idx="536">
                  <c:v>36.340000000000003</c:v>
                </c:pt>
                <c:pt idx="537">
                  <c:v>36.67</c:v>
                </c:pt>
                <c:pt idx="538">
                  <c:v>37.450000000000003</c:v>
                </c:pt>
                <c:pt idx="539">
                  <c:v>38</c:v>
                </c:pt>
                <c:pt idx="540">
                  <c:v>37.200000000000003</c:v>
                </c:pt>
                <c:pt idx="541">
                  <c:v>37.07</c:v>
                </c:pt>
                <c:pt idx="542">
                  <c:v>36.71</c:v>
                </c:pt>
                <c:pt idx="543">
                  <c:v>36.880000000000003</c:v>
                </c:pt>
                <c:pt idx="544">
                  <c:v>37.06</c:v>
                </c:pt>
                <c:pt idx="545">
                  <c:v>36.93</c:v>
                </c:pt>
                <c:pt idx="546">
                  <c:v>37.119999999999997</c:v>
                </c:pt>
                <c:pt idx="547">
                  <c:v>37</c:v>
                </c:pt>
                <c:pt idx="548">
                  <c:v>37.04</c:v>
                </c:pt>
                <c:pt idx="549">
                  <c:v>36.51</c:v>
                </c:pt>
                <c:pt idx="550">
                  <c:v>36.49</c:v>
                </c:pt>
                <c:pt idx="551">
                  <c:v>36.520000000000003</c:v>
                </c:pt>
                <c:pt idx="552">
                  <c:v>37.200000000000003</c:v>
                </c:pt>
                <c:pt idx="553">
                  <c:v>36.32</c:v>
                </c:pt>
                <c:pt idx="554">
                  <c:v>35.75</c:v>
                </c:pt>
                <c:pt idx="555">
                  <c:v>35.590000000000003</c:v>
                </c:pt>
                <c:pt idx="556">
                  <c:v>35.92</c:v>
                </c:pt>
                <c:pt idx="557">
                  <c:v>36.46</c:v>
                </c:pt>
                <c:pt idx="558">
                  <c:v>36.94</c:v>
                </c:pt>
                <c:pt idx="559">
                  <c:v>36.99</c:v>
                </c:pt>
                <c:pt idx="560">
                  <c:v>36.130000000000003</c:v>
                </c:pt>
                <c:pt idx="561">
                  <c:v>35.94</c:v>
                </c:pt>
                <c:pt idx="562">
                  <c:v>35.6</c:v>
                </c:pt>
                <c:pt idx="563">
                  <c:v>35.479999999999997</c:v>
                </c:pt>
                <c:pt idx="564">
                  <c:v>35.54</c:v>
                </c:pt>
                <c:pt idx="565">
                  <c:v>35.75</c:v>
                </c:pt>
                <c:pt idx="566">
                  <c:v>35.94</c:v>
                </c:pt>
                <c:pt idx="567">
                  <c:v>36.11</c:v>
                </c:pt>
                <c:pt idx="568">
                  <c:v>36.46</c:v>
                </c:pt>
                <c:pt idx="569">
                  <c:v>35.200000000000003</c:v>
                </c:pt>
                <c:pt idx="570">
                  <c:v>35.32</c:v>
                </c:pt>
                <c:pt idx="571">
                  <c:v>34.64</c:v>
                </c:pt>
                <c:pt idx="572">
                  <c:v>35.39</c:v>
                </c:pt>
                <c:pt idx="573">
                  <c:v>35.15</c:v>
                </c:pt>
                <c:pt idx="574">
                  <c:v>34.96</c:v>
                </c:pt>
                <c:pt idx="575">
                  <c:v>34.880000000000003</c:v>
                </c:pt>
                <c:pt idx="576">
                  <c:v>34.909999999999997</c:v>
                </c:pt>
                <c:pt idx="577">
                  <c:v>35.65</c:v>
                </c:pt>
                <c:pt idx="578">
                  <c:v>35.299999999999997</c:v>
                </c:pt>
                <c:pt idx="579">
                  <c:v>34.89</c:v>
                </c:pt>
                <c:pt idx="580">
                  <c:v>34.54</c:v>
                </c:pt>
                <c:pt idx="581">
                  <c:v>33.81</c:v>
                </c:pt>
                <c:pt idx="582">
                  <c:v>33.42</c:v>
                </c:pt>
                <c:pt idx="583">
                  <c:v>33.07</c:v>
                </c:pt>
                <c:pt idx="584">
                  <c:v>33.81</c:v>
                </c:pt>
                <c:pt idx="585">
                  <c:v>33.82</c:v>
                </c:pt>
                <c:pt idx="586">
                  <c:v>33.97</c:v>
                </c:pt>
                <c:pt idx="587">
                  <c:v>34</c:v>
                </c:pt>
                <c:pt idx="588">
                  <c:v>33.99</c:v>
                </c:pt>
                <c:pt idx="589">
                  <c:v>33.75</c:v>
                </c:pt>
                <c:pt idx="590">
                  <c:v>33.75</c:v>
                </c:pt>
                <c:pt idx="591">
                  <c:v>33.74</c:v>
                </c:pt>
                <c:pt idx="592">
                  <c:v>33.369999999999997</c:v>
                </c:pt>
                <c:pt idx="593">
                  <c:v>32.56</c:v>
                </c:pt>
                <c:pt idx="594">
                  <c:v>33.44</c:v>
                </c:pt>
                <c:pt idx="595">
                  <c:v>34.21</c:v>
                </c:pt>
                <c:pt idx="596">
                  <c:v>34.07</c:v>
                </c:pt>
                <c:pt idx="597">
                  <c:v>32.97</c:v>
                </c:pt>
                <c:pt idx="598">
                  <c:v>33.31</c:v>
                </c:pt>
                <c:pt idx="599">
                  <c:v>33.659999999999997</c:v>
                </c:pt>
                <c:pt idx="600">
                  <c:v>33.92</c:v>
                </c:pt>
                <c:pt idx="601">
                  <c:v>33.54</c:v>
                </c:pt>
                <c:pt idx="602">
                  <c:v>32.950000000000003</c:v>
                </c:pt>
                <c:pt idx="603">
                  <c:v>32.9</c:v>
                </c:pt>
                <c:pt idx="604">
                  <c:v>32.799999999999997</c:v>
                </c:pt>
                <c:pt idx="605">
                  <c:v>32.67</c:v>
                </c:pt>
                <c:pt idx="606">
                  <c:v>33.409999999999997</c:v>
                </c:pt>
                <c:pt idx="607">
                  <c:v>32.840000000000003</c:v>
                </c:pt>
                <c:pt idx="608">
                  <c:v>33.18</c:v>
                </c:pt>
                <c:pt idx="609">
                  <c:v>33.200000000000003</c:v>
                </c:pt>
                <c:pt idx="610">
                  <c:v>32.6</c:v>
                </c:pt>
                <c:pt idx="611">
                  <c:v>32.909999999999997</c:v>
                </c:pt>
                <c:pt idx="612">
                  <c:v>32.119999999999997</c:v>
                </c:pt>
                <c:pt idx="613">
                  <c:v>33.14</c:v>
                </c:pt>
                <c:pt idx="614">
                  <c:v>33.28</c:v>
                </c:pt>
                <c:pt idx="615">
                  <c:v>33.17</c:v>
                </c:pt>
                <c:pt idx="616">
                  <c:v>33.46</c:v>
                </c:pt>
                <c:pt idx="617">
                  <c:v>32.5</c:v>
                </c:pt>
                <c:pt idx="618">
                  <c:v>31.67</c:v>
                </c:pt>
                <c:pt idx="619">
                  <c:v>31.83</c:v>
                </c:pt>
                <c:pt idx="620">
                  <c:v>31.73</c:v>
                </c:pt>
                <c:pt idx="621">
                  <c:v>31.25</c:v>
                </c:pt>
                <c:pt idx="622">
                  <c:v>31.47</c:v>
                </c:pt>
                <c:pt idx="623">
                  <c:v>31.53</c:v>
                </c:pt>
                <c:pt idx="624">
                  <c:v>31.26</c:v>
                </c:pt>
                <c:pt idx="625">
                  <c:v>30.88</c:v>
                </c:pt>
                <c:pt idx="626">
                  <c:v>30.7</c:v>
                </c:pt>
                <c:pt idx="627">
                  <c:v>29.47</c:v>
                </c:pt>
                <c:pt idx="628">
                  <c:v>29.97</c:v>
                </c:pt>
                <c:pt idx="629">
                  <c:v>28.77</c:v>
                </c:pt>
                <c:pt idx="630">
                  <c:v>28.19</c:v>
                </c:pt>
                <c:pt idx="631">
                  <c:v>26.46</c:v>
                </c:pt>
                <c:pt idx="632">
                  <c:v>26.56</c:v>
                </c:pt>
                <c:pt idx="633">
                  <c:v>26.78</c:v>
                </c:pt>
                <c:pt idx="634">
                  <c:v>26.44</c:v>
                </c:pt>
                <c:pt idx="635">
                  <c:v>25.92</c:v>
                </c:pt>
                <c:pt idx="636">
                  <c:v>25.63</c:v>
                </c:pt>
                <c:pt idx="637">
                  <c:v>26.24</c:v>
                </c:pt>
                <c:pt idx="638">
                  <c:v>26.33</c:v>
                </c:pt>
                <c:pt idx="639">
                  <c:v>26.2</c:v>
                </c:pt>
                <c:pt idx="640">
                  <c:v>25.99</c:v>
                </c:pt>
                <c:pt idx="641">
                  <c:v>26.94</c:v>
                </c:pt>
                <c:pt idx="642">
                  <c:v>26.5</c:v>
                </c:pt>
                <c:pt idx="643">
                  <c:v>26.14</c:v>
                </c:pt>
                <c:pt idx="644">
                  <c:v>26.57</c:v>
                </c:pt>
                <c:pt idx="645">
                  <c:v>26.91</c:v>
                </c:pt>
                <c:pt idx="646">
                  <c:v>26.64</c:v>
                </c:pt>
                <c:pt idx="647">
                  <c:v>26.55</c:v>
                </c:pt>
                <c:pt idx="648">
                  <c:v>26.42</c:v>
                </c:pt>
                <c:pt idx="649">
                  <c:v>26.08</c:v>
                </c:pt>
                <c:pt idx="650">
                  <c:v>26.54</c:v>
                </c:pt>
                <c:pt idx="651">
                  <c:v>26.13</c:v>
                </c:pt>
                <c:pt idx="652">
                  <c:v>27.04</c:v>
                </c:pt>
                <c:pt idx="653">
                  <c:v>27.29</c:v>
                </c:pt>
                <c:pt idx="654">
                  <c:v>27.81</c:v>
                </c:pt>
                <c:pt idx="655">
                  <c:v>27.6</c:v>
                </c:pt>
                <c:pt idx="656">
                  <c:v>28.34</c:v>
                </c:pt>
                <c:pt idx="657">
                  <c:v>28.58</c:v>
                </c:pt>
                <c:pt idx="658">
                  <c:v>29.06</c:v>
                </c:pt>
                <c:pt idx="659">
                  <c:v>28.34</c:v>
                </c:pt>
                <c:pt idx="660">
                  <c:v>27.98</c:v>
                </c:pt>
                <c:pt idx="661">
                  <c:v>28.16</c:v>
                </c:pt>
                <c:pt idx="662">
                  <c:v>27.82</c:v>
                </c:pt>
                <c:pt idx="663">
                  <c:v>27.87</c:v>
                </c:pt>
                <c:pt idx="664">
                  <c:v>28.28</c:v>
                </c:pt>
                <c:pt idx="665">
                  <c:v>27.42</c:v>
                </c:pt>
                <c:pt idx="666">
                  <c:v>27.29</c:v>
                </c:pt>
                <c:pt idx="667">
                  <c:v>27.67</c:v>
                </c:pt>
                <c:pt idx="668">
                  <c:v>28.22</c:v>
                </c:pt>
                <c:pt idx="669">
                  <c:v>29.49</c:v>
                </c:pt>
                <c:pt idx="670">
                  <c:v>29.9</c:v>
                </c:pt>
                <c:pt idx="671">
                  <c:v>30.68</c:v>
                </c:pt>
                <c:pt idx="672">
                  <c:v>30.47</c:v>
                </c:pt>
                <c:pt idx="673">
                  <c:v>30.38</c:v>
                </c:pt>
                <c:pt idx="674">
                  <c:v>30.07</c:v>
                </c:pt>
                <c:pt idx="675">
                  <c:v>29.65</c:v>
                </c:pt>
                <c:pt idx="676">
                  <c:v>28.98</c:v>
                </c:pt>
                <c:pt idx="677">
                  <c:v>28.59</c:v>
                </c:pt>
                <c:pt idx="678">
                  <c:v>27.45</c:v>
                </c:pt>
                <c:pt idx="679">
                  <c:v>27.66</c:v>
                </c:pt>
                <c:pt idx="680">
                  <c:v>27.89</c:v>
                </c:pt>
                <c:pt idx="681">
                  <c:v>27.8</c:v>
                </c:pt>
                <c:pt idx="682">
                  <c:v>27.98</c:v>
                </c:pt>
                <c:pt idx="683">
                  <c:v>27.9</c:v>
                </c:pt>
                <c:pt idx="684">
                  <c:v>28.06</c:v>
                </c:pt>
                <c:pt idx="685">
                  <c:v>28.21</c:v>
                </c:pt>
                <c:pt idx="686">
                  <c:v>28.52</c:v>
                </c:pt>
                <c:pt idx="687">
                  <c:v>28.87</c:v>
                </c:pt>
                <c:pt idx="688">
                  <c:v>29.24</c:v>
                </c:pt>
                <c:pt idx="689">
                  <c:v>30.02</c:v>
                </c:pt>
                <c:pt idx="690">
                  <c:v>29.3</c:v>
                </c:pt>
                <c:pt idx="691">
                  <c:v>28.9</c:v>
                </c:pt>
                <c:pt idx="692">
                  <c:v>28.87</c:v>
                </c:pt>
                <c:pt idx="693">
                  <c:v>28.87</c:v>
                </c:pt>
                <c:pt idx="694">
                  <c:v>29.58</c:v>
                </c:pt>
                <c:pt idx="695">
                  <c:v>28.95</c:v>
                </c:pt>
                <c:pt idx="696">
                  <c:v>29.13</c:v>
                </c:pt>
                <c:pt idx="697">
                  <c:v>28.44</c:v>
                </c:pt>
                <c:pt idx="698">
                  <c:v>28.51</c:v>
                </c:pt>
                <c:pt idx="699">
                  <c:v>28.3</c:v>
                </c:pt>
                <c:pt idx="700">
                  <c:v>27.71</c:v>
                </c:pt>
                <c:pt idx="701">
                  <c:v>27.41</c:v>
                </c:pt>
                <c:pt idx="702">
                  <c:v>26.12</c:v>
                </c:pt>
                <c:pt idx="703">
                  <c:v>26</c:v>
                </c:pt>
                <c:pt idx="704">
                  <c:v>26.41</c:v>
                </c:pt>
                <c:pt idx="705">
                  <c:v>27.12</c:v>
                </c:pt>
                <c:pt idx="706">
                  <c:v>26.84</c:v>
                </c:pt>
                <c:pt idx="707">
                  <c:v>25.83</c:v>
                </c:pt>
                <c:pt idx="708">
                  <c:v>26.8</c:v>
                </c:pt>
                <c:pt idx="709">
                  <c:v>26.76</c:v>
                </c:pt>
                <c:pt idx="710">
                  <c:v>27.23</c:v>
                </c:pt>
                <c:pt idx="711">
                  <c:v>27.5</c:v>
                </c:pt>
                <c:pt idx="712">
                  <c:v>27.37</c:v>
                </c:pt>
                <c:pt idx="713">
                  <c:v>27.81</c:v>
                </c:pt>
                <c:pt idx="714">
                  <c:v>27.64</c:v>
                </c:pt>
                <c:pt idx="715">
                  <c:v>27.07</c:v>
                </c:pt>
                <c:pt idx="716">
                  <c:v>27.51</c:v>
                </c:pt>
                <c:pt idx="717">
                  <c:v>26.74</c:v>
                </c:pt>
                <c:pt idx="718">
                  <c:v>25.91</c:v>
                </c:pt>
                <c:pt idx="719">
                  <c:v>25.73</c:v>
                </c:pt>
                <c:pt idx="720">
                  <c:v>26.24</c:v>
                </c:pt>
                <c:pt idx="721">
                  <c:v>27.15</c:v>
                </c:pt>
                <c:pt idx="722">
                  <c:v>27.37</c:v>
                </c:pt>
                <c:pt idx="723">
                  <c:v>27.2</c:v>
                </c:pt>
                <c:pt idx="724">
                  <c:v>28.83</c:v>
                </c:pt>
                <c:pt idx="725">
                  <c:v>29.33</c:v>
                </c:pt>
                <c:pt idx="726">
                  <c:v>29.95</c:v>
                </c:pt>
                <c:pt idx="727">
                  <c:v>28.7</c:v>
                </c:pt>
                <c:pt idx="728">
                  <c:v>28.2</c:v>
                </c:pt>
                <c:pt idx="729">
                  <c:v>28.67</c:v>
                </c:pt>
                <c:pt idx="730">
                  <c:v>28.02</c:v>
                </c:pt>
                <c:pt idx="731">
                  <c:v>28.8</c:v>
                </c:pt>
                <c:pt idx="732">
                  <c:v>30.47</c:v>
                </c:pt>
                <c:pt idx="733">
                  <c:v>29.61</c:v>
                </c:pt>
                <c:pt idx="734">
                  <c:v>29.28</c:v>
                </c:pt>
                <c:pt idx="735">
                  <c:v>29.34</c:v>
                </c:pt>
                <c:pt idx="736">
                  <c:v>29.36</c:v>
                </c:pt>
                <c:pt idx="737">
                  <c:v>29.59</c:v>
                </c:pt>
                <c:pt idx="738">
                  <c:v>28.78</c:v>
                </c:pt>
                <c:pt idx="739">
                  <c:v>28.82</c:v>
                </c:pt>
                <c:pt idx="740">
                  <c:v>28.84</c:v>
                </c:pt>
                <c:pt idx="741">
                  <c:v>29.05</c:v>
                </c:pt>
                <c:pt idx="742">
                  <c:v>28.4</c:v>
                </c:pt>
                <c:pt idx="743">
                  <c:v>28.41</c:v>
                </c:pt>
                <c:pt idx="744">
                  <c:v>28.3</c:v>
                </c:pt>
                <c:pt idx="745">
                  <c:v>28.66</c:v>
                </c:pt>
                <c:pt idx="746">
                  <c:v>28.68</c:v>
                </c:pt>
                <c:pt idx="747">
                  <c:v>27.89</c:v>
                </c:pt>
                <c:pt idx="748">
                  <c:v>27.55</c:v>
                </c:pt>
                <c:pt idx="749">
                  <c:v>27.01</c:v>
                </c:pt>
                <c:pt idx="750">
                  <c:v>27.4</c:v>
                </c:pt>
                <c:pt idx="751">
                  <c:v>27.36</c:v>
                </c:pt>
                <c:pt idx="752">
                  <c:v>27.5</c:v>
                </c:pt>
                <c:pt idx="753">
                  <c:v>28.83</c:v>
                </c:pt>
                <c:pt idx="754">
                  <c:v>28.49</c:v>
                </c:pt>
                <c:pt idx="755">
                  <c:v>29.64</c:v>
                </c:pt>
                <c:pt idx="756">
                  <c:v>29.79</c:v>
                </c:pt>
                <c:pt idx="757">
                  <c:v>29.42</c:v>
                </c:pt>
                <c:pt idx="758">
                  <c:v>29.11</c:v>
                </c:pt>
                <c:pt idx="759">
                  <c:v>29.08</c:v>
                </c:pt>
                <c:pt idx="760">
                  <c:v>28.41</c:v>
                </c:pt>
                <c:pt idx="761">
                  <c:v>28.4</c:v>
                </c:pt>
                <c:pt idx="762">
                  <c:v>28.76</c:v>
                </c:pt>
                <c:pt idx="763">
                  <c:v>28.82</c:v>
                </c:pt>
                <c:pt idx="764">
                  <c:v>28.4</c:v>
                </c:pt>
                <c:pt idx="765">
                  <c:v>27.99</c:v>
                </c:pt>
                <c:pt idx="766">
                  <c:v>27.91</c:v>
                </c:pt>
                <c:pt idx="767">
                  <c:v>28.09</c:v>
                </c:pt>
                <c:pt idx="768">
                  <c:v>27.3</c:v>
                </c:pt>
                <c:pt idx="769">
                  <c:v>27.28</c:v>
                </c:pt>
                <c:pt idx="770">
                  <c:v>27.64</c:v>
                </c:pt>
                <c:pt idx="771">
                  <c:v>28.31</c:v>
                </c:pt>
                <c:pt idx="772">
                  <c:v>28.49</c:v>
                </c:pt>
                <c:pt idx="773">
                  <c:v>27.98</c:v>
                </c:pt>
                <c:pt idx="774">
                  <c:v>27.49</c:v>
                </c:pt>
                <c:pt idx="775">
                  <c:v>27.29</c:v>
                </c:pt>
                <c:pt idx="776">
                  <c:v>26.23</c:v>
                </c:pt>
                <c:pt idx="777">
                  <c:v>26.18</c:v>
                </c:pt>
                <c:pt idx="778">
                  <c:v>25.86</c:v>
                </c:pt>
                <c:pt idx="779">
                  <c:v>25.99</c:v>
                </c:pt>
                <c:pt idx="780">
                  <c:v>26.49</c:v>
                </c:pt>
                <c:pt idx="781">
                  <c:v>26.14</c:v>
                </c:pt>
                <c:pt idx="782">
                  <c:v>27</c:v>
                </c:pt>
                <c:pt idx="783">
                  <c:v>25.61</c:v>
                </c:pt>
                <c:pt idx="784">
                  <c:v>25.64</c:v>
                </c:pt>
                <c:pt idx="785">
                  <c:v>26.52</c:v>
                </c:pt>
                <c:pt idx="786">
                  <c:v>26.92</c:v>
                </c:pt>
                <c:pt idx="787">
                  <c:v>27.7</c:v>
                </c:pt>
                <c:pt idx="788">
                  <c:v>28.49</c:v>
                </c:pt>
                <c:pt idx="789">
                  <c:v>28.29</c:v>
                </c:pt>
                <c:pt idx="790">
                  <c:v>28.34</c:v>
                </c:pt>
                <c:pt idx="791">
                  <c:v>29.42</c:v>
                </c:pt>
                <c:pt idx="792">
                  <c:v>30.77</c:v>
                </c:pt>
                <c:pt idx="793">
                  <c:v>30.02</c:v>
                </c:pt>
                <c:pt idx="794">
                  <c:v>28.8</c:v>
                </c:pt>
                <c:pt idx="795">
                  <c:v>28.74</c:v>
                </c:pt>
                <c:pt idx="796">
                  <c:v>28.43</c:v>
                </c:pt>
                <c:pt idx="797">
                  <c:v>28.4</c:v>
                </c:pt>
                <c:pt idx="798">
                  <c:v>29.14</c:v>
                </c:pt>
                <c:pt idx="799">
                  <c:v>30.33</c:v>
                </c:pt>
                <c:pt idx="800">
                  <c:v>29.88</c:v>
                </c:pt>
                <c:pt idx="801">
                  <c:v>30.19</c:v>
                </c:pt>
                <c:pt idx="802">
                  <c:v>30.16</c:v>
                </c:pt>
                <c:pt idx="803">
                  <c:v>30.38</c:v>
                </c:pt>
                <c:pt idx="804">
                  <c:v>30.68</c:v>
                </c:pt>
                <c:pt idx="805">
                  <c:v>30.24</c:v>
                </c:pt>
                <c:pt idx="806">
                  <c:v>30.71</c:v>
                </c:pt>
                <c:pt idx="807">
                  <c:v>31.1</c:v>
                </c:pt>
                <c:pt idx="808">
                  <c:v>31.63</c:v>
                </c:pt>
                <c:pt idx="809">
                  <c:v>30.41</c:v>
                </c:pt>
                <c:pt idx="810">
                  <c:v>29.6</c:v>
                </c:pt>
                <c:pt idx="811">
                  <c:v>28.74</c:v>
                </c:pt>
                <c:pt idx="812">
                  <c:v>29.6</c:v>
                </c:pt>
                <c:pt idx="813">
                  <c:v>29.62</c:v>
                </c:pt>
                <c:pt idx="814">
                  <c:v>29.8</c:v>
                </c:pt>
                <c:pt idx="815">
                  <c:v>29.57</c:v>
                </c:pt>
                <c:pt idx="816">
                  <c:v>29.37</c:v>
                </c:pt>
                <c:pt idx="817">
                  <c:v>30.67</c:v>
                </c:pt>
                <c:pt idx="818">
                  <c:v>29.91</c:v>
                </c:pt>
                <c:pt idx="819">
                  <c:v>29.91</c:v>
                </c:pt>
                <c:pt idx="820">
                  <c:v>29.62</c:v>
                </c:pt>
                <c:pt idx="821">
                  <c:v>30.8</c:v>
                </c:pt>
                <c:pt idx="822">
                  <c:v>30.52</c:v>
                </c:pt>
                <c:pt idx="823">
                  <c:v>30.56</c:v>
                </c:pt>
                <c:pt idx="824">
                  <c:v>30.64</c:v>
                </c:pt>
                <c:pt idx="825">
                  <c:v>30.49</c:v>
                </c:pt>
                <c:pt idx="826">
                  <c:v>30.76</c:v>
                </c:pt>
                <c:pt idx="827">
                  <c:v>31.16</c:v>
                </c:pt>
                <c:pt idx="828">
                  <c:v>31.69</c:v>
                </c:pt>
                <c:pt idx="829">
                  <c:v>31.55</c:v>
                </c:pt>
                <c:pt idx="830">
                  <c:v>31.76</c:v>
                </c:pt>
                <c:pt idx="831">
                  <c:v>31.38</c:v>
                </c:pt>
                <c:pt idx="832">
                  <c:v>30.99</c:v>
                </c:pt>
                <c:pt idx="833">
                  <c:v>31.39</c:v>
                </c:pt>
                <c:pt idx="834">
                  <c:v>31.22</c:v>
                </c:pt>
                <c:pt idx="835">
                  <c:v>31.01</c:v>
                </c:pt>
                <c:pt idx="836">
                  <c:v>31.11</c:v>
                </c:pt>
                <c:pt idx="837">
                  <c:v>30.94</c:v>
                </c:pt>
                <c:pt idx="838">
                  <c:v>31.17</c:v>
                </c:pt>
                <c:pt idx="839">
                  <c:v>31.14</c:v>
                </c:pt>
                <c:pt idx="840">
                  <c:v>31.29</c:v>
                </c:pt>
                <c:pt idx="841">
                  <c:v>31.14</c:v>
                </c:pt>
                <c:pt idx="842">
                  <c:v>30.76</c:v>
                </c:pt>
                <c:pt idx="843">
                  <c:v>30.53</c:v>
                </c:pt>
                <c:pt idx="844">
                  <c:v>29.65</c:v>
                </c:pt>
                <c:pt idx="845">
                  <c:v>29.41</c:v>
                </c:pt>
                <c:pt idx="846">
                  <c:v>30.02</c:v>
                </c:pt>
                <c:pt idx="847">
                  <c:v>30.51</c:v>
                </c:pt>
                <c:pt idx="848">
                  <c:v>30.49</c:v>
                </c:pt>
                <c:pt idx="849">
                  <c:v>30.47</c:v>
                </c:pt>
                <c:pt idx="850">
                  <c:v>30.67</c:v>
                </c:pt>
                <c:pt idx="851">
                  <c:v>31.26</c:v>
                </c:pt>
                <c:pt idx="852">
                  <c:v>31.64</c:v>
                </c:pt>
                <c:pt idx="853">
                  <c:v>31.85</c:v>
                </c:pt>
                <c:pt idx="854">
                  <c:v>31.98</c:v>
                </c:pt>
                <c:pt idx="855">
                  <c:v>32.270000000000003</c:v>
                </c:pt>
                <c:pt idx="856">
                  <c:v>32.96</c:v>
                </c:pt>
                <c:pt idx="857">
                  <c:v>32.69</c:v>
                </c:pt>
                <c:pt idx="858">
                  <c:v>33.67</c:v>
                </c:pt>
                <c:pt idx="859">
                  <c:v>33.39</c:v>
                </c:pt>
                <c:pt idx="860">
                  <c:v>32.229999999999997</c:v>
                </c:pt>
                <c:pt idx="861">
                  <c:v>31.39</c:v>
                </c:pt>
                <c:pt idx="862">
                  <c:v>31.56</c:v>
                </c:pt>
                <c:pt idx="863">
                  <c:v>31.64</c:v>
                </c:pt>
                <c:pt idx="864">
                  <c:v>31.65</c:v>
                </c:pt>
                <c:pt idx="865">
                  <c:v>31.33</c:v>
                </c:pt>
                <c:pt idx="866">
                  <c:v>31.2</c:v>
                </c:pt>
                <c:pt idx="867">
                  <c:v>31.99</c:v>
                </c:pt>
                <c:pt idx="868">
                  <c:v>31.95</c:v>
                </c:pt>
                <c:pt idx="869">
                  <c:v>31.68</c:v>
                </c:pt>
                <c:pt idx="870">
                  <c:v>31.7</c:v>
                </c:pt>
                <c:pt idx="871">
                  <c:v>32.340000000000003</c:v>
                </c:pt>
                <c:pt idx="872">
                  <c:v>32.229999999999997</c:v>
                </c:pt>
                <c:pt idx="873">
                  <c:v>32.159999999999997</c:v>
                </c:pt>
                <c:pt idx="874">
                  <c:v>32.35</c:v>
                </c:pt>
                <c:pt idx="875">
                  <c:v>32.270000000000003</c:v>
                </c:pt>
                <c:pt idx="876">
                  <c:v>31.93</c:v>
                </c:pt>
                <c:pt idx="877">
                  <c:v>32.28</c:v>
                </c:pt>
                <c:pt idx="878">
                  <c:v>32.57</c:v>
                </c:pt>
                <c:pt idx="879">
                  <c:v>33.119999999999997</c:v>
                </c:pt>
                <c:pt idx="880">
                  <c:v>33.07</c:v>
                </c:pt>
                <c:pt idx="881">
                  <c:v>33.33</c:v>
                </c:pt>
                <c:pt idx="882">
                  <c:v>33.130000000000003</c:v>
                </c:pt>
                <c:pt idx="883">
                  <c:v>32.979999999999997</c:v>
                </c:pt>
                <c:pt idx="884">
                  <c:v>33.159999999999997</c:v>
                </c:pt>
                <c:pt idx="885">
                  <c:v>32.840000000000003</c:v>
                </c:pt>
                <c:pt idx="886">
                  <c:v>32.82</c:v>
                </c:pt>
                <c:pt idx="887">
                  <c:v>32.76</c:v>
                </c:pt>
                <c:pt idx="888">
                  <c:v>33.08</c:v>
                </c:pt>
                <c:pt idx="889">
                  <c:v>32.69</c:v>
                </c:pt>
                <c:pt idx="890">
                  <c:v>33.15</c:v>
                </c:pt>
                <c:pt idx="891">
                  <c:v>33.26</c:v>
                </c:pt>
                <c:pt idx="892">
                  <c:v>32.6</c:v>
                </c:pt>
                <c:pt idx="893">
                  <c:v>32.53</c:v>
                </c:pt>
                <c:pt idx="894">
                  <c:v>32.78</c:v>
                </c:pt>
                <c:pt idx="895">
                  <c:v>32.69</c:v>
                </c:pt>
                <c:pt idx="896">
                  <c:v>32.549999999999997</c:v>
                </c:pt>
                <c:pt idx="897">
                  <c:v>33.58</c:v>
                </c:pt>
                <c:pt idx="898">
                  <c:v>33.67</c:v>
                </c:pt>
                <c:pt idx="899">
                  <c:v>33.99</c:v>
                </c:pt>
                <c:pt idx="900">
                  <c:v>33.049999999999997</c:v>
                </c:pt>
                <c:pt idx="901">
                  <c:v>33.159999999999997</c:v>
                </c:pt>
                <c:pt idx="902">
                  <c:v>33.549999999999997</c:v>
                </c:pt>
                <c:pt idx="903">
                  <c:v>33.56</c:v>
                </c:pt>
                <c:pt idx="904">
                  <c:v>33.99</c:v>
                </c:pt>
                <c:pt idx="905">
                  <c:v>34.74</c:v>
                </c:pt>
                <c:pt idx="906">
                  <c:v>35.01</c:v>
                </c:pt>
                <c:pt idx="907">
                  <c:v>36.04</c:v>
                </c:pt>
                <c:pt idx="908">
                  <c:v>37.28</c:v>
                </c:pt>
                <c:pt idx="909">
                  <c:v>35.96</c:v>
                </c:pt>
                <c:pt idx="910">
                  <c:v>35.24</c:v>
                </c:pt>
                <c:pt idx="911">
                  <c:v>34.57</c:v>
                </c:pt>
                <c:pt idx="912">
                  <c:v>34.01</c:v>
                </c:pt>
                <c:pt idx="913">
                  <c:v>33.71</c:v>
                </c:pt>
                <c:pt idx="914">
                  <c:v>33.56</c:v>
                </c:pt>
                <c:pt idx="915">
                  <c:v>33.869999999999997</c:v>
                </c:pt>
                <c:pt idx="916">
                  <c:v>33.83</c:v>
                </c:pt>
                <c:pt idx="917">
                  <c:v>34.200000000000003</c:v>
                </c:pt>
                <c:pt idx="918">
                  <c:v>34.549999999999997</c:v>
                </c:pt>
                <c:pt idx="919">
                  <c:v>34.36</c:v>
                </c:pt>
                <c:pt idx="920">
                  <c:v>35.47</c:v>
                </c:pt>
                <c:pt idx="921">
                  <c:v>34.590000000000003</c:v>
                </c:pt>
                <c:pt idx="922">
                  <c:v>34.5</c:v>
                </c:pt>
                <c:pt idx="923">
                  <c:v>34.020000000000003</c:v>
                </c:pt>
                <c:pt idx="924">
                  <c:v>33.99</c:v>
                </c:pt>
                <c:pt idx="925">
                  <c:v>33.369999999999997</c:v>
                </c:pt>
                <c:pt idx="926">
                  <c:v>33.85</c:v>
                </c:pt>
                <c:pt idx="927">
                  <c:v>33.97</c:v>
                </c:pt>
                <c:pt idx="928">
                  <c:v>33.85</c:v>
                </c:pt>
                <c:pt idx="929">
                  <c:v>34.07</c:v>
                </c:pt>
                <c:pt idx="930">
                  <c:v>33.83</c:v>
                </c:pt>
                <c:pt idx="931">
                  <c:v>32.369999999999997</c:v>
                </c:pt>
                <c:pt idx="932">
                  <c:v>32.15</c:v>
                </c:pt>
                <c:pt idx="933">
                  <c:v>32.04</c:v>
                </c:pt>
                <c:pt idx="934">
                  <c:v>31.54</c:v>
                </c:pt>
                <c:pt idx="935">
                  <c:v>31.25</c:v>
                </c:pt>
                <c:pt idx="936">
                  <c:v>31.84</c:v>
                </c:pt>
                <c:pt idx="937">
                  <c:v>31.66</c:v>
                </c:pt>
                <c:pt idx="938">
                  <c:v>31.28</c:v>
                </c:pt>
                <c:pt idx="939">
                  <c:v>31.35</c:v>
                </c:pt>
                <c:pt idx="940">
                  <c:v>31.98</c:v>
                </c:pt>
                <c:pt idx="941">
                  <c:v>32.01</c:v>
                </c:pt>
                <c:pt idx="942">
                  <c:v>32.229999999999997</c:v>
                </c:pt>
                <c:pt idx="943">
                  <c:v>32.630000000000003</c:v>
                </c:pt>
                <c:pt idx="944">
                  <c:v>32.799999999999997</c:v>
                </c:pt>
                <c:pt idx="945">
                  <c:v>32.880000000000003</c:v>
                </c:pt>
                <c:pt idx="946">
                  <c:v>33.619999999999997</c:v>
                </c:pt>
                <c:pt idx="947">
                  <c:v>32.82</c:v>
                </c:pt>
                <c:pt idx="948">
                  <c:v>32.68</c:v>
                </c:pt>
                <c:pt idx="949">
                  <c:v>32.229999999999997</c:v>
                </c:pt>
                <c:pt idx="950">
                  <c:v>32.049999999999997</c:v>
                </c:pt>
                <c:pt idx="951">
                  <c:v>32.26</c:v>
                </c:pt>
                <c:pt idx="952">
                  <c:v>33.200000000000003</c:v>
                </c:pt>
                <c:pt idx="953">
                  <c:v>33.22</c:v>
                </c:pt>
                <c:pt idx="954">
                  <c:v>33.270000000000003</c:v>
                </c:pt>
                <c:pt idx="955">
                  <c:v>33.24</c:v>
                </c:pt>
                <c:pt idx="956">
                  <c:v>33.82</c:v>
                </c:pt>
                <c:pt idx="957">
                  <c:v>34.299999999999997</c:v>
                </c:pt>
                <c:pt idx="958">
                  <c:v>35.35</c:v>
                </c:pt>
                <c:pt idx="959">
                  <c:v>35.35</c:v>
                </c:pt>
                <c:pt idx="960">
                  <c:v>35.04</c:v>
                </c:pt>
                <c:pt idx="961">
                  <c:v>35.04</c:v>
                </c:pt>
                <c:pt idx="962">
                  <c:v>35.020000000000003</c:v>
                </c:pt>
                <c:pt idx="963">
                  <c:v>35.19</c:v>
                </c:pt>
                <c:pt idx="964">
                  <c:v>35.369999999999997</c:v>
                </c:pt>
                <c:pt idx="965">
                  <c:v>35.01</c:v>
                </c:pt>
                <c:pt idx="966">
                  <c:v>35.61</c:v>
                </c:pt>
                <c:pt idx="967">
                  <c:v>35.22</c:v>
                </c:pt>
                <c:pt idx="968">
                  <c:v>35.340000000000003</c:v>
                </c:pt>
                <c:pt idx="969">
                  <c:v>35.22</c:v>
                </c:pt>
                <c:pt idx="970">
                  <c:v>35.5</c:v>
                </c:pt>
                <c:pt idx="971">
                  <c:v>36.090000000000003</c:v>
                </c:pt>
                <c:pt idx="972">
                  <c:v>35.71</c:v>
                </c:pt>
                <c:pt idx="973">
                  <c:v>36.549999999999997</c:v>
                </c:pt>
                <c:pt idx="974">
                  <c:v>36.61</c:v>
                </c:pt>
                <c:pt idx="975">
                  <c:v>37.090000000000003</c:v>
                </c:pt>
                <c:pt idx="976">
                  <c:v>37.01</c:v>
                </c:pt>
                <c:pt idx="977">
                  <c:v>37.07</c:v>
                </c:pt>
                <c:pt idx="978">
                  <c:v>36.72</c:v>
                </c:pt>
                <c:pt idx="979">
                  <c:v>36.76</c:v>
                </c:pt>
                <c:pt idx="980">
                  <c:v>36.880000000000003</c:v>
                </c:pt>
                <c:pt idx="981">
                  <c:v>37.380000000000003</c:v>
                </c:pt>
                <c:pt idx="982">
                  <c:v>35.770000000000003</c:v>
                </c:pt>
                <c:pt idx="983">
                  <c:v>36.1</c:v>
                </c:pt>
                <c:pt idx="984">
                  <c:v>36.04</c:v>
                </c:pt>
                <c:pt idx="985">
                  <c:v>36.03</c:v>
                </c:pt>
                <c:pt idx="986">
                  <c:v>36.07</c:v>
                </c:pt>
                <c:pt idx="987">
                  <c:v>35.950000000000003</c:v>
                </c:pt>
                <c:pt idx="988">
                  <c:v>35.590000000000003</c:v>
                </c:pt>
                <c:pt idx="989">
                  <c:v>35.33</c:v>
                </c:pt>
                <c:pt idx="990">
                  <c:v>35.049999999999997</c:v>
                </c:pt>
                <c:pt idx="991">
                  <c:v>35.1</c:v>
                </c:pt>
                <c:pt idx="992">
                  <c:v>35.4</c:v>
                </c:pt>
                <c:pt idx="993">
                  <c:v>35.770000000000003</c:v>
                </c:pt>
                <c:pt idx="994">
                  <c:v>35.299999999999997</c:v>
                </c:pt>
                <c:pt idx="995">
                  <c:v>35.549999999999997</c:v>
                </c:pt>
                <c:pt idx="996">
                  <c:v>35.270000000000003</c:v>
                </c:pt>
                <c:pt idx="997">
                  <c:v>35.15</c:v>
                </c:pt>
                <c:pt idx="998">
                  <c:v>34.9</c:v>
                </c:pt>
                <c:pt idx="999">
                  <c:v>35.119999999999997</c:v>
                </c:pt>
                <c:pt idx="1000">
                  <c:v>35.520000000000003</c:v>
                </c:pt>
                <c:pt idx="1001">
                  <c:v>35.61</c:v>
                </c:pt>
                <c:pt idx="1002">
                  <c:v>35.130000000000003</c:v>
                </c:pt>
                <c:pt idx="1003">
                  <c:v>35.090000000000003</c:v>
                </c:pt>
                <c:pt idx="1004">
                  <c:v>35.15</c:v>
                </c:pt>
                <c:pt idx="1005">
                  <c:v>35.270000000000003</c:v>
                </c:pt>
                <c:pt idx="1006">
                  <c:v>35.22</c:v>
                </c:pt>
                <c:pt idx="1007">
                  <c:v>35</c:v>
                </c:pt>
                <c:pt idx="1008">
                  <c:v>36.03</c:v>
                </c:pt>
                <c:pt idx="1009">
                  <c:v>35.909999999999997</c:v>
                </c:pt>
                <c:pt idx="1010">
                  <c:v>35.51</c:v>
                </c:pt>
                <c:pt idx="1011">
                  <c:v>36.340000000000003</c:v>
                </c:pt>
                <c:pt idx="1012">
                  <c:v>37.61</c:v>
                </c:pt>
                <c:pt idx="1013">
                  <c:v>37.44</c:v>
                </c:pt>
                <c:pt idx="1014">
                  <c:v>37.26</c:v>
                </c:pt>
                <c:pt idx="1015">
                  <c:v>36.39</c:v>
                </c:pt>
                <c:pt idx="1016">
                  <c:v>35.6</c:v>
                </c:pt>
                <c:pt idx="1017">
                  <c:v>35.99</c:v>
                </c:pt>
                <c:pt idx="1018">
                  <c:v>35.43</c:v>
                </c:pt>
                <c:pt idx="1019">
                  <c:v>35.61</c:v>
                </c:pt>
                <c:pt idx="1020">
                  <c:v>35.24</c:v>
                </c:pt>
                <c:pt idx="1021">
                  <c:v>35.25</c:v>
                </c:pt>
                <c:pt idx="1022">
                  <c:v>34.85</c:v>
                </c:pt>
                <c:pt idx="1023">
                  <c:v>35.15</c:v>
                </c:pt>
                <c:pt idx="1024">
                  <c:v>34.67</c:v>
                </c:pt>
                <c:pt idx="1025">
                  <c:v>34.6</c:v>
                </c:pt>
                <c:pt idx="1026">
                  <c:v>34.520000000000003</c:v>
                </c:pt>
                <c:pt idx="1027">
                  <c:v>34.93</c:v>
                </c:pt>
                <c:pt idx="1028">
                  <c:v>34.68</c:v>
                </c:pt>
                <c:pt idx="1029">
                  <c:v>34.479999999999997</c:v>
                </c:pt>
                <c:pt idx="1030">
                  <c:v>34.44</c:v>
                </c:pt>
                <c:pt idx="1031">
                  <c:v>34.53</c:v>
                </c:pt>
                <c:pt idx="1032">
                  <c:v>34.340000000000003</c:v>
                </c:pt>
                <c:pt idx="1033">
                  <c:v>34.450000000000003</c:v>
                </c:pt>
                <c:pt idx="1034">
                  <c:v>35.450000000000003</c:v>
                </c:pt>
                <c:pt idx="1035">
                  <c:v>35.65</c:v>
                </c:pt>
                <c:pt idx="1036">
                  <c:v>35.700000000000003</c:v>
                </c:pt>
                <c:pt idx="1037">
                  <c:v>35.86</c:v>
                </c:pt>
                <c:pt idx="1038">
                  <c:v>35.65</c:v>
                </c:pt>
                <c:pt idx="1039">
                  <c:v>34.36</c:v>
                </c:pt>
                <c:pt idx="1040">
                  <c:v>35.08</c:v>
                </c:pt>
                <c:pt idx="1041">
                  <c:v>35.01</c:v>
                </c:pt>
                <c:pt idx="1042">
                  <c:v>35.4</c:v>
                </c:pt>
                <c:pt idx="1043">
                  <c:v>35.01</c:v>
                </c:pt>
                <c:pt idx="1044">
                  <c:v>34.99</c:v>
                </c:pt>
                <c:pt idx="1045">
                  <c:v>34.19</c:v>
                </c:pt>
                <c:pt idx="1046">
                  <c:v>34.82</c:v>
                </c:pt>
                <c:pt idx="1047">
                  <c:v>34.14</c:v>
                </c:pt>
                <c:pt idx="1048">
                  <c:v>34.380000000000003</c:v>
                </c:pt>
                <c:pt idx="1049">
                  <c:v>33.450000000000003</c:v>
                </c:pt>
                <c:pt idx="1050">
                  <c:v>33.51</c:v>
                </c:pt>
                <c:pt idx="1051">
                  <c:v>33.54</c:v>
                </c:pt>
                <c:pt idx="1052">
                  <c:v>33.6</c:v>
                </c:pt>
                <c:pt idx="1053">
                  <c:v>34.590000000000003</c:v>
                </c:pt>
                <c:pt idx="1054">
                  <c:v>34.799999999999997</c:v>
                </c:pt>
                <c:pt idx="1055">
                  <c:v>34.880000000000003</c:v>
                </c:pt>
                <c:pt idx="1056">
                  <c:v>35.14</c:v>
                </c:pt>
                <c:pt idx="1057">
                  <c:v>34.92</c:v>
                </c:pt>
                <c:pt idx="1058">
                  <c:v>35.200000000000003</c:v>
                </c:pt>
                <c:pt idx="1059">
                  <c:v>35.54</c:v>
                </c:pt>
                <c:pt idx="1060">
                  <c:v>34.869999999999997</c:v>
                </c:pt>
                <c:pt idx="1061">
                  <c:v>36.18</c:v>
                </c:pt>
                <c:pt idx="1062">
                  <c:v>36.82</c:v>
                </c:pt>
                <c:pt idx="1063">
                  <c:v>35.22</c:v>
                </c:pt>
                <c:pt idx="1064">
                  <c:v>35.06</c:v>
                </c:pt>
                <c:pt idx="1065">
                  <c:v>35.840000000000003</c:v>
                </c:pt>
                <c:pt idx="1066">
                  <c:v>36.479999999999997</c:v>
                </c:pt>
                <c:pt idx="1067">
                  <c:v>36.020000000000003</c:v>
                </c:pt>
                <c:pt idx="1068">
                  <c:v>35.81</c:v>
                </c:pt>
                <c:pt idx="1069">
                  <c:v>36.659999999999997</c:v>
                </c:pt>
                <c:pt idx="1070">
                  <c:v>36.99</c:v>
                </c:pt>
                <c:pt idx="1071">
                  <c:v>37.49</c:v>
                </c:pt>
                <c:pt idx="1072">
                  <c:v>36.46</c:v>
                </c:pt>
                <c:pt idx="1073">
                  <c:v>35.82</c:v>
                </c:pt>
                <c:pt idx="1074">
                  <c:v>35.42</c:v>
                </c:pt>
                <c:pt idx="1075">
                  <c:v>35.42</c:v>
                </c:pt>
                <c:pt idx="1076">
                  <c:v>35.36</c:v>
                </c:pt>
                <c:pt idx="1077">
                  <c:v>36.03</c:v>
                </c:pt>
                <c:pt idx="1078">
                  <c:v>35.200000000000003</c:v>
                </c:pt>
                <c:pt idx="1079">
                  <c:v>35.14</c:v>
                </c:pt>
                <c:pt idx="1080">
                  <c:v>35.340000000000003</c:v>
                </c:pt>
                <c:pt idx="1081">
                  <c:v>35.07</c:v>
                </c:pt>
                <c:pt idx="1082">
                  <c:v>35.72</c:v>
                </c:pt>
                <c:pt idx="1083">
                  <c:v>35.81</c:v>
                </c:pt>
                <c:pt idx="1084">
                  <c:v>35.51</c:v>
                </c:pt>
                <c:pt idx="1085">
                  <c:v>35.28</c:v>
                </c:pt>
                <c:pt idx="1086">
                  <c:v>34.33</c:v>
                </c:pt>
                <c:pt idx="1087">
                  <c:v>34.119999999999997</c:v>
                </c:pt>
                <c:pt idx="1088">
                  <c:v>33.99</c:v>
                </c:pt>
                <c:pt idx="1089">
                  <c:v>33.979999999999997</c:v>
                </c:pt>
                <c:pt idx="1090">
                  <c:v>34.229999999999997</c:v>
                </c:pt>
                <c:pt idx="1091">
                  <c:v>33.450000000000003</c:v>
                </c:pt>
                <c:pt idx="1092">
                  <c:v>32.950000000000003</c:v>
                </c:pt>
                <c:pt idx="1093">
                  <c:v>33.229999999999997</c:v>
                </c:pt>
                <c:pt idx="1094">
                  <c:v>32.33</c:v>
                </c:pt>
                <c:pt idx="1095">
                  <c:v>32.450000000000003</c:v>
                </c:pt>
                <c:pt idx="1096">
                  <c:v>32.81</c:v>
                </c:pt>
                <c:pt idx="1097">
                  <c:v>31.9</c:v>
                </c:pt>
                <c:pt idx="1098">
                  <c:v>32.25</c:v>
                </c:pt>
                <c:pt idx="1099">
                  <c:v>33.119999999999997</c:v>
                </c:pt>
                <c:pt idx="1100">
                  <c:v>33.03</c:v>
                </c:pt>
                <c:pt idx="1101">
                  <c:v>32.770000000000003</c:v>
                </c:pt>
                <c:pt idx="1102">
                  <c:v>33</c:v>
                </c:pt>
                <c:pt idx="1103">
                  <c:v>33.17</c:v>
                </c:pt>
                <c:pt idx="1104">
                  <c:v>33.42</c:v>
                </c:pt>
                <c:pt idx="1105">
                  <c:v>33.17</c:v>
                </c:pt>
                <c:pt idx="1106">
                  <c:v>33.659999999999997</c:v>
                </c:pt>
                <c:pt idx="1107">
                  <c:v>34.43</c:v>
                </c:pt>
                <c:pt idx="1108">
                  <c:v>33.75</c:v>
                </c:pt>
                <c:pt idx="1109">
                  <c:v>32.25</c:v>
                </c:pt>
                <c:pt idx="1110">
                  <c:v>32.06</c:v>
                </c:pt>
                <c:pt idx="1111">
                  <c:v>33.25</c:v>
                </c:pt>
                <c:pt idx="1112">
                  <c:v>33.380000000000003</c:v>
                </c:pt>
                <c:pt idx="1113">
                  <c:v>33.71</c:v>
                </c:pt>
                <c:pt idx="1114">
                  <c:v>33.549999999999997</c:v>
                </c:pt>
                <c:pt idx="1115">
                  <c:v>33.57</c:v>
                </c:pt>
                <c:pt idx="1116">
                  <c:v>33.74</c:v>
                </c:pt>
                <c:pt idx="1117">
                  <c:v>32.94</c:v>
                </c:pt>
                <c:pt idx="1118">
                  <c:v>32.75</c:v>
                </c:pt>
                <c:pt idx="1119">
                  <c:v>32.81</c:v>
                </c:pt>
                <c:pt idx="1120">
                  <c:v>32.57</c:v>
                </c:pt>
                <c:pt idx="1121">
                  <c:v>32.46</c:v>
                </c:pt>
                <c:pt idx="1122">
                  <c:v>33.14</c:v>
                </c:pt>
                <c:pt idx="1123">
                  <c:v>31.49</c:v>
                </c:pt>
                <c:pt idx="1124">
                  <c:v>31.14</c:v>
                </c:pt>
                <c:pt idx="1125">
                  <c:v>31.82</c:v>
                </c:pt>
                <c:pt idx="1126">
                  <c:v>32.22</c:v>
                </c:pt>
                <c:pt idx="1127">
                  <c:v>31.76</c:v>
                </c:pt>
                <c:pt idx="1128">
                  <c:v>31.47</c:v>
                </c:pt>
                <c:pt idx="1129">
                  <c:v>31.53</c:v>
                </c:pt>
                <c:pt idx="1130">
                  <c:v>32.46</c:v>
                </c:pt>
                <c:pt idx="1131">
                  <c:v>32.75</c:v>
                </c:pt>
                <c:pt idx="1132">
                  <c:v>33.200000000000003</c:v>
                </c:pt>
                <c:pt idx="1133">
                  <c:v>33.49</c:v>
                </c:pt>
                <c:pt idx="1134">
                  <c:v>33.450000000000003</c:v>
                </c:pt>
                <c:pt idx="1135">
                  <c:v>33.19</c:v>
                </c:pt>
                <c:pt idx="1136">
                  <c:v>34.08</c:v>
                </c:pt>
                <c:pt idx="1137">
                  <c:v>34.049999999999997</c:v>
                </c:pt>
                <c:pt idx="1138">
                  <c:v>34.67</c:v>
                </c:pt>
                <c:pt idx="1139">
                  <c:v>34.04</c:v>
                </c:pt>
                <c:pt idx="1140">
                  <c:v>33.97</c:v>
                </c:pt>
                <c:pt idx="1141">
                  <c:v>33.56</c:v>
                </c:pt>
                <c:pt idx="1142">
                  <c:v>33.9</c:v>
                </c:pt>
                <c:pt idx="1143">
                  <c:v>34.14</c:v>
                </c:pt>
                <c:pt idx="1144">
                  <c:v>34.58</c:v>
                </c:pt>
                <c:pt idx="1145">
                  <c:v>35.58</c:v>
                </c:pt>
                <c:pt idx="1146">
                  <c:v>34.14</c:v>
                </c:pt>
                <c:pt idx="1147">
                  <c:v>34.36</c:v>
                </c:pt>
                <c:pt idx="1148">
                  <c:v>34.67</c:v>
                </c:pt>
                <c:pt idx="1149">
                  <c:v>34.1</c:v>
                </c:pt>
                <c:pt idx="1150">
                  <c:v>34.270000000000003</c:v>
                </c:pt>
                <c:pt idx="1151">
                  <c:v>35.1</c:v>
                </c:pt>
                <c:pt idx="1152">
                  <c:v>35.21</c:v>
                </c:pt>
                <c:pt idx="1153">
                  <c:v>35.22</c:v>
                </c:pt>
                <c:pt idx="1154">
                  <c:v>34.58</c:v>
                </c:pt>
                <c:pt idx="1155">
                  <c:v>35.07</c:v>
                </c:pt>
                <c:pt idx="1156">
                  <c:v>34.72</c:v>
                </c:pt>
                <c:pt idx="1157">
                  <c:v>34.659999999999997</c:v>
                </c:pt>
                <c:pt idx="1158">
                  <c:v>34.76</c:v>
                </c:pt>
                <c:pt idx="1159">
                  <c:v>34.18</c:v>
                </c:pt>
                <c:pt idx="1160">
                  <c:v>35.020000000000003</c:v>
                </c:pt>
                <c:pt idx="1161">
                  <c:v>34.64</c:v>
                </c:pt>
                <c:pt idx="1162">
                  <c:v>34.89</c:v>
                </c:pt>
                <c:pt idx="1163">
                  <c:v>35.979999999999997</c:v>
                </c:pt>
                <c:pt idx="1164">
                  <c:v>34.619999999999997</c:v>
                </c:pt>
                <c:pt idx="1165">
                  <c:v>35.5</c:v>
                </c:pt>
                <c:pt idx="1166">
                  <c:v>35</c:v>
                </c:pt>
                <c:pt idx="1167">
                  <c:v>35.51</c:v>
                </c:pt>
                <c:pt idx="1168">
                  <c:v>34.97</c:v>
                </c:pt>
                <c:pt idx="1169">
                  <c:v>35.96</c:v>
                </c:pt>
                <c:pt idx="1170">
                  <c:v>37.159999999999997</c:v>
                </c:pt>
                <c:pt idx="1171">
                  <c:v>36.74</c:v>
                </c:pt>
                <c:pt idx="1172">
                  <c:v>35.159999999999997</c:v>
                </c:pt>
                <c:pt idx="1173">
                  <c:v>35.65</c:v>
                </c:pt>
                <c:pt idx="1174">
                  <c:v>35.99</c:v>
                </c:pt>
                <c:pt idx="1175">
                  <c:v>36.53</c:v>
                </c:pt>
                <c:pt idx="1176">
                  <c:v>37.53</c:v>
                </c:pt>
                <c:pt idx="1177">
                  <c:v>37.08</c:v>
                </c:pt>
                <c:pt idx="1178">
                  <c:v>37.729999999999997</c:v>
                </c:pt>
                <c:pt idx="1179">
                  <c:v>37.880000000000003</c:v>
                </c:pt>
                <c:pt idx="1180">
                  <c:v>37.28</c:v>
                </c:pt>
                <c:pt idx="1181">
                  <c:v>36.909999999999997</c:v>
                </c:pt>
                <c:pt idx="1182">
                  <c:v>37.25</c:v>
                </c:pt>
                <c:pt idx="1183">
                  <c:v>37.17</c:v>
                </c:pt>
                <c:pt idx="1184">
                  <c:v>36.85</c:v>
                </c:pt>
                <c:pt idx="1185">
                  <c:v>36.92</c:v>
                </c:pt>
                <c:pt idx="1186">
                  <c:v>36.24</c:v>
                </c:pt>
                <c:pt idx="1187">
                  <c:v>36.200000000000003</c:v>
                </c:pt>
                <c:pt idx="1188">
                  <c:v>35.840000000000003</c:v>
                </c:pt>
                <c:pt idx="1189">
                  <c:v>36.25</c:v>
                </c:pt>
                <c:pt idx="1190">
                  <c:v>35.93</c:v>
                </c:pt>
                <c:pt idx="1191">
                  <c:v>36.590000000000003</c:v>
                </c:pt>
                <c:pt idx="1192">
                  <c:v>36.15</c:v>
                </c:pt>
                <c:pt idx="1193">
                  <c:v>36.42</c:v>
                </c:pt>
                <c:pt idx="1194">
                  <c:v>35.68</c:v>
                </c:pt>
                <c:pt idx="1195">
                  <c:v>35.909999999999997</c:v>
                </c:pt>
                <c:pt idx="1196">
                  <c:v>36.22</c:v>
                </c:pt>
                <c:pt idx="1197">
                  <c:v>36.119999999999997</c:v>
                </c:pt>
                <c:pt idx="1198">
                  <c:v>35.270000000000003</c:v>
                </c:pt>
                <c:pt idx="1199">
                  <c:v>34.31</c:v>
                </c:pt>
                <c:pt idx="1200">
                  <c:v>34.049999999999997</c:v>
                </c:pt>
                <c:pt idx="1201">
                  <c:v>33.79</c:v>
                </c:pt>
                <c:pt idx="1202">
                  <c:v>33.909999999999997</c:v>
                </c:pt>
                <c:pt idx="1203">
                  <c:v>34.200000000000003</c:v>
                </c:pt>
                <c:pt idx="1204">
                  <c:v>32.909999999999997</c:v>
                </c:pt>
                <c:pt idx="1205">
                  <c:v>32.76</c:v>
                </c:pt>
                <c:pt idx="1206">
                  <c:v>34.159999999999997</c:v>
                </c:pt>
                <c:pt idx="1207">
                  <c:v>34.47</c:v>
                </c:pt>
                <c:pt idx="1208">
                  <c:v>34.49</c:v>
                </c:pt>
                <c:pt idx="1209">
                  <c:v>35.270000000000003</c:v>
                </c:pt>
                <c:pt idx="1210">
                  <c:v>35.56</c:v>
                </c:pt>
                <c:pt idx="1211">
                  <c:v>35.33</c:v>
                </c:pt>
                <c:pt idx="1212">
                  <c:v>35.619999999999997</c:v>
                </c:pt>
                <c:pt idx="1213">
                  <c:v>35.700000000000003</c:v>
                </c:pt>
                <c:pt idx="1214">
                  <c:v>35.68</c:v>
                </c:pt>
                <c:pt idx="1215">
                  <c:v>35.15</c:v>
                </c:pt>
                <c:pt idx="1216">
                  <c:v>35.880000000000003</c:v>
                </c:pt>
                <c:pt idx="1217">
                  <c:v>34.869999999999997</c:v>
                </c:pt>
                <c:pt idx="1218">
                  <c:v>34.96</c:v>
                </c:pt>
                <c:pt idx="1219">
                  <c:v>34.74</c:v>
                </c:pt>
                <c:pt idx="1220">
                  <c:v>35.26</c:v>
                </c:pt>
                <c:pt idx="1221">
                  <c:v>34.44</c:v>
                </c:pt>
                <c:pt idx="1222">
                  <c:v>34.39</c:v>
                </c:pt>
                <c:pt idx="1223">
                  <c:v>34.799999999999997</c:v>
                </c:pt>
                <c:pt idx="1224">
                  <c:v>34.72</c:v>
                </c:pt>
                <c:pt idx="1225">
                  <c:v>33.79</c:v>
                </c:pt>
                <c:pt idx="1226">
                  <c:v>34.25</c:v>
                </c:pt>
                <c:pt idx="1227">
                  <c:v>34.28</c:v>
                </c:pt>
                <c:pt idx="1228">
                  <c:v>33.68</c:v>
                </c:pt>
                <c:pt idx="1229">
                  <c:v>33.53</c:v>
                </c:pt>
                <c:pt idx="1230">
                  <c:v>35.26</c:v>
                </c:pt>
                <c:pt idx="1231">
                  <c:v>35.44</c:v>
                </c:pt>
                <c:pt idx="1232">
                  <c:v>36.86</c:v>
                </c:pt>
                <c:pt idx="1233">
                  <c:v>36.53</c:v>
                </c:pt>
                <c:pt idx="1234">
                  <c:v>35.32</c:v>
                </c:pt>
                <c:pt idx="1235">
                  <c:v>36.53</c:v>
                </c:pt>
                <c:pt idx="1236">
                  <c:v>35.130000000000003</c:v>
                </c:pt>
                <c:pt idx="1237">
                  <c:v>33.89</c:v>
                </c:pt>
                <c:pt idx="1238">
                  <c:v>34.42</c:v>
                </c:pt>
                <c:pt idx="1239">
                  <c:v>35.61</c:v>
                </c:pt>
                <c:pt idx="1240">
                  <c:v>35.049999999999997</c:v>
                </c:pt>
                <c:pt idx="1241">
                  <c:v>33.67</c:v>
                </c:pt>
                <c:pt idx="1242">
                  <c:v>33</c:v>
                </c:pt>
                <c:pt idx="1243">
                  <c:v>33.18</c:v>
                </c:pt>
                <c:pt idx="1244">
                  <c:v>33.880000000000003</c:v>
                </c:pt>
                <c:pt idx="1245">
                  <c:v>34.58</c:v>
                </c:pt>
                <c:pt idx="1246">
                  <c:v>34.14</c:v>
                </c:pt>
                <c:pt idx="1247">
                  <c:v>35.61</c:v>
                </c:pt>
                <c:pt idx="1248">
                  <c:v>35.19</c:v>
                </c:pt>
                <c:pt idx="1249">
                  <c:v>34.799999999999997</c:v>
                </c:pt>
                <c:pt idx="1250">
                  <c:v>34.74</c:v>
                </c:pt>
                <c:pt idx="1251">
                  <c:v>34.69</c:v>
                </c:pt>
                <c:pt idx="1252">
                  <c:v>34.5</c:v>
                </c:pt>
                <c:pt idx="1253">
                  <c:v>34.51</c:v>
                </c:pt>
                <c:pt idx="1254">
                  <c:v>34.479999999999997</c:v>
                </c:pt>
                <c:pt idx="1255">
                  <c:v>34.6</c:v>
                </c:pt>
                <c:pt idx="1256">
                  <c:v>34.76</c:v>
                </c:pt>
                <c:pt idx="1257">
                  <c:v>34.409999999999997</c:v>
                </c:pt>
                <c:pt idx="1258">
                  <c:v>34.04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7-41F3-8063-1F3004EC4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55215"/>
        <c:axId val="450442255"/>
      </c:lineChart>
      <c:catAx>
        <c:axId val="45045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42255"/>
        <c:crosses val="autoZero"/>
        <c:auto val="1"/>
        <c:lblAlgn val="ctr"/>
        <c:lblOffset val="100"/>
        <c:noMultiLvlLbl val="0"/>
      </c:catAx>
      <c:valAx>
        <c:axId val="4504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5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último</a:t>
            </a:r>
            <a:r>
              <a:rPr lang="en-US" baseline="0"/>
              <a:t>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KIMBERA!$B$1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KIMBERA!$A$2:$A$252</c:f>
              <c:strCache>
                <c:ptCount val="251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  <c:pt idx="20">
                  <c:v>31.03.2025</c:v>
                </c:pt>
                <c:pt idx="21">
                  <c:v>28.03.2025</c:v>
                </c:pt>
                <c:pt idx="22">
                  <c:v>27.03.2025</c:v>
                </c:pt>
                <c:pt idx="23">
                  <c:v>26.03.2025</c:v>
                </c:pt>
                <c:pt idx="24">
                  <c:v>25.03.2025</c:v>
                </c:pt>
                <c:pt idx="25">
                  <c:v>24.03.2025</c:v>
                </c:pt>
                <c:pt idx="26">
                  <c:v>21.03.2025</c:v>
                </c:pt>
                <c:pt idx="27">
                  <c:v>20.03.2025</c:v>
                </c:pt>
                <c:pt idx="28">
                  <c:v>19.03.2025</c:v>
                </c:pt>
                <c:pt idx="29">
                  <c:v>18.03.2025</c:v>
                </c:pt>
                <c:pt idx="30">
                  <c:v>14.03.2025</c:v>
                </c:pt>
                <c:pt idx="31">
                  <c:v>13.03.2025</c:v>
                </c:pt>
                <c:pt idx="32">
                  <c:v>12.03.2025</c:v>
                </c:pt>
                <c:pt idx="33">
                  <c:v>11.03.2025</c:v>
                </c:pt>
                <c:pt idx="34">
                  <c:v>10.03.2025</c:v>
                </c:pt>
                <c:pt idx="35">
                  <c:v>07.03.2025</c:v>
                </c:pt>
                <c:pt idx="36">
                  <c:v>06.03.2025</c:v>
                </c:pt>
                <c:pt idx="37">
                  <c:v>05.03.2025</c:v>
                </c:pt>
                <c:pt idx="38">
                  <c:v>04.03.2025</c:v>
                </c:pt>
                <c:pt idx="39">
                  <c:v>03.03.2025</c:v>
                </c:pt>
                <c:pt idx="40">
                  <c:v>28.02.2025</c:v>
                </c:pt>
                <c:pt idx="41">
                  <c:v>27.02.2025</c:v>
                </c:pt>
                <c:pt idx="42">
                  <c:v>26.02.2025</c:v>
                </c:pt>
                <c:pt idx="43">
                  <c:v>25.02.2025</c:v>
                </c:pt>
                <c:pt idx="44">
                  <c:v>24.02.2025</c:v>
                </c:pt>
                <c:pt idx="45">
                  <c:v>21.02.2025</c:v>
                </c:pt>
                <c:pt idx="46">
                  <c:v>20.02.2025</c:v>
                </c:pt>
                <c:pt idx="47">
                  <c:v>19.02.2025</c:v>
                </c:pt>
                <c:pt idx="48">
                  <c:v>18.02.2025</c:v>
                </c:pt>
                <c:pt idx="49">
                  <c:v>17.02.2025</c:v>
                </c:pt>
                <c:pt idx="50">
                  <c:v>14.02.2025</c:v>
                </c:pt>
                <c:pt idx="51">
                  <c:v>13.02.2025</c:v>
                </c:pt>
                <c:pt idx="52">
                  <c:v>12.02.2025</c:v>
                </c:pt>
                <c:pt idx="53">
                  <c:v>11.02.2025</c:v>
                </c:pt>
                <c:pt idx="54">
                  <c:v>10.02.2025</c:v>
                </c:pt>
                <c:pt idx="55">
                  <c:v>07.02.2025</c:v>
                </c:pt>
                <c:pt idx="56">
                  <c:v>06.02.2025</c:v>
                </c:pt>
                <c:pt idx="57">
                  <c:v>05.02.2025</c:v>
                </c:pt>
                <c:pt idx="58">
                  <c:v>04.02.2025</c:v>
                </c:pt>
                <c:pt idx="59">
                  <c:v>31.01.2025</c:v>
                </c:pt>
                <c:pt idx="60">
                  <c:v>30.01.2025</c:v>
                </c:pt>
                <c:pt idx="61">
                  <c:v>29.01.2025</c:v>
                </c:pt>
                <c:pt idx="62">
                  <c:v>28.01.2025</c:v>
                </c:pt>
                <c:pt idx="63">
                  <c:v>27.01.2025</c:v>
                </c:pt>
                <c:pt idx="64">
                  <c:v>24.01.2025</c:v>
                </c:pt>
                <c:pt idx="65">
                  <c:v>23.01.2025</c:v>
                </c:pt>
                <c:pt idx="66">
                  <c:v>22.01.2025</c:v>
                </c:pt>
                <c:pt idx="67">
                  <c:v>21.01.2025</c:v>
                </c:pt>
                <c:pt idx="68">
                  <c:v>20.01.2025</c:v>
                </c:pt>
                <c:pt idx="69">
                  <c:v>17.01.2025</c:v>
                </c:pt>
                <c:pt idx="70">
                  <c:v>16.01.2025</c:v>
                </c:pt>
                <c:pt idx="71">
                  <c:v>15.01.2025</c:v>
                </c:pt>
                <c:pt idx="72">
                  <c:v>14.01.2025</c:v>
                </c:pt>
                <c:pt idx="73">
                  <c:v>13.01.2025</c:v>
                </c:pt>
                <c:pt idx="74">
                  <c:v>10.01.2025</c:v>
                </c:pt>
                <c:pt idx="75">
                  <c:v>09.01.2025</c:v>
                </c:pt>
                <c:pt idx="76">
                  <c:v>08.01.2025</c:v>
                </c:pt>
                <c:pt idx="77">
                  <c:v>07.01.2025</c:v>
                </c:pt>
                <c:pt idx="78">
                  <c:v>06.01.2025</c:v>
                </c:pt>
                <c:pt idx="79">
                  <c:v>03.01.2025</c:v>
                </c:pt>
                <c:pt idx="80">
                  <c:v>02.01.2025</c:v>
                </c:pt>
                <c:pt idx="81">
                  <c:v>31.12.2024</c:v>
                </c:pt>
                <c:pt idx="82">
                  <c:v>30.12.2024</c:v>
                </c:pt>
                <c:pt idx="83">
                  <c:v>27.12.2024</c:v>
                </c:pt>
                <c:pt idx="84">
                  <c:v>26.12.2024</c:v>
                </c:pt>
                <c:pt idx="85">
                  <c:v>24.12.2024</c:v>
                </c:pt>
                <c:pt idx="86">
                  <c:v>23.12.2024</c:v>
                </c:pt>
                <c:pt idx="87">
                  <c:v>20.12.2024</c:v>
                </c:pt>
                <c:pt idx="88">
                  <c:v>19.12.2024</c:v>
                </c:pt>
                <c:pt idx="89">
                  <c:v>18.12.2024</c:v>
                </c:pt>
                <c:pt idx="90">
                  <c:v>17.12.2024</c:v>
                </c:pt>
                <c:pt idx="91">
                  <c:v>16.12.2024</c:v>
                </c:pt>
                <c:pt idx="92">
                  <c:v>13.12.2024</c:v>
                </c:pt>
                <c:pt idx="93">
                  <c:v>11.12.2024</c:v>
                </c:pt>
                <c:pt idx="94">
                  <c:v>10.12.2024</c:v>
                </c:pt>
                <c:pt idx="95">
                  <c:v>09.12.2024</c:v>
                </c:pt>
                <c:pt idx="96">
                  <c:v>06.12.2024</c:v>
                </c:pt>
                <c:pt idx="97">
                  <c:v>05.12.2024</c:v>
                </c:pt>
                <c:pt idx="98">
                  <c:v>04.12.2024</c:v>
                </c:pt>
                <c:pt idx="99">
                  <c:v>03.12.2024</c:v>
                </c:pt>
                <c:pt idx="100">
                  <c:v>02.12.2024</c:v>
                </c:pt>
                <c:pt idx="101">
                  <c:v>29.11.2024</c:v>
                </c:pt>
                <c:pt idx="102">
                  <c:v>28.11.2024</c:v>
                </c:pt>
                <c:pt idx="103">
                  <c:v>27.11.2024</c:v>
                </c:pt>
                <c:pt idx="104">
                  <c:v>26.11.2024</c:v>
                </c:pt>
                <c:pt idx="105">
                  <c:v>25.11.2024</c:v>
                </c:pt>
                <c:pt idx="106">
                  <c:v>22.11.2024</c:v>
                </c:pt>
                <c:pt idx="107">
                  <c:v>21.11.2024</c:v>
                </c:pt>
                <c:pt idx="108">
                  <c:v>20.11.2024</c:v>
                </c:pt>
                <c:pt idx="109">
                  <c:v>19.11.2024</c:v>
                </c:pt>
                <c:pt idx="110">
                  <c:v>15.11.2024</c:v>
                </c:pt>
                <c:pt idx="111">
                  <c:v>14.11.2024</c:v>
                </c:pt>
                <c:pt idx="112">
                  <c:v>13.11.2024</c:v>
                </c:pt>
                <c:pt idx="113">
                  <c:v>12.11.2024</c:v>
                </c:pt>
                <c:pt idx="114">
                  <c:v>11.11.2024</c:v>
                </c:pt>
                <c:pt idx="115">
                  <c:v>08.11.2024</c:v>
                </c:pt>
                <c:pt idx="116">
                  <c:v>07.11.2024</c:v>
                </c:pt>
                <c:pt idx="117">
                  <c:v>06.11.2024</c:v>
                </c:pt>
                <c:pt idx="118">
                  <c:v>05.11.2024</c:v>
                </c:pt>
                <c:pt idx="119">
                  <c:v>04.11.2024</c:v>
                </c:pt>
                <c:pt idx="120">
                  <c:v>01.11.2024</c:v>
                </c:pt>
                <c:pt idx="121">
                  <c:v>31.10.2024</c:v>
                </c:pt>
                <c:pt idx="122">
                  <c:v>30.10.2024</c:v>
                </c:pt>
                <c:pt idx="123">
                  <c:v>29.10.2024</c:v>
                </c:pt>
                <c:pt idx="124">
                  <c:v>28.10.2024</c:v>
                </c:pt>
                <c:pt idx="125">
                  <c:v>25.10.2024</c:v>
                </c:pt>
                <c:pt idx="126">
                  <c:v>24.10.2024</c:v>
                </c:pt>
                <c:pt idx="127">
                  <c:v>23.10.2024</c:v>
                </c:pt>
                <c:pt idx="128">
                  <c:v>22.10.2024</c:v>
                </c:pt>
                <c:pt idx="129">
                  <c:v>21.10.2024</c:v>
                </c:pt>
                <c:pt idx="130">
                  <c:v>18.10.2024</c:v>
                </c:pt>
                <c:pt idx="131">
                  <c:v>17.10.2024</c:v>
                </c:pt>
                <c:pt idx="132">
                  <c:v>16.10.2024</c:v>
                </c:pt>
                <c:pt idx="133">
                  <c:v>15.10.2024</c:v>
                </c:pt>
                <c:pt idx="134">
                  <c:v>14.10.2024</c:v>
                </c:pt>
                <c:pt idx="135">
                  <c:v>11.10.2024</c:v>
                </c:pt>
                <c:pt idx="136">
                  <c:v>10.10.2024</c:v>
                </c:pt>
                <c:pt idx="137">
                  <c:v>09.10.2024</c:v>
                </c:pt>
                <c:pt idx="138">
                  <c:v>08.10.2024</c:v>
                </c:pt>
                <c:pt idx="139">
                  <c:v>07.10.2024</c:v>
                </c:pt>
                <c:pt idx="140">
                  <c:v>04.10.2024</c:v>
                </c:pt>
                <c:pt idx="141">
                  <c:v>03.10.2024</c:v>
                </c:pt>
                <c:pt idx="142">
                  <c:v>02.10.2024</c:v>
                </c:pt>
                <c:pt idx="143">
                  <c:v>30.09.2024</c:v>
                </c:pt>
                <c:pt idx="144">
                  <c:v>27.09.2024</c:v>
                </c:pt>
                <c:pt idx="145">
                  <c:v>26.09.2024</c:v>
                </c:pt>
                <c:pt idx="146">
                  <c:v>25.09.2024</c:v>
                </c:pt>
                <c:pt idx="147">
                  <c:v>24.09.2024</c:v>
                </c:pt>
                <c:pt idx="148">
                  <c:v>23.09.2024</c:v>
                </c:pt>
                <c:pt idx="149">
                  <c:v>20.09.2024</c:v>
                </c:pt>
                <c:pt idx="150">
                  <c:v>19.09.2024</c:v>
                </c:pt>
                <c:pt idx="151">
                  <c:v>18.09.2024</c:v>
                </c:pt>
                <c:pt idx="152">
                  <c:v>17.09.2024</c:v>
                </c:pt>
                <c:pt idx="153">
                  <c:v>13.09.2024</c:v>
                </c:pt>
                <c:pt idx="154">
                  <c:v>12.09.2024</c:v>
                </c:pt>
                <c:pt idx="155">
                  <c:v>11.09.2024</c:v>
                </c:pt>
                <c:pt idx="156">
                  <c:v>10.09.2024</c:v>
                </c:pt>
                <c:pt idx="157">
                  <c:v>09.09.2024</c:v>
                </c:pt>
                <c:pt idx="158">
                  <c:v>06.09.2024</c:v>
                </c:pt>
                <c:pt idx="159">
                  <c:v>05.09.2024</c:v>
                </c:pt>
                <c:pt idx="160">
                  <c:v>04.09.2024</c:v>
                </c:pt>
                <c:pt idx="161">
                  <c:v>03.09.2024</c:v>
                </c:pt>
                <c:pt idx="162">
                  <c:v>02.09.2024</c:v>
                </c:pt>
                <c:pt idx="163">
                  <c:v>30.08.2024</c:v>
                </c:pt>
                <c:pt idx="164">
                  <c:v>29.08.2024</c:v>
                </c:pt>
                <c:pt idx="165">
                  <c:v>28.08.2024</c:v>
                </c:pt>
                <c:pt idx="166">
                  <c:v>27.08.2024</c:v>
                </c:pt>
                <c:pt idx="167">
                  <c:v>26.08.2024</c:v>
                </c:pt>
                <c:pt idx="168">
                  <c:v>23.08.2024</c:v>
                </c:pt>
                <c:pt idx="169">
                  <c:v>22.08.2024</c:v>
                </c:pt>
                <c:pt idx="170">
                  <c:v>21.08.2024</c:v>
                </c:pt>
                <c:pt idx="171">
                  <c:v>20.08.2024</c:v>
                </c:pt>
                <c:pt idx="172">
                  <c:v>19.08.2024</c:v>
                </c:pt>
                <c:pt idx="173">
                  <c:v>16.08.2024</c:v>
                </c:pt>
                <c:pt idx="174">
                  <c:v>15.08.2024</c:v>
                </c:pt>
                <c:pt idx="175">
                  <c:v>14.08.2024</c:v>
                </c:pt>
                <c:pt idx="176">
                  <c:v>13.08.2024</c:v>
                </c:pt>
                <c:pt idx="177">
                  <c:v>12.08.2024</c:v>
                </c:pt>
                <c:pt idx="178">
                  <c:v>09.08.2024</c:v>
                </c:pt>
                <c:pt idx="179">
                  <c:v>08.08.2024</c:v>
                </c:pt>
                <c:pt idx="180">
                  <c:v>07.08.2024</c:v>
                </c:pt>
                <c:pt idx="181">
                  <c:v>06.08.2024</c:v>
                </c:pt>
                <c:pt idx="182">
                  <c:v>05.08.2024</c:v>
                </c:pt>
                <c:pt idx="183">
                  <c:v>02.08.2024</c:v>
                </c:pt>
                <c:pt idx="184">
                  <c:v>01.08.2024</c:v>
                </c:pt>
                <c:pt idx="185">
                  <c:v>31.07.2024</c:v>
                </c:pt>
                <c:pt idx="186">
                  <c:v>30.07.2024</c:v>
                </c:pt>
                <c:pt idx="187">
                  <c:v>29.07.2024</c:v>
                </c:pt>
                <c:pt idx="188">
                  <c:v>26.07.2024</c:v>
                </c:pt>
                <c:pt idx="189">
                  <c:v>25.07.2024</c:v>
                </c:pt>
                <c:pt idx="190">
                  <c:v>24.07.2024</c:v>
                </c:pt>
                <c:pt idx="191">
                  <c:v>23.07.2024</c:v>
                </c:pt>
                <c:pt idx="192">
                  <c:v>22.07.2024</c:v>
                </c:pt>
                <c:pt idx="193">
                  <c:v>19.07.2024</c:v>
                </c:pt>
                <c:pt idx="194">
                  <c:v>18.07.2024</c:v>
                </c:pt>
                <c:pt idx="195">
                  <c:v>17.07.2024</c:v>
                </c:pt>
                <c:pt idx="196">
                  <c:v>16.07.2024</c:v>
                </c:pt>
                <c:pt idx="197">
                  <c:v>15.07.2024</c:v>
                </c:pt>
                <c:pt idx="198">
                  <c:v>12.07.2024</c:v>
                </c:pt>
                <c:pt idx="199">
                  <c:v>11.07.2024</c:v>
                </c:pt>
                <c:pt idx="200">
                  <c:v>10.07.2024</c:v>
                </c:pt>
                <c:pt idx="201">
                  <c:v>09.07.2024</c:v>
                </c:pt>
                <c:pt idx="202">
                  <c:v>08.07.2024</c:v>
                </c:pt>
                <c:pt idx="203">
                  <c:v>05.07.2024</c:v>
                </c:pt>
                <c:pt idx="204">
                  <c:v>04.07.2024</c:v>
                </c:pt>
                <c:pt idx="205">
                  <c:v>03.07.2024</c:v>
                </c:pt>
                <c:pt idx="206">
                  <c:v>02.07.2024</c:v>
                </c:pt>
                <c:pt idx="207">
                  <c:v>01.07.2024</c:v>
                </c:pt>
                <c:pt idx="208">
                  <c:v>28.06.2024</c:v>
                </c:pt>
                <c:pt idx="209">
                  <c:v>27.06.2024</c:v>
                </c:pt>
                <c:pt idx="210">
                  <c:v>26.06.2024</c:v>
                </c:pt>
                <c:pt idx="211">
                  <c:v>25.06.2024</c:v>
                </c:pt>
                <c:pt idx="212">
                  <c:v>24.06.2024</c:v>
                </c:pt>
                <c:pt idx="213">
                  <c:v>21.06.2024</c:v>
                </c:pt>
                <c:pt idx="214">
                  <c:v>20.06.2024</c:v>
                </c:pt>
                <c:pt idx="215">
                  <c:v>19.06.2024</c:v>
                </c:pt>
                <c:pt idx="216">
                  <c:v>18.06.2024</c:v>
                </c:pt>
                <c:pt idx="217">
                  <c:v>17.06.2024</c:v>
                </c:pt>
                <c:pt idx="218">
                  <c:v>14.06.2024</c:v>
                </c:pt>
                <c:pt idx="219">
                  <c:v>13.06.2024</c:v>
                </c:pt>
                <c:pt idx="220">
                  <c:v>12.06.2024</c:v>
                </c:pt>
                <c:pt idx="221">
                  <c:v>11.06.2024</c:v>
                </c:pt>
                <c:pt idx="222">
                  <c:v>10.06.2024</c:v>
                </c:pt>
                <c:pt idx="223">
                  <c:v>07.06.2024</c:v>
                </c:pt>
                <c:pt idx="224">
                  <c:v>06.06.2024</c:v>
                </c:pt>
                <c:pt idx="225">
                  <c:v>05.06.2024</c:v>
                </c:pt>
                <c:pt idx="226">
                  <c:v>04.06.2024</c:v>
                </c:pt>
                <c:pt idx="227">
                  <c:v>03.06.2024</c:v>
                </c:pt>
                <c:pt idx="228">
                  <c:v>31.05.2024</c:v>
                </c:pt>
                <c:pt idx="229">
                  <c:v>30.05.2024</c:v>
                </c:pt>
                <c:pt idx="230">
                  <c:v>29.05.2024</c:v>
                </c:pt>
                <c:pt idx="231">
                  <c:v>28.05.2024</c:v>
                </c:pt>
                <c:pt idx="232">
                  <c:v>27.05.2024</c:v>
                </c:pt>
                <c:pt idx="233">
                  <c:v>24.05.2024</c:v>
                </c:pt>
                <c:pt idx="234">
                  <c:v>23.05.2024</c:v>
                </c:pt>
                <c:pt idx="235">
                  <c:v>22.05.2024</c:v>
                </c:pt>
                <c:pt idx="236">
                  <c:v>21.05.2024</c:v>
                </c:pt>
                <c:pt idx="237">
                  <c:v>20.05.2024</c:v>
                </c:pt>
                <c:pt idx="238">
                  <c:v>17.05.2024</c:v>
                </c:pt>
                <c:pt idx="239">
                  <c:v>16.05.2024</c:v>
                </c:pt>
                <c:pt idx="240">
                  <c:v>15.05.2024</c:v>
                </c:pt>
                <c:pt idx="241">
                  <c:v>14.05.2024</c:v>
                </c:pt>
                <c:pt idx="242">
                  <c:v>13.05.2024</c:v>
                </c:pt>
                <c:pt idx="243">
                  <c:v>10.05.2024</c:v>
                </c:pt>
                <c:pt idx="244">
                  <c:v>09.05.2024</c:v>
                </c:pt>
                <c:pt idx="245">
                  <c:v>08.05.2024</c:v>
                </c:pt>
                <c:pt idx="246">
                  <c:v>07.05.2024</c:v>
                </c:pt>
                <c:pt idx="247">
                  <c:v>06.05.2024</c:v>
                </c:pt>
                <c:pt idx="248">
                  <c:v>03.05.2024</c:v>
                </c:pt>
                <c:pt idx="249">
                  <c:v>02.05.2024</c:v>
                </c:pt>
                <c:pt idx="250">
                  <c:v>30.04.2024</c:v>
                </c:pt>
              </c:strCache>
            </c:strRef>
          </c:cat>
          <c:val>
            <c:numRef>
              <c:f>KIMBERA!$B$2:$B$252</c:f>
              <c:numCache>
                <c:formatCode>General</c:formatCode>
                <c:ptCount val="251"/>
                <c:pt idx="0">
                  <c:v>34.57</c:v>
                </c:pt>
                <c:pt idx="1">
                  <c:v>33.78</c:v>
                </c:pt>
                <c:pt idx="2">
                  <c:v>34.979999999999997</c:v>
                </c:pt>
                <c:pt idx="3">
                  <c:v>34.01</c:v>
                </c:pt>
                <c:pt idx="4">
                  <c:v>33.22</c:v>
                </c:pt>
                <c:pt idx="5">
                  <c:v>32.9</c:v>
                </c:pt>
                <c:pt idx="6">
                  <c:v>32.68</c:v>
                </c:pt>
                <c:pt idx="7">
                  <c:v>32.93</c:v>
                </c:pt>
                <c:pt idx="8">
                  <c:v>32.729999999999997</c:v>
                </c:pt>
                <c:pt idx="9">
                  <c:v>32.770000000000003</c:v>
                </c:pt>
                <c:pt idx="10">
                  <c:v>32.35</c:v>
                </c:pt>
                <c:pt idx="11">
                  <c:v>31.76</c:v>
                </c:pt>
                <c:pt idx="12">
                  <c:v>32.1</c:v>
                </c:pt>
                <c:pt idx="13">
                  <c:v>33.22</c:v>
                </c:pt>
                <c:pt idx="14">
                  <c:v>31.51</c:v>
                </c:pt>
                <c:pt idx="15">
                  <c:v>32.270000000000003</c:v>
                </c:pt>
                <c:pt idx="16">
                  <c:v>33.25</c:v>
                </c:pt>
                <c:pt idx="17">
                  <c:v>33.07</c:v>
                </c:pt>
                <c:pt idx="18">
                  <c:v>32.47</c:v>
                </c:pt>
                <c:pt idx="19">
                  <c:v>33.159999999999997</c:v>
                </c:pt>
                <c:pt idx="20">
                  <c:v>33.549999999999997</c:v>
                </c:pt>
                <c:pt idx="21">
                  <c:v>33.58</c:v>
                </c:pt>
                <c:pt idx="22">
                  <c:v>33.229999999999997</c:v>
                </c:pt>
                <c:pt idx="23">
                  <c:v>33.08</c:v>
                </c:pt>
                <c:pt idx="24">
                  <c:v>32.79</c:v>
                </c:pt>
                <c:pt idx="25">
                  <c:v>32.61</c:v>
                </c:pt>
                <c:pt idx="26">
                  <c:v>32.49</c:v>
                </c:pt>
                <c:pt idx="27">
                  <c:v>32.65</c:v>
                </c:pt>
                <c:pt idx="28">
                  <c:v>32.869999999999997</c:v>
                </c:pt>
                <c:pt idx="29">
                  <c:v>32.75</c:v>
                </c:pt>
                <c:pt idx="30">
                  <c:v>31.91</c:v>
                </c:pt>
                <c:pt idx="31">
                  <c:v>32.770000000000003</c:v>
                </c:pt>
                <c:pt idx="32">
                  <c:v>32.450000000000003</c:v>
                </c:pt>
                <c:pt idx="33">
                  <c:v>32.1</c:v>
                </c:pt>
                <c:pt idx="34">
                  <c:v>31.64</c:v>
                </c:pt>
                <c:pt idx="35">
                  <c:v>31.45</c:v>
                </c:pt>
                <c:pt idx="36">
                  <c:v>31.51</c:v>
                </c:pt>
                <c:pt idx="37">
                  <c:v>31.47</c:v>
                </c:pt>
                <c:pt idx="38">
                  <c:v>31.39</c:v>
                </c:pt>
                <c:pt idx="39">
                  <c:v>31.19</c:v>
                </c:pt>
                <c:pt idx="40">
                  <c:v>30.74</c:v>
                </c:pt>
                <c:pt idx="41">
                  <c:v>31.23</c:v>
                </c:pt>
                <c:pt idx="42">
                  <c:v>32.31</c:v>
                </c:pt>
                <c:pt idx="43">
                  <c:v>33.020000000000003</c:v>
                </c:pt>
                <c:pt idx="44">
                  <c:v>33.42</c:v>
                </c:pt>
                <c:pt idx="45">
                  <c:v>32.380000000000003</c:v>
                </c:pt>
                <c:pt idx="46">
                  <c:v>32.36</c:v>
                </c:pt>
                <c:pt idx="47">
                  <c:v>32.340000000000003</c:v>
                </c:pt>
                <c:pt idx="48">
                  <c:v>32.01</c:v>
                </c:pt>
                <c:pt idx="49">
                  <c:v>31.45</c:v>
                </c:pt>
                <c:pt idx="50">
                  <c:v>32.06</c:v>
                </c:pt>
                <c:pt idx="51">
                  <c:v>32.450000000000003</c:v>
                </c:pt>
                <c:pt idx="52">
                  <c:v>31.79</c:v>
                </c:pt>
                <c:pt idx="53">
                  <c:v>30.98</c:v>
                </c:pt>
                <c:pt idx="54">
                  <c:v>31.37</c:v>
                </c:pt>
                <c:pt idx="55">
                  <c:v>31.12</c:v>
                </c:pt>
                <c:pt idx="56">
                  <c:v>30.52</c:v>
                </c:pt>
                <c:pt idx="57">
                  <c:v>30.66</c:v>
                </c:pt>
                <c:pt idx="58">
                  <c:v>31.21</c:v>
                </c:pt>
                <c:pt idx="59">
                  <c:v>30.98</c:v>
                </c:pt>
                <c:pt idx="60">
                  <c:v>31.11</c:v>
                </c:pt>
                <c:pt idx="61">
                  <c:v>30.69</c:v>
                </c:pt>
                <c:pt idx="62">
                  <c:v>30.77</c:v>
                </c:pt>
                <c:pt idx="63">
                  <c:v>30.76</c:v>
                </c:pt>
                <c:pt idx="64">
                  <c:v>29.87</c:v>
                </c:pt>
                <c:pt idx="65">
                  <c:v>29.56</c:v>
                </c:pt>
                <c:pt idx="66">
                  <c:v>29.79</c:v>
                </c:pt>
                <c:pt idx="67">
                  <c:v>29.19</c:v>
                </c:pt>
                <c:pt idx="68">
                  <c:v>28.94</c:v>
                </c:pt>
                <c:pt idx="69">
                  <c:v>29.32</c:v>
                </c:pt>
                <c:pt idx="70">
                  <c:v>29</c:v>
                </c:pt>
                <c:pt idx="71">
                  <c:v>28.85</c:v>
                </c:pt>
                <c:pt idx="72">
                  <c:v>29.7</c:v>
                </c:pt>
                <c:pt idx="73">
                  <c:v>29.49</c:v>
                </c:pt>
                <c:pt idx="74">
                  <c:v>29.16</c:v>
                </c:pt>
                <c:pt idx="75">
                  <c:v>29</c:v>
                </c:pt>
                <c:pt idx="76">
                  <c:v>28.91</c:v>
                </c:pt>
                <c:pt idx="77">
                  <c:v>29.09</c:v>
                </c:pt>
                <c:pt idx="78">
                  <c:v>29</c:v>
                </c:pt>
                <c:pt idx="79">
                  <c:v>29.36</c:v>
                </c:pt>
                <c:pt idx="80">
                  <c:v>29.52</c:v>
                </c:pt>
                <c:pt idx="81">
                  <c:v>29.4</c:v>
                </c:pt>
                <c:pt idx="82">
                  <c:v>28.91</c:v>
                </c:pt>
                <c:pt idx="83">
                  <c:v>29.11</c:v>
                </c:pt>
                <c:pt idx="84">
                  <c:v>28.83</c:v>
                </c:pt>
                <c:pt idx="85">
                  <c:v>28.68</c:v>
                </c:pt>
                <c:pt idx="86">
                  <c:v>28.6</c:v>
                </c:pt>
                <c:pt idx="87">
                  <c:v>29.49</c:v>
                </c:pt>
                <c:pt idx="88">
                  <c:v>27.95</c:v>
                </c:pt>
                <c:pt idx="89">
                  <c:v>27.98</c:v>
                </c:pt>
                <c:pt idx="90">
                  <c:v>28.06</c:v>
                </c:pt>
                <c:pt idx="91">
                  <c:v>28.2</c:v>
                </c:pt>
                <c:pt idx="92">
                  <c:v>28.64</c:v>
                </c:pt>
                <c:pt idx="93">
                  <c:v>28.01</c:v>
                </c:pt>
                <c:pt idx="94">
                  <c:v>27.4</c:v>
                </c:pt>
                <c:pt idx="95">
                  <c:v>27.52</c:v>
                </c:pt>
                <c:pt idx="96">
                  <c:v>27.5</c:v>
                </c:pt>
                <c:pt idx="97">
                  <c:v>27.75</c:v>
                </c:pt>
                <c:pt idx="98">
                  <c:v>27.85</c:v>
                </c:pt>
                <c:pt idx="99">
                  <c:v>28.23</c:v>
                </c:pt>
                <c:pt idx="100">
                  <c:v>27.81</c:v>
                </c:pt>
                <c:pt idx="101">
                  <c:v>27.34</c:v>
                </c:pt>
                <c:pt idx="102">
                  <c:v>27.5</c:v>
                </c:pt>
                <c:pt idx="103">
                  <c:v>27.73</c:v>
                </c:pt>
                <c:pt idx="104">
                  <c:v>27.92</c:v>
                </c:pt>
                <c:pt idx="105">
                  <c:v>27.7</c:v>
                </c:pt>
                <c:pt idx="106">
                  <c:v>28.2</c:v>
                </c:pt>
                <c:pt idx="107">
                  <c:v>27.78</c:v>
                </c:pt>
                <c:pt idx="108">
                  <c:v>27.49</c:v>
                </c:pt>
                <c:pt idx="109">
                  <c:v>28.22</c:v>
                </c:pt>
                <c:pt idx="110">
                  <c:v>28.3</c:v>
                </c:pt>
                <c:pt idx="111">
                  <c:v>28.16</c:v>
                </c:pt>
                <c:pt idx="112">
                  <c:v>28.29</c:v>
                </c:pt>
                <c:pt idx="113">
                  <c:v>28.46</c:v>
                </c:pt>
                <c:pt idx="114">
                  <c:v>28.58</c:v>
                </c:pt>
                <c:pt idx="115">
                  <c:v>28.78</c:v>
                </c:pt>
                <c:pt idx="116">
                  <c:v>28.76</c:v>
                </c:pt>
                <c:pt idx="117">
                  <c:v>28.68</c:v>
                </c:pt>
                <c:pt idx="118">
                  <c:v>28.75</c:v>
                </c:pt>
                <c:pt idx="119">
                  <c:v>28.77</c:v>
                </c:pt>
                <c:pt idx="120">
                  <c:v>28.89</c:v>
                </c:pt>
                <c:pt idx="121">
                  <c:v>28.73</c:v>
                </c:pt>
                <c:pt idx="122">
                  <c:v>28.55</c:v>
                </c:pt>
                <c:pt idx="123">
                  <c:v>28.7</c:v>
                </c:pt>
                <c:pt idx="124">
                  <c:v>28.42</c:v>
                </c:pt>
                <c:pt idx="125">
                  <c:v>28.8</c:v>
                </c:pt>
                <c:pt idx="126">
                  <c:v>28.76</c:v>
                </c:pt>
                <c:pt idx="127">
                  <c:v>28.57</c:v>
                </c:pt>
                <c:pt idx="128">
                  <c:v>28.96</c:v>
                </c:pt>
                <c:pt idx="129">
                  <c:v>29.6</c:v>
                </c:pt>
                <c:pt idx="130">
                  <c:v>30.49</c:v>
                </c:pt>
                <c:pt idx="131">
                  <c:v>30.68</c:v>
                </c:pt>
                <c:pt idx="132">
                  <c:v>30.38</c:v>
                </c:pt>
                <c:pt idx="133">
                  <c:v>30.41</c:v>
                </c:pt>
                <c:pt idx="134">
                  <c:v>31.06</c:v>
                </c:pt>
                <c:pt idx="135">
                  <c:v>31.61</c:v>
                </c:pt>
                <c:pt idx="136">
                  <c:v>30.95</c:v>
                </c:pt>
                <c:pt idx="137">
                  <c:v>30.72</c:v>
                </c:pt>
                <c:pt idx="138">
                  <c:v>31.51</c:v>
                </c:pt>
                <c:pt idx="139">
                  <c:v>32.200000000000003</c:v>
                </c:pt>
                <c:pt idx="140">
                  <c:v>32.32</c:v>
                </c:pt>
                <c:pt idx="141">
                  <c:v>31.83</c:v>
                </c:pt>
                <c:pt idx="142">
                  <c:v>32.18</c:v>
                </c:pt>
                <c:pt idx="143">
                  <c:v>31.84</c:v>
                </c:pt>
                <c:pt idx="144">
                  <c:v>31.74</c:v>
                </c:pt>
                <c:pt idx="145">
                  <c:v>31.69</c:v>
                </c:pt>
                <c:pt idx="146">
                  <c:v>32.229999999999997</c:v>
                </c:pt>
                <c:pt idx="147">
                  <c:v>32.82</c:v>
                </c:pt>
                <c:pt idx="148">
                  <c:v>32.44</c:v>
                </c:pt>
                <c:pt idx="149">
                  <c:v>32.01</c:v>
                </c:pt>
                <c:pt idx="150">
                  <c:v>32.409999999999997</c:v>
                </c:pt>
                <c:pt idx="151">
                  <c:v>32.36</c:v>
                </c:pt>
                <c:pt idx="152">
                  <c:v>31.83</c:v>
                </c:pt>
                <c:pt idx="153">
                  <c:v>31.84</c:v>
                </c:pt>
                <c:pt idx="154">
                  <c:v>32.4</c:v>
                </c:pt>
                <c:pt idx="155">
                  <c:v>31.74</c:v>
                </c:pt>
                <c:pt idx="156">
                  <c:v>31.74</c:v>
                </c:pt>
                <c:pt idx="157">
                  <c:v>32</c:v>
                </c:pt>
                <c:pt idx="158">
                  <c:v>31.99</c:v>
                </c:pt>
                <c:pt idx="159">
                  <c:v>32.200000000000003</c:v>
                </c:pt>
                <c:pt idx="160">
                  <c:v>32.58</c:v>
                </c:pt>
                <c:pt idx="161">
                  <c:v>32.39</c:v>
                </c:pt>
                <c:pt idx="162">
                  <c:v>32.75</c:v>
                </c:pt>
                <c:pt idx="163">
                  <c:v>32.19</c:v>
                </c:pt>
                <c:pt idx="164">
                  <c:v>32.65</c:v>
                </c:pt>
                <c:pt idx="165">
                  <c:v>32.78</c:v>
                </c:pt>
                <c:pt idx="166">
                  <c:v>32.35</c:v>
                </c:pt>
                <c:pt idx="167">
                  <c:v>32.18</c:v>
                </c:pt>
                <c:pt idx="168">
                  <c:v>32.57</c:v>
                </c:pt>
                <c:pt idx="169">
                  <c:v>32.92</c:v>
                </c:pt>
                <c:pt idx="170">
                  <c:v>33.01</c:v>
                </c:pt>
                <c:pt idx="171">
                  <c:v>33.64</c:v>
                </c:pt>
                <c:pt idx="172">
                  <c:v>34.21</c:v>
                </c:pt>
                <c:pt idx="173">
                  <c:v>34.520000000000003</c:v>
                </c:pt>
                <c:pt idx="174">
                  <c:v>34.61</c:v>
                </c:pt>
                <c:pt idx="175">
                  <c:v>34.700000000000003</c:v>
                </c:pt>
                <c:pt idx="176">
                  <c:v>34.5</c:v>
                </c:pt>
                <c:pt idx="177">
                  <c:v>34.14</c:v>
                </c:pt>
                <c:pt idx="178">
                  <c:v>34.49</c:v>
                </c:pt>
                <c:pt idx="179">
                  <c:v>34.299999999999997</c:v>
                </c:pt>
                <c:pt idx="180">
                  <c:v>33.520000000000003</c:v>
                </c:pt>
                <c:pt idx="181">
                  <c:v>32.6</c:v>
                </c:pt>
                <c:pt idx="182">
                  <c:v>31.93</c:v>
                </c:pt>
                <c:pt idx="183">
                  <c:v>31.81</c:v>
                </c:pt>
                <c:pt idx="184">
                  <c:v>32.36</c:v>
                </c:pt>
                <c:pt idx="185">
                  <c:v>33.14</c:v>
                </c:pt>
                <c:pt idx="186">
                  <c:v>32.58</c:v>
                </c:pt>
                <c:pt idx="187">
                  <c:v>32.619999999999997</c:v>
                </c:pt>
                <c:pt idx="188">
                  <c:v>33.39</c:v>
                </c:pt>
                <c:pt idx="189">
                  <c:v>32.99</c:v>
                </c:pt>
                <c:pt idx="190">
                  <c:v>32.729999999999997</c:v>
                </c:pt>
                <c:pt idx="191">
                  <c:v>32.96</c:v>
                </c:pt>
                <c:pt idx="192">
                  <c:v>33.74</c:v>
                </c:pt>
                <c:pt idx="193">
                  <c:v>34.03</c:v>
                </c:pt>
                <c:pt idx="194">
                  <c:v>33.06</c:v>
                </c:pt>
                <c:pt idx="195">
                  <c:v>33.17</c:v>
                </c:pt>
                <c:pt idx="196">
                  <c:v>33.270000000000003</c:v>
                </c:pt>
                <c:pt idx="197">
                  <c:v>33.03</c:v>
                </c:pt>
                <c:pt idx="198">
                  <c:v>33.1</c:v>
                </c:pt>
                <c:pt idx="199">
                  <c:v>32.47</c:v>
                </c:pt>
                <c:pt idx="200">
                  <c:v>31.39</c:v>
                </c:pt>
                <c:pt idx="201">
                  <c:v>31.15</c:v>
                </c:pt>
                <c:pt idx="202">
                  <c:v>31.19</c:v>
                </c:pt>
                <c:pt idx="203">
                  <c:v>30.29</c:v>
                </c:pt>
                <c:pt idx="204">
                  <c:v>30.22</c:v>
                </c:pt>
                <c:pt idx="205">
                  <c:v>30.51</c:v>
                </c:pt>
                <c:pt idx="206">
                  <c:v>31.02</c:v>
                </c:pt>
                <c:pt idx="207">
                  <c:v>31.27</c:v>
                </c:pt>
                <c:pt idx="208">
                  <c:v>31.65</c:v>
                </c:pt>
                <c:pt idx="209">
                  <c:v>31.65</c:v>
                </c:pt>
                <c:pt idx="210">
                  <c:v>31.98</c:v>
                </c:pt>
                <c:pt idx="211">
                  <c:v>32.26</c:v>
                </c:pt>
                <c:pt idx="212">
                  <c:v>32.619999999999997</c:v>
                </c:pt>
                <c:pt idx="213">
                  <c:v>32.19</c:v>
                </c:pt>
                <c:pt idx="214">
                  <c:v>31.9</c:v>
                </c:pt>
                <c:pt idx="215">
                  <c:v>31.88</c:v>
                </c:pt>
                <c:pt idx="216">
                  <c:v>32.090000000000003</c:v>
                </c:pt>
                <c:pt idx="217">
                  <c:v>32.049999999999997</c:v>
                </c:pt>
                <c:pt idx="218">
                  <c:v>32.299999999999997</c:v>
                </c:pt>
                <c:pt idx="219">
                  <c:v>32.54</c:v>
                </c:pt>
                <c:pt idx="220">
                  <c:v>33.229999999999997</c:v>
                </c:pt>
                <c:pt idx="221">
                  <c:v>33.21</c:v>
                </c:pt>
                <c:pt idx="222">
                  <c:v>33.75</c:v>
                </c:pt>
                <c:pt idx="223">
                  <c:v>33.54</c:v>
                </c:pt>
                <c:pt idx="224">
                  <c:v>35.07</c:v>
                </c:pt>
                <c:pt idx="225">
                  <c:v>35.590000000000003</c:v>
                </c:pt>
                <c:pt idx="226">
                  <c:v>34.86</c:v>
                </c:pt>
                <c:pt idx="227">
                  <c:v>33.61</c:v>
                </c:pt>
                <c:pt idx="228">
                  <c:v>35.590000000000003</c:v>
                </c:pt>
                <c:pt idx="229">
                  <c:v>36.21</c:v>
                </c:pt>
                <c:pt idx="230">
                  <c:v>35.35</c:v>
                </c:pt>
                <c:pt idx="231">
                  <c:v>35.28</c:v>
                </c:pt>
                <c:pt idx="232">
                  <c:v>35.880000000000003</c:v>
                </c:pt>
                <c:pt idx="233">
                  <c:v>35.75</c:v>
                </c:pt>
                <c:pt idx="234">
                  <c:v>36.31</c:v>
                </c:pt>
                <c:pt idx="235">
                  <c:v>35.82</c:v>
                </c:pt>
                <c:pt idx="236">
                  <c:v>35.71</c:v>
                </c:pt>
                <c:pt idx="237">
                  <c:v>36.32</c:v>
                </c:pt>
                <c:pt idx="238">
                  <c:v>36.6</c:v>
                </c:pt>
                <c:pt idx="239">
                  <c:v>37.450000000000003</c:v>
                </c:pt>
                <c:pt idx="240">
                  <c:v>36.53</c:v>
                </c:pt>
                <c:pt idx="241">
                  <c:v>36.58</c:v>
                </c:pt>
                <c:pt idx="242">
                  <c:v>36.5</c:v>
                </c:pt>
                <c:pt idx="243">
                  <c:v>36.47</c:v>
                </c:pt>
                <c:pt idx="244">
                  <c:v>36.229999999999997</c:v>
                </c:pt>
                <c:pt idx="245">
                  <c:v>35.75</c:v>
                </c:pt>
                <c:pt idx="246">
                  <c:v>36.21</c:v>
                </c:pt>
                <c:pt idx="247">
                  <c:v>36.64</c:v>
                </c:pt>
                <c:pt idx="248">
                  <c:v>36.97</c:v>
                </c:pt>
                <c:pt idx="249">
                  <c:v>36.520000000000003</c:v>
                </c:pt>
                <c:pt idx="250">
                  <c:v>35.659999999999997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1-4A5A-8284-AA625EF7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371695"/>
        <c:axId val="450391375"/>
      </c:lineChart>
      <c:catAx>
        <c:axId val="45037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391375"/>
        <c:crosses val="autoZero"/>
        <c:auto val="1"/>
        <c:lblAlgn val="ctr"/>
        <c:lblOffset val="100"/>
        <c:noMultiLvlLbl val="0"/>
      </c:catAx>
      <c:valAx>
        <c:axId val="4503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37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Precios último</a:t>
            </a:r>
            <a:r>
              <a:rPr lang="en-US" baseline="0"/>
              <a:t> 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KIMBERA!$B$1</c:f>
              <c:strCache>
                <c:ptCount val="1"/>
                <c:pt idx="0">
                  <c:v>Precio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KIMBERA!$A$2:$A$21</c:f>
              <c:strCache>
                <c:ptCount val="20"/>
                <c:pt idx="0">
                  <c:v>30.04.2025</c:v>
                </c:pt>
                <c:pt idx="1">
                  <c:v>29.04.2025</c:v>
                </c:pt>
                <c:pt idx="2">
                  <c:v>28.04.2025</c:v>
                </c:pt>
                <c:pt idx="3">
                  <c:v>25.04.2025</c:v>
                </c:pt>
                <c:pt idx="4">
                  <c:v>24.04.2025</c:v>
                </c:pt>
                <c:pt idx="5">
                  <c:v>23.04.2025</c:v>
                </c:pt>
                <c:pt idx="6">
                  <c:v>22.04.2025</c:v>
                </c:pt>
                <c:pt idx="7">
                  <c:v>21.04.2025</c:v>
                </c:pt>
                <c:pt idx="8">
                  <c:v>16.04.2025</c:v>
                </c:pt>
                <c:pt idx="9">
                  <c:v>15.04.2025</c:v>
                </c:pt>
                <c:pt idx="10">
                  <c:v>14.04.2025</c:v>
                </c:pt>
                <c:pt idx="11">
                  <c:v>11.04.2025</c:v>
                </c:pt>
                <c:pt idx="12">
                  <c:v>10.04.2025</c:v>
                </c:pt>
                <c:pt idx="13">
                  <c:v>09.04.2025</c:v>
                </c:pt>
                <c:pt idx="14">
                  <c:v>08.04.2025</c:v>
                </c:pt>
                <c:pt idx="15">
                  <c:v>07.04.2025</c:v>
                </c:pt>
                <c:pt idx="16">
                  <c:v>04.04.2025</c:v>
                </c:pt>
                <c:pt idx="17">
                  <c:v>03.04.2025</c:v>
                </c:pt>
                <c:pt idx="18">
                  <c:v>02.04.2025</c:v>
                </c:pt>
                <c:pt idx="19">
                  <c:v>01.04.2025</c:v>
                </c:pt>
              </c:strCache>
            </c:strRef>
          </c:cat>
          <c:val>
            <c:numRef>
              <c:f>KIMBERA!$B$2:$B$21</c:f>
              <c:numCache>
                <c:formatCode>General</c:formatCode>
                <c:ptCount val="20"/>
                <c:pt idx="0">
                  <c:v>34.57</c:v>
                </c:pt>
                <c:pt idx="1">
                  <c:v>33.78</c:v>
                </c:pt>
                <c:pt idx="2">
                  <c:v>34.979999999999997</c:v>
                </c:pt>
                <c:pt idx="3">
                  <c:v>34.01</c:v>
                </c:pt>
                <c:pt idx="4">
                  <c:v>33.22</c:v>
                </c:pt>
                <c:pt idx="5">
                  <c:v>32.9</c:v>
                </c:pt>
                <c:pt idx="6">
                  <c:v>32.68</c:v>
                </c:pt>
                <c:pt idx="7">
                  <c:v>32.93</c:v>
                </c:pt>
                <c:pt idx="8">
                  <c:v>32.729999999999997</c:v>
                </c:pt>
                <c:pt idx="9">
                  <c:v>32.770000000000003</c:v>
                </c:pt>
                <c:pt idx="10">
                  <c:v>32.35</c:v>
                </c:pt>
                <c:pt idx="11">
                  <c:v>31.76</c:v>
                </c:pt>
                <c:pt idx="12">
                  <c:v>32.1</c:v>
                </c:pt>
                <c:pt idx="13">
                  <c:v>33.22</c:v>
                </c:pt>
                <c:pt idx="14">
                  <c:v>31.51</c:v>
                </c:pt>
                <c:pt idx="15">
                  <c:v>32.270000000000003</c:v>
                </c:pt>
                <c:pt idx="16">
                  <c:v>33.25</c:v>
                </c:pt>
                <c:pt idx="17">
                  <c:v>33.07</c:v>
                </c:pt>
                <c:pt idx="18">
                  <c:v>32.47</c:v>
                </c:pt>
                <c:pt idx="19">
                  <c:v>33.159999999999997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F-455E-801F-71AD69056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66255"/>
        <c:axId val="450463855"/>
      </c:lineChart>
      <c:catAx>
        <c:axId val="45046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63855"/>
        <c:crosses val="autoZero"/>
        <c:auto val="1"/>
        <c:lblAlgn val="ctr"/>
        <c:lblOffset val="100"/>
        <c:noMultiLvlLbl val="0"/>
      </c:catAx>
      <c:valAx>
        <c:axId val="4504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046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Inversa!$L$52:$L$64</c:f>
              <c:numCache>
                <c:formatCode>0.00%</c:formatCode>
                <c:ptCount val="13"/>
                <c:pt idx="0" formatCode="0%">
                  <c:v>0</c:v>
                </c:pt>
                <c:pt idx="1">
                  <c:v>5.0000000000000001E-3</c:v>
                </c:pt>
                <c:pt idx="2" formatCode="0%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 formatCode="0%">
                  <c:v>0.03</c:v>
                </c:pt>
                <c:pt idx="7" formatCode="0.0%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 formatCode="0.00000000%">
                  <c:v>4.9986351418210728E-2</c:v>
                </c:pt>
                <c:pt idx="11">
                  <c:v>5.5E-2</c:v>
                </c:pt>
                <c:pt idx="12" formatCode="0%">
                  <c:v>0.06</c:v>
                </c:pt>
              </c:numCache>
            </c:numRef>
          </c:xVal>
          <c:yVal>
            <c:numRef>
              <c:f>Inversa!$M$52:$M$64</c:f>
              <c:numCache>
                <c:formatCode>General</c:formatCode>
                <c:ptCount val="13"/>
                <c:pt idx="0">
                  <c:v>2.5055555555555557E-4</c:v>
                </c:pt>
                <c:pt idx="1">
                  <c:v>5.5463639028233429E-4</c:v>
                </c:pt>
                <c:pt idx="2">
                  <c:v>8.5871722500911307E-4</c:v>
                </c:pt>
                <c:pt idx="3">
                  <c:v>1.1627980597358918E-3</c:v>
                </c:pt>
                <c:pt idx="4">
                  <c:v>1.4668788944626706E-3</c:v>
                </c:pt>
                <c:pt idx="5">
                  <c:v>1.7709597291894496E-3</c:v>
                </c:pt>
                <c:pt idx="6">
                  <c:v>2.0750405639162282E-3</c:v>
                </c:pt>
                <c:pt idx="7">
                  <c:v>2.3791213986430072E-3</c:v>
                </c:pt>
                <c:pt idx="8">
                  <c:v>2.6832022333697857E-3</c:v>
                </c:pt>
                <c:pt idx="9">
                  <c:v>2.9872830680965643E-3</c:v>
                </c:pt>
                <c:pt idx="10">
                  <c:v>3.2905338483946796E-3</c:v>
                </c:pt>
                <c:pt idx="11">
                  <c:v>3.5954447375501223E-3</c:v>
                </c:pt>
                <c:pt idx="12">
                  <c:v>3.8995255722769008E-3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2-4916-B6E1-2B1FC131EEE7}"/>
            </c:ext>
          </c:extLst>
        </c:ser>
        <c:ser>
          <c:idx val="1"/>
          <c:order val="1"/>
          <c:tx>
            <c:v>Rendimiento esperado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Inversa!$H$43:$H$67</c:f>
              <c:numCache>
                <c:formatCode>General</c:formatCode>
                <c:ptCount val="25"/>
                <c:pt idx="0">
                  <c:v>1.0557127836043482E-2</c:v>
                </c:pt>
                <c:pt idx="1">
                  <c:v>1.0559696527113447E-2</c:v>
                </c:pt>
                <c:pt idx="2">
                  <c:v>1.0611619800480367E-2</c:v>
                </c:pt>
                <c:pt idx="3">
                  <c:v>1.0729433126624143E-2</c:v>
                </c:pt>
                <c:pt idx="4">
                  <c:v>1.0911002338510858E-2</c:v>
                </c:pt>
                <c:pt idx="5">
                  <c:v>1.1153214120907778E-2</c:v>
                </c:pt>
                <c:pt idx="6">
                  <c:v>1.145222139177292E-2</c:v>
                </c:pt>
                <c:pt idx="7">
                  <c:v>1.1803708771783689E-2</c:v>
                </c:pt>
                <c:pt idx="8">
                  <c:v>1.2203142345950184E-2</c:v>
                </c:pt>
                <c:pt idx="9">
                  <c:v>1.2645979671243316E-2</c:v>
                </c:pt>
                <c:pt idx="10">
                  <c:v>1.3127829103054824E-2</c:v>
                </c:pt>
                <c:pt idx="11">
                  <c:v>1.3644558199372547E-2</c:v>
                </c:pt>
                <c:pt idx="12">
                  <c:v>1.4192357673644407E-2</c:v>
                </c:pt>
                <c:pt idx="13">
                  <c:v>1.4767770332747574E-2</c:v>
                </c:pt>
                <c:pt idx="14">
                  <c:v>1.5989372041441893E-2</c:v>
                </c:pt>
                <c:pt idx="15">
                  <c:v>1.7288519355128627E-2</c:v>
                </c:pt>
                <c:pt idx="16">
                  <c:v>1.8649013117047784E-2</c:v>
                </c:pt>
                <c:pt idx="17">
                  <c:v>2.0058374423694778E-2</c:v>
                </c:pt>
                <c:pt idx="18">
                  <c:v>2.1506998496689272E-2</c:v>
                </c:pt>
                <c:pt idx="19">
                  <c:v>2.298746375062299E-2</c:v>
                </c:pt>
                <c:pt idx="20">
                  <c:v>2.6022071727437011E-2</c:v>
                </c:pt>
                <c:pt idx="21">
                  <c:v>2.9129239029300872E-2</c:v>
                </c:pt>
                <c:pt idx="22">
                  <c:v>3.7094093692519717E-2</c:v>
                </c:pt>
                <c:pt idx="23">
                  <c:v>4.5220887271994699E-2</c:v>
                </c:pt>
                <c:pt idx="24">
                  <c:v>4.9986351418210742E-2</c:v>
                </c:pt>
              </c:numCache>
            </c:numRef>
          </c:xVal>
          <c:yVal>
            <c:numRef>
              <c:f>Inversa!$I$43:$I$67</c:f>
              <c:numCache>
                <c:formatCode>General</c:formatCode>
                <c:ptCount val="25"/>
                <c:pt idx="0">
                  <c:v>3.861553924855251E-4</c:v>
                </c:pt>
                <c:pt idx="1">
                  <c:v>3.9999999999999986E-4</c:v>
                </c:pt>
                <c:pt idx="2">
                  <c:v>4.4999999999999988E-4</c:v>
                </c:pt>
                <c:pt idx="3">
                  <c:v>4.9999999999999979E-4</c:v>
                </c:pt>
                <c:pt idx="4">
                  <c:v>5.4999999999999992E-4</c:v>
                </c:pt>
                <c:pt idx="5" formatCode="0.00000000">
                  <c:v>5.9999999999999973E-4</c:v>
                </c:pt>
                <c:pt idx="6" formatCode="0.00000000">
                  <c:v>6.4999999999999975E-4</c:v>
                </c:pt>
                <c:pt idx="7" formatCode="0.00000000">
                  <c:v>6.9999999999999978E-4</c:v>
                </c:pt>
                <c:pt idx="8">
                  <c:v>7.4999999999999969E-4</c:v>
                </c:pt>
                <c:pt idx="9">
                  <c:v>7.9999999999999971E-4</c:v>
                </c:pt>
                <c:pt idx="10">
                  <c:v>8.4999999999999974E-4</c:v>
                </c:pt>
                <c:pt idx="11">
                  <c:v>8.9999999999999976E-4</c:v>
                </c:pt>
                <c:pt idx="12">
                  <c:v>9.4999999999999978E-4</c:v>
                </c:pt>
                <c:pt idx="13">
                  <c:v>9.999999999999998E-4</c:v>
                </c:pt>
                <c:pt idx="14">
                  <c:v>1.1000000000000001E-3</c:v>
                </c:pt>
                <c:pt idx="15">
                  <c:v>1.1999999999999995E-3</c:v>
                </c:pt>
                <c:pt idx="16">
                  <c:v>1.2999999999999997E-3</c:v>
                </c:pt>
                <c:pt idx="17">
                  <c:v>1.3999999999999993E-3</c:v>
                </c:pt>
                <c:pt idx="18">
                  <c:v>1.4999999999999996E-3</c:v>
                </c:pt>
                <c:pt idx="19">
                  <c:v>1.5999999999999996E-3</c:v>
                </c:pt>
                <c:pt idx="20">
                  <c:v>1.7999999999999997E-3</c:v>
                </c:pt>
                <c:pt idx="21">
                  <c:v>1.9999999999999992E-3</c:v>
                </c:pt>
                <c:pt idx="22">
                  <c:v>2.5000000000000001E-3</c:v>
                </c:pt>
                <c:pt idx="23">
                  <c:v>2.9999999999999996E-3</c:v>
                </c:pt>
                <c:pt idx="24">
                  <c:v>3.2905338483946813E-3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C2-4916-B6E1-2B1FC131EEE7}"/>
            </c:ext>
          </c:extLst>
        </c:ser>
        <c:ser>
          <c:idx val="2"/>
          <c:order val="2"/>
          <c:tx>
            <c:v>Minv Var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Inversa!$W$14</c:f>
              <c:numCache>
                <c:formatCode>General</c:formatCode>
                <c:ptCount val="1"/>
                <c:pt idx="0">
                  <c:v>1.0557127836043482E-2</c:v>
                </c:pt>
              </c:numCache>
            </c:numRef>
          </c:xVal>
          <c:yVal>
            <c:numRef>
              <c:f>Inversa!$W$12</c:f>
              <c:numCache>
                <c:formatCode>General</c:formatCode>
                <c:ptCount val="1"/>
                <c:pt idx="0">
                  <c:v>3.8615539248552526E-4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C2-4916-B6E1-2B1FC131EEE7}"/>
            </c:ext>
          </c:extLst>
        </c:ser>
        <c:ser>
          <c:idx val="3"/>
          <c:order val="3"/>
          <c:tx>
            <c:v>Portafolio Optimo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Inversa!$Z$33</c:f>
              <c:numCache>
                <c:formatCode>General</c:formatCode>
                <c:ptCount val="1"/>
                <c:pt idx="0">
                  <c:v>4.9986351418210728E-2</c:v>
                </c:pt>
              </c:numCache>
            </c:numRef>
          </c:xVal>
          <c:yVal>
            <c:numRef>
              <c:f>Inversa!$AA$31</c:f>
              <c:numCache>
                <c:formatCode>General</c:formatCode>
                <c:ptCount val="1"/>
                <c:pt idx="0">
                  <c:v>3.2905338483946796E-3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C2-4916-B6E1-2B1FC131E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41423"/>
        <c:axId val="34641903"/>
      </c:scatterChart>
      <c:valAx>
        <c:axId val="3464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641903"/>
        <c:crosses val="autoZero"/>
        <c:crossBetween val="midCat"/>
      </c:valAx>
      <c:valAx>
        <c:axId val="346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641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745611</xdr:colOff>
      <xdr:row>19</xdr:row>
      <xdr:rowOff>21303</xdr:rowOff>
    </xdr:from>
    <xdr:to>
      <xdr:col>13</xdr:col>
      <xdr:colOff>0</xdr:colOff>
      <xdr:row>38</xdr:row>
      <xdr:rowOff>174113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92FF2A-5C5C-E5FE-9CBE-8DF8C33F9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745611</xdr:colOff>
      <xdr:row>40</xdr:row>
      <xdr:rowOff>11059</xdr:rowOff>
    </xdr:from>
    <xdr:to>
      <xdr:col>12</xdr:col>
      <xdr:colOff>757902</xdr:colOff>
      <xdr:row>60</xdr:row>
      <xdr:rowOff>10241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1BCC10-D593-96D8-AA87-F8F3D9991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755851</xdr:colOff>
      <xdr:row>60</xdr:row>
      <xdr:rowOff>185173</xdr:rowOff>
    </xdr:from>
    <xdr:to>
      <xdr:col>12</xdr:col>
      <xdr:colOff>747660</xdr:colOff>
      <xdr:row>86</xdr:row>
      <xdr:rowOff>10241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76BABC5-4F3A-2AAD-C34C-6087C531A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18</xdr:row>
      <xdr:rowOff>4762</xdr:rowOff>
    </xdr:from>
    <xdr:to>
      <xdr:col>13</xdr:col>
      <xdr:colOff>19050</xdr:colOff>
      <xdr:row>38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2E24A4-BB05-5DCD-F395-708057D50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736600</xdr:colOff>
      <xdr:row>39</xdr:row>
      <xdr:rowOff>185282</xdr:rowOff>
    </xdr:from>
    <xdr:to>
      <xdr:col>13</xdr:col>
      <xdr:colOff>34018</xdr:colOff>
      <xdr:row>62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B09717-8E3F-0602-FC4C-C9C2241D4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758598</xdr:colOff>
      <xdr:row>63</xdr:row>
      <xdr:rowOff>17460</xdr:rowOff>
    </xdr:from>
    <xdr:to>
      <xdr:col>12</xdr:col>
      <xdr:colOff>748393</xdr:colOff>
      <xdr:row>83</xdr:row>
      <xdr:rowOff>181428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3EB4A3-6594-4E34-7F3F-317638640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762371</xdr:colOff>
      <xdr:row>17</xdr:row>
      <xdr:rowOff>41995</xdr:rowOff>
    </xdr:from>
    <xdr:to>
      <xdr:col>13</xdr:col>
      <xdr:colOff>1</xdr:colOff>
      <xdr:row>35</xdr:row>
      <xdr:rowOff>187992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7794A5-7737-585B-BFF2-6E2989DD5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1442</xdr:colOff>
      <xdr:row>37</xdr:row>
      <xdr:rowOff>13854</xdr:rowOff>
    </xdr:from>
    <xdr:to>
      <xdr:col>12</xdr:col>
      <xdr:colOff>764885</xdr:colOff>
      <xdr:row>56</xdr:row>
      <xdr:rowOff>43295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74CECF-CFD5-FCD6-3171-E78A9450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737465</xdr:colOff>
      <xdr:row>57</xdr:row>
      <xdr:rowOff>28286</xdr:rowOff>
    </xdr:from>
    <xdr:to>
      <xdr:col>13</xdr:col>
      <xdr:colOff>28863</xdr:colOff>
      <xdr:row>79</xdr:row>
      <xdr:rowOff>173182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828EA80-D4BD-E5AE-D5E6-C5F577D48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735723</xdr:colOff>
      <xdr:row>17</xdr:row>
      <xdr:rowOff>187215</xdr:rowOff>
    </xdr:from>
    <xdr:to>
      <xdr:col>14</xdr:col>
      <xdr:colOff>16422</xdr:colOff>
      <xdr:row>37</xdr:row>
      <xdr:rowOff>49266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D93EBF-AF84-E6E8-338D-9B23A44D1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735723</xdr:colOff>
      <xdr:row>37</xdr:row>
      <xdr:rowOff>163895</xdr:rowOff>
    </xdr:from>
    <xdr:to>
      <xdr:col>13</xdr:col>
      <xdr:colOff>739009</xdr:colOff>
      <xdr:row>56</xdr:row>
      <xdr:rowOff>180646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328E49-5704-BF63-90F1-724F14737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719301</xdr:colOff>
      <xdr:row>57</xdr:row>
      <xdr:rowOff>187216</xdr:rowOff>
    </xdr:from>
    <xdr:to>
      <xdr:col>14</xdr:col>
      <xdr:colOff>32844</xdr:colOff>
      <xdr:row>79</xdr:row>
      <xdr:rowOff>197068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134FF3-CFFB-70A1-6394-39B125CC0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24695</xdr:colOff>
      <xdr:row>17</xdr:row>
      <xdr:rowOff>4234</xdr:rowOff>
    </xdr:from>
    <xdr:to>
      <xdr:col>14</xdr:col>
      <xdr:colOff>17638</xdr:colOff>
      <xdr:row>35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533D79-4E39-0AAA-E1CC-F74BC5233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703790</xdr:colOff>
      <xdr:row>37</xdr:row>
      <xdr:rowOff>4232</xdr:rowOff>
    </xdr:from>
    <xdr:to>
      <xdr:col>14</xdr:col>
      <xdr:colOff>35276</xdr:colOff>
      <xdr:row>56</xdr:row>
      <xdr:rowOff>52916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4F2C06-2D55-0030-1AEA-DB594814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721429</xdr:colOff>
      <xdr:row>57</xdr:row>
      <xdr:rowOff>57151</xdr:rowOff>
    </xdr:from>
    <xdr:to>
      <xdr:col>14</xdr:col>
      <xdr:colOff>-1</xdr:colOff>
      <xdr:row>77</xdr:row>
      <xdr:rowOff>70555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74DB392-E595-BE6A-C081-DD668A6BB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649689</xdr:colOff>
      <xdr:row>45</xdr:row>
      <xdr:rowOff>170597</xdr:rowOff>
    </xdr:from>
    <xdr:to>
      <xdr:col>25</xdr:col>
      <xdr:colOff>639739</xdr:colOff>
      <xdr:row>65</xdr:row>
      <xdr:rowOff>28433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75D2E7-463A-0B9C-82C5-ADFE9EA43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0"/>
  <sheetViews>
    <sheetView zoomScale="72" workbookViewId="0">
      <selection activeCell="N23" sqref="J21:N23"/>
    </sheetView>
  </sheetViews>
  <sheetFormatPr baseColWidth="10" defaultRowHeight="15" x14ac:dyDescent="0.25"/>
  <cols>
    <col min="6" max="6" width="30.42578125" customWidth="1"/>
    <col min="7" max="7" width="16.85546875" customWidth="1"/>
    <col min="8" max="8" width="14.28515625" customWidth="1"/>
  </cols>
  <sheetData>
    <row r="1" spans="1:10" x14ac:dyDescent="0.25">
      <c r="A1" s="21" t="s">
        <v>48</v>
      </c>
      <c r="B1" s="21" t="s">
        <v>1308</v>
      </c>
      <c r="C1" s="20" t="s">
        <v>1</v>
      </c>
      <c r="D1" s="20" t="s">
        <v>2</v>
      </c>
      <c r="E1" s="6"/>
      <c r="F1" s="18" t="s">
        <v>3</v>
      </c>
      <c r="G1" s="8">
        <f>B2</f>
        <v>168.52</v>
      </c>
      <c r="H1" s="6"/>
    </row>
    <row r="2" spans="1:10" x14ac:dyDescent="0.25">
      <c r="A2" t="s">
        <v>49</v>
      </c>
      <c r="B2">
        <v>168.52</v>
      </c>
      <c r="C2" s="6">
        <f>(B2/B3)-1</f>
        <v>1.9294743845642115E-2</v>
      </c>
      <c r="D2" s="6">
        <f>LN(B2/B3)</f>
        <v>1.9110960547562183E-2</v>
      </c>
      <c r="E2" s="6"/>
      <c r="F2" s="18" t="s">
        <v>4</v>
      </c>
      <c r="G2" s="8">
        <f>MIN(B2:B1260)</f>
        <v>65.91</v>
      </c>
      <c r="H2" s="6"/>
    </row>
    <row r="3" spans="1:10" x14ac:dyDescent="0.25">
      <c r="A3" t="s">
        <v>50</v>
      </c>
      <c r="B3">
        <v>165.33</v>
      </c>
      <c r="C3" s="6">
        <f t="shared" ref="C3:C66" si="0">(B3/B4)-1</f>
        <v>-1.1184210526315685E-2</v>
      </c>
      <c r="D3" s="6">
        <f t="shared" ref="D3:D66" si="1">LN(B3/B4)</f>
        <v>-1.1247224087347477E-2</v>
      </c>
      <c r="E3" s="6"/>
      <c r="F3" s="18" t="s">
        <v>5</v>
      </c>
      <c r="G3" s="8">
        <f>MAX(B2:B1260)</f>
        <v>189.85</v>
      </c>
      <c r="H3" s="6"/>
    </row>
    <row r="4" spans="1:10" x14ac:dyDescent="0.25">
      <c r="A4" t="s">
        <v>51</v>
      </c>
      <c r="B4">
        <v>167.2</v>
      </c>
      <c r="C4" s="6">
        <f t="shared" si="0"/>
        <v>2.106870229007618E-2</v>
      </c>
      <c r="D4" s="6">
        <f t="shared" si="1"/>
        <v>2.0849826135239797E-2</v>
      </c>
      <c r="E4" s="6"/>
      <c r="F4" s="18" t="s">
        <v>6</v>
      </c>
      <c r="G4" s="12">
        <f>AVERAGE(B2:B1260)</f>
        <v>134.32139793486891</v>
      </c>
      <c r="H4" s="6"/>
    </row>
    <row r="5" spans="1:10" x14ac:dyDescent="0.25">
      <c r="A5" t="s">
        <v>52</v>
      </c>
      <c r="B5">
        <v>163.75</v>
      </c>
      <c r="C5" s="6">
        <f t="shared" si="0"/>
        <v>1.7839383391347718E-2</v>
      </c>
      <c r="D5" s="6">
        <f t="shared" si="1"/>
        <v>1.768212905096482E-2</v>
      </c>
      <c r="E5" s="6"/>
      <c r="F5" s="18" t="s">
        <v>7</v>
      </c>
      <c r="G5" s="13">
        <f>STDEVA(B2:B1260)</f>
        <v>25.490302737635595</v>
      </c>
      <c r="H5" s="6"/>
    </row>
    <row r="6" spans="1:10" x14ac:dyDescent="0.25">
      <c r="A6" t="s">
        <v>53</v>
      </c>
      <c r="B6">
        <v>160.88</v>
      </c>
      <c r="C6" s="6">
        <f t="shared" si="0"/>
        <v>6.8214531572690085E-3</v>
      </c>
      <c r="D6" s="6">
        <f t="shared" si="1"/>
        <v>6.7982923130995533E-3</v>
      </c>
      <c r="E6" s="6"/>
      <c r="F6" s="6"/>
      <c r="G6" s="6"/>
      <c r="H6" s="6"/>
    </row>
    <row r="7" spans="1:10" x14ac:dyDescent="0.25">
      <c r="A7" t="s">
        <v>54</v>
      </c>
      <c r="B7">
        <v>159.79</v>
      </c>
      <c r="C7" s="6">
        <f t="shared" si="0"/>
        <v>1.6088007121963566E-2</v>
      </c>
      <c r="D7" s="6">
        <f t="shared" si="1"/>
        <v>1.5959966587927112E-2</v>
      </c>
      <c r="E7" s="6"/>
      <c r="F7" s="6"/>
      <c r="G7" s="6"/>
      <c r="H7" s="6"/>
    </row>
    <row r="8" spans="1:10" x14ac:dyDescent="0.25">
      <c r="A8" t="s">
        <v>55</v>
      </c>
      <c r="B8">
        <v>157.26</v>
      </c>
      <c r="C8" s="6">
        <f t="shared" si="0"/>
        <v>4.4708695941008347E-2</v>
      </c>
      <c r="D8" s="6">
        <f t="shared" si="1"/>
        <v>4.3738086690957315E-2</v>
      </c>
      <c r="E8" s="6"/>
      <c r="F8" s="20" t="s">
        <v>8</v>
      </c>
      <c r="G8" s="20" t="s">
        <v>9</v>
      </c>
      <c r="H8" s="20" t="s">
        <v>0</v>
      </c>
    </row>
    <row r="9" spans="1:10" x14ac:dyDescent="0.25">
      <c r="A9" t="s">
        <v>56</v>
      </c>
      <c r="B9">
        <v>150.53</v>
      </c>
      <c r="C9" s="6">
        <f t="shared" si="0"/>
        <v>2.2552815705454643E-2</v>
      </c>
      <c r="D9" s="6">
        <f t="shared" si="1"/>
        <v>2.2302261102490711E-2</v>
      </c>
      <c r="E9" s="6"/>
      <c r="F9" s="18" t="s">
        <v>4</v>
      </c>
      <c r="G9" s="9">
        <f>MIN(C2:C1259)</f>
        <v>-0.11135898865960214</v>
      </c>
      <c r="H9" s="8">
        <f>MIN(D2:D1259)</f>
        <v>-0.11806193678774089</v>
      </c>
    </row>
    <row r="10" spans="1:10" x14ac:dyDescent="0.25">
      <c r="A10" t="s">
        <v>57</v>
      </c>
      <c r="B10">
        <v>147.21</v>
      </c>
      <c r="C10" s="6">
        <f t="shared" si="0"/>
        <v>-5.6737588652482351E-3</v>
      </c>
      <c r="D10" s="6">
        <f t="shared" si="1"/>
        <v>-5.6899157776785702E-3</v>
      </c>
      <c r="E10" s="6"/>
      <c r="F10" s="18" t="s">
        <v>5</v>
      </c>
      <c r="G10" s="9">
        <f>MAX(C2:C1259)</f>
        <v>8.8737695425593399E-2</v>
      </c>
      <c r="H10" s="8">
        <f>MAX(D2:D1259)</f>
        <v>8.501894755983376E-2</v>
      </c>
    </row>
    <row r="11" spans="1:10" x14ac:dyDescent="0.25">
      <c r="A11" t="s">
        <v>58</v>
      </c>
      <c r="B11">
        <v>148.05000000000001</v>
      </c>
      <c r="C11" s="6">
        <f t="shared" si="0"/>
        <v>2.1175334528900747E-2</v>
      </c>
      <c r="D11" s="6">
        <f t="shared" si="1"/>
        <v>2.0954252674868782E-2</v>
      </c>
      <c r="E11" s="6"/>
      <c r="F11" s="19" t="s">
        <v>47</v>
      </c>
      <c r="G11" s="16">
        <f>SUM(C2:C1259)/1259</f>
        <v>9.8576928121036321E-4</v>
      </c>
      <c r="H11" s="16">
        <f>AVERAGE(C2:C1259)</f>
        <v>9.8655288159288325E-4</v>
      </c>
    </row>
    <row r="12" spans="1:10" x14ac:dyDescent="0.25">
      <c r="A12" t="s">
        <v>59</v>
      </c>
      <c r="B12">
        <v>144.97999999999999</v>
      </c>
      <c r="C12" s="6">
        <f t="shared" si="0"/>
        <v>2.3725462505295836E-2</v>
      </c>
      <c r="D12" s="6">
        <f t="shared" si="1"/>
        <v>2.3448387649103786E-2</v>
      </c>
      <c r="E12" s="6"/>
      <c r="F12" s="18" t="s">
        <v>10</v>
      </c>
      <c r="G12" s="10">
        <f>G11*252</f>
        <v>0.24841385886501152</v>
      </c>
      <c r="H12" s="8">
        <f>H11*252</f>
        <v>0.24861132616140658</v>
      </c>
      <c r="J12" t="s">
        <v>11</v>
      </c>
    </row>
    <row r="13" spans="1:10" x14ac:dyDescent="0.25">
      <c r="A13" t="s">
        <v>60</v>
      </c>
      <c r="B13">
        <v>141.62</v>
      </c>
      <c r="C13" s="6">
        <f t="shared" si="0"/>
        <v>-2.4588470280322294E-2</v>
      </c>
      <c r="D13" s="6">
        <f t="shared" si="1"/>
        <v>-2.4895815271968411E-2</v>
      </c>
      <c r="E13" s="6"/>
      <c r="F13" s="18" t="s">
        <v>7</v>
      </c>
      <c r="G13" s="10">
        <f>STDEVA(C2:C1256)</f>
        <v>2.1949826953571623E-2</v>
      </c>
      <c r="H13" s="8">
        <f>STDEVA(D2:D1256)</f>
        <v>2.1920089472122886E-2</v>
      </c>
    </row>
    <row r="14" spans="1:10" x14ac:dyDescent="0.25">
      <c r="A14" t="s">
        <v>61</v>
      </c>
      <c r="B14">
        <v>145.19</v>
      </c>
      <c r="C14" s="6">
        <f t="shared" si="0"/>
        <v>-3.4769312591410695E-2</v>
      </c>
      <c r="D14" s="6">
        <f t="shared" si="1"/>
        <v>-3.5388151902660654E-2</v>
      </c>
      <c r="E14" s="6"/>
      <c r="F14" s="18" t="s">
        <v>12</v>
      </c>
      <c r="G14" s="11">
        <f>G13*SQRT(252)</f>
        <v>0.34844270064031807</v>
      </c>
      <c r="H14" s="11">
        <f>H13*SQRT(252)</f>
        <v>0.34797063275713352</v>
      </c>
      <c r="J14" t="s">
        <v>13</v>
      </c>
    </row>
    <row r="15" spans="1:10" x14ac:dyDescent="0.25">
      <c r="A15" t="s">
        <v>62</v>
      </c>
      <c r="B15">
        <v>150.41999999999999</v>
      </c>
      <c r="C15" s="6">
        <f t="shared" si="0"/>
        <v>8.8737695425593399E-2</v>
      </c>
      <c r="D15" s="6">
        <f t="shared" si="1"/>
        <v>8.501894755983376E-2</v>
      </c>
      <c r="E15" s="6"/>
      <c r="F15" s="19" t="s">
        <v>14</v>
      </c>
      <c r="G15" s="14">
        <f>VARA(C2:C1259)</f>
        <v>4.8130730917064112E-4</v>
      </c>
      <c r="H15" s="14">
        <f>VARA(D2:D1259)</f>
        <v>4.8000350825469859E-4</v>
      </c>
    </row>
    <row r="16" spans="1:10" x14ac:dyDescent="0.25">
      <c r="A16" t="s">
        <v>63</v>
      </c>
      <c r="B16">
        <v>138.16</v>
      </c>
      <c r="C16" s="6">
        <f t="shared" si="0"/>
        <v>1.5882352941176459E-2</v>
      </c>
      <c r="D16" s="6">
        <f t="shared" si="1"/>
        <v>1.5757548102371143E-2</v>
      </c>
      <c r="E16" s="6"/>
      <c r="F16" s="19" t="s">
        <v>34</v>
      </c>
      <c r="G16" s="15">
        <f>SQRT(G15)</f>
        <v>2.1938717126820363E-2</v>
      </c>
      <c r="H16" s="15">
        <f>SQRT(H15)</f>
        <v>2.1908982364653513E-2</v>
      </c>
    </row>
    <row r="17" spans="1:8" x14ac:dyDescent="0.25">
      <c r="A17" t="s">
        <v>64</v>
      </c>
      <c r="B17">
        <v>136</v>
      </c>
      <c r="C17" s="6">
        <f t="shared" si="0"/>
        <v>-5.5096227332731229E-2</v>
      </c>
      <c r="D17" s="6">
        <f t="shared" si="1"/>
        <v>-5.6672184538527404E-2</v>
      </c>
      <c r="E17" s="6"/>
      <c r="F17" s="6"/>
      <c r="G17" s="6"/>
      <c r="H17" s="6"/>
    </row>
    <row r="18" spans="1:8" x14ac:dyDescent="0.25">
      <c r="A18" t="s">
        <v>65</v>
      </c>
      <c r="B18">
        <v>143.93</v>
      </c>
      <c r="C18" s="6">
        <f t="shared" si="0"/>
        <v>-6.7871251861925996E-2</v>
      </c>
      <c r="D18" s="6">
        <f t="shared" si="1"/>
        <v>-7.0284332058193427E-2</v>
      </c>
      <c r="E18" s="6"/>
      <c r="F18" s="6"/>
      <c r="G18" s="6"/>
      <c r="H18" s="6"/>
    </row>
    <row r="19" spans="1:8" x14ac:dyDescent="0.25">
      <c r="A19" t="s">
        <v>66</v>
      </c>
      <c r="B19">
        <v>154.41</v>
      </c>
      <c r="C19" s="6">
        <f t="shared" si="0"/>
        <v>6.4823115647196783E-2</v>
      </c>
      <c r="D19" s="6">
        <f t="shared" si="1"/>
        <v>6.2808696772969047E-2</v>
      </c>
      <c r="E19" s="6"/>
      <c r="F19" s="6"/>
      <c r="G19" s="6"/>
      <c r="H19" s="6"/>
    </row>
    <row r="20" spans="1:8" x14ac:dyDescent="0.25">
      <c r="A20" t="s">
        <v>67</v>
      </c>
      <c r="B20">
        <v>145.01</v>
      </c>
      <c r="C20" s="6">
        <f t="shared" si="0"/>
        <v>4.0853067442183644E-3</v>
      </c>
      <c r="D20" s="6">
        <f t="shared" si="1"/>
        <v>4.0769845367683586E-3</v>
      </c>
      <c r="E20" s="6"/>
      <c r="F20" s="6"/>
      <c r="G20" s="6"/>
      <c r="H20" s="6"/>
    </row>
    <row r="21" spans="1:8" x14ac:dyDescent="0.25">
      <c r="A21" t="s">
        <v>68</v>
      </c>
      <c r="B21">
        <v>144.41999999999999</v>
      </c>
      <c r="C21" s="6">
        <f t="shared" si="0"/>
        <v>1.754385964912264E-2</v>
      </c>
      <c r="D21" s="6">
        <f t="shared" si="1"/>
        <v>1.739174271186902E-2</v>
      </c>
      <c r="E21" s="6"/>
      <c r="F21" s="6"/>
      <c r="G21" s="6"/>
      <c r="H21" s="6"/>
    </row>
    <row r="22" spans="1:8" x14ac:dyDescent="0.25">
      <c r="A22" t="s">
        <v>69</v>
      </c>
      <c r="B22">
        <v>141.93</v>
      </c>
      <c r="C22" s="6">
        <f t="shared" si="0"/>
        <v>-2.7277088616270206E-2</v>
      </c>
      <c r="D22" s="6">
        <f t="shared" si="1"/>
        <v>-2.7656014964764542E-2</v>
      </c>
      <c r="E22" s="6"/>
      <c r="F22" s="6"/>
      <c r="G22" s="6"/>
      <c r="H22" s="6"/>
    </row>
    <row r="23" spans="1:8" x14ac:dyDescent="0.25">
      <c r="A23" t="s">
        <v>70</v>
      </c>
      <c r="B23">
        <v>145.91</v>
      </c>
      <c r="C23" s="6">
        <f t="shared" si="0"/>
        <v>-9.5037675649990438E-3</v>
      </c>
      <c r="D23" s="6">
        <f t="shared" si="1"/>
        <v>-9.5492165509159909E-3</v>
      </c>
      <c r="E23" s="6"/>
      <c r="F23" s="6"/>
      <c r="G23" s="6"/>
      <c r="H23" s="6"/>
    </row>
    <row r="24" spans="1:8" x14ac:dyDescent="0.25">
      <c r="A24" t="s">
        <v>71</v>
      </c>
      <c r="B24">
        <v>147.31</v>
      </c>
      <c r="C24" s="6">
        <f t="shared" si="0"/>
        <v>2.0788580139976531E-2</v>
      </c>
      <c r="D24" s="6">
        <f t="shared" si="1"/>
        <v>2.0575446378860673E-2</v>
      </c>
      <c r="E24" s="6"/>
      <c r="F24" s="6"/>
      <c r="G24" s="6"/>
      <c r="H24" s="6"/>
    </row>
    <row r="25" spans="1:8" x14ac:dyDescent="0.25">
      <c r="A25" t="s">
        <v>72</v>
      </c>
      <c r="B25">
        <v>144.31</v>
      </c>
      <c r="C25" s="6">
        <f t="shared" si="0"/>
        <v>-2.3348673524634433E-2</v>
      </c>
      <c r="D25" s="6">
        <f t="shared" si="1"/>
        <v>-2.3625572442998025E-2</v>
      </c>
      <c r="E25" s="6"/>
      <c r="F25" s="6"/>
      <c r="G25" s="6"/>
      <c r="H25" s="6"/>
    </row>
    <row r="26" spans="1:8" x14ac:dyDescent="0.25">
      <c r="A26" t="s">
        <v>73</v>
      </c>
      <c r="B26">
        <v>147.76</v>
      </c>
      <c r="C26" s="6">
        <f t="shared" si="0"/>
        <v>-1.0778603467898606E-2</v>
      </c>
      <c r="D26" s="6">
        <f t="shared" si="1"/>
        <v>-1.0837113431216629E-2</v>
      </c>
      <c r="E26" s="6"/>
      <c r="F26" s="6"/>
      <c r="G26" s="6"/>
      <c r="H26" s="6"/>
    </row>
    <row r="27" spans="1:8" x14ac:dyDescent="0.25">
      <c r="A27" t="s">
        <v>74</v>
      </c>
      <c r="B27">
        <v>149.37</v>
      </c>
      <c r="C27" s="6">
        <f t="shared" si="0"/>
        <v>-1.0860207933249377E-2</v>
      </c>
      <c r="D27" s="6">
        <f t="shared" si="1"/>
        <v>-1.091961046549665E-2</v>
      </c>
      <c r="E27" s="6"/>
      <c r="F27" s="6"/>
      <c r="G27" s="6"/>
      <c r="H27" s="6"/>
    </row>
    <row r="28" spans="1:8" x14ac:dyDescent="0.25">
      <c r="A28" t="s">
        <v>75</v>
      </c>
      <c r="B28">
        <v>151.01</v>
      </c>
      <c r="C28" s="6">
        <f t="shared" si="0"/>
        <v>4.5902075572112899E-3</v>
      </c>
      <c r="D28" s="6">
        <f t="shared" si="1"/>
        <v>4.5797046824879086E-3</v>
      </c>
      <c r="E28" s="6"/>
      <c r="F28" s="6"/>
      <c r="G28" s="6"/>
      <c r="H28" s="6"/>
    </row>
    <row r="29" spans="1:8" x14ac:dyDescent="0.25">
      <c r="A29" t="s">
        <v>76</v>
      </c>
      <c r="B29">
        <v>150.32</v>
      </c>
      <c r="C29" s="6">
        <f t="shared" si="0"/>
        <v>5.8213449314152843E-3</v>
      </c>
      <c r="D29" s="6">
        <f t="shared" si="1"/>
        <v>5.8044663752631048E-3</v>
      </c>
      <c r="E29" s="6"/>
      <c r="F29" s="6"/>
      <c r="G29" s="6"/>
      <c r="H29" s="6"/>
    </row>
    <row r="30" spans="1:8" x14ac:dyDescent="0.25">
      <c r="A30" t="s">
        <v>77</v>
      </c>
      <c r="B30">
        <v>149.44999999999999</v>
      </c>
      <c r="C30" s="6">
        <f t="shared" si="0"/>
        <v>3.4241976634885596E-3</v>
      </c>
      <c r="D30" s="6">
        <f t="shared" si="1"/>
        <v>3.4183484474472935E-3</v>
      </c>
      <c r="E30" s="6"/>
      <c r="F30" s="6"/>
      <c r="G30" s="6"/>
      <c r="H30" s="6"/>
    </row>
    <row r="31" spans="1:8" x14ac:dyDescent="0.25">
      <c r="A31" t="s">
        <v>78</v>
      </c>
      <c r="B31">
        <v>148.94</v>
      </c>
      <c r="C31" s="6">
        <f t="shared" si="0"/>
        <v>1.5753938484621255E-2</v>
      </c>
      <c r="D31" s="6">
        <f t="shared" si="1"/>
        <v>1.5631133293511731E-2</v>
      </c>
      <c r="E31" s="6"/>
      <c r="F31" s="6"/>
      <c r="G31" s="6"/>
      <c r="H31" s="6"/>
    </row>
    <row r="32" spans="1:8" x14ac:dyDescent="0.25">
      <c r="A32" t="s">
        <v>79</v>
      </c>
      <c r="B32">
        <v>146.63</v>
      </c>
      <c r="C32" s="6">
        <f t="shared" si="0"/>
        <v>9.5703662902779651E-3</v>
      </c>
      <c r="D32" s="6">
        <f t="shared" si="1"/>
        <v>9.524860442852617E-3</v>
      </c>
      <c r="E32" s="6"/>
      <c r="F32" s="6"/>
      <c r="G32" s="6"/>
      <c r="H32" s="6"/>
    </row>
    <row r="33" spans="1:8" x14ac:dyDescent="0.25">
      <c r="A33" t="s">
        <v>80</v>
      </c>
      <c r="B33">
        <v>145.24</v>
      </c>
      <c r="C33" s="6">
        <f t="shared" si="0"/>
        <v>-5.7502738225629901E-3</v>
      </c>
      <c r="D33" s="6">
        <f t="shared" si="1"/>
        <v>-5.7668703005233123E-3</v>
      </c>
      <c r="E33" s="6"/>
      <c r="F33" s="6"/>
      <c r="G33" s="6"/>
      <c r="H33" s="6"/>
    </row>
    <row r="34" spans="1:8" x14ac:dyDescent="0.25">
      <c r="A34" t="s">
        <v>81</v>
      </c>
      <c r="B34">
        <v>146.08000000000001</v>
      </c>
      <c r="C34" s="6">
        <f t="shared" si="0"/>
        <v>1.7908159710124938E-2</v>
      </c>
      <c r="D34" s="6">
        <f t="shared" si="1"/>
        <v>1.7749697663818068E-2</v>
      </c>
      <c r="E34" s="6"/>
      <c r="F34" s="6"/>
      <c r="G34" s="6"/>
      <c r="H34" s="6"/>
    </row>
    <row r="35" spans="1:8" x14ac:dyDescent="0.25">
      <c r="A35" t="s">
        <v>82</v>
      </c>
      <c r="B35">
        <v>143.51</v>
      </c>
      <c r="C35" s="6">
        <f t="shared" si="0"/>
        <v>7.7241766729863048E-3</v>
      </c>
      <c r="D35" s="6">
        <f t="shared" si="1"/>
        <v>7.6944979515039709E-3</v>
      </c>
      <c r="E35" s="6"/>
      <c r="F35" s="6"/>
      <c r="G35" s="6"/>
      <c r="H35" s="6"/>
    </row>
    <row r="36" spans="1:8" x14ac:dyDescent="0.25">
      <c r="A36" t="s">
        <v>83</v>
      </c>
      <c r="B36">
        <v>142.41</v>
      </c>
      <c r="C36" s="6">
        <f t="shared" si="0"/>
        <v>-3.7835281399905329E-2</v>
      </c>
      <c r="D36" s="6">
        <f t="shared" si="1"/>
        <v>-3.8569617817760908E-2</v>
      </c>
      <c r="E36" s="6"/>
      <c r="F36" s="6"/>
      <c r="G36" s="6"/>
      <c r="H36" s="6"/>
    </row>
    <row r="37" spans="1:8" x14ac:dyDescent="0.25">
      <c r="A37" t="s">
        <v>84</v>
      </c>
      <c r="B37">
        <v>148.01</v>
      </c>
      <c r="C37" s="6">
        <f t="shared" si="0"/>
        <v>7.6933551198257177E-3</v>
      </c>
      <c r="D37" s="6">
        <f t="shared" si="1"/>
        <v>7.6639121769170324E-3</v>
      </c>
      <c r="E37" s="6"/>
      <c r="F37" s="6"/>
      <c r="G37" s="6"/>
      <c r="H37" s="6"/>
    </row>
    <row r="38" spans="1:8" x14ac:dyDescent="0.25">
      <c r="A38" t="s">
        <v>85</v>
      </c>
      <c r="B38">
        <v>146.88</v>
      </c>
      <c r="C38" s="6">
        <f t="shared" si="0"/>
        <v>-6.0228733843135096E-3</v>
      </c>
      <c r="D38" s="6">
        <f t="shared" si="1"/>
        <v>-6.0410840433622629E-3</v>
      </c>
      <c r="E38" s="6"/>
      <c r="F38" s="6"/>
      <c r="G38" s="6"/>
      <c r="H38" s="6"/>
    </row>
    <row r="39" spans="1:8" x14ac:dyDescent="0.25">
      <c r="A39" t="s">
        <v>86</v>
      </c>
      <c r="B39">
        <v>147.77000000000001</v>
      </c>
      <c r="C39" s="6">
        <f t="shared" si="0"/>
        <v>-1.4077929009874479E-2</v>
      </c>
      <c r="D39" s="6">
        <f t="shared" si="1"/>
        <v>-1.4177963009943983E-2</v>
      </c>
      <c r="E39" s="6"/>
      <c r="F39" s="6"/>
      <c r="G39" s="6"/>
      <c r="H39" s="6"/>
    </row>
    <row r="40" spans="1:8" x14ac:dyDescent="0.25">
      <c r="A40" t="s">
        <v>87</v>
      </c>
      <c r="B40">
        <v>149.88</v>
      </c>
      <c r="C40" s="6">
        <f t="shared" si="0"/>
        <v>1.8829447352321171E-2</v>
      </c>
      <c r="D40" s="6">
        <f t="shared" si="1"/>
        <v>1.8654367663365964E-2</v>
      </c>
      <c r="E40" s="6"/>
      <c r="F40" s="6"/>
      <c r="G40" s="6"/>
      <c r="H40" s="6"/>
    </row>
    <row r="41" spans="1:8" x14ac:dyDescent="0.25">
      <c r="A41" t="s">
        <v>88</v>
      </c>
      <c r="B41">
        <v>147.11000000000001</v>
      </c>
      <c r="C41" s="6">
        <f t="shared" si="0"/>
        <v>1.5672466169566412E-2</v>
      </c>
      <c r="D41" s="6">
        <f t="shared" si="1"/>
        <v>1.5550921364679986E-2</v>
      </c>
      <c r="E41" s="6"/>
      <c r="F41" s="6"/>
      <c r="G41" s="6"/>
      <c r="H41" s="6"/>
    </row>
    <row r="42" spans="1:8" x14ac:dyDescent="0.25">
      <c r="A42" t="s">
        <v>89</v>
      </c>
      <c r="B42">
        <v>144.84</v>
      </c>
      <c r="C42" s="6">
        <f t="shared" si="0"/>
        <v>-1.6500305561214179E-2</v>
      </c>
      <c r="D42" s="6">
        <f t="shared" si="1"/>
        <v>-1.6637951840630456E-2</v>
      </c>
      <c r="E42" s="6"/>
      <c r="F42" s="6"/>
      <c r="G42" s="6"/>
      <c r="H42" s="6"/>
    </row>
    <row r="43" spans="1:8" x14ac:dyDescent="0.25">
      <c r="A43" t="s">
        <v>90</v>
      </c>
      <c r="B43">
        <v>147.27000000000001</v>
      </c>
      <c r="C43" s="6">
        <f t="shared" si="0"/>
        <v>-2.508936846286236E-2</v>
      </c>
      <c r="D43" s="6">
        <f t="shared" si="1"/>
        <v>-2.5409472147231011E-2</v>
      </c>
      <c r="E43" s="6"/>
      <c r="F43" s="6"/>
      <c r="G43" s="6"/>
      <c r="H43" s="6"/>
    </row>
    <row r="44" spans="1:8" x14ac:dyDescent="0.25">
      <c r="A44" t="s">
        <v>91</v>
      </c>
      <c r="B44">
        <v>151.06</v>
      </c>
      <c r="C44" s="6">
        <f t="shared" si="0"/>
        <v>2.3857936830690152E-2</v>
      </c>
      <c r="D44" s="6">
        <f t="shared" si="1"/>
        <v>2.3577783429145873E-2</v>
      </c>
      <c r="E44" s="6"/>
      <c r="F44" s="6"/>
      <c r="G44" s="6"/>
      <c r="H44" s="6"/>
    </row>
    <row r="45" spans="1:8" x14ac:dyDescent="0.25">
      <c r="A45" t="s">
        <v>92</v>
      </c>
      <c r="B45">
        <v>147.54</v>
      </c>
      <c r="C45" s="6">
        <f t="shared" si="0"/>
        <v>-2.588142083718481E-2</v>
      </c>
      <c r="D45" s="6">
        <f t="shared" si="1"/>
        <v>-2.6222238229520498E-2</v>
      </c>
      <c r="E45" s="6"/>
      <c r="F45" s="6"/>
      <c r="G45" s="6"/>
      <c r="H45" s="6"/>
    </row>
    <row r="46" spans="1:8" x14ac:dyDescent="0.25">
      <c r="A46" t="s">
        <v>93</v>
      </c>
      <c r="B46">
        <v>151.46</v>
      </c>
      <c r="C46" s="6">
        <f t="shared" si="0"/>
        <v>-8.9642085977884589E-3</v>
      </c>
      <c r="D46" s="6">
        <f t="shared" si="1"/>
        <v>-9.0046288540684329E-3</v>
      </c>
      <c r="E46" s="6"/>
      <c r="F46" s="6"/>
      <c r="G46" s="6"/>
      <c r="H46" s="6"/>
    </row>
    <row r="47" spans="1:8" x14ac:dyDescent="0.25">
      <c r="A47" t="s">
        <v>94</v>
      </c>
      <c r="B47">
        <v>152.83000000000001</v>
      </c>
      <c r="C47" s="6">
        <f t="shared" si="0"/>
        <v>-1.4635718891037874E-2</v>
      </c>
      <c r="D47" s="6">
        <f t="shared" si="1"/>
        <v>-1.4743877642747984E-2</v>
      </c>
      <c r="E47" s="6"/>
      <c r="F47" s="6"/>
      <c r="G47" s="6"/>
      <c r="H47" s="6"/>
    </row>
    <row r="48" spans="1:8" x14ac:dyDescent="0.25">
      <c r="A48" t="s">
        <v>95</v>
      </c>
      <c r="B48">
        <v>155.1</v>
      </c>
      <c r="C48" s="6">
        <f t="shared" si="0"/>
        <v>-3.8535645472060898E-3</v>
      </c>
      <c r="D48" s="6">
        <f t="shared" si="1"/>
        <v>-3.8610086574594311E-3</v>
      </c>
      <c r="E48" s="6"/>
      <c r="F48" s="6"/>
      <c r="G48" s="6"/>
      <c r="H48" s="6"/>
    </row>
    <row r="49" spans="1:8" x14ac:dyDescent="0.25">
      <c r="A49" t="s">
        <v>96</v>
      </c>
      <c r="B49">
        <v>155.69999999999999</v>
      </c>
      <c r="C49" s="6">
        <f t="shared" si="0"/>
        <v>-7.9643198470850107E-3</v>
      </c>
      <c r="D49" s="6">
        <f t="shared" si="1"/>
        <v>-7.9962044480098651E-3</v>
      </c>
      <c r="E49" s="6"/>
      <c r="F49" s="6"/>
      <c r="G49" s="6"/>
      <c r="H49" s="6"/>
    </row>
    <row r="50" spans="1:8" x14ac:dyDescent="0.25">
      <c r="A50" t="s">
        <v>97</v>
      </c>
      <c r="B50">
        <v>156.94999999999999</v>
      </c>
      <c r="C50" s="6">
        <f t="shared" si="0"/>
        <v>2.8910449718106745E-2</v>
      </c>
      <c r="D50" s="6">
        <f t="shared" si="1"/>
        <v>2.8500426551870059E-2</v>
      </c>
      <c r="E50" s="6"/>
      <c r="F50" s="6"/>
      <c r="G50" s="6"/>
      <c r="H50" s="6"/>
    </row>
    <row r="51" spans="1:8" x14ac:dyDescent="0.25">
      <c r="A51" t="s">
        <v>98</v>
      </c>
      <c r="B51">
        <v>152.54</v>
      </c>
      <c r="C51" s="6">
        <f t="shared" si="0"/>
        <v>5.7361376673039643E-3</v>
      </c>
      <c r="D51" s="6">
        <f t="shared" si="1"/>
        <v>5.7197486727869088E-3</v>
      </c>
      <c r="E51" s="6"/>
      <c r="F51" s="6"/>
      <c r="G51" s="6"/>
      <c r="H51" s="6"/>
    </row>
    <row r="52" spans="1:8" x14ac:dyDescent="0.25">
      <c r="A52" t="s">
        <v>99</v>
      </c>
      <c r="B52">
        <v>151.66999999999999</v>
      </c>
      <c r="C52" s="6">
        <f t="shared" si="0"/>
        <v>1.3362731342286382E-2</v>
      </c>
      <c r="D52" s="6">
        <f t="shared" si="1"/>
        <v>1.3274237522249889E-2</v>
      </c>
      <c r="E52" s="6"/>
      <c r="F52" s="6"/>
      <c r="G52" s="6"/>
      <c r="H52" s="6"/>
    </row>
    <row r="53" spans="1:8" x14ac:dyDescent="0.25">
      <c r="A53" t="s">
        <v>100</v>
      </c>
      <c r="B53">
        <v>149.66999999999999</v>
      </c>
      <c r="C53" s="6">
        <f t="shared" si="0"/>
        <v>2.3439592820786448E-3</v>
      </c>
      <c r="D53" s="6">
        <f t="shared" si="1"/>
        <v>2.3412164946724863E-3</v>
      </c>
      <c r="E53" s="6"/>
      <c r="F53" s="6"/>
      <c r="G53" s="6"/>
      <c r="H53" s="6"/>
    </row>
    <row r="54" spans="1:8" x14ac:dyDescent="0.25">
      <c r="A54" t="s">
        <v>101</v>
      </c>
      <c r="B54">
        <v>149.32</v>
      </c>
      <c r="C54" s="6">
        <f t="shared" si="0"/>
        <v>-7.5108009305416834E-3</v>
      </c>
      <c r="D54" s="6">
        <f t="shared" si="1"/>
        <v>-7.5391490296711113E-3</v>
      </c>
      <c r="E54" s="6"/>
      <c r="F54" s="6"/>
      <c r="G54" s="6"/>
      <c r="H54" s="6"/>
    </row>
    <row r="55" spans="1:8" x14ac:dyDescent="0.25">
      <c r="A55" t="s">
        <v>102</v>
      </c>
      <c r="B55">
        <v>150.44999999999999</v>
      </c>
      <c r="C55" s="6">
        <f t="shared" si="0"/>
        <v>1.7929634641407066E-2</v>
      </c>
      <c r="D55" s="6">
        <f t="shared" si="1"/>
        <v>1.7770794561952592E-2</v>
      </c>
      <c r="E55" s="6"/>
      <c r="F55" s="6"/>
      <c r="G55" s="6"/>
      <c r="H55" s="6"/>
    </row>
    <row r="56" spans="1:8" x14ac:dyDescent="0.25">
      <c r="A56" t="s">
        <v>103</v>
      </c>
      <c r="B56">
        <v>147.80000000000001</v>
      </c>
      <c r="C56" s="6">
        <f t="shared" si="0"/>
        <v>6.7434098494654204E-3</v>
      </c>
      <c r="D56" s="6">
        <f t="shared" si="1"/>
        <v>6.7207747627325582E-3</v>
      </c>
      <c r="E56" s="6"/>
      <c r="F56" s="6"/>
      <c r="G56" s="6"/>
      <c r="H56" s="6"/>
    </row>
    <row r="57" spans="1:8" x14ac:dyDescent="0.25">
      <c r="A57" t="s">
        <v>104</v>
      </c>
      <c r="B57">
        <v>146.81</v>
      </c>
      <c r="C57" s="6">
        <f t="shared" si="0"/>
        <v>2.2528672856363396E-3</v>
      </c>
      <c r="D57" s="6">
        <f t="shared" si="1"/>
        <v>2.2503333851137696E-3</v>
      </c>
      <c r="E57" s="6"/>
      <c r="F57" s="6"/>
      <c r="G57" s="6"/>
      <c r="H57" s="6"/>
    </row>
    <row r="58" spans="1:8" x14ac:dyDescent="0.25">
      <c r="A58" t="s">
        <v>105</v>
      </c>
      <c r="B58">
        <v>146.47999999999999</v>
      </c>
      <c r="C58" s="6">
        <f t="shared" si="0"/>
        <v>6.9430123049425418E-3</v>
      </c>
      <c r="D58" s="6">
        <f t="shared" si="1"/>
        <v>6.9190205808846135E-3</v>
      </c>
      <c r="E58" s="6"/>
      <c r="F58" s="6"/>
      <c r="G58" s="6"/>
      <c r="H58" s="6"/>
    </row>
    <row r="59" spans="1:8" x14ac:dyDescent="0.25">
      <c r="A59" t="s">
        <v>106</v>
      </c>
      <c r="B59">
        <v>145.47</v>
      </c>
      <c r="C59" s="6">
        <f t="shared" si="0"/>
        <v>-1.4898083564705011E-2</v>
      </c>
      <c r="D59" s="6">
        <f t="shared" si="1"/>
        <v>-1.5010174700311888E-2</v>
      </c>
      <c r="E59" s="6"/>
      <c r="F59" s="6"/>
      <c r="G59" s="6"/>
      <c r="H59" s="6"/>
    </row>
    <row r="60" spans="1:8" x14ac:dyDescent="0.25">
      <c r="A60" t="s">
        <v>107</v>
      </c>
      <c r="B60">
        <v>147.66999999999999</v>
      </c>
      <c r="C60" s="6">
        <f t="shared" si="0"/>
        <v>3.1215083798882715E-2</v>
      </c>
      <c r="D60" s="6">
        <f t="shared" si="1"/>
        <v>3.0737799959137356E-2</v>
      </c>
      <c r="E60" s="6"/>
      <c r="F60" s="6"/>
      <c r="G60" s="6"/>
      <c r="H60" s="6"/>
    </row>
    <row r="61" spans="1:8" x14ac:dyDescent="0.25">
      <c r="A61" t="s">
        <v>108</v>
      </c>
      <c r="B61">
        <v>143.19999999999999</v>
      </c>
      <c r="C61" s="6">
        <f t="shared" si="0"/>
        <v>-2.3924749505827902E-2</v>
      </c>
      <c r="D61" s="6">
        <f t="shared" si="1"/>
        <v>-2.4215594625007497E-2</v>
      </c>
      <c r="E61" s="6"/>
      <c r="F61" s="6"/>
      <c r="G61" s="6"/>
      <c r="H61" s="6"/>
    </row>
    <row r="62" spans="1:8" x14ac:dyDescent="0.25">
      <c r="A62" t="s">
        <v>109</v>
      </c>
      <c r="B62">
        <v>146.71</v>
      </c>
      <c r="C62" s="6">
        <f t="shared" si="0"/>
        <v>5.6206731098773499E-3</v>
      </c>
      <c r="D62" s="6">
        <f t="shared" si="1"/>
        <v>5.604936067748585E-3</v>
      </c>
      <c r="E62" s="6"/>
      <c r="F62" s="6"/>
      <c r="G62" s="6"/>
      <c r="H62" s="6"/>
    </row>
    <row r="63" spans="1:8" x14ac:dyDescent="0.25">
      <c r="A63" t="s">
        <v>110</v>
      </c>
      <c r="B63">
        <v>145.88999999999999</v>
      </c>
      <c r="C63" s="6">
        <f t="shared" si="0"/>
        <v>-1.3590263691683702E-2</v>
      </c>
      <c r="D63" s="6">
        <f t="shared" si="1"/>
        <v>-1.3683456632950132E-2</v>
      </c>
      <c r="E63" s="6"/>
      <c r="F63" s="6"/>
      <c r="G63" s="6"/>
      <c r="H63" s="6"/>
    </row>
    <row r="64" spans="1:8" x14ac:dyDescent="0.25">
      <c r="A64" t="s">
        <v>111</v>
      </c>
      <c r="B64">
        <v>147.9</v>
      </c>
      <c r="C64" s="6">
        <f t="shared" si="0"/>
        <v>-1.1363636363636243E-2</v>
      </c>
      <c r="D64" s="6">
        <f t="shared" si="1"/>
        <v>-1.1428695823622631E-2</v>
      </c>
      <c r="E64" s="6"/>
      <c r="F64" s="6"/>
      <c r="G64" s="6"/>
      <c r="H64" s="6"/>
    </row>
    <row r="65" spans="1:8" x14ac:dyDescent="0.25">
      <c r="A65" t="s">
        <v>112</v>
      </c>
      <c r="B65">
        <v>149.6</v>
      </c>
      <c r="C65" s="6">
        <f t="shared" si="0"/>
        <v>7.5431034482758008E-3</v>
      </c>
      <c r="D65" s="6">
        <f t="shared" si="1"/>
        <v>7.514796502486364E-3</v>
      </c>
      <c r="E65" s="6"/>
      <c r="F65" s="6"/>
      <c r="G65" s="6"/>
      <c r="H65" s="6"/>
    </row>
    <row r="66" spans="1:8" x14ac:dyDescent="0.25">
      <c r="A66" t="s">
        <v>113</v>
      </c>
      <c r="B66">
        <v>148.47999999999999</v>
      </c>
      <c r="C66" s="6">
        <f t="shared" si="0"/>
        <v>-1.6808982720365462E-3</v>
      </c>
      <c r="D66" s="6">
        <f t="shared" si="1"/>
        <v>-1.6823125666160883E-3</v>
      </c>
      <c r="E66" s="6"/>
      <c r="F66" s="6"/>
      <c r="G66" s="6"/>
      <c r="H66" s="6"/>
    </row>
    <row r="67" spans="1:8" x14ac:dyDescent="0.25">
      <c r="A67" t="s">
        <v>114</v>
      </c>
      <c r="B67">
        <v>148.72999999999999</v>
      </c>
      <c r="C67" s="6">
        <f t="shared" ref="C67:C130" si="2">(B67/B68)-1</f>
        <v>1.904761904761898E-2</v>
      </c>
      <c r="D67" s="6">
        <f t="shared" ref="D67:D130" si="3">LN(B67/B68)</f>
        <v>1.8868484304382736E-2</v>
      </c>
      <c r="E67" s="6"/>
      <c r="F67" s="6"/>
      <c r="G67" s="6"/>
      <c r="H67" s="6"/>
    </row>
    <row r="68" spans="1:8" x14ac:dyDescent="0.25">
      <c r="A68" t="s">
        <v>115</v>
      </c>
      <c r="B68">
        <v>145.94999999999999</v>
      </c>
      <c r="C68" s="6">
        <f t="shared" si="2"/>
        <v>1.2065737466194992E-2</v>
      </c>
      <c r="D68" s="6">
        <f t="shared" si="3"/>
        <v>1.1993526726144604E-2</v>
      </c>
      <c r="E68" s="6"/>
      <c r="F68" s="6"/>
      <c r="G68" s="6"/>
      <c r="H68" s="6"/>
    </row>
    <row r="69" spans="1:8" x14ac:dyDescent="0.25">
      <c r="A69" t="s">
        <v>116</v>
      </c>
      <c r="B69">
        <v>144.21</v>
      </c>
      <c r="C69" s="6">
        <f t="shared" si="2"/>
        <v>-1.2733620866707596E-2</v>
      </c>
      <c r="D69" s="6">
        <f t="shared" si="3"/>
        <v>-1.281538828874006E-2</v>
      </c>
      <c r="E69" s="6"/>
      <c r="F69" s="6"/>
      <c r="G69" s="6"/>
      <c r="H69" s="6"/>
    </row>
    <row r="70" spans="1:8" x14ac:dyDescent="0.25">
      <c r="A70" t="s">
        <v>117</v>
      </c>
      <c r="B70">
        <v>146.07</v>
      </c>
      <c r="C70" s="6">
        <f t="shared" si="2"/>
        <v>1.5079916608756072E-2</v>
      </c>
      <c r="D70" s="6">
        <f t="shared" si="3"/>
        <v>1.4967344969397086E-2</v>
      </c>
      <c r="E70" s="6"/>
      <c r="F70" s="6"/>
      <c r="G70" s="6"/>
      <c r="H70" s="6"/>
    </row>
    <row r="71" spans="1:8" x14ac:dyDescent="0.25">
      <c r="A71" t="s">
        <v>118</v>
      </c>
      <c r="B71">
        <v>143.9</v>
      </c>
      <c r="C71" s="6">
        <f t="shared" si="2"/>
        <v>2.1589247162059344E-3</v>
      </c>
      <c r="D71" s="6">
        <f t="shared" si="3"/>
        <v>2.156597587036701E-3</v>
      </c>
      <c r="E71" s="6"/>
      <c r="F71" s="6"/>
      <c r="G71" s="6"/>
      <c r="H71" s="6"/>
    </row>
    <row r="72" spans="1:8" x14ac:dyDescent="0.25">
      <c r="A72" t="s">
        <v>119</v>
      </c>
      <c r="B72">
        <v>143.59</v>
      </c>
      <c r="C72" s="6">
        <f t="shared" si="2"/>
        <v>-2.0331582179163421E-2</v>
      </c>
      <c r="D72" s="6">
        <f t="shared" si="3"/>
        <v>-2.0541113732923652E-2</v>
      </c>
      <c r="E72" s="6"/>
      <c r="F72" s="6"/>
      <c r="G72" s="6"/>
      <c r="H72" s="6"/>
    </row>
    <row r="73" spans="1:8" x14ac:dyDescent="0.25">
      <c r="A73" t="s">
        <v>120</v>
      </c>
      <c r="B73">
        <v>146.57</v>
      </c>
      <c r="C73" s="6">
        <f t="shared" si="2"/>
        <v>1.9688326144427393E-2</v>
      </c>
      <c r="D73" s="6">
        <f t="shared" si="3"/>
        <v>1.9497017998912673E-2</v>
      </c>
      <c r="E73" s="6"/>
      <c r="F73" s="6"/>
      <c r="G73" s="6"/>
      <c r="H73" s="6"/>
    </row>
    <row r="74" spans="1:8" x14ac:dyDescent="0.25">
      <c r="A74" t="s">
        <v>121</v>
      </c>
      <c r="B74">
        <v>143.74</v>
      </c>
      <c r="C74" s="6">
        <f t="shared" si="2"/>
        <v>1.3609759537409172E-2</v>
      </c>
      <c r="D74" s="6">
        <f t="shared" si="3"/>
        <v>1.3517978567041837E-2</v>
      </c>
      <c r="E74" s="6"/>
      <c r="F74" s="6"/>
      <c r="G74" s="6"/>
      <c r="H74" s="6"/>
    </row>
    <row r="75" spans="1:8" x14ac:dyDescent="0.25">
      <c r="A75" t="s">
        <v>122</v>
      </c>
      <c r="B75">
        <v>141.81</v>
      </c>
      <c r="C75" s="6">
        <f t="shared" si="2"/>
        <v>1.5394529571817417E-2</v>
      </c>
      <c r="D75" s="6">
        <f t="shared" si="3"/>
        <v>1.5277236055365594E-2</v>
      </c>
      <c r="E75" s="6"/>
      <c r="F75" s="6"/>
      <c r="G75" s="6"/>
      <c r="H75" s="6"/>
    </row>
    <row r="76" spans="1:8" x14ac:dyDescent="0.25">
      <c r="A76" t="s">
        <v>123</v>
      </c>
      <c r="B76">
        <v>139.66</v>
      </c>
      <c r="C76" s="6">
        <f t="shared" si="2"/>
        <v>-4.9162807267545405E-3</v>
      </c>
      <c r="D76" s="6">
        <f t="shared" si="3"/>
        <v>-4.9284053900022599E-3</v>
      </c>
      <c r="E76" s="6"/>
      <c r="F76" s="6"/>
      <c r="G76" s="6"/>
      <c r="H76" s="6"/>
    </row>
    <row r="77" spans="1:8" x14ac:dyDescent="0.25">
      <c r="A77" t="s">
        <v>124</v>
      </c>
      <c r="B77">
        <v>140.35</v>
      </c>
      <c r="C77" s="6">
        <f t="shared" si="2"/>
        <v>1.569970741454263E-3</v>
      </c>
      <c r="D77" s="6">
        <f t="shared" si="3"/>
        <v>1.5687396257650524E-3</v>
      </c>
      <c r="E77" s="6"/>
      <c r="F77" s="6"/>
      <c r="G77" s="6"/>
      <c r="H77" s="6"/>
    </row>
    <row r="78" spans="1:8" x14ac:dyDescent="0.25">
      <c r="A78" t="s">
        <v>125</v>
      </c>
      <c r="B78">
        <v>140.13</v>
      </c>
      <c r="C78" s="6">
        <f t="shared" si="2"/>
        <v>-7.2966846132048735E-3</v>
      </c>
      <c r="D78" s="6">
        <f t="shared" si="3"/>
        <v>-7.3234356249429729E-3</v>
      </c>
      <c r="E78" s="6"/>
      <c r="F78" s="6"/>
      <c r="G78" s="6"/>
      <c r="H78" s="6"/>
    </row>
    <row r="79" spans="1:8" x14ac:dyDescent="0.25">
      <c r="A79" t="s">
        <v>126</v>
      </c>
      <c r="B79">
        <v>141.16</v>
      </c>
      <c r="C79" s="6">
        <f t="shared" si="2"/>
        <v>-1.2452777389114322E-2</v>
      </c>
      <c r="D79" s="6">
        <f t="shared" si="3"/>
        <v>-1.2530962984763493E-2</v>
      </c>
      <c r="E79" s="6"/>
      <c r="F79" s="6"/>
      <c r="G79" s="6"/>
      <c r="H79" s="6"/>
    </row>
    <row r="80" spans="1:8" x14ac:dyDescent="0.25">
      <c r="A80" t="s">
        <v>127</v>
      </c>
      <c r="B80">
        <v>142.94</v>
      </c>
      <c r="C80" s="6">
        <f t="shared" si="2"/>
        <v>4.1077931536780632E-2</v>
      </c>
      <c r="D80" s="6">
        <f t="shared" si="3"/>
        <v>4.0256649017907299E-2</v>
      </c>
      <c r="E80" s="6"/>
      <c r="F80" s="6"/>
      <c r="G80" s="6"/>
      <c r="H80" s="6"/>
    </row>
    <row r="81" spans="1:8" x14ac:dyDescent="0.25">
      <c r="A81" t="s">
        <v>128</v>
      </c>
      <c r="B81">
        <v>137.30000000000001</v>
      </c>
      <c r="C81" s="6">
        <f t="shared" si="2"/>
        <v>2.7021105674431833E-3</v>
      </c>
      <c r="D81" s="6">
        <f t="shared" si="3"/>
        <v>2.6984664297830356E-3</v>
      </c>
      <c r="E81" s="6"/>
      <c r="F81" s="6"/>
      <c r="G81" s="6"/>
      <c r="H81" s="6"/>
    </row>
    <row r="82" spans="1:8" x14ac:dyDescent="0.25">
      <c r="A82" t="s">
        <v>129</v>
      </c>
      <c r="B82">
        <v>136.93</v>
      </c>
      <c r="C82" s="6">
        <f t="shared" si="2"/>
        <v>2.2094498768381099E-2</v>
      </c>
      <c r="D82" s="6">
        <f t="shared" si="3"/>
        <v>2.1853952055247941E-2</v>
      </c>
      <c r="E82" s="6"/>
      <c r="F82" s="6"/>
      <c r="G82" s="6"/>
      <c r="H82" s="6"/>
    </row>
    <row r="83" spans="1:8" x14ac:dyDescent="0.25">
      <c r="A83" t="s">
        <v>130</v>
      </c>
      <c r="B83">
        <v>133.97</v>
      </c>
      <c r="C83" s="6">
        <f t="shared" si="2"/>
        <v>3.8965904833272447E-3</v>
      </c>
      <c r="D83" s="6">
        <f t="shared" si="3"/>
        <v>3.8890184383614801E-3</v>
      </c>
      <c r="E83" s="6"/>
      <c r="F83" s="6"/>
      <c r="G83" s="6"/>
      <c r="H83" s="6"/>
    </row>
    <row r="84" spans="1:8" x14ac:dyDescent="0.25">
      <c r="A84" t="s">
        <v>131</v>
      </c>
      <c r="B84">
        <v>133.44999999999999</v>
      </c>
      <c r="C84" s="6">
        <f t="shared" si="2"/>
        <v>-9.2063256366471391E-3</v>
      </c>
      <c r="D84" s="6">
        <f t="shared" si="3"/>
        <v>-9.2489657601903686E-3</v>
      </c>
      <c r="E84" s="6"/>
      <c r="F84" s="6"/>
      <c r="G84" s="6"/>
      <c r="H84" s="6"/>
    </row>
    <row r="85" spans="1:8" x14ac:dyDescent="0.25">
      <c r="A85" t="s">
        <v>132</v>
      </c>
      <c r="B85">
        <v>134.69</v>
      </c>
      <c r="C85" s="6">
        <f t="shared" si="2"/>
        <v>-1.5783704786262343E-2</v>
      </c>
      <c r="D85" s="6">
        <f t="shared" si="3"/>
        <v>-1.5909593875964606E-2</v>
      </c>
      <c r="E85" s="6"/>
      <c r="F85" s="6"/>
      <c r="G85" s="6"/>
      <c r="H85" s="6"/>
    </row>
    <row r="86" spans="1:8" x14ac:dyDescent="0.25">
      <c r="A86" t="s">
        <v>133</v>
      </c>
      <c r="B86">
        <v>136.85</v>
      </c>
      <c r="C86" s="6">
        <f t="shared" si="2"/>
        <v>8.6232311320753041E-3</v>
      </c>
      <c r="D86" s="6">
        <f t="shared" si="3"/>
        <v>8.5862634430949759E-3</v>
      </c>
      <c r="E86" s="6"/>
      <c r="F86" s="6"/>
      <c r="G86" s="6"/>
      <c r="H86" s="6"/>
    </row>
    <row r="87" spans="1:8" x14ac:dyDescent="0.25">
      <c r="A87" t="s">
        <v>134</v>
      </c>
      <c r="B87">
        <v>135.68</v>
      </c>
      <c r="C87" s="6">
        <f t="shared" si="2"/>
        <v>-1.5456062695014872E-2</v>
      </c>
      <c r="D87" s="6">
        <f t="shared" si="3"/>
        <v>-1.5576752843460539E-2</v>
      </c>
      <c r="E87" s="6"/>
      <c r="F87" s="6"/>
      <c r="G87" s="6"/>
      <c r="H87" s="6"/>
    </row>
    <row r="88" spans="1:8" x14ac:dyDescent="0.25">
      <c r="A88" t="s">
        <v>135</v>
      </c>
      <c r="B88">
        <v>137.81</v>
      </c>
      <c r="C88" s="6">
        <f t="shared" si="2"/>
        <v>3.7876028844052723E-3</v>
      </c>
      <c r="D88" s="6">
        <f t="shared" si="3"/>
        <v>3.780447977539938E-3</v>
      </c>
      <c r="E88" s="6"/>
      <c r="F88" s="6"/>
      <c r="G88" s="6"/>
      <c r="H88" s="6"/>
    </row>
    <row r="89" spans="1:8" x14ac:dyDescent="0.25">
      <c r="A89" t="s">
        <v>136</v>
      </c>
      <c r="B89">
        <v>137.29</v>
      </c>
      <c r="C89" s="6">
        <f t="shared" si="2"/>
        <v>4.0075757575757542E-2</v>
      </c>
      <c r="D89" s="6">
        <f t="shared" si="3"/>
        <v>3.929355432314266E-2</v>
      </c>
      <c r="E89" s="6"/>
      <c r="F89" s="6"/>
      <c r="G89" s="6"/>
      <c r="H89" s="6"/>
    </row>
    <row r="90" spans="1:8" x14ac:dyDescent="0.25">
      <c r="A90" t="s">
        <v>137</v>
      </c>
      <c r="B90">
        <v>132</v>
      </c>
      <c r="C90" s="6">
        <f t="shared" si="2"/>
        <v>-2.5182778229081992E-2</v>
      </c>
      <c r="D90" s="6">
        <f t="shared" si="3"/>
        <v>-2.5505290408361775E-2</v>
      </c>
      <c r="E90" s="6"/>
      <c r="F90" s="6"/>
      <c r="G90" s="6"/>
      <c r="H90" s="6"/>
    </row>
    <row r="91" spans="1:8" x14ac:dyDescent="0.25">
      <c r="A91" t="s">
        <v>138</v>
      </c>
      <c r="B91">
        <v>135.41</v>
      </c>
      <c r="C91" s="6">
        <f t="shared" si="2"/>
        <v>2.072078738992067E-3</v>
      </c>
      <c r="D91" s="6">
        <f t="shared" si="3"/>
        <v>2.0699349447379804E-3</v>
      </c>
      <c r="E91" s="6"/>
      <c r="F91" s="6"/>
      <c r="G91" s="6"/>
      <c r="H91" s="6"/>
    </row>
    <row r="92" spans="1:8" x14ac:dyDescent="0.25">
      <c r="A92" t="s">
        <v>139</v>
      </c>
      <c r="B92">
        <v>135.13</v>
      </c>
      <c r="C92" s="6">
        <f t="shared" si="2"/>
        <v>-4.2513994189754101E-2</v>
      </c>
      <c r="D92" s="6">
        <f t="shared" si="3"/>
        <v>-4.3444173375920887E-2</v>
      </c>
      <c r="E92" s="6"/>
      <c r="F92" s="6"/>
      <c r="G92" s="6"/>
      <c r="H92" s="6"/>
    </row>
    <row r="93" spans="1:8" x14ac:dyDescent="0.25">
      <c r="A93" t="s">
        <v>140</v>
      </c>
      <c r="B93">
        <v>141.13</v>
      </c>
      <c r="C93" s="6">
        <f t="shared" si="2"/>
        <v>-1.5143056524773324E-2</v>
      </c>
      <c r="D93" s="6">
        <f t="shared" si="3"/>
        <v>-1.5258883408210685E-2</v>
      </c>
      <c r="E93" s="6"/>
      <c r="F93" s="6"/>
      <c r="G93" s="6"/>
      <c r="H93" s="6"/>
    </row>
    <row r="94" spans="1:8" x14ac:dyDescent="0.25">
      <c r="A94" t="s">
        <v>141</v>
      </c>
      <c r="B94">
        <v>143.30000000000001</v>
      </c>
      <c r="C94" s="6">
        <f t="shared" si="2"/>
        <v>2.4156660949113951E-2</v>
      </c>
      <c r="D94" s="6">
        <f t="shared" si="3"/>
        <v>2.3869504123779705E-2</v>
      </c>
      <c r="E94" s="6"/>
      <c r="F94" s="6"/>
      <c r="G94" s="6"/>
      <c r="H94" s="6"/>
    </row>
    <row r="95" spans="1:8" x14ac:dyDescent="0.25">
      <c r="A95" t="s">
        <v>142</v>
      </c>
      <c r="B95">
        <v>139.91999999999999</v>
      </c>
      <c r="C95" s="6">
        <f t="shared" si="2"/>
        <v>6.2567421790720168E-3</v>
      </c>
      <c r="D95" s="6">
        <f t="shared" si="3"/>
        <v>6.2372500303725202E-3</v>
      </c>
      <c r="E95" s="6"/>
      <c r="F95" s="6"/>
      <c r="G95" s="6"/>
      <c r="H95" s="6"/>
    </row>
    <row r="96" spans="1:8" x14ac:dyDescent="0.25">
      <c r="A96" t="s">
        <v>143</v>
      </c>
      <c r="B96">
        <v>139.05000000000001</v>
      </c>
      <c r="C96" s="6">
        <f t="shared" si="2"/>
        <v>-2.4415912439486376E-2</v>
      </c>
      <c r="D96" s="6">
        <f t="shared" si="3"/>
        <v>-2.4718923186965749E-2</v>
      </c>
      <c r="E96" s="6"/>
      <c r="F96" s="6"/>
      <c r="G96" s="6"/>
      <c r="H96" s="6"/>
    </row>
    <row r="97" spans="1:8" x14ac:dyDescent="0.25">
      <c r="A97" t="s">
        <v>144</v>
      </c>
      <c r="B97">
        <v>142.53</v>
      </c>
      <c r="C97" s="6">
        <f t="shared" si="2"/>
        <v>1.9683655536029132E-3</v>
      </c>
      <c r="D97" s="6">
        <f t="shared" si="3"/>
        <v>1.9664308604994468E-3</v>
      </c>
      <c r="E97" s="6"/>
      <c r="F97" s="6"/>
      <c r="G97" s="6"/>
      <c r="H97" s="6"/>
    </row>
    <row r="98" spans="1:8" x14ac:dyDescent="0.25">
      <c r="A98" t="s">
        <v>145</v>
      </c>
      <c r="B98">
        <v>142.25</v>
      </c>
      <c r="C98" s="6">
        <f t="shared" si="2"/>
        <v>1.3537584609903952E-2</v>
      </c>
      <c r="D98" s="6">
        <f t="shared" si="3"/>
        <v>1.3446770198548943E-2</v>
      </c>
      <c r="E98" s="6"/>
      <c r="F98" s="6"/>
      <c r="G98" s="6"/>
      <c r="H98" s="6"/>
    </row>
    <row r="99" spans="1:8" x14ac:dyDescent="0.25">
      <c r="A99" t="s">
        <v>146</v>
      </c>
      <c r="B99">
        <v>140.35</v>
      </c>
      <c r="C99" s="6">
        <f t="shared" si="2"/>
        <v>-1.5087719298245705E-2</v>
      </c>
      <c r="D99" s="6">
        <f t="shared" si="3"/>
        <v>-1.5202696900813812E-2</v>
      </c>
      <c r="E99" s="6"/>
      <c r="F99" s="6"/>
      <c r="G99" s="6"/>
      <c r="H99" s="6"/>
    </row>
    <row r="100" spans="1:8" x14ac:dyDescent="0.25">
      <c r="A100" t="s">
        <v>147</v>
      </c>
      <c r="B100">
        <v>142.5</v>
      </c>
      <c r="C100" s="6">
        <f t="shared" si="2"/>
        <v>5.0782903089292564E-3</v>
      </c>
      <c r="D100" s="6">
        <f t="shared" si="3"/>
        <v>5.0654392818336759E-3</v>
      </c>
      <c r="E100" s="6"/>
      <c r="F100" s="6"/>
      <c r="G100" s="6"/>
      <c r="H100" s="6"/>
    </row>
    <row r="101" spans="1:8" x14ac:dyDescent="0.25">
      <c r="A101" t="s">
        <v>148</v>
      </c>
      <c r="B101">
        <v>141.78</v>
      </c>
      <c r="C101" s="6">
        <f t="shared" si="2"/>
        <v>3.300546448087438E-2</v>
      </c>
      <c r="D101" s="6">
        <f t="shared" si="3"/>
        <v>3.2472480037231521E-2</v>
      </c>
      <c r="E101" s="6"/>
      <c r="F101" s="6"/>
      <c r="G101" s="6"/>
      <c r="H101" s="6"/>
    </row>
    <row r="102" spans="1:8" x14ac:dyDescent="0.25">
      <c r="A102" t="s">
        <v>149</v>
      </c>
      <c r="B102">
        <v>137.25</v>
      </c>
      <c r="C102" s="6">
        <f t="shared" si="2"/>
        <v>1.4187541565063189E-2</v>
      </c>
      <c r="D102" s="6">
        <f t="shared" si="3"/>
        <v>1.4087840301225771E-2</v>
      </c>
      <c r="E102" s="6"/>
      <c r="F102" s="6"/>
      <c r="G102" s="6"/>
      <c r="H102" s="6"/>
    </row>
    <row r="103" spans="1:8" x14ac:dyDescent="0.25">
      <c r="A103" t="s">
        <v>150</v>
      </c>
      <c r="B103">
        <v>135.33000000000001</v>
      </c>
      <c r="C103" s="6">
        <f t="shared" si="2"/>
        <v>-3.0939226519336449E-3</v>
      </c>
      <c r="D103" s="6">
        <f t="shared" si="3"/>
        <v>-3.0987187256305108E-3</v>
      </c>
      <c r="E103" s="6"/>
      <c r="F103" s="6"/>
      <c r="G103" s="6"/>
      <c r="H103" s="6"/>
    </row>
    <row r="104" spans="1:8" x14ac:dyDescent="0.25">
      <c r="A104" t="s">
        <v>151</v>
      </c>
      <c r="B104">
        <v>135.75</v>
      </c>
      <c r="C104" s="6">
        <f t="shared" si="2"/>
        <v>1.639712488769085E-2</v>
      </c>
      <c r="D104" s="6">
        <f t="shared" si="3"/>
        <v>1.6264143738590971E-2</v>
      </c>
      <c r="E104" s="6"/>
      <c r="F104" s="6"/>
      <c r="G104" s="6"/>
      <c r="H104" s="6"/>
    </row>
    <row r="105" spans="1:8" x14ac:dyDescent="0.25">
      <c r="A105" t="s">
        <v>152</v>
      </c>
      <c r="B105">
        <v>133.56</v>
      </c>
      <c r="C105" s="6">
        <f t="shared" si="2"/>
        <v>-3.6553524804178172E-3</v>
      </c>
      <c r="D105" s="6">
        <f t="shared" si="3"/>
        <v>-3.6620496065145917E-3</v>
      </c>
      <c r="E105" s="6"/>
      <c r="F105" s="6"/>
      <c r="G105" s="6"/>
      <c r="H105" s="6"/>
    </row>
    <row r="106" spans="1:8" x14ac:dyDescent="0.25">
      <c r="A106" t="s">
        <v>153</v>
      </c>
      <c r="B106">
        <v>134.05000000000001</v>
      </c>
      <c r="C106" s="6">
        <f t="shared" si="2"/>
        <v>-3.3037582052946601E-2</v>
      </c>
      <c r="D106" s="6">
        <f t="shared" si="3"/>
        <v>-3.3595648868316307E-2</v>
      </c>
      <c r="E106" s="6"/>
      <c r="F106" s="6"/>
      <c r="G106" s="6"/>
      <c r="H106" s="6"/>
    </row>
    <row r="107" spans="1:8" x14ac:dyDescent="0.25">
      <c r="A107" t="s">
        <v>154</v>
      </c>
      <c r="B107">
        <v>138.63</v>
      </c>
      <c r="C107" s="6">
        <f t="shared" si="2"/>
        <v>-1.2817773979918901E-2</v>
      </c>
      <c r="D107" s="6">
        <f t="shared" si="3"/>
        <v>-1.2900630429804274E-2</v>
      </c>
      <c r="E107" s="6"/>
      <c r="F107" s="6"/>
      <c r="G107" s="6"/>
      <c r="H107" s="6"/>
    </row>
    <row r="108" spans="1:8" x14ac:dyDescent="0.25">
      <c r="A108" t="s">
        <v>155</v>
      </c>
      <c r="B108">
        <v>140.43</v>
      </c>
      <c r="C108" s="6">
        <f t="shared" si="2"/>
        <v>-1.9001047851903596E-2</v>
      </c>
      <c r="D108" s="6">
        <f t="shared" si="3"/>
        <v>-1.9183887564035159E-2</v>
      </c>
      <c r="E108" s="6"/>
      <c r="F108" s="6"/>
      <c r="G108" s="6"/>
      <c r="H108" s="6"/>
    </row>
    <row r="109" spans="1:8" x14ac:dyDescent="0.25">
      <c r="A109" t="s">
        <v>156</v>
      </c>
      <c r="B109">
        <v>143.15</v>
      </c>
      <c r="C109" s="6">
        <f t="shared" si="2"/>
        <v>7.6728143038153895E-3</v>
      </c>
      <c r="D109" s="6">
        <f t="shared" si="3"/>
        <v>7.643527974460251E-3</v>
      </c>
      <c r="E109" s="6"/>
      <c r="F109" s="6"/>
      <c r="G109" s="6"/>
      <c r="H109" s="6"/>
    </row>
    <row r="110" spans="1:8" x14ac:dyDescent="0.25">
      <c r="A110" t="s">
        <v>157</v>
      </c>
      <c r="B110">
        <v>142.06</v>
      </c>
      <c r="C110" s="6">
        <f t="shared" si="2"/>
        <v>4.5965631850648503E-3</v>
      </c>
      <c r="D110" s="6">
        <f t="shared" si="3"/>
        <v>4.5860312499789281E-3</v>
      </c>
      <c r="E110" s="6"/>
      <c r="F110" s="6"/>
      <c r="G110" s="6"/>
      <c r="H110" s="6"/>
    </row>
    <row r="111" spans="1:8" x14ac:dyDescent="0.25">
      <c r="A111" t="s">
        <v>158</v>
      </c>
      <c r="B111">
        <v>141.41</v>
      </c>
      <c r="C111" s="6">
        <f t="shared" si="2"/>
        <v>8.414747201026973E-3</v>
      </c>
      <c r="D111" s="6">
        <f t="shared" si="3"/>
        <v>8.3795405811257859E-3</v>
      </c>
      <c r="E111" s="6"/>
      <c r="F111" s="6"/>
      <c r="G111" s="6"/>
      <c r="H111" s="6"/>
    </row>
    <row r="112" spans="1:8" x14ac:dyDescent="0.25">
      <c r="A112" t="s">
        <v>159</v>
      </c>
      <c r="B112">
        <v>140.22999999999999</v>
      </c>
      <c r="C112" s="6">
        <f t="shared" si="2"/>
        <v>-2.4690499374043773E-2</v>
      </c>
      <c r="D112" s="6">
        <f t="shared" si="3"/>
        <v>-2.5000421817166149E-2</v>
      </c>
      <c r="E112" s="6"/>
      <c r="F112" s="6"/>
      <c r="G112" s="6"/>
      <c r="H112" s="6"/>
    </row>
    <row r="113" spans="1:8" x14ac:dyDescent="0.25">
      <c r="A113" t="s">
        <v>160</v>
      </c>
      <c r="B113">
        <v>143.78</v>
      </c>
      <c r="C113" s="6">
        <f t="shared" si="2"/>
        <v>-1.5277777777777946E-3</v>
      </c>
      <c r="D113" s="6">
        <f t="shared" si="3"/>
        <v>-1.5289460202751605E-3</v>
      </c>
      <c r="E113" s="6"/>
      <c r="F113" s="6"/>
      <c r="G113" s="6"/>
      <c r="H113" s="6"/>
    </row>
    <row r="114" spans="1:8" x14ac:dyDescent="0.25">
      <c r="A114" t="s">
        <v>161</v>
      </c>
      <c r="B114">
        <v>144</v>
      </c>
      <c r="C114" s="6">
        <f t="shared" si="2"/>
        <v>-1.3225519084492654E-2</v>
      </c>
      <c r="D114" s="6">
        <f t="shared" si="3"/>
        <v>-1.3313755103653851E-2</v>
      </c>
      <c r="E114" s="6"/>
      <c r="F114" s="6"/>
      <c r="G114" s="6"/>
      <c r="H114" s="6"/>
    </row>
    <row r="115" spans="1:8" x14ac:dyDescent="0.25">
      <c r="A115" t="s">
        <v>162</v>
      </c>
      <c r="B115">
        <v>145.93</v>
      </c>
      <c r="C115" s="6">
        <f t="shared" si="2"/>
        <v>4.1285350581434788E-3</v>
      </c>
      <c r="D115" s="6">
        <f t="shared" si="3"/>
        <v>4.1200360415752308E-3</v>
      </c>
      <c r="E115" s="6"/>
      <c r="F115" s="6"/>
      <c r="G115" s="6"/>
      <c r="H115" s="6"/>
    </row>
    <row r="116" spans="1:8" x14ac:dyDescent="0.25">
      <c r="A116" t="s">
        <v>163</v>
      </c>
      <c r="B116">
        <v>145.33000000000001</v>
      </c>
      <c r="C116" s="6">
        <f t="shared" si="2"/>
        <v>-6.8338686530444726E-3</v>
      </c>
      <c r="D116" s="6">
        <f t="shared" si="3"/>
        <v>-6.8573264662560194E-3</v>
      </c>
      <c r="E116" s="6"/>
      <c r="F116" s="6"/>
      <c r="G116" s="6"/>
      <c r="H116" s="6"/>
    </row>
    <row r="117" spans="1:8" x14ac:dyDescent="0.25">
      <c r="A117" t="s">
        <v>164</v>
      </c>
      <c r="B117">
        <v>146.33000000000001</v>
      </c>
      <c r="C117" s="6">
        <f t="shared" si="2"/>
        <v>-2.0745499565013703E-2</v>
      </c>
      <c r="D117" s="6">
        <f t="shared" si="3"/>
        <v>-2.0963710648966564E-2</v>
      </c>
      <c r="E117" s="6"/>
      <c r="F117" s="6"/>
      <c r="G117" s="6"/>
      <c r="H117" s="6"/>
    </row>
    <row r="118" spans="1:8" x14ac:dyDescent="0.25">
      <c r="A118" t="s">
        <v>165</v>
      </c>
      <c r="B118">
        <v>149.43</v>
      </c>
      <c r="C118" s="6">
        <f t="shared" si="2"/>
        <v>1.8101367658891476E-3</v>
      </c>
      <c r="D118" s="6">
        <f t="shared" si="3"/>
        <v>1.8085004426818237E-3</v>
      </c>
      <c r="E118" s="6"/>
      <c r="F118" s="6"/>
      <c r="G118" s="6"/>
      <c r="H118" s="6"/>
    </row>
    <row r="119" spans="1:8" x14ac:dyDescent="0.25">
      <c r="A119" t="s">
        <v>166</v>
      </c>
      <c r="B119">
        <v>149.16</v>
      </c>
      <c r="C119" s="6">
        <f t="shared" si="2"/>
        <v>4.6369694843914289E-2</v>
      </c>
      <c r="D119" s="6">
        <f t="shared" si="3"/>
        <v>4.5326739951938935E-2</v>
      </c>
      <c r="E119" s="6"/>
      <c r="F119" s="6"/>
      <c r="G119" s="6"/>
      <c r="H119" s="6"/>
    </row>
    <row r="120" spans="1:8" x14ac:dyDescent="0.25">
      <c r="A120" t="s">
        <v>167</v>
      </c>
      <c r="B120">
        <v>142.55000000000001</v>
      </c>
      <c r="C120" s="6">
        <f t="shared" si="2"/>
        <v>-4.6781175813432885E-3</v>
      </c>
      <c r="D120" s="6">
        <f t="shared" si="3"/>
        <v>-4.6890942201126291E-3</v>
      </c>
      <c r="E120" s="6"/>
      <c r="F120" s="6"/>
      <c r="G120" s="6"/>
      <c r="H120" s="6"/>
    </row>
    <row r="121" spans="1:8" x14ac:dyDescent="0.25">
      <c r="A121" t="s">
        <v>168</v>
      </c>
      <c r="B121">
        <v>143.22</v>
      </c>
      <c r="C121" s="6">
        <f t="shared" si="2"/>
        <v>1.0156580617858735E-2</v>
      </c>
      <c r="D121" s="6">
        <f t="shared" si="3"/>
        <v>1.0105349151922337E-2</v>
      </c>
      <c r="E121" s="6"/>
      <c r="F121" s="6"/>
      <c r="G121" s="6"/>
      <c r="H121" s="6"/>
    </row>
    <row r="122" spans="1:8" x14ac:dyDescent="0.25">
      <c r="A122" t="s">
        <v>169</v>
      </c>
      <c r="B122">
        <v>141.78</v>
      </c>
      <c r="C122" s="6">
        <f t="shared" si="2"/>
        <v>1.7584152730926395E-2</v>
      </c>
      <c r="D122" s="6">
        <f t="shared" si="3"/>
        <v>1.7431340301370918E-2</v>
      </c>
      <c r="E122" s="6"/>
      <c r="F122" s="6"/>
      <c r="G122" s="6"/>
      <c r="H122" s="6"/>
    </row>
    <row r="123" spans="1:8" x14ac:dyDescent="0.25">
      <c r="A123" t="s">
        <v>170</v>
      </c>
      <c r="B123">
        <v>139.33000000000001</v>
      </c>
      <c r="C123" s="6">
        <f t="shared" si="2"/>
        <v>1.0003624501631281E-2</v>
      </c>
      <c r="D123" s="6">
        <f t="shared" si="3"/>
        <v>9.9539194622055328E-3</v>
      </c>
      <c r="E123" s="6"/>
      <c r="F123" s="6"/>
      <c r="G123" s="6"/>
      <c r="H123" s="6"/>
    </row>
    <row r="124" spans="1:8" x14ac:dyDescent="0.25">
      <c r="A124" t="s">
        <v>171</v>
      </c>
      <c r="B124">
        <v>137.94999999999999</v>
      </c>
      <c r="C124" s="6">
        <f t="shared" si="2"/>
        <v>-8.196132000862888E-3</v>
      </c>
      <c r="D124" s="6">
        <f t="shared" si="3"/>
        <v>-8.2299049557438327E-3</v>
      </c>
      <c r="E124" s="6"/>
      <c r="F124" s="6"/>
      <c r="G124" s="6"/>
      <c r="H124" s="6"/>
    </row>
    <row r="125" spans="1:8" x14ac:dyDescent="0.25">
      <c r="A125" t="s">
        <v>172</v>
      </c>
      <c r="B125">
        <v>139.09</v>
      </c>
      <c r="C125" s="6">
        <f t="shared" si="2"/>
        <v>-1.347613305908224E-2</v>
      </c>
      <c r="D125" s="6">
        <f t="shared" si="3"/>
        <v>-1.3567760258230973E-2</v>
      </c>
      <c r="E125" s="6"/>
      <c r="F125" s="6"/>
      <c r="G125" s="6"/>
      <c r="H125" s="6"/>
    </row>
    <row r="126" spans="1:8" x14ac:dyDescent="0.25">
      <c r="A126" t="s">
        <v>173</v>
      </c>
      <c r="B126">
        <v>140.99</v>
      </c>
      <c r="C126" s="6">
        <f t="shared" si="2"/>
        <v>2.6312046650547316E-3</v>
      </c>
      <c r="D126" s="6">
        <f t="shared" si="3"/>
        <v>2.6277491062544223E-3</v>
      </c>
      <c r="E126" s="6"/>
      <c r="F126" s="6"/>
      <c r="G126" s="6"/>
      <c r="H126" s="6"/>
    </row>
    <row r="127" spans="1:8" x14ac:dyDescent="0.25">
      <c r="A127" t="s">
        <v>174</v>
      </c>
      <c r="B127">
        <v>140.62</v>
      </c>
      <c r="C127" s="6">
        <f t="shared" si="2"/>
        <v>-1.0415200562983729E-2</v>
      </c>
      <c r="D127" s="6">
        <f t="shared" si="3"/>
        <v>-1.0469818332039593E-2</v>
      </c>
      <c r="E127" s="6"/>
      <c r="F127" s="6"/>
      <c r="G127" s="6"/>
      <c r="H127" s="6"/>
    </row>
    <row r="128" spans="1:8" x14ac:dyDescent="0.25">
      <c r="A128" t="s">
        <v>175</v>
      </c>
      <c r="B128">
        <v>142.1</v>
      </c>
      <c r="C128" s="6">
        <f t="shared" si="2"/>
        <v>-1.6200498476876213E-2</v>
      </c>
      <c r="D128" s="6">
        <f t="shared" si="3"/>
        <v>-1.6333161306202045E-2</v>
      </c>
      <c r="E128" s="6"/>
      <c r="F128" s="6"/>
      <c r="G128" s="6"/>
      <c r="H128" s="6"/>
    </row>
    <row r="129" spans="1:8" x14ac:dyDescent="0.25">
      <c r="A129" t="s">
        <v>176</v>
      </c>
      <c r="B129">
        <v>144.44</v>
      </c>
      <c r="C129" s="6">
        <f t="shared" si="2"/>
        <v>1.6610360360360232E-2</v>
      </c>
      <c r="D129" s="6">
        <f t="shared" si="3"/>
        <v>1.647391716539694E-2</v>
      </c>
      <c r="E129" s="6"/>
      <c r="F129" s="6"/>
      <c r="G129" s="6"/>
      <c r="H129" s="6"/>
    </row>
    <row r="130" spans="1:8" x14ac:dyDescent="0.25">
      <c r="A130" t="s">
        <v>177</v>
      </c>
      <c r="B130">
        <v>142.08000000000001</v>
      </c>
      <c r="C130" s="6">
        <f t="shared" si="2"/>
        <v>-1.5248128638757907E-2</v>
      </c>
      <c r="D130" s="6">
        <f t="shared" si="3"/>
        <v>-1.5365576791478246E-2</v>
      </c>
      <c r="E130" s="6"/>
      <c r="F130" s="6"/>
      <c r="G130" s="6"/>
      <c r="H130" s="6"/>
    </row>
    <row r="131" spans="1:8" x14ac:dyDescent="0.25">
      <c r="A131" t="s">
        <v>178</v>
      </c>
      <c r="B131">
        <v>144.28</v>
      </c>
      <c r="C131" s="6">
        <f t="shared" ref="C131:C194" si="4">(B131/B132)-1</f>
        <v>-1.3672409078479664E-2</v>
      </c>
      <c r="D131" s="6">
        <f t="shared" ref="D131:D194" si="5">LN(B131/B132)</f>
        <v>-1.3766737245842259E-2</v>
      </c>
      <c r="E131" s="6"/>
      <c r="F131" s="6"/>
      <c r="G131" s="6"/>
      <c r="H131" s="6"/>
    </row>
    <row r="132" spans="1:8" x14ac:dyDescent="0.25">
      <c r="A132" t="s">
        <v>179</v>
      </c>
      <c r="B132">
        <v>146.28</v>
      </c>
      <c r="C132" s="6">
        <f t="shared" si="4"/>
        <v>1.0151232649678876E-2</v>
      </c>
      <c r="D132" s="6">
        <f t="shared" si="5"/>
        <v>1.0100054940669231E-2</v>
      </c>
      <c r="E132" s="6"/>
      <c r="F132" s="6"/>
      <c r="G132" s="6"/>
      <c r="H132" s="6"/>
    </row>
    <row r="133" spans="1:8" x14ac:dyDescent="0.25">
      <c r="A133" t="s">
        <v>180</v>
      </c>
      <c r="B133">
        <v>144.81</v>
      </c>
      <c r="C133" s="6">
        <f t="shared" si="4"/>
        <v>-1.3809293654631905E-4</v>
      </c>
      <c r="D133" s="6">
        <f t="shared" si="5"/>
        <v>-1.3810247225376704E-4</v>
      </c>
      <c r="E133" s="6"/>
      <c r="F133" s="6"/>
      <c r="G133" s="6"/>
      <c r="H133" s="6"/>
    </row>
    <row r="134" spans="1:8" x14ac:dyDescent="0.25">
      <c r="A134" t="s">
        <v>181</v>
      </c>
      <c r="B134">
        <v>144.83000000000001</v>
      </c>
      <c r="C134" s="6">
        <f t="shared" si="4"/>
        <v>-2.7986577181208006E-2</v>
      </c>
      <c r="D134" s="6">
        <f t="shared" si="5"/>
        <v>-2.8385665132694124E-2</v>
      </c>
      <c r="E134" s="6"/>
      <c r="F134" s="6"/>
      <c r="G134" s="6"/>
      <c r="H134" s="6"/>
    </row>
    <row r="135" spans="1:8" x14ac:dyDescent="0.25">
      <c r="A135" t="s">
        <v>182</v>
      </c>
      <c r="B135">
        <v>149</v>
      </c>
      <c r="C135" s="6">
        <f t="shared" si="4"/>
        <v>2.3421938319939439E-2</v>
      </c>
      <c r="D135" s="6">
        <f t="shared" si="5"/>
        <v>2.3151853860224517E-2</v>
      </c>
      <c r="E135" s="6"/>
      <c r="F135" s="6"/>
      <c r="G135" s="6"/>
      <c r="H135" s="6"/>
    </row>
    <row r="136" spans="1:8" x14ac:dyDescent="0.25">
      <c r="A136" t="s">
        <v>183</v>
      </c>
      <c r="B136">
        <v>145.59</v>
      </c>
      <c r="C136" s="6">
        <f t="shared" si="4"/>
        <v>-2.6284109149277701E-2</v>
      </c>
      <c r="D136" s="6">
        <f t="shared" si="5"/>
        <v>-2.6635711062072898E-2</v>
      </c>
      <c r="E136" s="6"/>
      <c r="F136" s="6"/>
      <c r="G136" s="6"/>
      <c r="H136" s="6"/>
    </row>
    <row r="137" spans="1:8" x14ac:dyDescent="0.25">
      <c r="A137" t="s">
        <v>184</v>
      </c>
      <c r="B137">
        <v>149.52000000000001</v>
      </c>
      <c r="C137" s="6">
        <f t="shared" si="4"/>
        <v>-7.5667064914375359E-3</v>
      </c>
      <c r="D137" s="6">
        <f t="shared" si="5"/>
        <v>-7.5954792502411096E-3</v>
      </c>
      <c r="E137" s="6"/>
      <c r="F137" s="6"/>
      <c r="G137" s="6"/>
      <c r="H137" s="6"/>
    </row>
    <row r="138" spans="1:8" x14ac:dyDescent="0.25">
      <c r="A138" t="s">
        <v>185</v>
      </c>
      <c r="B138">
        <v>150.66</v>
      </c>
      <c r="C138" s="6">
        <f t="shared" si="4"/>
        <v>7.971303308091926E-4</v>
      </c>
      <c r="D138" s="6">
        <f t="shared" si="5"/>
        <v>7.9681279116282887E-4</v>
      </c>
      <c r="E138" s="6"/>
      <c r="F138" s="6"/>
      <c r="G138" s="6"/>
      <c r="H138" s="6"/>
    </row>
    <row r="139" spans="1:8" x14ac:dyDescent="0.25">
      <c r="A139" t="s">
        <v>186</v>
      </c>
      <c r="B139">
        <v>150.54</v>
      </c>
      <c r="C139" s="6">
        <f t="shared" si="4"/>
        <v>-1.1279941609715349E-3</v>
      </c>
      <c r="D139" s="6">
        <f t="shared" si="5"/>
        <v>-1.1286308251991799E-3</v>
      </c>
      <c r="E139" s="6"/>
      <c r="F139" s="6"/>
      <c r="G139" s="6"/>
      <c r="H139" s="6"/>
    </row>
    <row r="140" spans="1:8" x14ac:dyDescent="0.25">
      <c r="A140" t="s">
        <v>187</v>
      </c>
      <c r="B140">
        <v>150.71</v>
      </c>
      <c r="C140" s="6">
        <f t="shared" si="4"/>
        <v>-1.2579440476970349E-2</v>
      </c>
      <c r="D140" s="6">
        <f t="shared" si="5"/>
        <v>-1.265923149544556E-2</v>
      </c>
      <c r="E140" s="6"/>
      <c r="F140" s="6"/>
      <c r="G140" s="6"/>
      <c r="H140" s="6"/>
    </row>
    <row r="141" spans="1:8" x14ac:dyDescent="0.25">
      <c r="A141" t="s">
        <v>188</v>
      </c>
      <c r="B141">
        <v>152.63</v>
      </c>
      <c r="C141" s="6">
        <f t="shared" si="4"/>
        <v>-2.3355515740977717E-2</v>
      </c>
      <c r="D141" s="6">
        <f t="shared" si="5"/>
        <v>-2.363257825983919E-2</v>
      </c>
      <c r="E141" s="6"/>
      <c r="F141" s="6"/>
      <c r="G141" s="6"/>
      <c r="H141" s="6"/>
    </row>
    <row r="142" spans="1:8" x14ac:dyDescent="0.25">
      <c r="A142" t="s">
        <v>189</v>
      </c>
      <c r="B142">
        <v>156.28</v>
      </c>
      <c r="C142" s="6">
        <f t="shared" si="4"/>
        <v>4.2492161963844977E-2</v>
      </c>
      <c r="D142" s="6">
        <f t="shared" si="5"/>
        <v>4.1614156162646507E-2</v>
      </c>
      <c r="E142" s="6"/>
      <c r="F142" s="6"/>
      <c r="G142" s="6"/>
      <c r="H142" s="6"/>
    </row>
    <row r="143" spans="1:8" x14ac:dyDescent="0.25">
      <c r="A143" t="s">
        <v>190</v>
      </c>
      <c r="B143">
        <v>149.91</v>
      </c>
      <c r="C143" s="6">
        <f t="shared" si="4"/>
        <v>4.0040040040034697E-4</v>
      </c>
      <c r="D143" s="6">
        <f t="shared" si="5"/>
        <v>4.0032026155106451E-4</v>
      </c>
      <c r="E143" s="6"/>
      <c r="F143" s="6"/>
      <c r="G143" s="6"/>
      <c r="H143" s="6"/>
    </row>
    <row r="144" spans="1:8" x14ac:dyDescent="0.25">
      <c r="A144" t="s">
        <v>191</v>
      </c>
      <c r="B144">
        <v>149.85</v>
      </c>
      <c r="C144" s="6">
        <f t="shared" si="4"/>
        <v>7.4193548387096797E-2</v>
      </c>
      <c r="D144" s="6">
        <f t="shared" si="5"/>
        <v>7.157019250125192E-2</v>
      </c>
      <c r="E144" s="6"/>
      <c r="F144" s="6"/>
      <c r="G144" s="6"/>
      <c r="H144" s="6"/>
    </row>
    <row r="145" spans="1:8" x14ac:dyDescent="0.25">
      <c r="A145" t="s">
        <v>192</v>
      </c>
      <c r="B145">
        <v>139.5</v>
      </c>
      <c r="C145" s="6">
        <f t="shared" si="4"/>
        <v>-7.89417537870718E-3</v>
      </c>
      <c r="D145" s="6">
        <f t="shared" si="5"/>
        <v>-7.9254993413042461E-3</v>
      </c>
      <c r="E145" s="6"/>
      <c r="F145" s="6"/>
      <c r="G145" s="6"/>
      <c r="H145" s="6"/>
    </row>
    <row r="146" spans="1:8" x14ac:dyDescent="0.25">
      <c r="A146" t="s">
        <v>193</v>
      </c>
      <c r="B146">
        <v>140.61000000000001</v>
      </c>
      <c r="C146" s="6">
        <f t="shared" si="4"/>
        <v>-2.7593360995850524E-2</v>
      </c>
      <c r="D146" s="6">
        <f t="shared" si="5"/>
        <v>-2.7981209121939764E-2</v>
      </c>
      <c r="E146" s="6"/>
      <c r="F146" s="6"/>
      <c r="G146" s="6"/>
      <c r="H146" s="6"/>
    </row>
    <row r="147" spans="1:8" x14ac:dyDescent="0.25">
      <c r="A147" t="s">
        <v>194</v>
      </c>
      <c r="B147">
        <v>144.6</v>
      </c>
      <c r="C147" s="6">
        <f t="shared" si="4"/>
        <v>7.5952895268622811E-3</v>
      </c>
      <c r="D147" s="6">
        <f t="shared" si="5"/>
        <v>7.5665905418238798E-3</v>
      </c>
      <c r="E147" s="6"/>
      <c r="F147" s="6"/>
      <c r="G147" s="6"/>
      <c r="H147" s="6"/>
    </row>
    <row r="148" spans="1:8" x14ac:dyDescent="0.25">
      <c r="A148" t="s">
        <v>195</v>
      </c>
      <c r="B148">
        <v>143.51</v>
      </c>
      <c r="C148" s="6">
        <f t="shared" si="4"/>
        <v>-4.9230342532242677E-3</v>
      </c>
      <c r="D148" s="6">
        <f t="shared" si="5"/>
        <v>-4.9351923057730186E-3</v>
      </c>
      <c r="E148" s="6"/>
      <c r="F148" s="6"/>
      <c r="G148" s="6"/>
      <c r="H148" s="6"/>
    </row>
    <row r="149" spans="1:8" x14ac:dyDescent="0.25">
      <c r="A149" t="s">
        <v>196</v>
      </c>
      <c r="B149">
        <v>144.22</v>
      </c>
      <c r="C149" s="6">
        <f t="shared" si="4"/>
        <v>4.6893147502903743E-2</v>
      </c>
      <c r="D149" s="6">
        <f t="shared" si="5"/>
        <v>4.5826870809192934E-2</v>
      </c>
      <c r="E149" s="6"/>
      <c r="F149" s="6"/>
      <c r="G149" s="6"/>
      <c r="H149" s="6"/>
    </row>
    <row r="150" spans="1:8" x14ac:dyDescent="0.25">
      <c r="A150" t="s">
        <v>197</v>
      </c>
      <c r="B150">
        <v>137.76</v>
      </c>
      <c r="C150" s="6">
        <f t="shared" si="4"/>
        <v>8.4919472913616012E-3</v>
      </c>
      <c r="D150" s="6">
        <f t="shared" si="5"/>
        <v>8.4560935427309431E-3</v>
      </c>
      <c r="E150" s="6"/>
      <c r="F150" s="6"/>
      <c r="G150" s="6"/>
      <c r="H150" s="6"/>
    </row>
    <row r="151" spans="1:8" x14ac:dyDescent="0.25">
      <c r="A151" t="s">
        <v>198</v>
      </c>
      <c r="B151">
        <v>136.6</v>
      </c>
      <c r="C151" s="6">
        <f t="shared" si="4"/>
        <v>-2.1209515620521646E-2</v>
      </c>
      <c r="D151" s="6">
        <f t="shared" si="5"/>
        <v>-2.1437669181883685E-2</v>
      </c>
      <c r="E151" s="6"/>
      <c r="F151" s="6"/>
      <c r="G151" s="6"/>
      <c r="H151" s="6"/>
    </row>
    <row r="152" spans="1:8" x14ac:dyDescent="0.25">
      <c r="A152" t="s">
        <v>199</v>
      </c>
      <c r="B152">
        <v>139.56</v>
      </c>
      <c r="C152" s="6">
        <f t="shared" si="4"/>
        <v>-8.8772104253959094E-3</v>
      </c>
      <c r="D152" s="6">
        <f t="shared" si="5"/>
        <v>-8.9168476106468893E-3</v>
      </c>
      <c r="E152" s="6"/>
      <c r="F152" s="6"/>
      <c r="G152" s="6"/>
      <c r="H152" s="6"/>
    </row>
    <row r="153" spans="1:8" x14ac:dyDescent="0.25">
      <c r="A153" t="s">
        <v>200</v>
      </c>
      <c r="B153">
        <v>140.81</v>
      </c>
      <c r="C153" s="6">
        <f t="shared" si="4"/>
        <v>4.9737103879499145E-4</v>
      </c>
      <c r="D153" s="6">
        <f t="shared" si="5"/>
        <v>4.9724739081745861E-4</v>
      </c>
      <c r="E153" s="6"/>
      <c r="F153" s="6"/>
      <c r="G153" s="6"/>
      <c r="H153" s="6"/>
    </row>
    <row r="154" spans="1:8" x14ac:dyDescent="0.25">
      <c r="A154" t="s">
        <v>201</v>
      </c>
      <c r="B154">
        <v>140.74</v>
      </c>
      <c r="C154" s="6">
        <f t="shared" si="4"/>
        <v>-9.4313063063062863E-3</v>
      </c>
      <c r="D154" s="6">
        <f t="shared" si="5"/>
        <v>-9.4760627054570508E-3</v>
      </c>
      <c r="E154" s="6"/>
      <c r="F154" s="6"/>
      <c r="G154" s="6"/>
      <c r="H154" s="6"/>
    </row>
    <row r="155" spans="1:8" x14ac:dyDescent="0.25">
      <c r="A155" t="s">
        <v>202</v>
      </c>
      <c r="B155">
        <v>142.08000000000001</v>
      </c>
      <c r="C155" s="6">
        <f t="shared" si="4"/>
        <v>2.2673288706542838E-2</v>
      </c>
      <c r="D155" s="6">
        <f t="shared" si="5"/>
        <v>2.2420070083089622E-2</v>
      </c>
      <c r="E155" s="6"/>
      <c r="F155" s="6"/>
      <c r="G155" s="6"/>
      <c r="H155" s="6"/>
    </row>
    <row r="156" spans="1:8" x14ac:dyDescent="0.25">
      <c r="A156" t="s">
        <v>203</v>
      </c>
      <c r="B156">
        <v>138.93</v>
      </c>
      <c r="C156" s="6">
        <f t="shared" si="4"/>
        <v>3.6172434367541806E-2</v>
      </c>
      <c r="D156" s="6">
        <f t="shared" si="5"/>
        <v>3.5533572426997416E-2</v>
      </c>
      <c r="E156" s="6"/>
      <c r="F156" s="6"/>
      <c r="G156" s="6"/>
      <c r="H156" s="6"/>
    </row>
    <row r="157" spans="1:8" x14ac:dyDescent="0.25">
      <c r="A157" t="s">
        <v>204</v>
      </c>
      <c r="B157">
        <v>134.08000000000001</v>
      </c>
      <c r="C157" s="6">
        <f t="shared" si="4"/>
        <v>0</v>
      </c>
      <c r="D157" s="6">
        <f t="shared" si="5"/>
        <v>0</v>
      </c>
      <c r="E157" s="6"/>
      <c r="F157" s="6"/>
      <c r="G157" s="6"/>
      <c r="H157" s="6"/>
    </row>
    <row r="158" spans="1:8" x14ac:dyDescent="0.25">
      <c r="A158" t="s">
        <v>205</v>
      </c>
      <c r="B158">
        <v>134.08000000000001</v>
      </c>
      <c r="C158" s="6">
        <f t="shared" si="4"/>
        <v>-6.9619315656939129E-3</v>
      </c>
      <c r="D158" s="6">
        <f t="shared" si="5"/>
        <v>-6.9862788799514531E-3</v>
      </c>
      <c r="E158" s="6"/>
      <c r="F158" s="6"/>
      <c r="G158" s="6"/>
      <c r="H158" s="6"/>
    </row>
    <row r="159" spans="1:8" x14ac:dyDescent="0.25">
      <c r="A159" t="s">
        <v>206</v>
      </c>
      <c r="B159">
        <v>135.02000000000001</v>
      </c>
      <c r="C159" s="6">
        <f t="shared" si="4"/>
        <v>-1.2217426293071876E-2</v>
      </c>
      <c r="D159" s="6">
        <f t="shared" si="5"/>
        <v>-1.2292672550837158E-2</v>
      </c>
      <c r="E159" s="6"/>
      <c r="F159" s="6"/>
      <c r="G159" s="6"/>
      <c r="H159" s="6"/>
    </row>
    <row r="160" spans="1:8" x14ac:dyDescent="0.25">
      <c r="A160" t="s">
        <v>207</v>
      </c>
      <c r="B160">
        <v>136.69</v>
      </c>
      <c r="C160" s="6">
        <f t="shared" si="4"/>
        <v>-1.6972312117943256E-2</v>
      </c>
      <c r="D160" s="6">
        <f t="shared" si="5"/>
        <v>-1.7117992515412302E-2</v>
      </c>
      <c r="E160" s="6"/>
      <c r="F160" s="6"/>
      <c r="G160" s="6"/>
      <c r="H160" s="6"/>
    </row>
    <row r="161" spans="1:8" x14ac:dyDescent="0.25">
      <c r="A161" t="s">
        <v>208</v>
      </c>
      <c r="B161">
        <v>139.05000000000001</v>
      </c>
      <c r="C161" s="6">
        <f t="shared" si="4"/>
        <v>-3.7257290248619013E-3</v>
      </c>
      <c r="D161" s="6">
        <f t="shared" si="5"/>
        <v>-3.7326868405789066E-3</v>
      </c>
      <c r="E161" s="6"/>
      <c r="F161" s="6"/>
      <c r="G161" s="6"/>
      <c r="H161" s="6"/>
    </row>
    <row r="162" spans="1:8" x14ac:dyDescent="0.25">
      <c r="A162" t="s">
        <v>209</v>
      </c>
      <c r="B162">
        <v>139.57</v>
      </c>
      <c r="C162" s="6">
        <f t="shared" si="4"/>
        <v>9.7670380552741243E-3</v>
      </c>
      <c r="D162" s="6">
        <f t="shared" si="5"/>
        <v>9.7196488573045841E-3</v>
      </c>
      <c r="E162" s="6"/>
      <c r="F162" s="6"/>
      <c r="G162" s="6"/>
      <c r="H162" s="6"/>
    </row>
    <row r="163" spans="1:8" x14ac:dyDescent="0.25">
      <c r="A163" t="s">
        <v>210</v>
      </c>
      <c r="B163">
        <v>138.22</v>
      </c>
      <c r="C163" s="6">
        <f t="shared" si="4"/>
        <v>1.013904982618774E-3</v>
      </c>
      <c r="D163" s="6">
        <f t="shared" si="5"/>
        <v>1.0133913281304616E-3</v>
      </c>
      <c r="E163" s="6"/>
      <c r="F163" s="6"/>
      <c r="G163" s="6"/>
      <c r="H163" s="6"/>
    </row>
    <row r="164" spans="1:8" x14ac:dyDescent="0.25">
      <c r="A164" t="s">
        <v>211</v>
      </c>
      <c r="B164">
        <v>138.08000000000001</v>
      </c>
      <c r="C164" s="6">
        <f t="shared" si="4"/>
        <v>1.3728801115924005E-2</v>
      </c>
      <c r="D164" s="6">
        <f t="shared" si="5"/>
        <v>1.3635414875867615E-2</v>
      </c>
      <c r="E164" s="6"/>
      <c r="F164" s="6"/>
      <c r="G164" s="6"/>
      <c r="H164" s="6"/>
    </row>
    <row r="165" spans="1:8" x14ac:dyDescent="0.25">
      <c r="A165" t="s">
        <v>212</v>
      </c>
      <c r="B165">
        <v>136.21</v>
      </c>
      <c r="C165" s="6">
        <f t="shared" si="4"/>
        <v>-5.1364837100087435E-4</v>
      </c>
      <c r="D165" s="6">
        <f t="shared" si="5"/>
        <v>-5.1378033351554551E-4</v>
      </c>
      <c r="E165" s="6"/>
      <c r="F165" s="6"/>
      <c r="G165" s="6"/>
      <c r="H165" s="6"/>
    </row>
    <row r="166" spans="1:8" x14ac:dyDescent="0.25">
      <c r="A166" t="s">
        <v>213</v>
      </c>
      <c r="B166">
        <v>136.28</v>
      </c>
      <c r="C166" s="6">
        <f t="shared" si="4"/>
        <v>2.8295480268618389E-2</v>
      </c>
      <c r="D166" s="6">
        <f t="shared" si="5"/>
        <v>2.7902557900178423E-2</v>
      </c>
      <c r="E166" s="6"/>
      <c r="F166" s="6"/>
      <c r="G166" s="6"/>
      <c r="H166" s="6"/>
    </row>
    <row r="167" spans="1:8" x14ac:dyDescent="0.25">
      <c r="A167" t="s">
        <v>214</v>
      </c>
      <c r="B167">
        <v>132.53</v>
      </c>
      <c r="C167" s="6">
        <f t="shared" si="4"/>
        <v>2.5720553748391772E-3</v>
      </c>
      <c r="D167" s="6">
        <f t="shared" si="5"/>
        <v>2.5687533012789874E-3</v>
      </c>
      <c r="E167" s="6"/>
      <c r="F167" s="6"/>
      <c r="G167" s="6"/>
      <c r="H167" s="6"/>
    </row>
    <row r="168" spans="1:8" x14ac:dyDescent="0.25">
      <c r="A168" t="s">
        <v>215</v>
      </c>
      <c r="B168">
        <v>132.19</v>
      </c>
      <c r="C168" s="6">
        <f t="shared" si="4"/>
        <v>-1.4757397331743194E-2</v>
      </c>
      <c r="D168" s="6">
        <f t="shared" si="5"/>
        <v>-1.4867371011071887E-2</v>
      </c>
      <c r="E168" s="6"/>
      <c r="F168" s="6"/>
      <c r="G168" s="6"/>
      <c r="H168" s="6"/>
    </row>
    <row r="169" spans="1:8" x14ac:dyDescent="0.25">
      <c r="A169" t="s">
        <v>216</v>
      </c>
      <c r="B169">
        <v>134.16999999999999</v>
      </c>
      <c r="C169" s="6">
        <f t="shared" si="4"/>
        <v>-1.8579474800673124E-2</v>
      </c>
      <c r="D169" s="6">
        <f t="shared" si="5"/>
        <v>-1.8754241341520733E-2</v>
      </c>
      <c r="E169" s="6"/>
      <c r="F169" s="6"/>
      <c r="G169" s="6"/>
      <c r="H169" s="6"/>
    </row>
    <row r="170" spans="1:8" x14ac:dyDescent="0.25">
      <c r="A170" t="s">
        <v>217</v>
      </c>
      <c r="B170">
        <v>136.71</v>
      </c>
      <c r="C170" s="6">
        <f t="shared" si="4"/>
        <v>5.7382476274552285E-3</v>
      </c>
      <c r="D170" s="6">
        <f t="shared" si="5"/>
        <v>5.7218465967442712E-3</v>
      </c>
      <c r="E170" s="6"/>
      <c r="F170" s="6"/>
      <c r="G170" s="6"/>
      <c r="H170" s="6"/>
    </row>
    <row r="171" spans="1:8" x14ac:dyDescent="0.25">
      <c r="A171" t="s">
        <v>218</v>
      </c>
      <c r="B171">
        <v>135.93</v>
      </c>
      <c r="C171" s="6">
        <f t="shared" si="4"/>
        <v>-4.0584415584415612E-2</v>
      </c>
      <c r="D171" s="6">
        <f t="shared" si="5"/>
        <v>-4.1430946127421611E-2</v>
      </c>
      <c r="E171" s="6"/>
      <c r="F171" s="6"/>
      <c r="G171" s="6"/>
      <c r="H171" s="6"/>
    </row>
    <row r="172" spans="1:8" x14ac:dyDescent="0.25">
      <c r="A172" t="s">
        <v>219</v>
      </c>
      <c r="B172">
        <v>141.68</v>
      </c>
      <c r="C172" s="6">
        <f t="shared" si="4"/>
        <v>-1.3233040813483865E-2</v>
      </c>
      <c r="D172" s="6">
        <f t="shared" si="5"/>
        <v>-1.332137767375895E-2</v>
      </c>
      <c r="E172" s="6"/>
      <c r="F172" s="6"/>
      <c r="G172" s="6"/>
      <c r="H172" s="6"/>
    </row>
    <row r="173" spans="1:8" x14ac:dyDescent="0.25">
      <c r="A173" t="s">
        <v>220</v>
      </c>
      <c r="B173">
        <v>143.58000000000001</v>
      </c>
      <c r="C173" s="6">
        <f t="shared" si="4"/>
        <v>1.2767158072935159E-2</v>
      </c>
      <c r="D173" s="6">
        <f t="shared" si="5"/>
        <v>1.2686345018796914E-2</v>
      </c>
      <c r="E173" s="6"/>
      <c r="F173" s="6"/>
      <c r="G173" s="6"/>
      <c r="H173" s="6"/>
    </row>
    <row r="174" spans="1:8" x14ac:dyDescent="0.25">
      <c r="A174" t="s">
        <v>221</v>
      </c>
      <c r="B174">
        <v>141.77000000000001</v>
      </c>
      <c r="C174" s="6">
        <f t="shared" si="4"/>
        <v>-1.2743732590529189E-2</v>
      </c>
      <c r="D174" s="6">
        <f t="shared" si="5"/>
        <v>-1.2825630484583584E-2</v>
      </c>
      <c r="E174" s="6"/>
      <c r="F174" s="6"/>
      <c r="G174" s="6"/>
      <c r="H174" s="6"/>
    </row>
    <row r="175" spans="1:8" x14ac:dyDescent="0.25">
      <c r="A175" t="s">
        <v>222</v>
      </c>
      <c r="B175">
        <v>143.6</v>
      </c>
      <c r="C175" s="6">
        <f t="shared" si="4"/>
        <v>6.9642732780872407E-5</v>
      </c>
      <c r="D175" s="6">
        <f t="shared" si="5"/>
        <v>6.9640307838343579E-5</v>
      </c>
      <c r="E175" s="6"/>
      <c r="F175" s="6"/>
      <c r="G175" s="6"/>
      <c r="H175" s="6"/>
    </row>
    <row r="176" spans="1:8" x14ac:dyDescent="0.25">
      <c r="A176" t="s">
        <v>223</v>
      </c>
      <c r="B176">
        <v>143.59</v>
      </c>
      <c r="C176" s="6">
        <f t="shared" si="4"/>
        <v>1.4770318021201545E-2</v>
      </c>
      <c r="D176" s="6">
        <f t="shared" si="5"/>
        <v>1.4662299222993317E-2</v>
      </c>
      <c r="E176" s="6"/>
      <c r="F176" s="6"/>
      <c r="G176" s="6"/>
      <c r="H176" s="6"/>
    </row>
    <row r="177" spans="1:8" x14ac:dyDescent="0.25">
      <c r="A177" t="s">
        <v>224</v>
      </c>
      <c r="B177">
        <v>141.5</v>
      </c>
      <c r="C177" s="6">
        <f t="shared" si="4"/>
        <v>1.0858694099157074E-2</v>
      </c>
      <c r="D177" s="6">
        <f t="shared" si="5"/>
        <v>1.0800161821898763E-2</v>
      </c>
      <c r="E177" s="6"/>
      <c r="F177" s="6"/>
      <c r="G177" s="6"/>
      <c r="H177" s="6"/>
    </row>
    <row r="178" spans="1:8" x14ac:dyDescent="0.25">
      <c r="A178" t="s">
        <v>225</v>
      </c>
      <c r="B178">
        <v>139.97999999999999</v>
      </c>
      <c r="C178" s="6">
        <f t="shared" si="4"/>
        <v>1.5746317393512621E-2</v>
      </c>
      <c r="D178" s="6">
        <f t="shared" si="5"/>
        <v>1.5623630374339934E-2</v>
      </c>
      <c r="E178" s="6"/>
      <c r="F178" s="6"/>
      <c r="G178" s="6"/>
      <c r="H178" s="6"/>
    </row>
    <row r="179" spans="1:8" x14ac:dyDescent="0.25">
      <c r="A179" t="s">
        <v>226</v>
      </c>
      <c r="B179">
        <v>137.81</v>
      </c>
      <c r="C179" s="6">
        <f t="shared" si="4"/>
        <v>5.8389898547552832E-3</v>
      </c>
      <c r="D179" s="6">
        <f t="shared" si="5"/>
        <v>5.8220090220363506E-3</v>
      </c>
      <c r="E179" s="6"/>
      <c r="F179" s="6"/>
      <c r="G179" s="6"/>
      <c r="H179" s="6"/>
    </row>
    <row r="180" spans="1:8" x14ac:dyDescent="0.25">
      <c r="A180" t="s">
        <v>227</v>
      </c>
      <c r="B180">
        <v>137.01</v>
      </c>
      <c r="C180" s="6">
        <f t="shared" si="4"/>
        <v>1.2264499445880928E-2</v>
      </c>
      <c r="D180" s="6">
        <f t="shared" si="5"/>
        <v>1.2189899804706979E-2</v>
      </c>
      <c r="E180" s="6"/>
      <c r="F180" s="6"/>
      <c r="G180" s="6"/>
      <c r="H180" s="6"/>
    </row>
    <row r="181" spans="1:8" x14ac:dyDescent="0.25">
      <c r="A181" t="s">
        <v>228</v>
      </c>
      <c r="B181">
        <v>135.35</v>
      </c>
      <c r="C181" s="6">
        <f t="shared" si="4"/>
        <v>-1.4274269900225844E-2</v>
      </c>
      <c r="D181" s="6">
        <f t="shared" si="5"/>
        <v>-1.4377127273350299E-2</v>
      </c>
      <c r="E181" s="6"/>
      <c r="F181" s="6"/>
      <c r="G181" s="6"/>
      <c r="H181" s="6"/>
    </row>
    <row r="182" spans="1:8" x14ac:dyDescent="0.25">
      <c r="A182" t="s">
        <v>229</v>
      </c>
      <c r="B182">
        <v>137.31</v>
      </c>
      <c r="C182" s="6">
        <f t="shared" si="4"/>
        <v>2.4242876324034102E-2</v>
      </c>
      <c r="D182" s="6">
        <f t="shared" si="5"/>
        <v>2.3953682403848865E-2</v>
      </c>
      <c r="E182" s="6"/>
      <c r="F182" s="6"/>
      <c r="G182" s="6"/>
      <c r="H182" s="6"/>
    </row>
    <row r="183" spans="1:8" x14ac:dyDescent="0.25">
      <c r="A183" t="s">
        <v>230</v>
      </c>
      <c r="B183">
        <v>134.06</v>
      </c>
      <c r="C183" s="6">
        <f t="shared" si="4"/>
        <v>8.6524715973215205E-3</v>
      </c>
      <c r="D183" s="6">
        <f t="shared" si="5"/>
        <v>8.6152534965702656E-3</v>
      </c>
      <c r="E183" s="6"/>
      <c r="F183" s="6"/>
      <c r="G183" s="6"/>
      <c r="H183" s="6"/>
    </row>
    <row r="184" spans="1:8" x14ac:dyDescent="0.25">
      <c r="A184" t="s">
        <v>231</v>
      </c>
      <c r="B184">
        <v>132.91</v>
      </c>
      <c r="C184" s="6">
        <f t="shared" si="4"/>
        <v>-2.2073430946950134E-2</v>
      </c>
      <c r="D184" s="6">
        <f t="shared" si="5"/>
        <v>-2.2320694534014501E-2</v>
      </c>
      <c r="E184" s="6"/>
      <c r="F184" s="6"/>
      <c r="G184" s="6"/>
      <c r="H184" s="6"/>
    </row>
    <row r="185" spans="1:8" x14ac:dyDescent="0.25">
      <c r="A185" t="s">
        <v>232</v>
      </c>
      <c r="B185">
        <v>135.91</v>
      </c>
      <c r="C185" s="6">
        <f t="shared" si="4"/>
        <v>-2.5664922216646402E-2</v>
      </c>
      <c r="D185" s="6">
        <f t="shared" si="5"/>
        <v>-2.6000012136887941E-2</v>
      </c>
      <c r="E185" s="6"/>
      <c r="F185" s="6"/>
      <c r="G185" s="6"/>
      <c r="H185" s="6"/>
    </row>
    <row r="186" spans="1:8" x14ac:dyDescent="0.25">
      <c r="A186" t="s">
        <v>233</v>
      </c>
      <c r="B186">
        <v>139.49</v>
      </c>
      <c r="C186" s="6">
        <f t="shared" si="4"/>
        <v>-8.5953728242971206E-4</v>
      </c>
      <c r="D186" s="6">
        <f t="shared" si="5"/>
        <v>-8.5990689641283211E-4</v>
      </c>
      <c r="E186" s="6"/>
      <c r="F186" s="6"/>
      <c r="G186" s="6"/>
      <c r="H186" s="6"/>
    </row>
    <row r="187" spans="1:8" x14ac:dyDescent="0.25">
      <c r="A187" t="s">
        <v>234</v>
      </c>
      <c r="B187">
        <v>139.61000000000001</v>
      </c>
      <c r="C187" s="6">
        <f t="shared" si="4"/>
        <v>-3.4975017844395273E-3</v>
      </c>
      <c r="D187" s="6">
        <f t="shared" si="5"/>
        <v>-3.5036323424045748E-3</v>
      </c>
      <c r="E187" s="6"/>
      <c r="F187" s="6"/>
      <c r="G187" s="6"/>
      <c r="H187" s="6"/>
    </row>
    <row r="188" spans="1:8" x14ac:dyDescent="0.25">
      <c r="A188" t="s">
        <v>235</v>
      </c>
      <c r="B188">
        <v>140.1</v>
      </c>
      <c r="C188" s="6">
        <f t="shared" si="4"/>
        <v>1.7160017160016139E-3</v>
      </c>
      <c r="D188" s="6">
        <f t="shared" si="5"/>
        <v>1.714531067240452E-3</v>
      </c>
      <c r="E188" s="6"/>
      <c r="F188" s="6"/>
      <c r="G188" s="6"/>
      <c r="H188" s="6"/>
    </row>
    <row r="189" spans="1:8" x14ac:dyDescent="0.25">
      <c r="A189" t="s">
        <v>236</v>
      </c>
      <c r="B189">
        <v>139.86000000000001</v>
      </c>
      <c r="C189" s="6">
        <f t="shared" si="4"/>
        <v>-1.7354036394294892E-2</v>
      </c>
      <c r="D189" s="6">
        <f t="shared" si="5"/>
        <v>-1.7506382806813135E-2</v>
      </c>
      <c r="E189" s="6"/>
      <c r="F189" s="6"/>
      <c r="G189" s="6"/>
      <c r="H189" s="6"/>
    </row>
    <row r="190" spans="1:8" x14ac:dyDescent="0.25">
      <c r="A190" t="s">
        <v>237</v>
      </c>
      <c r="B190">
        <v>142.33000000000001</v>
      </c>
      <c r="C190" s="6">
        <f t="shared" si="4"/>
        <v>-6.7690160502442698E-3</v>
      </c>
      <c r="D190" s="6">
        <f t="shared" si="5"/>
        <v>-6.792029751592237E-3</v>
      </c>
      <c r="E190" s="6"/>
      <c r="F190" s="6"/>
      <c r="G190" s="6"/>
      <c r="H190" s="6"/>
    </row>
    <row r="191" spans="1:8" x14ac:dyDescent="0.25">
      <c r="A191" t="s">
        <v>238</v>
      </c>
      <c r="B191">
        <v>143.30000000000001</v>
      </c>
      <c r="C191" s="6">
        <f t="shared" si="4"/>
        <v>-1.0700724887814816E-2</v>
      </c>
      <c r="D191" s="6">
        <f t="shared" si="5"/>
        <v>-1.0758389381233073E-2</v>
      </c>
      <c r="E191" s="6"/>
      <c r="F191" s="6"/>
      <c r="G191" s="6"/>
      <c r="H191" s="6"/>
    </row>
    <row r="192" spans="1:8" x14ac:dyDescent="0.25">
      <c r="A192" t="s">
        <v>239</v>
      </c>
      <c r="B192">
        <v>144.85</v>
      </c>
      <c r="C192" s="6">
        <f t="shared" si="4"/>
        <v>-2.9220561624556107E-2</v>
      </c>
      <c r="D192" s="6">
        <f t="shared" si="5"/>
        <v>-2.9655985436970959E-2</v>
      </c>
      <c r="E192" s="6"/>
      <c r="F192" s="6"/>
      <c r="G192" s="6"/>
      <c r="H192" s="6"/>
    </row>
    <row r="193" spans="1:8" x14ac:dyDescent="0.25">
      <c r="A193" t="s">
        <v>240</v>
      </c>
      <c r="B193">
        <v>149.21</v>
      </c>
      <c r="C193" s="6">
        <f t="shared" si="4"/>
        <v>-8.5055485414313736E-3</v>
      </c>
      <c r="D193" s="6">
        <f t="shared" si="5"/>
        <v>-8.5419271462970261E-3</v>
      </c>
      <c r="E193" s="6"/>
      <c r="F193" s="6"/>
      <c r="G193" s="6"/>
      <c r="H193" s="6"/>
    </row>
    <row r="194" spans="1:8" x14ac:dyDescent="0.25">
      <c r="A194" t="s">
        <v>241</v>
      </c>
      <c r="B194">
        <v>150.49</v>
      </c>
      <c r="C194" s="6">
        <f t="shared" si="4"/>
        <v>4.5390828382618764E-3</v>
      </c>
      <c r="D194" s="6">
        <f t="shared" si="5"/>
        <v>4.5288122693367527E-3</v>
      </c>
      <c r="E194" s="6"/>
      <c r="F194" s="6"/>
      <c r="G194" s="6"/>
      <c r="H194" s="6"/>
    </row>
    <row r="195" spans="1:8" x14ac:dyDescent="0.25">
      <c r="A195" t="s">
        <v>242</v>
      </c>
      <c r="B195">
        <v>149.81</v>
      </c>
      <c r="C195" s="6">
        <f t="shared" ref="C195:C258" si="6">(B195/B196)-1</f>
        <v>1.6625950054288685E-2</v>
      </c>
      <c r="D195" s="6">
        <f t="shared" ref="D195:D258" si="7">LN(B195/B196)</f>
        <v>1.6489252022293704E-2</v>
      </c>
      <c r="E195" s="6"/>
      <c r="F195" s="6"/>
      <c r="G195" s="6"/>
      <c r="H195" s="6"/>
    </row>
    <row r="196" spans="1:8" x14ac:dyDescent="0.25">
      <c r="A196" t="s">
        <v>243</v>
      </c>
      <c r="B196">
        <v>147.36000000000001</v>
      </c>
      <c r="C196" s="6">
        <f t="shared" si="6"/>
        <v>8.1499592502032314E-4</v>
      </c>
      <c r="D196" s="6">
        <f t="shared" si="7"/>
        <v>8.1466399617628358E-4</v>
      </c>
      <c r="E196" s="6"/>
      <c r="F196" s="6"/>
      <c r="G196" s="6"/>
      <c r="H196" s="6"/>
    </row>
    <row r="197" spans="1:8" x14ac:dyDescent="0.25">
      <c r="A197" t="s">
        <v>244</v>
      </c>
      <c r="B197">
        <v>147.24</v>
      </c>
      <c r="C197" s="6">
        <f t="shared" si="6"/>
        <v>-8.2177017378418649E-3</v>
      </c>
      <c r="D197" s="6">
        <f t="shared" si="7"/>
        <v>-8.2516531785805369E-3</v>
      </c>
      <c r="E197" s="6"/>
      <c r="F197" s="6"/>
      <c r="G197" s="6"/>
      <c r="H197" s="6"/>
    </row>
    <row r="198" spans="1:8" x14ac:dyDescent="0.25">
      <c r="A198" t="s">
        <v>245</v>
      </c>
      <c r="B198">
        <v>148.46</v>
      </c>
      <c r="C198" s="6">
        <f t="shared" si="6"/>
        <v>3.9899912084939704E-3</v>
      </c>
      <c r="D198" s="6">
        <f t="shared" si="7"/>
        <v>3.982052304004822E-3</v>
      </c>
      <c r="E198" s="6"/>
      <c r="F198" s="6"/>
      <c r="G198" s="6"/>
      <c r="H198" s="6"/>
    </row>
    <row r="199" spans="1:8" x14ac:dyDescent="0.25">
      <c r="A199" t="s">
        <v>246</v>
      </c>
      <c r="B199">
        <v>147.87</v>
      </c>
      <c r="C199" s="6">
        <f t="shared" si="6"/>
        <v>-1.1035313001605207E-2</v>
      </c>
      <c r="D199" s="6">
        <f t="shared" si="7"/>
        <v>-1.1096653761911372E-2</v>
      </c>
      <c r="E199" s="6"/>
      <c r="F199" s="6"/>
      <c r="G199" s="6"/>
      <c r="H199" s="6"/>
    </row>
    <row r="200" spans="1:8" x14ac:dyDescent="0.25">
      <c r="A200" t="s">
        <v>247</v>
      </c>
      <c r="B200">
        <v>149.52000000000001</v>
      </c>
      <c r="C200" s="6">
        <f t="shared" si="6"/>
        <v>3.0860056353145815E-3</v>
      </c>
      <c r="D200" s="6">
        <f t="shared" si="7"/>
        <v>3.0812536937595714E-3</v>
      </c>
      <c r="E200" s="6"/>
      <c r="F200" s="6"/>
      <c r="G200" s="6"/>
      <c r="H200" s="6"/>
    </row>
    <row r="201" spans="1:8" x14ac:dyDescent="0.25">
      <c r="A201" t="s">
        <v>248</v>
      </c>
      <c r="B201">
        <v>149.06</v>
      </c>
      <c r="C201" s="6">
        <f t="shared" si="6"/>
        <v>-4.8734895520394783E-3</v>
      </c>
      <c r="D201" s="6">
        <f t="shared" si="7"/>
        <v>-4.8854037270797956E-3</v>
      </c>
      <c r="E201" s="6"/>
      <c r="F201" s="6"/>
      <c r="G201" s="6"/>
      <c r="H201" s="6"/>
    </row>
    <row r="202" spans="1:8" x14ac:dyDescent="0.25">
      <c r="A202" t="s">
        <v>249</v>
      </c>
      <c r="B202">
        <v>149.79</v>
      </c>
      <c r="C202" s="6">
        <f t="shared" si="6"/>
        <v>1.8840974017140466E-2</v>
      </c>
      <c r="D202" s="6">
        <f t="shared" si="7"/>
        <v>1.8665681234685975E-2</v>
      </c>
      <c r="E202" s="6"/>
      <c r="F202" s="6"/>
      <c r="G202" s="6"/>
      <c r="H202" s="6"/>
    </row>
    <row r="203" spans="1:8" x14ac:dyDescent="0.25">
      <c r="A203" t="s">
        <v>250</v>
      </c>
      <c r="B203">
        <v>147.02000000000001</v>
      </c>
      <c r="C203" s="6">
        <f t="shared" si="6"/>
        <v>-2.2395656599930591E-3</v>
      </c>
      <c r="D203" s="6">
        <f t="shared" si="7"/>
        <v>-2.2420772377620001E-3</v>
      </c>
      <c r="E203" s="6"/>
      <c r="F203" s="6"/>
      <c r="G203" s="6"/>
      <c r="H203" s="6"/>
    </row>
    <row r="204" spans="1:8" x14ac:dyDescent="0.25">
      <c r="A204" t="s">
        <v>251</v>
      </c>
      <c r="B204">
        <v>147.35</v>
      </c>
      <c r="C204" s="6">
        <f t="shared" si="6"/>
        <v>-5.8696532181892191E-3</v>
      </c>
      <c r="D204" s="6">
        <f t="shared" si="7"/>
        <v>-5.8869473395091231E-3</v>
      </c>
      <c r="E204" s="6"/>
      <c r="F204" s="6"/>
      <c r="G204" s="6"/>
      <c r="H204" s="6"/>
    </row>
    <row r="205" spans="1:8" x14ac:dyDescent="0.25">
      <c r="A205" t="s">
        <v>252</v>
      </c>
      <c r="B205">
        <v>148.22</v>
      </c>
      <c r="C205" s="6">
        <f t="shared" si="6"/>
        <v>4.4727568446734089E-3</v>
      </c>
      <c r="D205" s="6">
        <f t="shared" si="7"/>
        <v>4.4627837947379843E-3</v>
      </c>
      <c r="E205" s="6"/>
      <c r="F205" s="6"/>
      <c r="G205" s="6"/>
      <c r="H205" s="6"/>
    </row>
    <row r="206" spans="1:8" x14ac:dyDescent="0.25">
      <c r="A206" t="s">
        <v>253</v>
      </c>
      <c r="B206">
        <v>147.56</v>
      </c>
      <c r="C206" s="6">
        <f t="shared" si="6"/>
        <v>1.6971013508926269E-3</v>
      </c>
      <c r="D206" s="6">
        <f t="shared" si="7"/>
        <v>1.6956629016278636E-3</v>
      </c>
      <c r="E206" s="6"/>
      <c r="F206" s="6"/>
      <c r="G206" s="6"/>
      <c r="H206" s="6"/>
    </row>
    <row r="207" spans="1:8" x14ac:dyDescent="0.25">
      <c r="A207" t="s">
        <v>254</v>
      </c>
      <c r="B207">
        <v>147.31</v>
      </c>
      <c r="C207" s="6">
        <f t="shared" si="6"/>
        <v>6.078404589537012E-3</v>
      </c>
      <c r="D207" s="6">
        <f t="shared" si="7"/>
        <v>6.0600056083504137E-3</v>
      </c>
      <c r="E207" s="6"/>
      <c r="F207" s="6"/>
      <c r="G207" s="6"/>
      <c r="H207" s="6"/>
    </row>
    <row r="208" spans="1:8" x14ac:dyDescent="0.25">
      <c r="A208" t="s">
        <v>255</v>
      </c>
      <c r="B208">
        <v>146.41999999999999</v>
      </c>
      <c r="C208" s="6">
        <f t="shared" si="6"/>
        <v>-6.1429253975842091E-4</v>
      </c>
      <c r="D208" s="6">
        <f t="shared" si="7"/>
        <v>-6.1448129472509258E-4</v>
      </c>
      <c r="E208" s="6"/>
      <c r="F208" s="6"/>
      <c r="G208" s="6"/>
      <c r="H208" s="6"/>
    </row>
    <row r="209" spans="1:8" x14ac:dyDescent="0.25">
      <c r="A209" t="s">
        <v>256</v>
      </c>
      <c r="B209">
        <v>146.51</v>
      </c>
      <c r="C209" s="6">
        <f t="shared" si="6"/>
        <v>2.7707631874298366E-2</v>
      </c>
      <c r="D209" s="6">
        <f t="shared" si="7"/>
        <v>2.733072179072232E-2</v>
      </c>
      <c r="E209" s="6"/>
      <c r="F209" s="6"/>
      <c r="G209" s="6"/>
      <c r="H209" s="6"/>
    </row>
    <row r="210" spans="1:8" x14ac:dyDescent="0.25">
      <c r="A210" t="s">
        <v>257</v>
      </c>
      <c r="B210">
        <v>142.56</v>
      </c>
      <c r="C210" s="6">
        <f t="shared" si="6"/>
        <v>-1.5408320493066618E-3</v>
      </c>
      <c r="D210" s="6">
        <f t="shared" si="7"/>
        <v>-1.5420203518153371E-3</v>
      </c>
      <c r="E210" s="6"/>
      <c r="F210" s="6"/>
      <c r="G210" s="6"/>
      <c r="H210" s="6"/>
    </row>
    <row r="211" spans="1:8" x14ac:dyDescent="0.25">
      <c r="A211" t="s">
        <v>258</v>
      </c>
      <c r="B211">
        <v>142.78</v>
      </c>
      <c r="C211" s="6">
        <f t="shared" si="6"/>
        <v>-4.354233654876738E-2</v>
      </c>
      <c r="D211" s="6">
        <f t="shared" si="7"/>
        <v>-4.4518753024719179E-2</v>
      </c>
      <c r="E211" s="6"/>
      <c r="F211" s="6"/>
      <c r="G211" s="6"/>
      <c r="H211" s="6"/>
    </row>
    <row r="212" spans="1:8" x14ac:dyDescent="0.25">
      <c r="A212" t="s">
        <v>259</v>
      </c>
      <c r="B212">
        <v>149.28</v>
      </c>
      <c r="C212" s="6">
        <f t="shared" si="6"/>
        <v>-1.8927444794952675E-2</v>
      </c>
      <c r="D212" s="6">
        <f t="shared" si="7"/>
        <v>-1.9108861698046473E-2</v>
      </c>
      <c r="E212" s="6"/>
      <c r="F212" s="6"/>
      <c r="G212" s="6"/>
      <c r="H212" s="6"/>
    </row>
    <row r="213" spans="1:8" x14ac:dyDescent="0.25">
      <c r="A213" t="s">
        <v>260</v>
      </c>
      <c r="B213">
        <v>152.16</v>
      </c>
      <c r="C213" s="6">
        <f t="shared" si="6"/>
        <v>1.412956544921351E-2</v>
      </c>
      <c r="D213" s="6">
        <f t="shared" si="7"/>
        <v>1.4030673583393558E-2</v>
      </c>
      <c r="E213" s="6"/>
      <c r="F213" s="6"/>
      <c r="G213" s="6"/>
      <c r="H213" s="6"/>
    </row>
    <row r="214" spans="1:8" x14ac:dyDescent="0.25">
      <c r="A214" t="s">
        <v>261</v>
      </c>
      <c r="B214">
        <v>150.04</v>
      </c>
      <c r="C214" s="6">
        <f t="shared" si="6"/>
        <v>-1.1659310980831394E-2</v>
      </c>
      <c r="D214" s="6">
        <f t="shared" si="7"/>
        <v>-1.1727813730937267E-2</v>
      </c>
      <c r="E214" s="6"/>
      <c r="F214" s="6"/>
      <c r="G214" s="6"/>
      <c r="H214" s="6"/>
    </row>
    <row r="215" spans="1:8" x14ac:dyDescent="0.25">
      <c r="A215" t="s">
        <v>262</v>
      </c>
      <c r="B215">
        <v>151.81</v>
      </c>
      <c r="C215" s="6">
        <f t="shared" si="6"/>
        <v>3.3283419548053361E-2</v>
      </c>
      <c r="D215" s="6">
        <f t="shared" si="7"/>
        <v>3.2741517993157193E-2</v>
      </c>
      <c r="E215" s="6"/>
      <c r="F215" s="6"/>
      <c r="G215" s="6"/>
      <c r="H215" s="6"/>
    </row>
    <row r="216" spans="1:8" x14ac:dyDescent="0.25">
      <c r="A216" t="s">
        <v>263</v>
      </c>
      <c r="B216">
        <v>146.91999999999999</v>
      </c>
      <c r="C216" s="6">
        <f t="shared" si="6"/>
        <v>2.2511767514836745E-3</v>
      </c>
      <c r="D216" s="6">
        <f t="shared" si="7"/>
        <v>2.2486466495267852E-3</v>
      </c>
      <c r="E216" s="6"/>
      <c r="F216" s="6"/>
      <c r="G216" s="6"/>
      <c r="H216" s="6"/>
    </row>
    <row r="217" spans="1:8" x14ac:dyDescent="0.25">
      <c r="A217" t="s">
        <v>264</v>
      </c>
      <c r="B217">
        <v>146.59</v>
      </c>
      <c r="C217" s="6">
        <f t="shared" si="6"/>
        <v>1.3691999170181823E-2</v>
      </c>
      <c r="D217" s="6">
        <f t="shared" si="7"/>
        <v>1.3599110675238883E-2</v>
      </c>
      <c r="E217" s="6"/>
      <c r="F217" s="6"/>
      <c r="G217" s="6"/>
      <c r="H217" s="6"/>
    </row>
    <row r="218" spans="1:8" x14ac:dyDescent="0.25">
      <c r="A218" t="s">
        <v>265</v>
      </c>
      <c r="B218">
        <v>144.61000000000001</v>
      </c>
      <c r="C218" s="6">
        <f t="shared" si="6"/>
        <v>3.2264972517667356E-2</v>
      </c>
      <c r="D218" s="6">
        <f t="shared" si="7"/>
        <v>3.1755390418678371E-2</v>
      </c>
      <c r="E218" s="6"/>
      <c r="F218" s="6"/>
      <c r="G218" s="6"/>
      <c r="H218" s="6"/>
    </row>
    <row r="219" spans="1:8" x14ac:dyDescent="0.25">
      <c r="A219" t="s">
        <v>266</v>
      </c>
      <c r="B219">
        <v>140.09</v>
      </c>
      <c r="C219" s="6">
        <f t="shared" si="6"/>
        <v>1.9355308156879802E-2</v>
      </c>
      <c r="D219" s="6">
        <f t="shared" si="7"/>
        <v>1.9170376641262046E-2</v>
      </c>
      <c r="E219" s="6"/>
      <c r="F219" s="6"/>
      <c r="G219" s="6"/>
      <c r="H219" s="6"/>
    </row>
    <row r="220" spans="1:8" x14ac:dyDescent="0.25">
      <c r="A220" t="s">
        <v>267</v>
      </c>
      <c r="B220">
        <v>137.43</v>
      </c>
      <c r="C220" s="6">
        <f t="shared" si="6"/>
        <v>3.580042206813383E-2</v>
      </c>
      <c r="D220" s="6">
        <f t="shared" si="7"/>
        <v>3.5174482487908755E-2</v>
      </c>
      <c r="E220" s="6"/>
      <c r="F220" s="6"/>
      <c r="G220" s="6"/>
      <c r="H220" s="6"/>
    </row>
    <row r="221" spans="1:8" x14ac:dyDescent="0.25">
      <c r="A221" t="s">
        <v>268</v>
      </c>
      <c r="B221">
        <v>132.68</v>
      </c>
      <c r="C221" s="6">
        <f t="shared" si="6"/>
        <v>-2.5772817387473279E-2</v>
      </c>
      <c r="D221" s="6">
        <f t="shared" si="7"/>
        <v>-2.6110755502014214E-2</v>
      </c>
      <c r="E221" s="6"/>
      <c r="F221" s="6"/>
      <c r="G221" s="6"/>
      <c r="H221" s="6"/>
    </row>
    <row r="222" spans="1:8" x14ac:dyDescent="0.25">
      <c r="A222" t="s">
        <v>269</v>
      </c>
      <c r="B222">
        <v>136.19</v>
      </c>
      <c r="C222" s="6">
        <f t="shared" si="6"/>
        <v>-5.1862673484295296E-3</v>
      </c>
      <c r="D222" s="6">
        <f t="shared" si="7"/>
        <v>-5.1997627135372329E-3</v>
      </c>
      <c r="E222" s="6"/>
      <c r="F222" s="6"/>
      <c r="G222" s="6"/>
      <c r="H222" s="6"/>
    </row>
    <row r="223" spans="1:8" x14ac:dyDescent="0.25">
      <c r="A223" t="s">
        <v>270</v>
      </c>
      <c r="B223">
        <v>136.9</v>
      </c>
      <c r="C223" s="6">
        <f t="shared" si="6"/>
        <v>-1.2336772238655258E-2</v>
      </c>
      <c r="D223" s="6">
        <f t="shared" si="7"/>
        <v>-1.2413501930858497E-2</v>
      </c>
      <c r="E223" s="6"/>
      <c r="F223" s="6"/>
      <c r="G223" s="6"/>
      <c r="H223" s="6"/>
    </row>
    <row r="224" spans="1:8" x14ac:dyDescent="0.25">
      <c r="A224" t="s">
        <v>271</v>
      </c>
      <c r="B224">
        <v>138.61000000000001</v>
      </c>
      <c r="C224" s="6">
        <f t="shared" si="6"/>
        <v>-5.024764912784363E-3</v>
      </c>
      <c r="D224" s="6">
        <f t="shared" si="7"/>
        <v>-5.0374314928718061E-3</v>
      </c>
      <c r="E224" s="6"/>
      <c r="F224" s="6"/>
      <c r="G224" s="6"/>
      <c r="H224" s="6"/>
    </row>
    <row r="225" spans="1:8" x14ac:dyDescent="0.25">
      <c r="A225" t="s">
        <v>272</v>
      </c>
      <c r="B225">
        <v>139.31</v>
      </c>
      <c r="C225" s="6">
        <f t="shared" si="6"/>
        <v>-6.5221767429376576E-2</v>
      </c>
      <c r="D225" s="6">
        <f t="shared" si="7"/>
        <v>-6.7445962242567797E-2</v>
      </c>
      <c r="E225" s="6"/>
      <c r="F225" s="6"/>
      <c r="G225" s="6"/>
      <c r="H225" s="6"/>
    </row>
    <row r="226" spans="1:8" x14ac:dyDescent="0.25">
      <c r="A226" t="s">
        <v>273</v>
      </c>
      <c r="B226">
        <v>149.03</v>
      </c>
      <c r="C226" s="6">
        <f t="shared" si="6"/>
        <v>-3.8516129032258095E-2</v>
      </c>
      <c r="D226" s="6">
        <f t="shared" si="7"/>
        <v>-3.9277488958545242E-2</v>
      </c>
      <c r="E226" s="6"/>
      <c r="F226" s="6"/>
      <c r="G226" s="6"/>
      <c r="H226" s="6"/>
    </row>
    <row r="227" spans="1:8" x14ac:dyDescent="0.25">
      <c r="A227" t="s">
        <v>274</v>
      </c>
      <c r="B227">
        <v>155</v>
      </c>
      <c r="C227" s="6">
        <f t="shared" si="6"/>
        <v>3.943133047210301E-2</v>
      </c>
      <c r="D227" s="6">
        <f t="shared" si="7"/>
        <v>3.867376598196557E-2</v>
      </c>
      <c r="E227" s="6"/>
      <c r="F227" s="6"/>
      <c r="G227" s="6"/>
      <c r="H227" s="6"/>
    </row>
    <row r="228" spans="1:8" x14ac:dyDescent="0.25">
      <c r="A228" t="s">
        <v>275</v>
      </c>
      <c r="B228">
        <v>149.12</v>
      </c>
      <c r="C228" s="6">
        <f t="shared" si="6"/>
        <v>3.9888423988842403E-2</v>
      </c>
      <c r="D228" s="6">
        <f t="shared" si="7"/>
        <v>3.9113422771761074E-2</v>
      </c>
      <c r="E228" s="6"/>
      <c r="F228" s="6"/>
      <c r="G228" s="6"/>
      <c r="H228" s="6"/>
    </row>
    <row r="229" spans="1:8" x14ac:dyDescent="0.25">
      <c r="A229" t="s">
        <v>276</v>
      </c>
      <c r="B229">
        <v>143.4</v>
      </c>
      <c r="C229" s="6">
        <f t="shared" si="6"/>
        <v>-0.11135898865960214</v>
      </c>
      <c r="D229" s="6">
        <f t="shared" si="7"/>
        <v>-0.11806193678774089</v>
      </c>
      <c r="E229" s="6"/>
      <c r="F229" s="6"/>
      <c r="G229" s="6"/>
      <c r="H229" s="6"/>
    </row>
    <row r="230" spans="1:8" x14ac:dyDescent="0.25">
      <c r="A230" t="s">
        <v>277</v>
      </c>
      <c r="B230">
        <v>161.37</v>
      </c>
      <c r="C230" s="6">
        <f t="shared" si="6"/>
        <v>3.6948978280426648E-2</v>
      </c>
      <c r="D230" s="6">
        <f t="shared" si="7"/>
        <v>3.6282726764476789E-2</v>
      </c>
      <c r="E230" s="6"/>
      <c r="F230" s="6"/>
      <c r="G230" s="6"/>
      <c r="H230" s="6"/>
    </row>
    <row r="231" spans="1:8" x14ac:dyDescent="0.25">
      <c r="A231" t="s">
        <v>278</v>
      </c>
      <c r="B231">
        <v>155.62</v>
      </c>
      <c r="C231" s="6">
        <f t="shared" si="6"/>
        <v>-3.1973127643692423E-2</v>
      </c>
      <c r="D231" s="6">
        <f t="shared" si="7"/>
        <v>-3.2495431392216244E-2</v>
      </c>
      <c r="E231" s="6"/>
      <c r="F231" s="6"/>
      <c r="G231" s="6"/>
      <c r="H231" s="6"/>
    </row>
    <row r="232" spans="1:8" x14ac:dyDescent="0.25">
      <c r="A232" t="s">
        <v>279</v>
      </c>
      <c r="B232">
        <v>160.76</v>
      </c>
      <c r="C232" s="6">
        <f t="shared" si="6"/>
        <v>-1.5071682391863739E-2</v>
      </c>
      <c r="D232" s="6">
        <f t="shared" si="7"/>
        <v>-1.5186414460096446E-2</v>
      </c>
      <c r="E232" s="6"/>
      <c r="F232" s="6"/>
      <c r="G232" s="6"/>
      <c r="H232" s="6"/>
    </row>
    <row r="233" spans="1:8" x14ac:dyDescent="0.25">
      <c r="A233" t="s">
        <v>280</v>
      </c>
      <c r="B233">
        <v>163.22</v>
      </c>
      <c r="C233" s="6">
        <f t="shared" si="6"/>
        <v>-2.216630721303614E-2</v>
      </c>
      <c r="D233" s="6">
        <f t="shared" si="7"/>
        <v>-2.2415671682254997E-2</v>
      </c>
      <c r="E233" s="6"/>
      <c r="F233" s="6"/>
      <c r="G233" s="6"/>
      <c r="H233" s="6"/>
    </row>
    <row r="234" spans="1:8" x14ac:dyDescent="0.25">
      <c r="A234" t="s">
        <v>281</v>
      </c>
      <c r="B234">
        <v>166.92</v>
      </c>
      <c r="C234" s="6">
        <f t="shared" si="6"/>
        <v>1.5081488688883482E-2</v>
      </c>
      <c r="D234" s="6">
        <f t="shared" si="7"/>
        <v>1.4968893693674188E-2</v>
      </c>
      <c r="E234" s="6"/>
      <c r="F234" s="6"/>
      <c r="G234" s="6"/>
      <c r="H234" s="6"/>
    </row>
    <row r="235" spans="1:8" x14ac:dyDescent="0.25">
      <c r="A235" t="s">
        <v>282</v>
      </c>
      <c r="B235">
        <v>164.44</v>
      </c>
      <c r="C235" s="6">
        <f t="shared" si="6"/>
        <v>2.6402846264278024E-2</v>
      </c>
      <c r="D235" s="6">
        <f t="shared" si="7"/>
        <v>2.6060307371054629E-2</v>
      </c>
      <c r="E235" s="6"/>
      <c r="F235" s="6"/>
      <c r="G235" s="6"/>
      <c r="H235" s="6"/>
    </row>
    <row r="236" spans="1:8" x14ac:dyDescent="0.25">
      <c r="A236" t="s">
        <v>283</v>
      </c>
      <c r="B236">
        <v>160.21</v>
      </c>
      <c r="C236" s="6">
        <f t="shared" si="6"/>
        <v>-3.3890128444792889E-2</v>
      </c>
      <c r="D236" s="6">
        <f t="shared" si="7"/>
        <v>-3.4477712567384508E-2</v>
      </c>
      <c r="E236" s="6"/>
      <c r="F236" s="6"/>
      <c r="G236" s="6"/>
      <c r="H236" s="6"/>
    </row>
    <row r="237" spans="1:8" x14ac:dyDescent="0.25">
      <c r="A237" t="s">
        <v>284</v>
      </c>
      <c r="B237">
        <v>165.83</v>
      </c>
      <c r="C237" s="6">
        <f t="shared" si="6"/>
        <v>-9.7927987102166547E-3</v>
      </c>
      <c r="D237" s="6">
        <f t="shared" si="7"/>
        <v>-9.8410635203793478E-3</v>
      </c>
      <c r="E237" s="6"/>
      <c r="F237" s="6"/>
      <c r="G237" s="6"/>
      <c r="H237" s="6"/>
    </row>
    <row r="238" spans="1:8" x14ac:dyDescent="0.25">
      <c r="A238" t="s">
        <v>285</v>
      </c>
      <c r="B238">
        <v>167.47</v>
      </c>
      <c r="C238" s="6">
        <f t="shared" si="6"/>
        <v>-1.2908169279735926E-2</v>
      </c>
      <c r="D238" s="6">
        <f t="shared" si="7"/>
        <v>-1.2992203633201822E-2</v>
      </c>
      <c r="E238" s="6"/>
      <c r="F238" s="6"/>
      <c r="G238" s="6"/>
      <c r="H238" s="6"/>
    </row>
    <row r="239" spans="1:8" x14ac:dyDescent="0.25">
      <c r="A239" t="s">
        <v>286</v>
      </c>
      <c r="B239">
        <v>169.66</v>
      </c>
      <c r="C239" s="6">
        <f t="shared" si="6"/>
        <v>-2.8682658727886778E-2</v>
      </c>
      <c r="D239" s="6">
        <f t="shared" si="7"/>
        <v>-2.9102045060712709E-2</v>
      </c>
      <c r="E239" s="6"/>
      <c r="F239" s="6"/>
      <c r="G239" s="6"/>
      <c r="H239" s="6"/>
    </row>
    <row r="240" spans="1:8" x14ac:dyDescent="0.25">
      <c r="A240" t="s">
        <v>287</v>
      </c>
      <c r="B240">
        <v>174.67</v>
      </c>
      <c r="C240" s="6">
        <f t="shared" si="6"/>
        <v>-3.3095577746077298E-3</v>
      </c>
      <c r="D240" s="6">
        <f t="shared" si="7"/>
        <v>-3.3150464743980064E-3</v>
      </c>
      <c r="E240" s="6"/>
      <c r="F240" s="6"/>
      <c r="G240" s="6"/>
      <c r="H240" s="6"/>
    </row>
    <row r="241" spans="1:8" x14ac:dyDescent="0.25">
      <c r="A241" t="s">
        <v>288</v>
      </c>
      <c r="B241">
        <v>175.25</v>
      </c>
      <c r="C241" s="6">
        <f t="shared" si="6"/>
        <v>-3.4225086988759479E-4</v>
      </c>
      <c r="D241" s="6">
        <f t="shared" si="7"/>
        <v>-3.4230945108325561E-4</v>
      </c>
      <c r="E241" s="6"/>
      <c r="F241" s="6"/>
      <c r="G241" s="6"/>
      <c r="H241" s="6"/>
    </row>
    <row r="242" spans="1:8" x14ac:dyDescent="0.25">
      <c r="A242" t="s">
        <v>289</v>
      </c>
      <c r="B242">
        <v>175.31</v>
      </c>
      <c r="C242" s="6">
        <f t="shared" si="6"/>
        <v>7.76040469073358E-3</v>
      </c>
      <c r="D242" s="6">
        <f t="shared" si="7"/>
        <v>7.7304476363451854E-3</v>
      </c>
      <c r="E242" s="6"/>
      <c r="F242" s="6"/>
      <c r="G242" s="6"/>
      <c r="H242" s="6"/>
    </row>
    <row r="243" spans="1:8" x14ac:dyDescent="0.25">
      <c r="A243" t="s">
        <v>290</v>
      </c>
      <c r="B243">
        <v>173.96</v>
      </c>
      <c r="C243" s="6">
        <f t="shared" si="6"/>
        <v>-2.3957807327610325E-2</v>
      </c>
      <c r="D243" s="6">
        <f t="shared" si="7"/>
        <v>-2.424946330632204E-2</v>
      </c>
      <c r="E243" s="6"/>
      <c r="F243" s="6"/>
      <c r="G243" s="6"/>
      <c r="H243" s="6"/>
    </row>
    <row r="244" spans="1:8" x14ac:dyDescent="0.25">
      <c r="A244" t="s">
        <v>291</v>
      </c>
      <c r="B244">
        <v>178.23</v>
      </c>
      <c r="C244" s="6">
        <f t="shared" si="6"/>
        <v>1.4226369999430943E-2</v>
      </c>
      <c r="D244" s="6">
        <f t="shared" si="7"/>
        <v>1.4126124829004964E-2</v>
      </c>
      <c r="E244" s="6"/>
      <c r="F244" s="6"/>
      <c r="G244" s="6"/>
      <c r="H244" s="6"/>
    </row>
    <row r="245" spans="1:8" x14ac:dyDescent="0.25">
      <c r="A245" t="s">
        <v>292</v>
      </c>
      <c r="B245">
        <v>175.73</v>
      </c>
      <c r="C245" s="6">
        <f t="shared" si="6"/>
        <v>2.7389443651926193E-3</v>
      </c>
      <c r="D245" s="6">
        <f t="shared" si="7"/>
        <v>2.7352002920553575E-3</v>
      </c>
      <c r="E245" s="6"/>
      <c r="F245" s="6"/>
      <c r="G245" s="6"/>
      <c r="H245" s="6"/>
    </row>
    <row r="246" spans="1:8" x14ac:dyDescent="0.25">
      <c r="A246" t="s">
        <v>293</v>
      </c>
      <c r="B246">
        <v>175.25</v>
      </c>
      <c r="C246" s="6">
        <f t="shared" si="6"/>
        <v>7.9949745874019484E-4</v>
      </c>
      <c r="D246" s="6">
        <f t="shared" si="7"/>
        <v>7.9917803089009343E-4</v>
      </c>
      <c r="E246" s="6"/>
      <c r="F246" s="6"/>
      <c r="G246" s="6"/>
      <c r="H246" s="6"/>
    </row>
    <row r="247" spans="1:8" x14ac:dyDescent="0.25">
      <c r="A247" t="s">
        <v>294</v>
      </c>
      <c r="B247">
        <v>175.11</v>
      </c>
      <c r="C247" s="6">
        <f t="shared" si="6"/>
        <v>1.0619264731344114E-2</v>
      </c>
      <c r="D247" s="6">
        <f t="shared" si="7"/>
        <v>1.0563276361053963E-2</v>
      </c>
      <c r="E247" s="6"/>
      <c r="F247" s="6"/>
      <c r="G247" s="6"/>
      <c r="H247" s="6"/>
    </row>
    <row r="248" spans="1:8" x14ac:dyDescent="0.25">
      <c r="A248" t="s">
        <v>295</v>
      </c>
      <c r="B248">
        <v>173.27</v>
      </c>
      <c r="C248" s="6">
        <f t="shared" si="6"/>
        <v>1.1556017796268137E-3</v>
      </c>
      <c r="D248" s="6">
        <f t="shared" si="7"/>
        <v>1.1549345858476859E-3</v>
      </c>
      <c r="E248" s="6"/>
      <c r="F248" s="6"/>
      <c r="G248" s="6"/>
      <c r="H248" s="6"/>
    </row>
    <row r="249" spans="1:8" x14ac:dyDescent="0.25">
      <c r="A249" t="s">
        <v>296</v>
      </c>
      <c r="B249">
        <v>173.07</v>
      </c>
      <c r="C249" s="6">
        <f t="shared" si="6"/>
        <v>-1.5000288467087453E-3</v>
      </c>
      <c r="D249" s="6">
        <f t="shared" si="7"/>
        <v>-1.501155016311374E-3</v>
      </c>
      <c r="E249" s="6"/>
      <c r="F249" s="6"/>
      <c r="G249" s="6"/>
      <c r="H249" s="6"/>
    </row>
    <row r="250" spans="1:8" x14ac:dyDescent="0.25">
      <c r="A250" t="s">
        <v>297</v>
      </c>
      <c r="B250">
        <v>173.33</v>
      </c>
      <c r="C250" s="6">
        <f t="shared" si="6"/>
        <v>4.2294322132099271E-3</v>
      </c>
      <c r="D250" s="6">
        <f t="shared" si="7"/>
        <v>4.2205133038915868E-3</v>
      </c>
      <c r="E250" s="6"/>
      <c r="F250" s="6"/>
      <c r="G250" s="6"/>
      <c r="H250" s="6"/>
    </row>
    <row r="251" spans="1:8" x14ac:dyDescent="0.25">
      <c r="A251" t="s">
        <v>298</v>
      </c>
      <c r="B251">
        <v>172.6</v>
      </c>
      <c r="C251" s="6">
        <f t="shared" si="6"/>
        <v>1.7988793866116071E-2</v>
      </c>
      <c r="D251" s="6">
        <f t="shared" si="7"/>
        <v>1.7828910077679835E-2</v>
      </c>
      <c r="E251" s="6"/>
      <c r="F251" s="6"/>
      <c r="G251" s="6"/>
      <c r="H251" s="6"/>
    </row>
    <row r="252" spans="1:8" x14ac:dyDescent="0.25">
      <c r="A252" t="s">
        <v>299</v>
      </c>
      <c r="B252">
        <v>169.55</v>
      </c>
      <c r="C252" s="6">
        <f t="shared" si="6"/>
        <v>1.9501240988064605E-3</v>
      </c>
      <c r="D252" s="6">
        <f t="shared" si="7"/>
        <v>1.9482250752929633E-3</v>
      </c>
      <c r="E252" s="6"/>
      <c r="F252" s="6"/>
      <c r="G252" s="6"/>
      <c r="H252" s="6"/>
    </row>
    <row r="253" spans="1:8" x14ac:dyDescent="0.25">
      <c r="A253" t="s">
        <v>300</v>
      </c>
      <c r="B253">
        <v>169.22</v>
      </c>
      <c r="C253" s="6">
        <f t="shared" si="6"/>
        <v>-2.2979214780600388E-2</v>
      </c>
      <c r="D253" s="6">
        <f t="shared" si="7"/>
        <v>-2.3247352631979877E-2</v>
      </c>
      <c r="E253" s="6"/>
      <c r="F253" s="6"/>
      <c r="G253" s="6"/>
      <c r="H253" s="6"/>
    </row>
    <row r="254" spans="1:8" x14ac:dyDescent="0.25">
      <c r="A254" t="s">
        <v>301</v>
      </c>
      <c r="B254">
        <v>173.2</v>
      </c>
      <c r="C254" s="6">
        <f t="shared" si="6"/>
        <v>-1.0794448569307336E-2</v>
      </c>
      <c r="D254" s="6">
        <f t="shared" si="7"/>
        <v>-1.0853131309890778E-2</v>
      </c>
      <c r="E254" s="6"/>
      <c r="F254" s="6"/>
      <c r="G254" s="6"/>
      <c r="H254" s="6"/>
    </row>
    <row r="255" spans="1:8" x14ac:dyDescent="0.25">
      <c r="A255" t="s">
        <v>302</v>
      </c>
      <c r="B255">
        <v>175.09</v>
      </c>
      <c r="C255" s="6">
        <f t="shared" si="6"/>
        <v>2.0603216391004153E-3</v>
      </c>
      <c r="D255" s="6">
        <f t="shared" si="7"/>
        <v>2.0582020872784951E-3</v>
      </c>
      <c r="E255" s="6"/>
      <c r="F255" s="6"/>
      <c r="G255" s="6"/>
      <c r="H255" s="6"/>
    </row>
    <row r="256" spans="1:8" x14ac:dyDescent="0.25">
      <c r="A256" t="s">
        <v>303</v>
      </c>
      <c r="B256">
        <v>174.73</v>
      </c>
      <c r="C256" s="6">
        <f t="shared" si="6"/>
        <v>-1.8370786516853976E-2</v>
      </c>
      <c r="D256" s="6">
        <f t="shared" si="7"/>
        <v>-1.8541624941138164E-2</v>
      </c>
      <c r="E256" s="6"/>
      <c r="F256" s="6"/>
      <c r="G256" s="6"/>
      <c r="H256" s="6"/>
    </row>
    <row r="257" spans="1:8" x14ac:dyDescent="0.25">
      <c r="A257" t="s">
        <v>304</v>
      </c>
      <c r="B257">
        <v>178</v>
      </c>
      <c r="C257" s="6">
        <f t="shared" si="6"/>
        <v>-1.7009056770488251E-2</v>
      </c>
      <c r="D257" s="6">
        <f t="shared" si="7"/>
        <v>-1.7155372275672761E-2</v>
      </c>
      <c r="E257" s="6"/>
      <c r="F257" s="6"/>
      <c r="G257" s="6"/>
      <c r="H257" s="6"/>
    </row>
    <row r="258" spans="1:8" x14ac:dyDescent="0.25">
      <c r="A258" t="s">
        <v>305</v>
      </c>
      <c r="B258">
        <v>181.08</v>
      </c>
      <c r="C258" s="6">
        <f t="shared" si="6"/>
        <v>4.4531610521458154E-2</v>
      </c>
      <c r="D258" s="6">
        <f t="shared" si="7"/>
        <v>4.3568565339654149E-2</v>
      </c>
      <c r="E258" s="6"/>
      <c r="F258" s="6"/>
      <c r="G258" s="6"/>
      <c r="H258" s="6"/>
    </row>
    <row r="259" spans="1:8" x14ac:dyDescent="0.25">
      <c r="A259" t="s">
        <v>306</v>
      </c>
      <c r="B259">
        <v>173.36</v>
      </c>
      <c r="C259" s="6">
        <f t="shared" ref="C259:C322" si="8">(B259/B260)-1</f>
        <v>-6.931316950220423E-3</v>
      </c>
      <c r="D259" s="6">
        <f t="shared" ref="D259:D322" si="9">LN(B259/B260)</f>
        <v>-6.9554501085845183E-3</v>
      </c>
      <c r="E259" s="6"/>
      <c r="F259" s="6"/>
      <c r="G259" s="6"/>
      <c r="H259" s="6"/>
    </row>
    <row r="260" spans="1:8" x14ac:dyDescent="0.25">
      <c r="A260" t="s">
        <v>307</v>
      </c>
      <c r="B260">
        <v>174.57</v>
      </c>
      <c r="C260" s="6">
        <f t="shared" si="8"/>
        <v>1.8138341304094086E-2</v>
      </c>
      <c r="D260" s="6">
        <f t="shared" si="9"/>
        <v>1.7975804086078209E-2</v>
      </c>
      <c r="E260" s="6"/>
      <c r="F260" s="6"/>
      <c r="G260" s="6"/>
      <c r="H260" s="6"/>
    </row>
    <row r="261" spans="1:8" x14ac:dyDescent="0.25">
      <c r="A261" t="s">
        <v>308</v>
      </c>
      <c r="B261">
        <v>171.46</v>
      </c>
      <c r="C261" s="6">
        <f t="shared" si="8"/>
        <v>7.9952968841858763E-3</v>
      </c>
      <c r="D261" s="6">
        <f t="shared" si="9"/>
        <v>7.9635038487939052E-3</v>
      </c>
      <c r="E261" s="6"/>
      <c r="F261" s="6"/>
      <c r="G261" s="6"/>
      <c r="H261" s="6"/>
    </row>
    <row r="262" spans="1:8" x14ac:dyDescent="0.25">
      <c r="A262" t="s">
        <v>309</v>
      </c>
      <c r="B262">
        <v>170.1</v>
      </c>
      <c r="C262" s="6">
        <f t="shared" si="8"/>
        <v>-1.8125144308473895E-2</v>
      </c>
      <c r="D262" s="6">
        <f t="shared" si="9"/>
        <v>-1.8291416944609947E-2</v>
      </c>
      <c r="E262" s="6"/>
      <c r="F262" s="6"/>
      <c r="G262" s="6"/>
      <c r="H262" s="6"/>
    </row>
    <row r="263" spans="1:8" x14ac:dyDescent="0.25">
      <c r="A263" t="s">
        <v>310</v>
      </c>
      <c r="B263">
        <v>173.24</v>
      </c>
      <c r="C263" s="6">
        <f t="shared" si="8"/>
        <v>-1.3158644260894303E-2</v>
      </c>
      <c r="D263" s="6">
        <f t="shared" si="9"/>
        <v>-1.3245986268015299E-2</v>
      </c>
      <c r="E263" s="6"/>
      <c r="F263" s="6"/>
      <c r="G263" s="6"/>
      <c r="H263" s="6"/>
    </row>
    <row r="264" spans="1:8" x14ac:dyDescent="0.25">
      <c r="A264" t="s">
        <v>311</v>
      </c>
      <c r="B264">
        <v>175.55</v>
      </c>
      <c r="C264" s="6">
        <f t="shared" si="8"/>
        <v>4.2331674389337604E-3</v>
      </c>
      <c r="D264" s="6">
        <f t="shared" si="9"/>
        <v>4.2242327913487934E-3</v>
      </c>
      <c r="E264" s="6"/>
      <c r="F264" s="6"/>
      <c r="G264" s="6"/>
      <c r="H264" s="6"/>
    </row>
    <row r="265" spans="1:8" x14ac:dyDescent="0.25">
      <c r="A265" t="s">
        <v>312</v>
      </c>
      <c r="B265">
        <v>174.81</v>
      </c>
      <c r="C265" s="6">
        <f t="shared" si="8"/>
        <v>8.2477794439959062E-3</v>
      </c>
      <c r="D265" s="6">
        <f t="shared" si="9"/>
        <v>8.2139523825982396E-3</v>
      </c>
      <c r="E265" s="6"/>
      <c r="F265" s="6"/>
      <c r="G265" s="6"/>
      <c r="H265" s="6"/>
    </row>
    <row r="266" spans="1:8" x14ac:dyDescent="0.25">
      <c r="A266" t="s">
        <v>313</v>
      </c>
      <c r="B266">
        <v>173.38</v>
      </c>
      <c r="C266" s="6">
        <f t="shared" si="8"/>
        <v>-3.047553332183317E-3</v>
      </c>
      <c r="D266" s="6">
        <f t="shared" si="9"/>
        <v>-3.0522065792568617E-3</v>
      </c>
      <c r="E266" s="6"/>
      <c r="F266" s="6"/>
      <c r="G266" s="6"/>
      <c r="H266" s="6"/>
    </row>
    <row r="267" spans="1:8" x14ac:dyDescent="0.25">
      <c r="A267" t="s">
        <v>314</v>
      </c>
      <c r="B267">
        <v>173.91</v>
      </c>
      <c r="C267" s="6">
        <f t="shared" si="8"/>
        <v>-2.5495909447495246E-2</v>
      </c>
      <c r="D267" s="6">
        <f t="shared" si="9"/>
        <v>-2.582656245225419E-2</v>
      </c>
      <c r="E267" s="6"/>
      <c r="F267" s="6"/>
      <c r="G267" s="6"/>
      <c r="H267" s="6"/>
    </row>
    <row r="268" spans="1:8" x14ac:dyDescent="0.25">
      <c r="A268" t="s">
        <v>315</v>
      </c>
      <c r="B268">
        <v>178.46</v>
      </c>
      <c r="C268" s="6">
        <f t="shared" si="8"/>
        <v>-1.8749656347940791E-2</v>
      </c>
      <c r="D268" s="6">
        <f t="shared" si="9"/>
        <v>-1.8927659666921125E-2</v>
      </c>
      <c r="E268" s="6"/>
      <c r="F268" s="6"/>
      <c r="G268" s="6"/>
      <c r="H268" s="6"/>
    </row>
    <row r="269" spans="1:8" x14ac:dyDescent="0.25">
      <c r="A269" t="s">
        <v>316</v>
      </c>
      <c r="B269">
        <v>181.87</v>
      </c>
      <c r="C269" s="6">
        <f t="shared" si="8"/>
        <v>5.4987352908764109E-5</v>
      </c>
      <c r="D269" s="6">
        <f t="shared" si="9"/>
        <v>5.4985841159691952E-5</v>
      </c>
      <c r="E269" s="6"/>
      <c r="F269" s="6"/>
      <c r="G269" s="6"/>
      <c r="H269" s="6"/>
    </row>
    <row r="270" spans="1:8" x14ac:dyDescent="0.25">
      <c r="A270" t="s">
        <v>317</v>
      </c>
      <c r="B270">
        <v>181.86</v>
      </c>
      <c r="C270" s="6">
        <f t="shared" si="8"/>
        <v>2.4159486399729868E-2</v>
      </c>
      <c r="D270" s="6">
        <f t="shared" si="9"/>
        <v>2.3872262927023602E-2</v>
      </c>
      <c r="E270" s="6"/>
      <c r="F270" s="6"/>
      <c r="G270" s="6"/>
      <c r="H270" s="6"/>
    </row>
    <row r="271" spans="1:8" x14ac:dyDescent="0.25">
      <c r="A271" t="s">
        <v>318</v>
      </c>
      <c r="B271">
        <v>177.57</v>
      </c>
      <c r="C271" s="6">
        <f t="shared" si="8"/>
        <v>-5.9896999552171426E-3</v>
      </c>
      <c r="D271" s="6">
        <f t="shared" si="9"/>
        <v>-6.0077101611590213E-3</v>
      </c>
      <c r="E271" s="6"/>
      <c r="F271" s="6"/>
      <c r="G271" s="6"/>
      <c r="H271" s="6"/>
    </row>
    <row r="272" spans="1:8" x14ac:dyDescent="0.25">
      <c r="A272" t="s">
        <v>319</v>
      </c>
      <c r="B272">
        <v>178.64</v>
      </c>
      <c r="C272" s="6">
        <f t="shared" si="8"/>
        <v>1.2698412698412653E-2</v>
      </c>
      <c r="D272" s="6">
        <f t="shared" si="9"/>
        <v>1.2618463959211464E-2</v>
      </c>
      <c r="E272" s="6"/>
      <c r="F272" s="6"/>
      <c r="G272" s="6"/>
      <c r="H272" s="6"/>
    </row>
    <row r="273" spans="1:8" x14ac:dyDescent="0.25">
      <c r="A273" t="s">
        <v>320</v>
      </c>
      <c r="B273">
        <v>176.4</v>
      </c>
      <c r="C273" s="6">
        <f t="shared" si="8"/>
        <v>1.7009695526448709E-4</v>
      </c>
      <c r="D273" s="6">
        <f t="shared" si="9"/>
        <v>1.70082490417653E-4</v>
      </c>
      <c r="E273" s="6"/>
      <c r="F273" s="6"/>
      <c r="G273" s="6"/>
      <c r="H273" s="6"/>
    </row>
    <row r="274" spans="1:8" x14ac:dyDescent="0.25">
      <c r="A274" t="s">
        <v>321</v>
      </c>
      <c r="B274">
        <v>176.37</v>
      </c>
      <c r="C274" s="6">
        <f t="shared" si="8"/>
        <v>-5.2453468697123418E-3</v>
      </c>
      <c r="D274" s="6">
        <f t="shared" si="9"/>
        <v>-5.2591519978889339E-3</v>
      </c>
      <c r="E274" s="6"/>
      <c r="F274" s="6"/>
      <c r="G274" s="6"/>
      <c r="H274" s="6"/>
    </row>
    <row r="275" spans="1:8" x14ac:dyDescent="0.25">
      <c r="A275" t="s">
        <v>322</v>
      </c>
      <c r="B275">
        <v>177.3</v>
      </c>
      <c r="C275" s="6">
        <f t="shared" si="8"/>
        <v>4.287983059820033E-2</v>
      </c>
      <c r="D275" s="6">
        <f t="shared" si="9"/>
        <v>4.1985954230524855E-2</v>
      </c>
      <c r="E275" s="6"/>
      <c r="F275" s="6"/>
      <c r="G275" s="6"/>
      <c r="H275" s="6"/>
    </row>
    <row r="276" spans="1:8" x14ac:dyDescent="0.25">
      <c r="A276" t="s">
        <v>323</v>
      </c>
      <c r="B276">
        <v>170.01</v>
      </c>
      <c r="C276" s="6">
        <f t="shared" si="8"/>
        <v>-1.4948722405701442E-2</v>
      </c>
      <c r="D276" s="6">
        <f t="shared" si="9"/>
        <v>-1.5061580693674271E-2</v>
      </c>
      <c r="E276" s="6"/>
      <c r="F276" s="6"/>
      <c r="G276" s="6"/>
      <c r="H276" s="6"/>
    </row>
    <row r="277" spans="1:8" x14ac:dyDescent="0.25">
      <c r="A277" t="s">
        <v>324</v>
      </c>
      <c r="B277">
        <v>172.59</v>
      </c>
      <c r="C277" s="6">
        <f t="shared" si="8"/>
        <v>-1.7029274404829708E-2</v>
      </c>
      <c r="D277" s="6">
        <f t="shared" si="9"/>
        <v>-1.7175939954750918E-2</v>
      </c>
      <c r="E277" s="6"/>
      <c r="F277" s="6"/>
      <c r="G277" s="6"/>
      <c r="H277" s="6"/>
    </row>
    <row r="278" spans="1:8" x14ac:dyDescent="0.25">
      <c r="A278" t="s">
        <v>325</v>
      </c>
      <c r="B278">
        <v>175.58</v>
      </c>
      <c r="C278" s="6">
        <f t="shared" si="8"/>
        <v>3.4289633100927919E-3</v>
      </c>
      <c r="D278" s="6">
        <f t="shared" si="9"/>
        <v>3.4230978199444118E-3</v>
      </c>
      <c r="E278" s="6"/>
      <c r="F278" s="6"/>
      <c r="G278" s="6"/>
      <c r="H278" s="6"/>
    </row>
    <row r="279" spans="1:8" x14ac:dyDescent="0.25">
      <c r="A279" t="s">
        <v>326</v>
      </c>
      <c r="B279">
        <v>174.98</v>
      </c>
      <c r="C279" s="6">
        <f t="shared" si="8"/>
        <v>2.850761182625039E-2</v>
      </c>
      <c r="D279" s="6">
        <f t="shared" si="9"/>
        <v>2.810883098407203E-2</v>
      </c>
      <c r="E279" s="6"/>
      <c r="F279" s="6"/>
      <c r="G279" s="6"/>
      <c r="H279" s="6"/>
    </row>
    <row r="280" spans="1:8" x14ac:dyDescent="0.25">
      <c r="A280" t="s">
        <v>327</v>
      </c>
      <c r="B280">
        <v>170.13</v>
      </c>
      <c r="C280" s="6">
        <f t="shared" si="8"/>
        <v>1.5305822099251909E-3</v>
      </c>
      <c r="D280" s="6">
        <f t="shared" si="9"/>
        <v>1.5294120628265733E-3</v>
      </c>
      <c r="E280" s="6"/>
      <c r="F280" s="6"/>
      <c r="G280" s="6"/>
      <c r="H280" s="6"/>
    </row>
    <row r="281" spans="1:8" x14ac:dyDescent="0.25">
      <c r="A281" t="s">
        <v>328</v>
      </c>
      <c r="B281">
        <v>169.87</v>
      </c>
      <c r="C281" s="6">
        <f t="shared" si="8"/>
        <v>-1.9565970218169193E-2</v>
      </c>
      <c r="D281" s="6">
        <f t="shared" si="9"/>
        <v>-1.9759917830774493E-2</v>
      </c>
      <c r="E281" s="6"/>
      <c r="F281" s="6"/>
      <c r="G281" s="6"/>
      <c r="H281" s="6"/>
    </row>
    <row r="282" spans="1:8" x14ac:dyDescent="0.25">
      <c r="A282" t="s">
        <v>329</v>
      </c>
      <c r="B282">
        <v>173.26</v>
      </c>
      <c r="C282" s="6">
        <f t="shared" si="8"/>
        <v>-1.0790750785041436E-2</v>
      </c>
      <c r="D282" s="6">
        <f t="shared" si="9"/>
        <v>-1.0849393181501629E-2</v>
      </c>
      <c r="E282" s="6"/>
      <c r="F282" s="6"/>
      <c r="G282" s="6"/>
      <c r="H282" s="6"/>
    </row>
    <row r="283" spans="1:8" x14ac:dyDescent="0.25">
      <c r="A283" t="s">
        <v>330</v>
      </c>
      <c r="B283">
        <v>175.15</v>
      </c>
      <c r="C283" s="6">
        <f t="shared" si="8"/>
        <v>2.8962519092938566E-2</v>
      </c>
      <c r="D283" s="6">
        <f t="shared" si="9"/>
        <v>2.8551031594680854E-2</v>
      </c>
      <c r="E283" s="6"/>
      <c r="F283" s="6"/>
      <c r="G283" s="6"/>
      <c r="H283" s="6"/>
    </row>
    <row r="284" spans="1:8" x14ac:dyDescent="0.25">
      <c r="A284" t="s">
        <v>331</v>
      </c>
      <c r="B284">
        <v>170.22</v>
      </c>
      <c r="C284" s="6">
        <f t="shared" si="8"/>
        <v>-2.0542033488693212E-2</v>
      </c>
      <c r="D284" s="6">
        <f t="shared" si="9"/>
        <v>-2.0755955727827437E-2</v>
      </c>
      <c r="E284" s="6"/>
      <c r="F284" s="6"/>
      <c r="G284" s="6"/>
      <c r="H284" s="6"/>
    </row>
    <row r="285" spans="1:8" x14ac:dyDescent="0.25">
      <c r="A285" t="s">
        <v>332</v>
      </c>
      <c r="B285">
        <v>173.79</v>
      </c>
      <c r="C285" s="6">
        <f t="shared" si="8"/>
        <v>1.0230773702261109E-2</v>
      </c>
      <c r="D285" s="6">
        <f t="shared" si="9"/>
        <v>1.0178793567694472E-2</v>
      </c>
      <c r="E285" s="6"/>
      <c r="F285" s="6"/>
      <c r="G285" s="6"/>
      <c r="H285" s="6"/>
    </row>
    <row r="286" spans="1:8" x14ac:dyDescent="0.25">
      <c r="A286" t="s">
        <v>333</v>
      </c>
      <c r="B286">
        <v>172.03</v>
      </c>
      <c r="C286" s="6">
        <f t="shared" si="8"/>
        <v>-2.3056391617922611E-2</v>
      </c>
      <c r="D286" s="6">
        <f t="shared" si="9"/>
        <v>-2.332634776373876E-2</v>
      </c>
      <c r="E286" s="6"/>
      <c r="F286" s="6"/>
      <c r="G286" s="6"/>
      <c r="H286" s="6"/>
    </row>
    <row r="287" spans="1:8" x14ac:dyDescent="0.25">
      <c r="A287" t="s">
        <v>334</v>
      </c>
      <c r="B287">
        <v>176.09</v>
      </c>
      <c r="C287" s="6">
        <f t="shared" si="8"/>
        <v>-1.4936227343924746E-2</v>
      </c>
      <c r="D287" s="6">
        <f t="shared" si="9"/>
        <v>-1.5048896092564022E-2</v>
      </c>
      <c r="E287" s="6"/>
      <c r="F287" s="6"/>
      <c r="G287" s="6"/>
      <c r="H287" s="6"/>
    </row>
    <row r="288" spans="1:8" x14ac:dyDescent="0.25">
      <c r="A288" t="s">
        <v>335</v>
      </c>
      <c r="B288">
        <v>178.76</v>
      </c>
      <c r="C288" s="6">
        <f t="shared" si="8"/>
        <v>-7.1646764787559603E-3</v>
      </c>
      <c r="D288" s="6">
        <f t="shared" si="9"/>
        <v>-7.1904660296335469E-3</v>
      </c>
      <c r="E288" s="6"/>
      <c r="F288" s="6"/>
      <c r="G288" s="6"/>
      <c r="H288" s="6"/>
    </row>
    <row r="289" spans="1:8" x14ac:dyDescent="0.25">
      <c r="A289" t="s">
        <v>336</v>
      </c>
      <c r="B289">
        <v>180.05</v>
      </c>
      <c r="C289" s="6">
        <f t="shared" si="8"/>
        <v>5.5288730034626088E-3</v>
      </c>
      <c r="D289" s="6">
        <f t="shared" si="9"/>
        <v>5.513644888874388E-3</v>
      </c>
      <c r="E289" s="6"/>
      <c r="F289" s="6"/>
      <c r="G289" s="6"/>
      <c r="H289" s="6"/>
    </row>
    <row r="290" spans="1:8" x14ac:dyDescent="0.25">
      <c r="A290" t="s">
        <v>337</v>
      </c>
      <c r="B290">
        <v>179.06</v>
      </c>
      <c r="C290" s="6">
        <f t="shared" si="8"/>
        <v>1.2210288298473593E-2</v>
      </c>
      <c r="D290" s="6">
        <f t="shared" si="9"/>
        <v>1.2136344040270225E-2</v>
      </c>
      <c r="E290" s="6"/>
      <c r="F290" s="6"/>
      <c r="G290" s="6"/>
      <c r="H290" s="6"/>
    </row>
    <row r="291" spans="1:8" x14ac:dyDescent="0.25">
      <c r="A291" t="s">
        <v>338</v>
      </c>
      <c r="B291">
        <v>176.9</v>
      </c>
      <c r="C291" s="6">
        <f t="shared" si="8"/>
        <v>3.8588128475769423E-3</v>
      </c>
      <c r="D291" s="6">
        <f t="shared" si="9"/>
        <v>3.8513867271559349E-3</v>
      </c>
      <c r="E291" s="6"/>
      <c r="F291" s="6"/>
      <c r="G291" s="6"/>
      <c r="H291" s="6"/>
    </row>
    <row r="292" spans="1:8" x14ac:dyDescent="0.25">
      <c r="A292" t="s">
        <v>339</v>
      </c>
      <c r="B292">
        <v>176.22</v>
      </c>
      <c r="C292" s="6">
        <f t="shared" si="8"/>
        <v>-3.6186814429493008E-3</v>
      </c>
      <c r="D292" s="6">
        <f t="shared" si="9"/>
        <v>-3.6252447090054218E-3</v>
      </c>
      <c r="E292" s="6"/>
      <c r="F292" s="6"/>
      <c r="G292" s="6"/>
      <c r="H292" s="6"/>
    </row>
    <row r="293" spans="1:8" x14ac:dyDescent="0.25">
      <c r="A293" t="s">
        <v>340</v>
      </c>
      <c r="B293">
        <v>176.86</v>
      </c>
      <c r="C293" s="6">
        <f t="shared" si="8"/>
        <v>-1.0185807029326144E-2</v>
      </c>
      <c r="D293" s="6">
        <f t="shared" si="9"/>
        <v>-1.0238037336328849E-2</v>
      </c>
      <c r="E293" s="6"/>
      <c r="F293" s="6"/>
      <c r="G293" s="6"/>
      <c r="H293" s="6"/>
    </row>
    <row r="294" spans="1:8" x14ac:dyDescent="0.25">
      <c r="A294" t="s">
        <v>341</v>
      </c>
      <c r="B294">
        <v>178.68</v>
      </c>
      <c r="C294" s="6">
        <f t="shared" si="8"/>
        <v>-5.034401745259709E-4</v>
      </c>
      <c r="D294" s="6">
        <f t="shared" si="9"/>
        <v>-5.035669430793415E-4</v>
      </c>
      <c r="E294" s="6"/>
      <c r="F294" s="6"/>
      <c r="G294" s="6"/>
      <c r="H294" s="6"/>
    </row>
    <row r="295" spans="1:8" x14ac:dyDescent="0.25">
      <c r="A295" t="s">
        <v>342</v>
      </c>
      <c r="B295">
        <v>178.77</v>
      </c>
      <c r="C295" s="6">
        <f t="shared" si="8"/>
        <v>-2.3594953301654842E-2</v>
      </c>
      <c r="D295" s="6">
        <f t="shared" si="9"/>
        <v>-2.3877771797515969E-2</v>
      </c>
      <c r="E295" s="6"/>
      <c r="F295" s="6"/>
      <c r="G295" s="6"/>
      <c r="H295" s="6"/>
    </row>
    <row r="296" spans="1:8" x14ac:dyDescent="0.25">
      <c r="A296" t="s">
        <v>343</v>
      </c>
      <c r="B296">
        <v>183.09</v>
      </c>
      <c r="C296" s="6">
        <f t="shared" si="8"/>
        <v>-2.7301517964384292E-4</v>
      </c>
      <c r="D296" s="6">
        <f t="shared" si="9"/>
        <v>-2.7305245507266052E-4</v>
      </c>
      <c r="E296" s="6"/>
      <c r="F296" s="6"/>
      <c r="G296" s="6"/>
      <c r="H296" s="6"/>
    </row>
    <row r="297" spans="1:8" x14ac:dyDescent="0.25">
      <c r="A297" t="s">
        <v>344</v>
      </c>
      <c r="B297">
        <v>183.14</v>
      </c>
      <c r="C297" s="6">
        <f t="shared" si="8"/>
        <v>-4.4574907588607049E-3</v>
      </c>
      <c r="D297" s="6">
        <f t="shared" si="9"/>
        <v>-4.4674549921370687E-3</v>
      </c>
      <c r="E297" s="6"/>
      <c r="F297" s="6"/>
      <c r="G297" s="6"/>
      <c r="H297" s="6"/>
    </row>
    <row r="298" spans="1:8" x14ac:dyDescent="0.25">
      <c r="A298" t="s">
        <v>345</v>
      </c>
      <c r="B298">
        <v>183.96</v>
      </c>
      <c r="C298" s="6">
        <f t="shared" si="8"/>
        <v>-1.6098839385997654E-2</v>
      </c>
      <c r="D298" s="6">
        <f t="shared" si="9"/>
        <v>-1.6229833505459638E-2</v>
      </c>
      <c r="E298" s="6"/>
      <c r="F298" s="6"/>
      <c r="G298" s="6"/>
      <c r="H298" s="6"/>
    </row>
    <row r="299" spans="1:8" x14ac:dyDescent="0.25">
      <c r="A299" t="s">
        <v>346</v>
      </c>
      <c r="B299">
        <v>186.97</v>
      </c>
      <c r="C299" s="6">
        <f t="shared" si="8"/>
        <v>-3.3050802281571201E-3</v>
      </c>
      <c r="D299" s="6">
        <f t="shared" si="9"/>
        <v>-3.3105540701334028E-3</v>
      </c>
      <c r="E299" s="6"/>
      <c r="F299" s="6"/>
      <c r="G299" s="6"/>
      <c r="H299" s="6"/>
    </row>
    <row r="300" spans="1:8" x14ac:dyDescent="0.25">
      <c r="A300" t="s">
        <v>347</v>
      </c>
      <c r="B300">
        <v>187.59</v>
      </c>
      <c r="C300" s="6">
        <f t="shared" si="8"/>
        <v>5.3310587482702232E-5</v>
      </c>
      <c r="D300" s="6">
        <f t="shared" si="9"/>
        <v>5.3309166523834565E-5</v>
      </c>
      <c r="E300" s="6"/>
      <c r="F300" s="6"/>
      <c r="G300" s="6"/>
      <c r="H300" s="6"/>
    </row>
    <row r="301" spans="1:8" x14ac:dyDescent="0.25">
      <c r="A301" t="s">
        <v>348</v>
      </c>
      <c r="B301">
        <v>187.58</v>
      </c>
      <c r="C301" s="6">
        <f t="shared" si="8"/>
        <v>1.8294337983822739E-2</v>
      </c>
      <c r="D301" s="6">
        <f t="shared" si="9"/>
        <v>1.812900991666656E-2</v>
      </c>
      <c r="E301" s="6"/>
      <c r="F301" s="6"/>
      <c r="G301" s="6"/>
      <c r="H301" s="6"/>
    </row>
    <row r="302" spans="1:8" x14ac:dyDescent="0.25">
      <c r="A302" t="s">
        <v>349</v>
      </c>
      <c r="B302">
        <v>184.21</v>
      </c>
      <c r="C302" s="6">
        <f t="shared" si="8"/>
        <v>-4.8833423765604067E-4</v>
      </c>
      <c r="D302" s="6">
        <f t="shared" si="9"/>
        <v>-4.8845351165183865E-4</v>
      </c>
      <c r="E302" s="6"/>
      <c r="F302" s="6"/>
      <c r="G302" s="6"/>
      <c r="H302" s="6"/>
    </row>
    <row r="303" spans="1:8" x14ac:dyDescent="0.25">
      <c r="A303" t="s">
        <v>350</v>
      </c>
      <c r="B303">
        <v>184.3</v>
      </c>
      <c r="C303" s="6">
        <f t="shared" si="8"/>
        <v>1.0638297872340496E-2</v>
      </c>
      <c r="D303" s="6">
        <f t="shared" si="9"/>
        <v>1.0582109330537008E-2</v>
      </c>
      <c r="E303" s="6"/>
      <c r="F303" s="6"/>
      <c r="G303" s="6"/>
      <c r="H303" s="6"/>
    </row>
    <row r="304" spans="1:8" x14ac:dyDescent="0.25">
      <c r="A304" t="s">
        <v>351</v>
      </c>
      <c r="B304">
        <v>182.36</v>
      </c>
      <c r="C304" s="6">
        <f t="shared" si="8"/>
        <v>-1.0042885836816673E-2</v>
      </c>
      <c r="D304" s="6">
        <f t="shared" si="9"/>
        <v>-1.009365581888514E-2</v>
      </c>
      <c r="E304" s="6"/>
      <c r="F304" s="6"/>
      <c r="G304" s="6"/>
      <c r="H304" s="6"/>
    </row>
    <row r="305" spans="1:8" x14ac:dyDescent="0.25">
      <c r="A305" t="s">
        <v>352</v>
      </c>
      <c r="B305">
        <v>184.21</v>
      </c>
      <c r="C305" s="6">
        <f t="shared" si="8"/>
        <v>4.8881164457958981E-4</v>
      </c>
      <c r="D305" s="6">
        <f t="shared" si="9"/>
        <v>4.8869221508508504E-4</v>
      </c>
      <c r="E305" s="6"/>
      <c r="F305" s="6"/>
      <c r="G305" s="6"/>
      <c r="H305" s="6"/>
    </row>
    <row r="306" spans="1:8" x14ac:dyDescent="0.25">
      <c r="A306" t="s">
        <v>353</v>
      </c>
      <c r="B306">
        <v>184.12</v>
      </c>
      <c r="C306" s="6">
        <f t="shared" si="8"/>
        <v>-1.1392611077958303E-3</v>
      </c>
      <c r="D306" s="6">
        <f t="shared" si="9"/>
        <v>-1.1399105590415869E-3</v>
      </c>
      <c r="E306" s="6"/>
      <c r="F306" s="6"/>
      <c r="G306" s="6"/>
      <c r="H306" s="6"/>
    </row>
    <row r="307" spans="1:8" x14ac:dyDescent="0.25">
      <c r="A307" t="s">
        <v>354</v>
      </c>
      <c r="B307">
        <v>184.33</v>
      </c>
      <c r="C307" s="6">
        <f t="shared" si="8"/>
        <v>-2.9075585988938557E-2</v>
      </c>
      <c r="D307" s="6">
        <f t="shared" si="9"/>
        <v>-2.9506657169729004E-2</v>
      </c>
      <c r="E307" s="6"/>
      <c r="F307" s="6"/>
      <c r="G307" s="6"/>
      <c r="H307" s="6"/>
    </row>
    <row r="308" spans="1:8" x14ac:dyDescent="0.25">
      <c r="A308" t="s">
        <v>355</v>
      </c>
      <c r="B308">
        <v>189.85</v>
      </c>
      <c r="C308" s="6">
        <f t="shared" si="8"/>
        <v>2.4388927858414622E-2</v>
      </c>
      <c r="D308" s="6">
        <f t="shared" si="9"/>
        <v>2.4096266868592394E-2</v>
      </c>
      <c r="E308" s="6"/>
      <c r="F308" s="6"/>
      <c r="G308" s="6"/>
      <c r="H308" s="6"/>
    </row>
    <row r="309" spans="1:8" x14ac:dyDescent="0.25">
      <c r="A309" t="s">
        <v>356</v>
      </c>
      <c r="B309">
        <v>185.33</v>
      </c>
      <c r="C309" s="6">
        <f t="shared" si="8"/>
        <v>2.3131279673181071E-2</v>
      </c>
      <c r="D309" s="6">
        <f t="shared" si="9"/>
        <v>2.2867806862416511E-2</v>
      </c>
      <c r="E309" s="6"/>
      <c r="F309" s="6"/>
      <c r="G309" s="6"/>
      <c r="H309" s="6"/>
    </row>
    <row r="310" spans="1:8" x14ac:dyDescent="0.25">
      <c r="A310" t="s">
        <v>357</v>
      </c>
      <c r="B310">
        <v>181.14</v>
      </c>
      <c r="C310" s="6">
        <f t="shared" si="8"/>
        <v>2.5301409407369579E-2</v>
      </c>
      <c r="D310" s="6">
        <f t="shared" si="9"/>
        <v>2.4986627322213264E-2</v>
      </c>
      <c r="E310" s="6"/>
      <c r="F310" s="6"/>
      <c r="G310" s="6"/>
      <c r="H310" s="6"/>
    </row>
    <row r="311" spans="1:8" x14ac:dyDescent="0.25">
      <c r="A311" t="s">
        <v>358</v>
      </c>
      <c r="B311">
        <v>176.67</v>
      </c>
      <c r="C311" s="6">
        <f t="shared" si="8"/>
        <v>9.1968467953844613E-3</v>
      </c>
      <c r="D311" s="6">
        <f t="shared" si="9"/>
        <v>9.1548133202971598E-3</v>
      </c>
      <c r="E311" s="6"/>
      <c r="F311" s="6"/>
      <c r="G311" s="6"/>
      <c r="H311" s="6"/>
    </row>
    <row r="312" spans="1:8" x14ac:dyDescent="0.25">
      <c r="A312" t="s">
        <v>359</v>
      </c>
      <c r="B312">
        <v>175.06</v>
      </c>
      <c r="C312" s="6">
        <f t="shared" si="8"/>
        <v>-8.271017448447826E-3</v>
      </c>
      <c r="D312" s="6">
        <f t="shared" si="9"/>
        <v>-8.3054120970545778E-3</v>
      </c>
      <c r="E312" s="6"/>
      <c r="F312" s="6"/>
      <c r="G312" s="6"/>
      <c r="H312" s="6"/>
    </row>
    <row r="313" spans="1:8" x14ac:dyDescent="0.25">
      <c r="A313" t="s">
        <v>360</v>
      </c>
      <c r="B313">
        <v>176.52</v>
      </c>
      <c r="C313" s="6">
        <f t="shared" si="8"/>
        <v>3.3610493031970945E-2</v>
      </c>
      <c r="D313" s="6">
        <f t="shared" si="9"/>
        <v>3.305800592188636E-2</v>
      </c>
      <c r="E313" s="6"/>
      <c r="F313" s="6"/>
      <c r="G313" s="6"/>
      <c r="H313" s="6"/>
    </row>
    <row r="314" spans="1:8" x14ac:dyDescent="0.25">
      <c r="A314" t="s">
        <v>361</v>
      </c>
      <c r="B314">
        <v>170.78</v>
      </c>
      <c r="C314" s="6">
        <f t="shared" si="8"/>
        <v>1.2898686679174709E-3</v>
      </c>
      <c r="D314" s="6">
        <f t="shared" si="9"/>
        <v>1.2890375019803939E-3</v>
      </c>
      <c r="E314" s="6"/>
      <c r="F314" s="6"/>
      <c r="G314" s="6"/>
      <c r="H314" s="6"/>
    </row>
    <row r="315" spans="1:8" x14ac:dyDescent="0.25">
      <c r="A315" t="s">
        <v>362</v>
      </c>
      <c r="B315">
        <v>170.56</v>
      </c>
      <c r="C315" s="6">
        <f t="shared" si="8"/>
        <v>6.7288395702986836E-3</v>
      </c>
      <c r="D315" s="6">
        <f t="shared" si="9"/>
        <v>6.7063019740748646E-3</v>
      </c>
      <c r="E315" s="6"/>
      <c r="F315" s="6"/>
      <c r="G315" s="6"/>
      <c r="H315" s="6"/>
    </row>
    <row r="316" spans="1:8" x14ac:dyDescent="0.25">
      <c r="A316" t="s">
        <v>363</v>
      </c>
      <c r="B316">
        <v>169.42</v>
      </c>
      <c r="C316" s="6">
        <f t="shared" si="8"/>
        <v>6.5949735606913862E-3</v>
      </c>
      <c r="D316" s="6">
        <f t="shared" si="9"/>
        <v>6.5733218653298252E-3</v>
      </c>
      <c r="E316" s="6"/>
      <c r="F316" s="6"/>
      <c r="G316" s="6"/>
      <c r="H316" s="6"/>
    </row>
    <row r="317" spans="1:8" x14ac:dyDescent="0.25">
      <c r="A317" t="s">
        <v>364</v>
      </c>
      <c r="B317">
        <v>168.31</v>
      </c>
      <c r="C317" s="6">
        <f t="shared" si="8"/>
        <v>2.6808054330988984E-3</v>
      </c>
      <c r="D317" s="6">
        <f t="shared" si="9"/>
        <v>2.6772184833932493E-3</v>
      </c>
      <c r="E317" s="6"/>
      <c r="F317" s="6"/>
      <c r="G317" s="6"/>
      <c r="H317" s="6"/>
    </row>
    <row r="318" spans="1:8" x14ac:dyDescent="0.25">
      <c r="A318" t="s">
        <v>365</v>
      </c>
      <c r="B318">
        <v>167.86</v>
      </c>
      <c r="C318" s="6">
        <f t="shared" si="8"/>
        <v>5.6916901324068903E-3</v>
      </c>
      <c r="D318" s="6">
        <f t="shared" si="9"/>
        <v>5.6755536643555799E-3</v>
      </c>
      <c r="E318" s="6"/>
      <c r="F318" s="6"/>
      <c r="G318" s="6"/>
      <c r="H318" s="6"/>
    </row>
    <row r="319" spans="1:8" x14ac:dyDescent="0.25">
      <c r="A319" t="s">
        <v>366</v>
      </c>
      <c r="B319">
        <v>166.91</v>
      </c>
      <c r="C319" s="6">
        <f t="shared" si="8"/>
        <v>-8.3807243340328075E-4</v>
      </c>
      <c r="D319" s="6">
        <f t="shared" si="9"/>
        <v>-8.3842381243953571E-4</v>
      </c>
      <c r="E319" s="6"/>
      <c r="F319" s="6"/>
      <c r="G319" s="6"/>
      <c r="H319" s="6"/>
    </row>
    <row r="320" spans="1:8" x14ac:dyDescent="0.25">
      <c r="A320" t="s">
        <v>367</v>
      </c>
      <c r="B320">
        <v>167.05</v>
      </c>
      <c r="C320" s="6">
        <f t="shared" si="8"/>
        <v>2.1400183430143604E-2</v>
      </c>
      <c r="D320" s="6">
        <f t="shared" si="9"/>
        <v>2.1174414818372542E-2</v>
      </c>
      <c r="E320" s="6"/>
      <c r="F320" s="6"/>
      <c r="G320" s="6"/>
      <c r="H320" s="6"/>
    </row>
    <row r="321" spans="1:8" x14ac:dyDescent="0.25">
      <c r="A321" t="s">
        <v>368</v>
      </c>
      <c r="B321">
        <v>163.55000000000001</v>
      </c>
      <c r="C321" s="6">
        <f t="shared" si="8"/>
        <v>-6.9220960592627501E-3</v>
      </c>
      <c r="D321" s="6">
        <f t="shared" si="9"/>
        <v>-6.9461649017240204E-3</v>
      </c>
      <c r="E321" s="6"/>
      <c r="F321" s="6"/>
      <c r="G321" s="6"/>
      <c r="H321" s="6"/>
    </row>
    <row r="322" spans="1:8" x14ac:dyDescent="0.25">
      <c r="A322" t="s">
        <v>369</v>
      </c>
      <c r="B322">
        <v>164.69</v>
      </c>
      <c r="C322" s="6">
        <f t="shared" si="8"/>
        <v>3.1063466926544159E-3</v>
      </c>
      <c r="D322" s="6">
        <f t="shared" si="9"/>
        <v>3.1015319659969546E-3</v>
      </c>
      <c r="E322" s="6"/>
      <c r="F322" s="6"/>
      <c r="G322" s="6"/>
      <c r="H322" s="6"/>
    </row>
    <row r="323" spans="1:8" x14ac:dyDescent="0.25">
      <c r="A323" t="s">
        <v>370</v>
      </c>
      <c r="B323">
        <v>164.18</v>
      </c>
      <c r="C323" s="6">
        <f t="shared" ref="C323:C386" si="10">(B323/B324)-1</f>
        <v>-4.3662825955124163E-3</v>
      </c>
      <c r="D323" s="6">
        <f t="shared" ref="D323:D386" si="11">LN(B323/B324)</f>
        <v>-4.3758426454330998E-3</v>
      </c>
      <c r="E323" s="6"/>
      <c r="F323" s="6"/>
      <c r="G323" s="6"/>
      <c r="H323" s="6"/>
    </row>
    <row r="324" spans="1:8" x14ac:dyDescent="0.25">
      <c r="A324" t="s">
        <v>371</v>
      </c>
      <c r="B324">
        <v>164.9</v>
      </c>
      <c r="C324" s="6">
        <f t="shared" si="10"/>
        <v>-3.6855779107001219E-3</v>
      </c>
      <c r="D324" s="6">
        <f t="shared" si="11"/>
        <v>-3.6923863868957487E-3</v>
      </c>
      <c r="E324" s="6"/>
      <c r="F324" s="6"/>
      <c r="G324" s="6"/>
      <c r="H324" s="6"/>
    </row>
    <row r="325" spans="1:8" x14ac:dyDescent="0.25">
      <c r="A325" t="s">
        <v>372</v>
      </c>
      <c r="B325">
        <v>165.51</v>
      </c>
      <c r="C325" s="6">
        <f t="shared" si="10"/>
        <v>1.6339869281045694E-3</v>
      </c>
      <c r="D325" s="6">
        <f t="shared" si="11"/>
        <v>1.6326534238853118E-3</v>
      </c>
      <c r="E325" s="6"/>
      <c r="F325" s="6"/>
      <c r="G325" s="6"/>
      <c r="H325" s="6"/>
    </row>
    <row r="326" spans="1:8" x14ac:dyDescent="0.25">
      <c r="A326" t="s">
        <v>373</v>
      </c>
      <c r="B326">
        <v>165.24</v>
      </c>
      <c r="C326" s="6">
        <f t="shared" si="10"/>
        <v>-1.0881392818279378E-3</v>
      </c>
      <c r="D326" s="6">
        <f t="shared" si="11"/>
        <v>-1.0887317351964494E-3</v>
      </c>
      <c r="E326" s="6"/>
      <c r="F326" s="6"/>
      <c r="G326" s="6"/>
      <c r="H326" s="6"/>
    </row>
    <row r="327" spans="1:8" x14ac:dyDescent="0.25">
      <c r="A327" t="s">
        <v>374</v>
      </c>
      <c r="B327">
        <v>165.42</v>
      </c>
      <c r="C327" s="6">
        <f t="shared" si="10"/>
        <v>2.7885548011636896E-3</v>
      </c>
      <c r="D327" s="6">
        <f t="shared" si="11"/>
        <v>2.7846739951103506E-3</v>
      </c>
      <c r="E327" s="6"/>
      <c r="F327" s="6"/>
      <c r="G327" s="6"/>
      <c r="H327" s="6"/>
    </row>
    <row r="328" spans="1:8" x14ac:dyDescent="0.25">
      <c r="A328" t="s">
        <v>375</v>
      </c>
      <c r="B328">
        <v>164.96</v>
      </c>
      <c r="C328" s="6">
        <f t="shared" si="10"/>
        <v>-1.1919736448038232E-2</v>
      </c>
      <c r="D328" s="6">
        <f t="shared" si="11"/>
        <v>-1.199134612101363E-2</v>
      </c>
      <c r="E328" s="6"/>
      <c r="F328" s="6"/>
      <c r="G328" s="6"/>
      <c r="H328" s="6"/>
    </row>
    <row r="329" spans="1:8" x14ac:dyDescent="0.25">
      <c r="A329" t="s">
        <v>376</v>
      </c>
      <c r="B329">
        <v>166.95</v>
      </c>
      <c r="C329" s="6">
        <f t="shared" si="10"/>
        <v>-2.1395076201641272E-2</v>
      </c>
      <c r="D329" s="6">
        <f t="shared" si="11"/>
        <v>-2.1627268667915221E-2</v>
      </c>
      <c r="E329" s="6"/>
      <c r="F329" s="6"/>
      <c r="G329" s="6"/>
      <c r="H329" s="6"/>
    </row>
    <row r="330" spans="1:8" x14ac:dyDescent="0.25">
      <c r="A330" t="s">
        <v>377</v>
      </c>
      <c r="B330">
        <v>170.6</v>
      </c>
      <c r="C330" s="6">
        <f t="shared" si="10"/>
        <v>3.632608431539297E-2</v>
      </c>
      <c r="D330" s="6">
        <f t="shared" si="11"/>
        <v>3.5681847513080768E-2</v>
      </c>
      <c r="E330" s="6"/>
      <c r="F330" s="6"/>
      <c r="G330" s="6"/>
      <c r="H330" s="6"/>
    </row>
    <row r="331" spans="1:8" x14ac:dyDescent="0.25">
      <c r="A331" t="s">
        <v>378</v>
      </c>
      <c r="B331">
        <v>164.62</v>
      </c>
      <c r="C331" s="6">
        <f t="shared" si="10"/>
        <v>8.6391765210465099E-3</v>
      </c>
      <c r="D331" s="6">
        <f t="shared" si="11"/>
        <v>8.6020723818934618E-3</v>
      </c>
      <c r="E331" s="6"/>
      <c r="F331" s="6"/>
      <c r="G331" s="6"/>
      <c r="H331" s="6"/>
    </row>
    <row r="332" spans="1:8" x14ac:dyDescent="0.25">
      <c r="A332" t="s">
        <v>379</v>
      </c>
      <c r="B332">
        <v>163.21</v>
      </c>
      <c r="C332" s="6">
        <f t="shared" si="10"/>
        <v>-2.8974297953355599E-2</v>
      </c>
      <c r="D332" s="6">
        <f t="shared" si="11"/>
        <v>-2.9402341374140568E-2</v>
      </c>
      <c r="E332" s="6"/>
      <c r="F332" s="6"/>
      <c r="G332" s="6"/>
      <c r="H332" s="6"/>
    </row>
    <row r="333" spans="1:8" x14ac:dyDescent="0.25">
      <c r="A333" t="s">
        <v>380</v>
      </c>
      <c r="B333">
        <v>168.08</v>
      </c>
      <c r="C333" s="6">
        <f t="shared" si="10"/>
        <v>-1.5694542047317794E-2</v>
      </c>
      <c r="D333" s="6">
        <f t="shared" si="11"/>
        <v>-1.5819005353016256E-2</v>
      </c>
      <c r="E333" s="6"/>
      <c r="F333" s="6"/>
      <c r="G333" s="6"/>
      <c r="H333" s="6"/>
    </row>
    <row r="334" spans="1:8" x14ac:dyDescent="0.25">
      <c r="A334" t="s">
        <v>381</v>
      </c>
      <c r="B334">
        <v>170.76</v>
      </c>
      <c r="C334" s="6">
        <f t="shared" si="10"/>
        <v>-5.0110709707493761E-3</v>
      </c>
      <c r="D334" s="6">
        <f t="shared" si="11"/>
        <v>-5.0236684892136143E-3</v>
      </c>
      <c r="E334" s="6"/>
      <c r="F334" s="6"/>
      <c r="G334" s="6"/>
      <c r="H334" s="6"/>
    </row>
    <row r="335" spans="1:8" x14ac:dyDescent="0.25">
      <c r="A335" t="s">
        <v>382</v>
      </c>
      <c r="B335">
        <v>171.62</v>
      </c>
      <c r="C335" s="6">
        <f t="shared" si="10"/>
        <v>2.0029717682020776E-2</v>
      </c>
      <c r="D335" s="6">
        <f t="shared" si="11"/>
        <v>1.9831761854137667E-2</v>
      </c>
      <c r="E335" s="6"/>
      <c r="F335" s="6"/>
      <c r="G335" s="6"/>
      <c r="H335" s="6"/>
    </row>
    <row r="336" spans="1:8" x14ac:dyDescent="0.25">
      <c r="A336" t="s">
        <v>383</v>
      </c>
      <c r="B336">
        <v>168.25</v>
      </c>
      <c r="C336" s="6">
        <f t="shared" si="10"/>
        <v>-3.104123473853948E-2</v>
      </c>
      <c r="D336" s="6">
        <f t="shared" si="11"/>
        <v>-3.1533221906555588E-2</v>
      </c>
      <c r="E336" s="6"/>
      <c r="F336" s="6"/>
      <c r="G336" s="6"/>
      <c r="H336" s="6"/>
    </row>
    <row r="337" spans="1:8" x14ac:dyDescent="0.25">
      <c r="A337" t="s">
        <v>384</v>
      </c>
      <c r="B337">
        <v>173.64</v>
      </c>
      <c r="C337" s="6">
        <f t="shared" si="10"/>
        <v>3.7958036941837525E-2</v>
      </c>
      <c r="D337" s="6">
        <f t="shared" si="11"/>
        <v>3.7255357088203427E-2</v>
      </c>
      <c r="E337" s="6"/>
      <c r="F337" s="6"/>
      <c r="G337" s="6"/>
      <c r="H337" s="6"/>
    </row>
    <row r="338" spans="1:8" x14ac:dyDescent="0.25">
      <c r="A338" t="s">
        <v>385</v>
      </c>
      <c r="B338">
        <v>167.29</v>
      </c>
      <c r="C338" s="6">
        <f t="shared" si="10"/>
        <v>-2.4320541234107207E-2</v>
      </c>
      <c r="D338" s="6">
        <f t="shared" si="11"/>
        <v>-2.4621169907420637E-2</v>
      </c>
      <c r="E338" s="6"/>
      <c r="F338" s="6"/>
      <c r="G338" s="6"/>
      <c r="H338" s="6"/>
    </row>
    <row r="339" spans="1:8" x14ac:dyDescent="0.25">
      <c r="A339" t="s">
        <v>386</v>
      </c>
      <c r="B339">
        <v>171.46</v>
      </c>
      <c r="C339" s="6">
        <f t="shared" si="10"/>
        <v>5.2177991440465199E-3</v>
      </c>
      <c r="D339" s="6">
        <f t="shared" si="11"/>
        <v>5.2042335978283727E-3</v>
      </c>
      <c r="E339" s="6"/>
      <c r="F339" s="6"/>
      <c r="G339" s="6"/>
      <c r="H339" s="6"/>
    </row>
    <row r="340" spans="1:8" x14ac:dyDescent="0.25">
      <c r="A340" t="s">
        <v>387</v>
      </c>
      <c r="B340">
        <v>170.57</v>
      </c>
      <c r="C340" s="6">
        <f t="shared" si="10"/>
        <v>-1.9881629604091344E-2</v>
      </c>
      <c r="D340" s="6">
        <f t="shared" si="11"/>
        <v>-2.0081928493301152E-2</v>
      </c>
      <c r="E340" s="6"/>
      <c r="F340" s="6"/>
      <c r="G340" s="6"/>
      <c r="H340" s="6"/>
    </row>
    <row r="341" spans="1:8" x14ac:dyDescent="0.25">
      <c r="A341" t="s">
        <v>388</v>
      </c>
      <c r="B341">
        <v>174.03</v>
      </c>
      <c r="C341" s="6">
        <f t="shared" si="10"/>
        <v>-3.7210899931303665E-3</v>
      </c>
      <c r="D341" s="6">
        <f t="shared" si="11"/>
        <v>-3.7280304712776296E-3</v>
      </c>
      <c r="E341" s="6"/>
      <c r="F341" s="6"/>
      <c r="G341" s="6"/>
      <c r="H341" s="6"/>
    </row>
    <row r="342" spans="1:8" x14ac:dyDescent="0.25">
      <c r="A342" t="s">
        <v>389</v>
      </c>
      <c r="B342">
        <v>174.68</v>
      </c>
      <c r="C342" s="6">
        <f t="shared" si="10"/>
        <v>2.0625182588372759E-2</v>
      </c>
      <c r="D342" s="6">
        <f t="shared" si="11"/>
        <v>2.0415363641165859E-2</v>
      </c>
      <c r="E342" s="6"/>
      <c r="F342" s="6"/>
      <c r="G342" s="6"/>
      <c r="H342" s="6"/>
    </row>
    <row r="343" spans="1:8" x14ac:dyDescent="0.25">
      <c r="A343" t="s">
        <v>390</v>
      </c>
      <c r="B343">
        <v>171.15</v>
      </c>
      <c r="C343" s="6">
        <f t="shared" si="10"/>
        <v>-6.0398397119461045E-3</v>
      </c>
      <c r="D343" s="6">
        <f t="shared" si="11"/>
        <v>-6.0581533219001516E-3</v>
      </c>
      <c r="E343" s="6"/>
      <c r="F343" s="6"/>
      <c r="G343" s="6"/>
      <c r="H343" s="6"/>
    </row>
    <row r="344" spans="1:8" x14ac:dyDescent="0.25">
      <c r="A344" t="s">
        <v>391</v>
      </c>
      <c r="B344">
        <v>172.19</v>
      </c>
      <c r="C344" s="6">
        <f t="shared" si="10"/>
        <v>1.767139479905433E-2</v>
      </c>
      <c r="D344" s="6">
        <f t="shared" si="11"/>
        <v>1.7517071125971541E-2</v>
      </c>
      <c r="E344" s="6"/>
      <c r="F344" s="6"/>
      <c r="G344" s="6"/>
      <c r="H344" s="6"/>
    </row>
    <row r="345" spans="1:8" x14ac:dyDescent="0.25">
      <c r="A345" t="s">
        <v>392</v>
      </c>
      <c r="B345">
        <v>169.2</v>
      </c>
      <c r="C345" s="6">
        <f t="shared" si="10"/>
        <v>1.7499548980696389E-2</v>
      </c>
      <c r="D345" s="6">
        <f t="shared" si="11"/>
        <v>1.7348195072299909E-2</v>
      </c>
      <c r="E345" s="6"/>
      <c r="F345" s="6"/>
      <c r="G345" s="6"/>
      <c r="H345" s="6"/>
    </row>
    <row r="346" spans="1:8" x14ac:dyDescent="0.25">
      <c r="A346" t="s">
        <v>393</v>
      </c>
      <c r="B346">
        <v>166.29</v>
      </c>
      <c r="C346" s="6">
        <f t="shared" si="10"/>
        <v>1.3850415512464131E-3</v>
      </c>
      <c r="D346" s="6">
        <f t="shared" si="11"/>
        <v>1.3840832659383333E-3</v>
      </c>
      <c r="E346" s="6"/>
      <c r="F346" s="6"/>
      <c r="G346" s="6"/>
      <c r="H346" s="6"/>
    </row>
    <row r="347" spans="1:8" x14ac:dyDescent="0.25">
      <c r="A347" t="s">
        <v>394</v>
      </c>
      <c r="B347">
        <v>166.06</v>
      </c>
      <c r="C347" s="6">
        <f t="shared" si="10"/>
        <v>1.385920996397827E-2</v>
      </c>
      <c r="D347" s="6">
        <f t="shared" si="11"/>
        <v>1.3764049339596397E-2</v>
      </c>
      <c r="E347" s="6"/>
      <c r="F347" s="6"/>
      <c r="G347" s="6"/>
      <c r="H347" s="6"/>
    </row>
    <row r="348" spans="1:8" x14ac:dyDescent="0.25">
      <c r="A348" t="s">
        <v>395</v>
      </c>
      <c r="B348">
        <v>163.79</v>
      </c>
      <c r="C348" s="6">
        <f t="shared" si="10"/>
        <v>2.1262002743484221E-2</v>
      </c>
      <c r="D348" s="6">
        <f t="shared" si="11"/>
        <v>2.1039120115405523E-2</v>
      </c>
      <c r="E348" s="6"/>
      <c r="F348" s="6"/>
      <c r="G348" s="6"/>
      <c r="H348" s="6"/>
    </row>
    <row r="349" spans="1:8" x14ac:dyDescent="0.25">
      <c r="A349" t="s">
        <v>396</v>
      </c>
      <c r="B349">
        <v>160.38</v>
      </c>
      <c r="C349" s="6">
        <f t="shared" si="10"/>
        <v>3.1273455091318514E-3</v>
      </c>
      <c r="D349" s="6">
        <f t="shared" si="11"/>
        <v>3.1224655357598636E-3</v>
      </c>
      <c r="E349" s="6"/>
      <c r="F349" s="6"/>
      <c r="G349" s="6"/>
      <c r="H349" s="6"/>
    </row>
    <row r="350" spans="1:8" x14ac:dyDescent="0.25">
      <c r="A350" t="s">
        <v>397</v>
      </c>
      <c r="B350">
        <v>159.88</v>
      </c>
      <c r="C350" s="6">
        <f t="shared" si="10"/>
        <v>0</v>
      </c>
      <c r="D350" s="6">
        <f t="shared" si="11"/>
        <v>0</v>
      </c>
      <c r="E350" s="6"/>
      <c r="F350" s="6"/>
      <c r="G350" s="6"/>
      <c r="H350" s="6"/>
    </row>
    <row r="351" spans="1:8" x14ac:dyDescent="0.25">
      <c r="A351" t="s">
        <v>398</v>
      </c>
      <c r="B351">
        <v>159.88</v>
      </c>
      <c r="C351" s="6">
        <f t="shared" si="10"/>
        <v>1.6916233318713392E-3</v>
      </c>
      <c r="D351" s="6">
        <f t="shared" si="11"/>
        <v>1.6901941486556528E-3</v>
      </c>
      <c r="E351" s="6"/>
      <c r="F351" s="6"/>
      <c r="G351" s="6"/>
      <c r="H351" s="6"/>
    </row>
    <row r="352" spans="1:8" x14ac:dyDescent="0.25">
      <c r="A352" t="s">
        <v>399</v>
      </c>
      <c r="B352">
        <v>159.61000000000001</v>
      </c>
      <c r="C352" s="6">
        <f t="shared" si="10"/>
        <v>-1.1763977462695641E-2</v>
      </c>
      <c r="D352" s="6">
        <f t="shared" si="11"/>
        <v>-1.1833720555954604E-2</v>
      </c>
      <c r="E352" s="6"/>
      <c r="F352" s="6"/>
      <c r="G352" s="6"/>
      <c r="H352" s="6"/>
    </row>
    <row r="353" spans="1:8" x14ac:dyDescent="0.25">
      <c r="A353" t="s">
        <v>400</v>
      </c>
      <c r="B353">
        <v>161.51</v>
      </c>
      <c r="C353" s="6">
        <f t="shared" si="10"/>
        <v>2.3835182250396159E-2</v>
      </c>
      <c r="D353" s="6">
        <f t="shared" si="11"/>
        <v>2.3555558829099221E-2</v>
      </c>
      <c r="E353" s="6"/>
      <c r="F353" s="6"/>
      <c r="G353" s="6"/>
      <c r="H353" s="6"/>
    </row>
    <row r="354" spans="1:8" x14ac:dyDescent="0.25">
      <c r="A354" t="s">
        <v>401</v>
      </c>
      <c r="B354">
        <v>157.75</v>
      </c>
      <c r="C354" s="6">
        <f t="shared" si="10"/>
        <v>-1.2890307239847298E-2</v>
      </c>
      <c r="D354" s="6">
        <f t="shared" si="11"/>
        <v>-1.2974108175694906E-2</v>
      </c>
      <c r="E354" s="6"/>
      <c r="F354" s="6"/>
      <c r="G354" s="6"/>
      <c r="H354" s="6"/>
    </row>
    <row r="355" spans="1:8" x14ac:dyDescent="0.25">
      <c r="A355" t="s">
        <v>402</v>
      </c>
      <c r="B355">
        <v>159.81</v>
      </c>
      <c r="C355" s="6">
        <f t="shared" si="10"/>
        <v>2.5092528699579564E-3</v>
      </c>
      <c r="D355" s="6">
        <f t="shared" si="11"/>
        <v>2.5061099514621819E-3</v>
      </c>
      <c r="E355" s="6"/>
      <c r="F355" s="6"/>
      <c r="G355" s="6"/>
      <c r="H355" s="6"/>
    </row>
    <row r="356" spans="1:8" x14ac:dyDescent="0.25">
      <c r="A356" t="s">
        <v>403</v>
      </c>
      <c r="B356">
        <v>159.41</v>
      </c>
      <c r="C356" s="6">
        <f t="shared" si="10"/>
        <v>-1.7806531115218793E-2</v>
      </c>
      <c r="D356" s="6">
        <f t="shared" si="11"/>
        <v>-1.7966974874990323E-2</v>
      </c>
      <c r="E356" s="6"/>
      <c r="F356" s="6"/>
      <c r="G356" s="6"/>
      <c r="H356" s="6"/>
    </row>
    <row r="357" spans="1:8" x14ac:dyDescent="0.25">
      <c r="A357" t="s">
        <v>404</v>
      </c>
      <c r="B357">
        <v>162.30000000000001</v>
      </c>
      <c r="C357" s="6">
        <f t="shared" si="10"/>
        <v>-9.8828696925328252E-3</v>
      </c>
      <c r="D357" s="6">
        <f t="shared" si="11"/>
        <v>-9.932029410098667E-3</v>
      </c>
      <c r="E357" s="6"/>
      <c r="F357" s="6"/>
      <c r="G357" s="6"/>
      <c r="H357" s="6"/>
    </row>
    <row r="358" spans="1:8" x14ac:dyDescent="0.25">
      <c r="A358" t="s">
        <v>405</v>
      </c>
      <c r="B358">
        <v>163.92</v>
      </c>
      <c r="C358" s="6">
        <f t="shared" si="10"/>
        <v>1.1539648256710722E-2</v>
      </c>
      <c r="D358" s="6">
        <f t="shared" si="11"/>
        <v>1.1473574343087762E-2</v>
      </c>
      <c r="E358" s="6"/>
      <c r="F358" s="6"/>
      <c r="G358" s="6"/>
      <c r="H358" s="6"/>
    </row>
    <row r="359" spans="1:8" x14ac:dyDescent="0.25">
      <c r="A359" t="s">
        <v>406</v>
      </c>
      <c r="B359">
        <v>162.05000000000001</v>
      </c>
      <c r="C359" s="6">
        <f t="shared" si="10"/>
        <v>-7.3996423506184072E-4</v>
      </c>
      <c r="D359" s="6">
        <f t="shared" si="11"/>
        <v>-7.4023814372650514E-4</v>
      </c>
      <c r="E359" s="6"/>
      <c r="F359" s="6"/>
      <c r="G359" s="6"/>
      <c r="H359" s="6"/>
    </row>
    <row r="360" spans="1:8" x14ac:dyDescent="0.25">
      <c r="A360" t="s">
        <v>407</v>
      </c>
      <c r="B360">
        <v>162.16999999999999</v>
      </c>
      <c r="C360" s="6">
        <f t="shared" si="10"/>
        <v>7.2670807453414366E-3</v>
      </c>
      <c r="D360" s="6">
        <f t="shared" si="11"/>
        <v>7.2408027468198492E-3</v>
      </c>
      <c r="E360" s="6"/>
      <c r="F360" s="6"/>
      <c r="G360" s="6"/>
      <c r="H360" s="6"/>
    </row>
    <row r="361" spans="1:8" x14ac:dyDescent="0.25">
      <c r="A361" t="s">
        <v>408</v>
      </c>
      <c r="B361">
        <v>161</v>
      </c>
      <c r="C361" s="6">
        <f t="shared" si="10"/>
        <v>-5.0673587937213327E-3</v>
      </c>
      <c r="D361" s="6">
        <f t="shared" si="11"/>
        <v>-5.0802413952305151E-3</v>
      </c>
      <c r="E361" s="6"/>
      <c r="F361" s="6"/>
      <c r="G361" s="6"/>
      <c r="H361" s="6"/>
    </row>
    <row r="362" spans="1:8" x14ac:dyDescent="0.25">
      <c r="A362" t="s">
        <v>409</v>
      </c>
      <c r="B362">
        <v>161.82</v>
      </c>
      <c r="C362" s="6">
        <f t="shared" si="10"/>
        <v>-2.834606852354038E-3</v>
      </c>
      <c r="D362" s="6">
        <f t="shared" si="11"/>
        <v>-2.8386319585529691E-3</v>
      </c>
      <c r="E362" s="6"/>
      <c r="F362" s="6"/>
      <c r="G362" s="6"/>
      <c r="H362" s="6"/>
    </row>
    <row r="363" spans="1:8" x14ac:dyDescent="0.25">
      <c r="A363" t="s">
        <v>410</v>
      </c>
      <c r="B363">
        <v>162.28</v>
      </c>
      <c r="C363" s="6">
        <f t="shared" si="10"/>
        <v>1.5519399249061205E-2</v>
      </c>
      <c r="D363" s="6">
        <f t="shared" si="11"/>
        <v>1.5400205006072072E-2</v>
      </c>
      <c r="E363" s="6"/>
      <c r="F363" s="6"/>
      <c r="G363" s="6"/>
      <c r="H363" s="6"/>
    </row>
    <row r="364" spans="1:8" x14ac:dyDescent="0.25">
      <c r="A364" t="s">
        <v>411</v>
      </c>
      <c r="B364">
        <v>159.80000000000001</v>
      </c>
      <c r="C364" s="6">
        <f t="shared" si="10"/>
        <v>2.9771877819306569E-2</v>
      </c>
      <c r="D364" s="6">
        <f t="shared" si="11"/>
        <v>2.9337299866371045E-2</v>
      </c>
      <c r="E364" s="6"/>
      <c r="F364" s="6"/>
      <c r="G364" s="6"/>
      <c r="H364" s="6"/>
    </row>
    <row r="365" spans="1:8" x14ac:dyDescent="0.25">
      <c r="A365" t="s">
        <v>412</v>
      </c>
      <c r="B365">
        <v>155.18</v>
      </c>
      <c r="C365" s="6">
        <f t="shared" si="10"/>
        <v>-1.4542452530640682E-2</v>
      </c>
      <c r="D365" s="6">
        <f t="shared" si="11"/>
        <v>-1.4649230466514814E-2</v>
      </c>
      <c r="E365" s="6"/>
      <c r="F365" s="6"/>
      <c r="G365" s="6"/>
      <c r="H365" s="6"/>
    </row>
    <row r="366" spans="1:8" x14ac:dyDescent="0.25">
      <c r="A366" t="s">
        <v>413</v>
      </c>
      <c r="B366">
        <v>157.47</v>
      </c>
      <c r="C366" s="6">
        <f t="shared" si="10"/>
        <v>2.9484832635983116E-2</v>
      </c>
      <c r="D366" s="6">
        <f t="shared" si="11"/>
        <v>2.90585146292268E-2</v>
      </c>
      <c r="E366" s="6"/>
      <c r="F366" s="6"/>
      <c r="G366" s="6"/>
      <c r="H366" s="6"/>
    </row>
    <row r="367" spans="1:8" x14ac:dyDescent="0.25">
      <c r="A367" t="s">
        <v>414</v>
      </c>
      <c r="B367">
        <v>152.96</v>
      </c>
      <c r="C367" s="6">
        <f t="shared" si="10"/>
        <v>-2.7382970400312567E-3</v>
      </c>
      <c r="D367" s="6">
        <f t="shared" si="11"/>
        <v>-2.7420530336219923E-3</v>
      </c>
      <c r="E367" s="6"/>
      <c r="F367" s="6"/>
      <c r="G367" s="6"/>
      <c r="H367" s="6"/>
    </row>
    <row r="368" spans="1:8" x14ac:dyDescent="0.25">
      <c r="A368" t="s">
        <v>415</v>
      </c>
      <c r="B368">
        <v>153.38</v>
      </c>
      <c r="C368" s="6">
        <f t="shared" si="10"/>
        <v>1.8943105362858592E-3</v>
      </c>
      <c r="D368" s="6">
        <f t="shared" si="11"/>
        <v>1.8925185927234232E-3</v>
      </c>
      <c r="E368" s="6"/>
      <c r="F368" s="6"/>
      <c r="G368" s="6"/>
      <c r="H368" s="6"/>
    </row>
    <row r="369" spans="1:8" x14ac:dyDescent="0.25">
      <c r="A369" t="s">
        <v>416</v>
      </c>
      <c r="B369">
        <v>153.09</v>
      </c>
      <c r="C369" s="6">
        <f t="shared" si="10"/>
        <v>-3.1905195989061497E-3</v>
      </c>
      <c r="D369" s="6">
        <f t="shared" si="11"/>
        <v>-3.195620158407758E-3</v>
      </c>
      <c r="E369" s="6"/>
      <c r="F369" s="6"/>
      <c r="G369" s="6"/>
      <c r="H369" s="6"/>
    </row>
    <row r="370" spans="1:8" x14ac:dyDescent="0.25">
      <c r="A370" t="s">
        <v>417</v>
      </c>
      <c r="B370">
        <v>153.58000000000001</v>
      </c>
      <c r="C370" s="6">
        <f t="shared" si="10"/>
        <v>-2.5198349730244374E-2</v>
      </c>
      <c r="D370" s="6">
        <f t="shared" si="11"/>
        <v>-2.5521264300886127E-2</v>
      </c>
      <c r="E370" s="6"/>
      <c r="F370" s="6"/>
      <c r="G370" s="6"/>
      <c r="H370" s="6"/>
    </row>
    <row r="371" spans="1:8" x14ac:dyDescent="0.25">
      <c r="A371" t="s">
        <v>418</v>
      </c>
      <c r="B371">
        <v>157.55000000000001</v>
      </c>
      <c r="C371" s="6">
        <f t="shared" si="10"/>
        <v>3.8905374216946953E-2</v>
      </c>
      <c r="D371" s="6">
        <f t="shared" si="11"/>
        <v>3.8167634068693536E-2</v>
      </c>
      <c r="E371" s="6"/>
      <c r="F371" s="6"/>
      <c r="G371" s="6"/>
      <c r="H371" s="6"/>
    </row>
    <row r="372" spans="1:8" x14ac:dyDescent="0.25">
      <c r="A372" t="s">
        <v>419</v>
      </c>
      <c r="B372">
        <v>151.65</v>
      </c>
      <c r="C372" s="6">
        <f t="shared" si="10"/>
        <v>3.6427009294696555E-2</v>
      </c>
      <c r="D372" s="6">
        <f t="shared" si="11"/>
        <v>3.577923005197986E-2</v>
      </c>
      <c r="E372" s="6"/>
      <c r="F372" s="6"/>
      <c r="G372" s="6"/>
      <c r="H372" s="6"/>
    </row>
    <row r="373" spans="1:8" x14ac:dyDescent="0.25">
      <c r="A373" t="s">
        <v>420</v>
      </c>
      <c r="B373">
        <v>146.32</v>
      </c>
      <c r="C373" s="6">
        <f t="shared" si="10"/>
        <v>-2.6804123711340222E-2</v>
      </c>
      <c r="D373" s="6">
        <f t="shared" si="11"/>
        <v>-2.7169905351927835E-2</v>
      </c>
      <c r="E373" s="6"/>
      <c r="F373" s="6"/>
      <c r="G373" s="6"/>
      <c r="H373" s="6"/>
    </row>
    <row r="374" spans="1:8" x14ac:dyDescent="0.25">
      <c r="A374" t="s">
        <v>421</v>
      </c>
      <c r="B374">
        <v>150.35</v>
      </c>
      <c r="C374" s="6">
        <f t="shared" si="10"/>
        <v>2.4950576044720174E-2</v>
      </c>
      <c r="D374" s="6">
        <f t="shared" si="11"/>
        <v>2.4644392934866671E-2</v>
      </c>
      <c r="E374" s="6"/>
      <c r="F374" s="6"/>
      <c r="G374" s="6"/>
      <c r="H374" s="6"/>
    </row>
    <row r="375" spans="1:8" x14ac:dyDescent="0.25">
      <c r="A375" t="s">
        <v>422</v>
      </c>
      <c r="B375">
        <v>146.69</v>
      </c>
      <c r="C375" s="6">
        <f t="shared" si="10"/>
        <v>6.0352513545023356E-3</v>
      </c>
      <c r="D375" s="6">
        <f t="shared" si="11"/>
        <v>6.0171121714773903E-3</v>
      </c>
      <c r="E375" s="6"/>
      <c r="F375" s="6"/>
      <c r="G375" s="6"/>
      <c r="H375" s="6"/>
    </row>
    <row r="376" spans="1:8" x14ac:dyDescent="0.25">
      <c r="A376" t="s">
        <v>423</v>
      </c>
      <c r="B376">
        <v>145.81</v>
      </c>
      <c r="C376" s="6">
        <f t="shared" si="10"/>
        <v>-1.8378887841658753E-2</v>
      </c>
      <c r="D376" s="6">
        <f t="shared" si="11"/>
        <v>-1.854987791295639E-2</v>
      </c>
      <c r="E376" s="6"/>
      <c r="F376" s="6"/>
      <c r="G376" s="6"/>
      <c r="H376" s="6"/>
    </row>
    <row r="377" spans="1:8" x14ac:dyDescent="0.25">
      <c r="A377" t="s">
        <v>424</v>
      </c>
      <c r="B377">
        <v>148.54</v>
      </c>
      <c r="C377" s="6">
        <f t="shared" si="10"/>
        <v>1.8932638221978326E-2</v>
      </c>
      <c r="D377" s="6">
        <f t="shared" si="11"/>
        <v>1.8755646287083493E-2</v>
      </c>
      <c r="E377" s="6"/>
      <c r="F377" s="6"/>
      <c r="G377" s="6"/>
      <c r="H377" s="6"/>
    </row>
    <row r="378" spans="1:8" x14ac:dyDescent="0.25">
      <c r="A378" t="s">
        <v>425</v>
      </c>
      <c r="B378">
        <v>145.78</v>
      </c>
      <c r="C378" s="6">
        <f t="shared" si="10"/>
        <v>1.6526044208911461E-2</v>
      </c>
      <c r="D378" s="6">
        <f t="shared" si="11"/>
        <v>1.6390975212945923E-2</v>
      </c>
      <c r="E378" s="6"/>
      <c r="F378" s="6"/>
      <c r="G378" s="6"/>
      <c r="H378" s="6"/>
    </row>
    <row r="379" spans="1:8" x14ac:dyDescent="0.25">
      <c r="A379" t="s">
        <v>426</v>
      </c>
      <c r="B379">
        <v>143.41</v>
      </c>
      <c r="C379" s="6">
        <f t="shared" si="10"/>
        <v>4.2717086834733742E-3</v>
      </c>
      <c r="D379" s="6">
        <f t="shared" si="11"/>
        <v>4.262610835636893E-3</v>
      </c>
      <c r="E379" s="6"/>
      <c r="F379" s="6"/>
      <c r="G379" s="6"/>
      <c r="H379" s="6"/>
    </row>
    <row r="380" spans="1:8" x14ac:dyDescent="0.25">
      <c r="A380" t="s">
        <v>427</v>
      </c>
      <c r="B380">
        <v>142.80000000000001</v>
      </c>
      <c r="C380" s="6">
        <f t="shared" si="10"/>
        <v>-3.4156239431856528E-2</v>
      </c>
      <c r="D380" s="6">
        <f t="shared" si="11"/>
        <v>-3.4753196393002124E-2</v>
      </c>
      <c r="E380" s="6"/>
      <c r="F380" s="6"/>
      <c r="G380" s="6"/>
      <c r="H380" s="6"/>
    </row>
    <row r="381" spans="1:8" x14ac:dyDescent="0.25">
      <c r="A381" t="s">
        <v>428</v>
      </c>
      <c r="B381">
        <v>147.85</v>
      </c>
      <c r="C381" s="6">
        <f t="shared" si="10"/>
        <v>-6.5179411369439277E-3</v>
      </c>
      <c r="D381" s="6">
        <f t="shared" si="11"/>
        <v>-6.5392756706289194E-3</v>
      </c>
      <c r="E381" s="6"/>
      <c r="F381" s="6"/>
      <c r="G381" s="6"/>
      <c r="H381" s="6"/>
    </row>
    <row r="382" spans="1:8" x14ac:dyDescent="0.25">
      <c r="A382" t="s">
        <v>429</v>
      </c>
      <c r="B382">
        <v>148.82</v>
      </c>
      <c r="C382" s="6">
        <f t="shared" si="10"/>
        <v>3.0329581451775667E-3</v>
      </c>
      <c r="D382" s="6">
        <f t="shared" si="11"/>
        <v>3.0283680064128828E-3</v>
      </c>
      <c r="E382" s="6"/>
      <c r="F382" s="6"/>
      <c r="G382" s="6"/>
      <c r="H382" s="6"/>
    </row>
    <row r="383" spans="1:8" x14ac:dyDescent="0.25">
      <c r="A383" t="s">
        <v>430</v>
      </c>
      <c r="B383">
        <v>148.37</v>
      </c>
      <c r="C383" s="6">
        <f t="shared" si="10"/>
        <v>-9.4138069168112626E-3</v>
      </c>
      <c r="D383" s="6">
        <f t="shared" si="11"/>
        <v>-9.4583968585187049E-3</v>
      </c>
      <c r="E383" s="6"/>
      <c r="F383" s="6"/>
      <c r="G383" s="6"/>
      <c r="H383" s="6"/>
    </row>
    <row r="384" spans="1:8" x14ac:dyDescent="0.25">
      <c r="A384" t="s">
        <v>431</v>
      </c>
      <c r="B384">
        <v>149.78</v>
      </c>
      <c r="C384" s="6">
        <f t="shared" si="10"/>
        <v>-5.9729227501991167E-3</v>
      </c>
      <c r="D384" s="6">
        <f t="shared" si="11"/>
        <v>-5.9908320026193108E-3</v>
      </c>
      <c r="E384" s="6"/>
      <c r="F384" s="6"/>
      <c r="G384" s="6"/>
      <c r="H384" s="6"/>
    </row>
    <row r="385" spans="1:8" x14ac:dyDescent="0.25">
      <c r="A385" t="s">
        <v>432</v>
      </c>
      <c r="B385">
        <v>150.68</v>
      </c>
      <c r="C385" s="6">
        <f t="shared" si="10"/>
        <v>1.2022298341057391E-2</v>
      </c>
      <c r="D385" s="6">
        <f t="shared" si="11"/>
        <v>1.1950604556381424E-2</v>
      </c>
      <c r="E385" s="6"/>
      <c r="F385" s="6"/>
      <c r="G385" s="6"/>
      <c r="H385" s="6"/>
    </row>
    <row r="386" spans="1:8" x14ac:dyDescent="0.25">
      <c r="A386" t="s">
        <v>433</v>
      </c>
      <c r="B386">
        <v>148.88999999999999</v>
      </c>
      <c r="C386" s="6">
        <f t="shared" si="10"/>
        <v>-2.6544622425629272E-2</v>
      </c>
      <c r="D386" s="6">
        <f t="shared" si="11"/>
        <v>-2.6903292329453314E-2</v>
      </c>
      <c r="E386" s="6"/>
      <c r="F386" s="6"/>
      <c r="G386" s="6"/>
      <c r="H386" s="6"/>
    </row>
    <row r="387" spans="1:8" x14ac:dyDescent="0.25">
      <c r="A387" t="s">
        <v>434</v>
      </c>
      <c r="B387">
        <v>152.94999999999999</v>
      </c>
      <c r="C387" s="6">
        <f t="shared" ref="C387:C450" si="12">(B387/B388)-1</f>
        <v>1.2310543384737471E-2</v>
      </c>
      <c r="D387" s="6">
        <f t="shared" ref="D387:D450" si="13">LN(B387/B388)</f>
        <v>1.2235384845162784E-2</v>
      </c>
      <c r="E387" s="6"/>
      <c r="F387" s="6"/>
      <c r="G387" s="6"/>
      <c r="H387" s="6"/>
    </row>
    <row r="388" spans="1:8" x14ac:dyDescent="0.25">
      <c r="A388" t="s">
        <v>435</v>
      </c>
      <c r="B388">
        <v>151.09</v>
      </c>
      <c r="C388" s="6">
        <f t="shared" si="12"/>
        <v>2.3991867163673186E-2</v>
      </c>
      <c r="D388" s="6">
        <f t="shared" si="13"/>
        <v>2.370858436280102E-2</v>
      </c>
      <c r="E388" s="6"/>
      <c r="F388" s="6"/>
      <c r="G388" s="6"/>
      <c r="H388" s="6"/>
    </row>
    <row r="389" spans="1:8" x14ac:dyDescent="0.25">
      <c r="A389" t="s">
        <v>436</v>
      </c>
      <c r="B389">
        <v>147.55000000000001</v>
      </c>
      <c r="C389" s="6">
        <f t="shared" si="12"/>
        <v>2.1036606463220586E-2</v>
      </c>
      <c r="D389" s="6">
        <f t="shared" si="13"/>
        <v>2.081839207870935E-2</v>
      </c>
      <c r="E389" s="6"/>
      <c r="F389" s="6"/>
      <c r="G389" s="6"/>
      <c r="H389" s="6"/>
    </row>
    <row r="390" spans="1:8" x14ac:dyDescent="0.25">
      <c r="A390" t="s">
        <v>437</v>
      </c>
      <c r="B390">
        <v>144.51</v>
      </c>
      <c r="C390" s="6">
        <f t="shared" si="12"/>
        <v>2.5621007806955198E-2</v>
      </c>
      <c r="D390" s="6">
        <f t="shared" si="13"/>
        <v>2.5298290405604495E-2</v>
      </c>
      <c r="E390" s="6"/>
      <c r="F390" s="6"/>
      <c r="G390" s="6"/>
      <c r="H390" s="6"/>
    </row>
    <row r="391" spans="1:8" x14ac:dyDescent="0.25">
      <c r="A391" t="s">
        <v>438</v>
      </c>
      <c r="B391">
        <v>140.9</v>
      </c>
      <c r="C391" s="6">
        <f t="shared" si="12"/>
        <v>-1.8118466898954688E-2</v>
      </c>
      <c r="D391" s="6">
        <f t="shared" si="13"/>
        <v>-1.8284616295041252E-2</v>
      </c>
      <c r="E391" s="6"/>
      <c r="F391" s="6"/>
      <c r="G391" s="6"/>
      <c r="H391" s="6"/>
    </row>
    <row r="392" spans="1:8" x14ac:dyDescent="0.25">
      <c r="A392" t="s">
        <v>439</v>
      </c>
      <c r="B392">
        <v>143.5</v>
      </c>
      <c r="C392" s="6">
        <f t="shared" si="12"/>
        <v>-3.9564100784340583E-3</v>
      </c>
      <c r="D392" s="6">
        <f t="shared" si="13"/>
        <v>-3.96425737370577E-3</v>
      </c>
      <c r="E392" s="6"/>
      <c r="F392" s="6"/>
      <c r="G392" s="6"/>
      <c r="H392" s="6"/>
    </row>
    <row r="393" spans="1:8" x14ac:dyDescent="0.25">
      <c r="A393" t="s">
        <v>440</v>
      </c>
      <c r="B393">
        <v>144.07</v>
      </c>
      <c r="C393" s="6">
        <f t="shared" si="12"/>
        <v>-3.8315199252386467E-2</v>
      </c>
      <c r="D393" s="6">
        <f t="shared" si="13"/>
        <v>-3.9068531955909057E-2</v>
      </c>
      <c r="E393" s="6"/>
      <c r="F393" s="6"/>
      <c r="G393" s="6"/>
      <c r="H393" s="6"/>
    </row>
    <row r="394" spans="1:8" x14ac:dyDescent="0.25">
      <c r="A394" t="s">
        <v>441</v>
      </c>
      <c r="B394">
        <v>149.81</v>
      </c>
      <c r="C394" s="6">
        <f t="shared" si="12"/>
        <v>2.532338648963095E-2</v>
      </c>
      <c r="D394" s="6">
        <f t="shared" si="13"/>
        <v>2.5008061845297337E-2</v>
      </c>
      <c r="E394" s="6"/>
      <c r="F394" s="6"/>
      <c r="G394" s="6"/>
      <c r="H394" s="6"/>
    </row>
    <row r="395" spans="1:8" x14ac:dyDescent="0.25">
      <c r="A395" t="s">
        <v>442</v>
      </c>
      <c r="B395">
        <v>146.11000000000001</v>
      </c>
      <c r="C395" s="6">
        <f t="shared" si="12"/>
        <v>-1.2503379291700423E-2</v>
      </c>
      <c r="D395" s="6">
        <f t="shared" si="13"/>
        <v>-1.2582204280260136E-2</v>
      </c>
      <c r="E395" s="6"/>
      <c r="F395" s="6"/>
      <c r="G395" s="6"/>
      <c r="H395" s="6"/>
    </row>
    <row r="396" spans="1:8" x14ac:dyDescent="0.25">
      <c r="A396" t="s">
        <v>443</v>
      </c>
      <c r="B396">
        <v>147.96</v>
      </c>
      <c r="C396" s="6">
        <f t="shared" si="12"/>
        <v>4.8899755501221609E-3</v>
      </c>
      <c r="D396" s="6">
        <f t="shared" si="13"/>
        <v>4.8780584534327733E-3</v>
      </c>
      <c r="E396" s="6"/>
      <c r="F396" s="6"/>
      <c r="G396" s="6"/>
      <c r="H396" s="6"/>
    </row>
    <row r="397" spans="1:8" x14ac:dyDescent="0.25">
      <c r="A397" t="s">
        <v>444</v>
      </c>
      <c r="B397">
        <v>147.24</v>
      </c>
      <c r="C397" s="6">
        <f t="shared" si="12"/>
        <v>2.0727902946273913E-2</v>
      </c>
      <c r="D397" s="6">
        <f t="shared" si="13"/>
        <v>2.0516003122611516E-2</v>
      </c>
      <c r="E397" s="6"/>
      <c r="F397" s="6"/>
      <c r="G397" s="6"/>
      <c r="H397" s="6"/>
    </row>
    <row r="398" spans="1:8" x14ac:dyDescent="0.25">
      <c r="A398" t="s">
        <v>445</v>
      </c>
      <c r="B398">
        <v>144.25</v>
      </c>
      <c r="C398" s="6">
        <f t="shared" si="12"/>
        <v>5.5067614666108877E-3</v>
      </c>
      <c r="D398" s="6">
        <f t="shared" si="13"/>
        <v>5.4916546899205646E-3</v>
      </c>
      <c r="E398" s="6"/>
      <c r="F398" s="6"/>
      <c r="G398" s="6"/>
      <c r="H398" s="6"/>
    </row>
    <row r="399" spans="1:8" x14ac:dyDescent="0.25">
      <c r="A399" t="s">
        <v>446</v>
      </c>
      <c r="B399">
        <v>143.46</v>
      </c>
      <c r="C399" s="6">
        <f t="shared" si="12"/>
        <v>-2.1485573971761873E-2</v>
      </c>
      <c r="D399" s="6">
        <f t="shared" si="13"/>
        <v>-2.1719749251884839E-2</v>
      </c>
      <c r="E399" s="6"/>
      <c r="F399" s="6"/>
      <c r="G399" s="6"/>
      <c r="H399" s="6"/>
    </row>
    <row r="400" spans="1:8" x14ac:dyDescent="0.25">
      <c r="A400" t="s">
        <v>447</v>
      </c>
      <c r="B400">
        <v>146.61000000000001</v>
      </c>
      <c r="C400" s="6">
        <f t="shared" si="12"/>
        <v>-1.312600969305322E-2</v>
      </c>
      <c r="D400" s="6">
        <f t="shared" si="13"/>
        <v>-1.3212917094277117E-2</v>
      </c>
      <c r="E400" s="6"/>
      <c r="F400" s="6"/>
      <c r="G400" s="6"/>
      <c r="H400" s="6"/>
    </row>
    <row r="401" spans="1:8" x14ac:dyDescent="0.25">
      <c r="A401" t="s">
        <v>448</v>
      </c>
      <c r="B401">
        <v>148.56</v>
      </c>
      <c r="C401" s="6">
        <f t="shared" si="12"/>
        <v>-1.908220534829963E-2</v>
      </c>
      <c r="D401" s="6">
        <f t="shared" si="13"/>
        <v>-1.9266620428795813E-2</v>
      </c>
      <c r="E401" s="6"/>
      <c r="F401" s="6"/>
      <c r="G401" s="6"/>
      <c r="H401" s="6"/>
    </row>
    <row r="402" spans="1:8" x14ac:dyDescent="0.25">
      <c r="A402" t="s">
        <v>449</v>
      </c>
      <c r="B402">
        <v>151.44999999999999</v>
      </c>
      <c r="C402" s="6">
        <f t="shared" si="12"/>
        <v>1.8973289376303493E-2</v>
      </c>
      <c r="D402" s="6">
        <f t="shared" si="13"/>
        <v>1.8795541312442651E-2</v>
      </c>
      <c r="E402" s="6"/>
      <c r="F402" s="6"/>
      <c r="G402" s="6"/>
      <c r="H402" s="6"/>
    </row>
    <row r="403" spans="1:8" x14ac:dyDescent="0.25">
      <c r="A403" t="s">
        <v>450</v>
      </c>
      <c r="B403">
        <v>148.63</v>
      </c>
      <c r="C403" s="6">
        <f t="shared" si="12"/>
        <v>9.7146739130435922E-3</v>
      </c>
      <c r="D403" s="6">
        <f t="shared" si="13"/>
        <v>9.6677898660278271E-3</v>
      </c>
      <c r="E403" s="6"/>
      <c r="F403" s="6"/>
      <c r="G403" s="6"/>
      <c r="H403" s="6"/>
    </row>
    <row r="404" spans="1:8" x14ac:dyDescent="0.25">
      <c r="A404" t="s">
        <v>451</v>
      </c>
      <c r="B404">
        <v>147.19999999999999</v>
      </c>
      <c r="C404" s="6">
        <f t="shared" si="12"/>
        <v>-1.3568521031208647E-3</v>
      </c>
      <c r="D404" s="6">
        <f t="shared" si="13"/>
        <v>-1.3577734604604708E-3</v>
      </c>
      <c r="E404" s="6"/>
      <c r="F404" s="6"/>
      <c r="G404" s="6"/>
      <c r="H404" s="6"/>
    </row>
    <row r="405" spans="1:8" x14ac:dyDescent="0.25">
      <c r="A405" t="s">
        <v>452</v>
      </c>
      <c r="B405">
        <v>147.4</v>
      </c>
      <c r="C405" s="6">
        <f t="shared" si="12"/>
        <v>9.2434097911673341E-3</v>
      </c>
      <c r="D405" s="6">
        <f t="shared" si="13"/>
        <v>9.2009509214861854E-3</v>
      </c>
      <c r="E405" s="6"/>
      <c r="F405" s="6"/>
      <c r="G405" s="6"/>
      <c r="H405" s="6"/>
    </row>
    <row r="406" spans="1:8" x14ac:dyDescent="0.25">
      <c r="A406" t="s">
        <v>453</v>
      </c>
      <c r="B406">
        <v>146.05000000000001</v>
      </c>
      <c r="C406" s="6">
        <f t="shared" si="12"/>
        <v>2.1400097908944593E-2</v>
      </c>
      <c r="D406" s="6">
        <f t="shared" si="13"/>
        <v>2.1174331088994011E-2</v>
      </c>
      <c r="E406" s="6"/>
      <c r="F406" s="6"/>
      <c r="G406" s="6"/>
      <c r="H406" s="6"/>
    </row>
    <row r="407" spans="1:8" x14ac:dyDescent="0.25">
      <c r="A407" t="s">
        <v>454</v>
      </c>
      <c r="B407">
        <v>142.99</v>
      </c>
      <c r="C407" s="6">
        <f t="shared" si="12"/>
        <v>-6.9886085680337384E-4</v>
      </c>
      <c r="D407" s="6">
        <f t="shared" si="13"/>
        <v>-6.991051738876894E-4</v>
      </c>
      <c r="E407" s="6"/>
      <c r="F407" s="6"/>
      <c r="G407" s="6"/>
      <c r="H407" s="6"/>
    </row>
    <row r="408" spans="1:8" x14ac:dyDescent="0.25">
      <c r="A408" t="s">
        <v>455</v>
      </c>
      <c r="B408">
        <v>143.09</v>
      </c>
      <c r="C408" s="6">
        <f t="shared" si="12"/>
        <v>-1.1169284467713592E-3</v>
      </c>
      <c r="D408" s="6">
        <f t="shared" si="13"/>
        <v>-1.1175526762053267E-3</v>
      </c>
      <c r="E408" s="6"/>
      <c r="F408" s="6"/>
      <c r="G408" s="6"/>
      <c r="H408" s="6"/>
    </row>
    <row r="409" spans="1:8" x14ac:dyDescent="0.25">
      <c r="A409" t="s">
        <v>456</v>
      </c>
      <c r="B409">
        <v>143.25</v>
      </c>
      <c r="C409" s="6">
        <f t="shared" si="12"/>
        <v>-1.5334216212448126E-3</v>
      </c>
      <c r="D409" s="6">
        <f t="shared" si="13"/>
        <v>-1.5345985154496091E-3</v>
      </c>
      <c r="E409" s="6"/>
      <c r="F409" s="6"/>
      <c r="G409" s="6"/>
      <c r="H409" s="6"/>
    </row>
    <row r="410" spans="1:8" x14ac:dyDescent="0.25">
      <c r="A410" t="s">
        <v>457</v>
      </c>
      <c r="B410">
        <v>143.47</v>
      </c>
      <c r="C410" s="6">
        <f t="shared" si="12"/>
        <v>4.5511833076601338E-3</v>
      </c>
      <c r="D410" s="6">
        <f t="shared" si="13"/>
        <v>4.5408579893348056E-3</v>
      </c>
      <c r="E410" s="6"/>
      <c r="F410" s="6"/>
      <c r="G410" s="6"/>
      <c r="H410" s="6"/>
    </row>
    <row r="411" spans="1:8" x14ac:dyDescent="0.25">
      <c r="A411" t="s">
        <v>458</v>
      </c>
      <c r="B411">
        <v>142.82</v>
      </c>
      <c r="C411" s="6">
        <f t="shared" si="12"/>
        <v>-1.3946423639878525E-2</v>
      </c>
      <c r="D411" s="6">
        <f t="shared" si="13"/>
        <v>-1.4044588776476545E-2</v>
      </c>
      <c r="E411" s="6"/>
      <c r="F411" s="6"/>
      <c r="G411" s="6"/>
      <c r="H411" s="6"/>
    </row>
    <row r="412" spans="1:8" x14ac:dyDescent="0.25">
      <c r="A412" t="s">
        <v>459</v>
      </c>
      <c r="B412">
        <v>144.84</v>
      </c>
      <c r="C412" s="6">
        <f t="shared" si="12"/>
        <v>-2.135721667240853E-3</v>
      </c>
      <c r="D412" s="6">
        <f t="shared" si="13"/>
        <v>-2.1380055731985226E-3</v>
      </c>
      <c r="E412" s="6"/>
      <c r="F412" s="6"/>
      <c r="G412" s="6"/>
      <c r="H412" s="6"/>
    </row>
    <row r="413" spans="1:8" x14ac:dyDescent="0.25">
      <c r="A413" t="s">
        <v>460</v>
      </c>
      <c r="B413">
        <v>145.15</v>
      </c>
      <c r="C413" s="6">
        <f t="shared" si="12"/>
        <v>-2.0664003306236634E-4</v>
      </c>
      <c r="D413" s="6">
        <f t="shared" si="13"/>
        <v>-2.0666138605563783E-4</v>
      </c>
      <c r="E413" s="6"/>
      <c r="F413" s="6"/>
      <c r="G413" s="6"/>
      <c r="H413" s="6"/>
    </row>
    <row r="414" spans="1:8" x14ac:dyDescent="0.25">
      <c r="A414" t="s">
        <v>461</v>
      </c>
      <c r="B414">
        <v>145.18</v>
      </c>
      <c r="C414" s="6">
        <f t="shared" si="12"/>
        <v>-2.4050024050024099E-3</v>
      </c>
      <c r="D414" s="6">
        <f t="shared" si="13"/>
        <v>-2.40789906854029E-3</v>
      </c>
      <c r="E414" s="6"/>
      <c r="F414" s="6"/>
      <c r="G414" s="6"/>
      <c r="H414" s="6"/>
    </row>
    <row r="415" spans="1:8" x14ac:dyDescent="0.25">
      <c r="A415" t="s">
        <v>462</v>
      </c>
      <c r="B415">
        <v>145.53</v>
      </c>
      <c r="C415" s="6">
        <f t="shared" si="12"/>
        <v>7.6859160781055369E-3</v>
      </c>
      <c r="D415" s="6">
        <f t="shared" si="13"/>
        <v>7.656529902199288E-3</v>
      </c>
      <c r="E415" s="6"/>
      <c r="F415" s="6"/>
      <c r="G415" s="6"/>
      <c r="H415" s="6"/>
    </row>
    <row r="416" spans="1:8" x14ac:dyDescent="0.25">
      <c r="A416" t="s">
        <v>463</v>
      </c>
      <c r="B416">
        <v>144.41999999999999</v>
      </c>
      <c r="C416" s="6">
        <f t="shared" si="12"/>
        <v>-2.7081649151172282E-2</v>
      </c>
      <c r="D416" s="6">
        <f t="shared" si="13"/>
        <v>-2.7455115169361353E-2</v>
      </c>
      <c r="E416" s="6"/>
      <c r="F416" s="6"/>
      <c r="G416" s="6"/>
      <c r="H416" s="6"/>
    </row>
    <row r="417" spans="1:8" x14ac:dyDescent="0.25">
      <c r="A417" t="s">
        <v>464</v>
      </c>
      <c r="B417">
        <v>148.44</v>
      </c>
      <c r="C417" s="6">
        <f t="shared" si="12"/>
        <v>1.9574755315558967E-3</v>
      </c>
      <c r="D417" s="6">
        <f t="shared" si="13"/>
        <v>1.9555621728226348E-3</v>
      </c>
      <c r="E417" s="6"/>
      <c r="F417" s="6"/>
      <c r="G417" s="6"/>
      <c r="H417" s="6"/>
    </row>
    <row r="418" spans="1:8" x14ac:dyDescent="0.25">
      <c r="A418" t="s">
        <v>465</v>
      </c>
      <c r="B418">
        <v>148.15</v>
      </c>
      <c r="C418" s="6">
        <f t="shared" si="12"/>
        <v>1.5908935061372809E-2</v>
      </c>
      <c r="D418" s="6">
        <f t="shared" si="13"/>
        <v>1.5783714294100411E-2</v>
      </c>
      <c r="E418" s="6"/>
      <c r="F418" s="6"/>
      <c r="G418" s="6"/>
      <c r="H418" s="6"/>
    </row>
    <row r="419" spans="1:8" x14ac:dyDescent="0.25">
      <c r="A419" t="s">
        <v>466</v>
      </c>
      <c r="B419">
        <v>145.83000000000001</v>
      </c>
      <c r="C419" s="6">
        <f t="shared" si="12"/>
        <v>5.5854364915184362E-3</v>
      </c>
      <c r="D419" s="6">
        <f t="shared" si="13"/>
        <v>5.5698957820271948E-3</v>
      </c>
      <c r="E419" s="6"/>
      <c r="F419" s="6"/>
      <c r="G419" s="6"/>
      <c r="H419" s="6"/>
    </row>
    <row r="420" spans="1:8" x14ac:dyDescent="0.25">
      <c r="A420" t="s">
        <v>467</v>
      </c>
      <c r="B420">
        <v>145.02000000000001</v>
      </c>
      <c r="C420" s="6">
        <f t="shared" si="12"/>
        <v>4.224084204695E-3</v>
      </c>
      <c r="D420" s="6">
        <f t="shared" si="13"/>
        <v>4.2151878049729186E-3</v>
      </c>
      <c r="E420" s="6"/>
      <c r="F420" s="6"/>
      <c r="G420" s="6"/>
      <c r="H420" s="6"/>
    </row>
    <row r="421" spans="1:8" x14ac:dyDescent="0.25">
      <c r="A421" t="s">
        <v>468</v>
      </c>
      <c r="B421">
        <v>144.41</v>
      </c>
      <c r="C421" s="6">
        <f t="shared" si="12"/>
        <v>-2.0683575206835836E-2</v>
      </c>
      <c r="D421" s="6">
        <f t="shared" si="13"/>
        <v>-2.0900476423030848E-2</v>
      </c>
      <c r="E421" s="6"/>
      <c r="F421" s="6"/>
      <c r="G421" s="6"/>
      <c r="H421" s="6"/>
    </row>
    <row r="422" spans="1:8" x14ac:dyDescent="0.25">
      <c r="A422" t="s">
        <v>469</v>
      </c>
      <c r="B422">
        <v>147.46</v>
      </c>
      <c r="C422" s="6">
        <f t="shared" si="12"/>
        <v>4.6327837580051323E-3</v>
      </c>
      <c r="D422" s="6">
        <f t="shared" si="13"/>
        <v>4.6220854445877344E-3</v>
      </c>
      <c r="E422" s="6"/>
      <c r="F422" s="6"/>
      <c r="G422" s="6"/>
      <c r="H422" s="6"/>
    </row>
    <row r="423" spans="1:8" x14ac:dyDescent="0.25">
      <c r="A423" t="s">
        <v>470</v>
      </c>
      <c r="B423">
        <v>146.78</v>
      </c>
      <c r="C423" s="6">
        <f t="shared" si="12"/>
        <v>3.829845438380497E-3</v>
      </c>
      <c r="D423" s="6">
        <f t="shared" si="13"/>
        <v>3.8225302517468584E-3</v>
      </c>
      <c r="E423" s="6"/>
      <c r="F423" s="6"/>
      <c r="G423" s="6"/>
      <c r="H423" s="6"/>
    </row>
    <row r="424" spans="1:8" x14ac:dyDescent="0.25">
      <c r="A424" t="s">
        <v>471</v>
      </c>
      <c r="B424">
        <v>146.22</v>
      </c>
      <c r="C424" s="6">
        <f t="shared" si="12"/>
        <v>7.2328993593717694E-3</v>
      </c>
      <c r="D424" s="6">
        <f t="shared" si="13"/>
        <v>7.2068673918329797E-3</v>
      </c>
      <c r="E424" s="6"/>
      <c r="F424" s="6"/>
      <c r="G424" s="6"/>
      <c r="H424" s="6"/>
    </row>
    <row r="425" spans="1:8" x14ac:dyDescent="0.25">
      <c r="A425" t="s">
        <v>472</v>
      </c>
      <c r="B425">
        <v>145.16999999999999</v>
      </c>
      <c r="C425" s="6">
        <f t="shared" si="12"/>
        <v>-5.8892008491406855E-3</v>
      </c>
      <c r="D425" s="6">
        <f t="shared" si="13"/>
        <v>-5.906610579043306E-3</v>
      </c>
      <c r="E425" s="6"/>
      <c r="F425" s="6"/>
      <c r="G425" s="6"/>
      <c r="H425" s="6"/>
    </row>
    <row r="426" spans="1:8" x14ac:dyDescent="0.25">
      <c r="A426" t="s">
        <v>473</v>
      </c>
      <c r="B426">
        <v>146.03</v>
      </c>
      <c r="C426" s="6">
        <f t="shared" si="12"/>
        <v>-1.7625294315506301E-2</v>
      </c>
      <c r="D426" s="6">
        <f t="shared" si="13"/>
        <v>-1.7782469391726684E-2</v>
      </c>
      <c r="E426" s="6"/>
      <c r="F426" s="6"/>
      <c r="G426" s="6"/>
      <c r="H426" s="6"/>
    </row>
    <row r="427" spans="1:8" x14ac:dyDescent="0.25">
      <c r="A427" t="s">
        <v>474</v>
      </c>
      <c r="B427">
        <v>148.65</v>
      </c>
      <c r="C427" s="6">
        <f t="shared" si="12"/>
        <v>-7.809371245494523E-3</v>
      </c>
      <c r="D427" s="6">
        <f t="shared" si="13"/>
        <v>-7.8400240756300935E-3</v>
      </c>
      <c r="E427" s="6"/>
      <c r="F427" s="6"/>
      <c r="G427" s="6"/>
      <c r="H427" s="6"/>
    </row>
    <row r="428" spans="1:8" x14ac:dyDescent="0.25">
      <c r="A428" t="s">
        <v>475</v>
      </c>
      <c r="B428">
        <v>149.82</v>
      </c>
      <c r="C428" s="6">
        <f t="shared" si="12"/>
        <v>-2.6691578806903316E-4</v>
      </c>
      <c r="D428" s="6">
        <f t="shared" si="13"/>
        <v>-2.6695141642798213E-4</v>
      </c>
      <c r="E428" s="6"/>
      <c r="F428" s="6"/>
      <c r="G428" s="6"/>
      <c r="H428" s="6"/>
    </row>
    <row r="429" spans="1:8" x14ac:dyDescent="0.25">
      <c r="A429" t="s">
        <v>476</v>
      </c>
      <c r="B429">
        <v>149.86000000000001</v>
      </c>
      <c r="C429" s="6">
        <f t="shared" si="12"/>
        <v>9.566154675289873E-3</v>
      </c>
      <c r="D429" s="6">
        <f t="shared" si="13"/>
        <v>9.5206887437680153E-3</v>
      </c>
      <c r="E429" s="6"/>
      <c r="F429" s="6"/>
      <c r="G429" s="6"/>
      <c r="H429" s="6"/>
    </row>
    <row r="430" spans="1:8" x14ac:dyDescent="0.25">
      <c r="A430" t="s">
        <v>477</v>
      </c>
      <c r="B430">
        <v>148.44</v>
      </c>
      <c r="C430" s="6">
        <f t="shared" si="12"/>
        <v>-1.2966287652104502E-2</v>
      </c>
      <c r="D430" s="6">
        <f t="shared" si="13"/>
        <v>-1.305108375112486E-2</v>
      </c>
      <c r="E430" s="6"/>
      <c r="F430" s="6"/>
      <c r="G430" s="6"/>
      <c r="H430" s="6"/>
    </row>
    <row r="431" spans="1:8" x14ac:dyDescent="0.25">
      <c r="A431" t="s">
        <v>478</v>
      </c>
      <c r="B431">
        <v>150.38999999999999</v>
      </c>
      <c r="C431" s="6">
        <f t="shared" si="12"/>
        <v>5.8186195826643861E-3</v>
      </c>
      <c r="D431" s="6">
        <f t="shared" si="13"/>
        <v>5.8017567962141935E-3</v>
      </c>
      <c r="E431" s="6"/>
      <c r="F431" s="6"/>
      <c r="G431" s="6"/>
      <c r="H431" s="6"/>
    </row>
    <row r="432" spans="1:8" x14ac:dyDescent="0.25">
      <c r="A432" t="s">
        <v>479</v>
      </c>
      <c r="B432">
        <v>149.52000000000001</v>
      </c>
      <c r="C432" s="6">
        <f t="shared" si="12"/>
        <v>2.1171971042207582E-2</v>
      </c>
      <c r="D432" s="6">
        <f t="shared" si="13"/>
        <v>2.0950958928811006E-2</v>
      </c>
      <c r="E432" s="6"/>
      <c r="F432" s="6"/>
      <c r="G432" s="6"/>
      <c r="H432" s="6"/>
    </row>
    <row r="433" spans="1:8" x14ac:dyDescent="0.25">
      <c r="A433" t="s">
        <v>480</v>
      </c>
      <c r="B433">
        <v>146.41999999999999</v>
      </c>
      <c r="C433" s="6">
        <f t="shared" si="12"/>
        <v>-2.0012047386386511E-2</v>
      </c>
      <c r="D433" s="6">
        <f t="shared" si="13"/>
        <v>-2.021500064449689E-2</v>
      </c>
      <c r="E433" s="6"/>
      <c r="F433" s="6"/>
      <c r="G433" s="6"/>
      <c r="H433" s="6"/>
    </row>
    <row r="434" spans="1:8" x14ac:dyDescent="0.25">
      <c r="A434" t="s">
        <v>481</v>
      </c>
      <c r="B434">
        <v>149.41</v>
      </c>
      <c r="C434" s="6">
        <f t="shared" si="12"/>
        <v>-2.1032630061590951E-2</v>
      </c>
      <c r="D434" s="6">
        <f t="shared" si="13"/>
        <v>-2.1256966998493748E-2</v>
      </c>
      <c r="E434" s="6"/>
      <c r="F434" s="6"/>
      <c r="G434" s="6"/>
      <c r="H434" s="6"/>
    </row>
    <row r="435" spans="1:8" x14ac:dyDescent="0.25">
      <c r="A435" t="s">
        <v>482</v>
      </c>
      <c r="B435">
        <v>152.62</v>
      </c>
      <c r="C435" s="6">
        <f t="shared" si="12"/>
        <v>2.6016806722689134E-2</v>
      </c>
      <c r="D435" s="6">
        <f t="shared" si="13"/>
        <v>2.5684127435748043E-2</v>
      </c>
      <c r="E435" s="6"/>
      <c r="F435" s="6"/>
      <c r="G435" s="6"/>
      <c r="H435" s="6"/>
    </row>
    <row r="436" spans="1:8" x14ac:dyDescent="0.25">
      <c r="A436" t="s">
        <v>483</v>
      </c>
      <c r="B436">
        <v>148.75</v>
      </c>
      <c r="C436" s="6">
        <f t="shared" si="12"/>
        <v>-1.5813153367738475E-2</v>
      </c>
      <c r="D436" s="6">
        <f t="shared" si="13"/>
        <v>-1.5939515166834638E-2</v>
      </c>
      <c r="E436" s="6"/>
      <c r="F436" s="6"/>
      <c r="G436" s="6"/>
      <c r="H436" s="6"/>
    </row>
    <row r="437" spans="1:8" x14ac:dyDescent="0.25">
      <c r="A437" t="s">
        <v>484</v>
      </c>
      <c r="B437">
        <v>151.13999999999999</v>
      </c>
      <c r="C437" s="6">
        <f t="shared" si="12"/>
        <v>-2.6222537207654328E-2</v>
      </c>
      <c r="D437" s="6">
        <f t="shared" si="13"/>
        <v>-2.6572479070519541E-2</v>
      </c>
      <c r="E437" s="6"/>
      <c r="F437" s="6"/>
      <c r="G437" s="6"/>
      <c r="H437" s="6"/>
    </row>
    <row r="438" spans="1:8" x14ac:dyDescent="0.25">
      <c r="A438" t="s">
        <v>485</v>
      </c>
      <c r="B438">
        <v>155.21</v>
      </c>
      <c r="C438" s="6">
        <f t="shared" si="12"/>
        <v>-2.2052800705689601E-2</v>
      </c>
      <c r="D438" s="6">
        <f t="shared" si="13"/>
        <v>-2.2299598856373986E-2</v>
      </c>
      <c r="E438" s="6"/>
      <c r="F438" s="6"/>
      <c r="G438" s="6"/>
      <c r="H438" s="6"/>
    </row>
    <row r="439" spans="1:8" x14ac:dyDescent="0.25">
      <c r="A439" t="s">
        <v>486</v>
      </c>
      <c r="B439">
        <v>158.71</v>
      </c>
      <c r="C439" s="6">
        <f t="shared" si="12"/>
        <v>1.5159268261481396E-2</v>
      </c>
      <c r="D439" s="6">
        <f t="shared" si="13"/>
        <v>1.5045514727282832E-2</v>
      </c>
      <c r="E439" s="6"/>
      <c r="F439" s="6"/>
      <c r="G439" s="6"/>
      <c r="H439" s="6"/>
    </row>
    <row r="440" spans="1:8" x14ac:dyDescent="0.25">
      <c r="A440" t="s">
        <v>487</v>
      </c>
      <c r="B440">
        <v>156.34</v>
      </c>
      <c r="C440" s="6">
        <f t="shared" si="12"/>
        <v>4.4794266333902932E-4</v>
      </c>
      <c r="D440" s="6">
        <f t="shared" si="13"/>
        <v>4.4784236697443906E-4</v>
      </c>
      <c r="E440" s="6"/>
      <c r="F440" s="6"/>
      <c r="G440" s="6"/>
      <c r="H440" s="6"/>
    </row>
    <row r="441" spans="1:8" x14ac:dyDescent="0.25">
      <c r="A441" t="s">
        <v>488</v>
      </c>
      <c r="B441">
        <v>156.27000000000001</v>
      </c>
      <c r="C441" s="6">
        <f t="shared" si="12"/>
        <v>8.7792912013429092E-3</v>
      </c>
      <c r="D441" s="6">
        <f t="shared" si="13"/>
        <v>8.7409773069384595E-3</v>
      </c>
      <c r="E441" s="6"/>
      <c r="F441" s="6"/>
      <c r="G441" s="6"/>
      <c r="H441" s="6"/>
    </row>
    <row r="442" spans="1:8" x14ac:dyDescent="0.25">
      <c r="A442" t="s">
        <v>489</v>
      </c>
      <c r="B442">
        <v>154.91</v>
      </c>
      <c r="C442" s="6">
        <f t="shared" si="12"/>
        <v>2.2170900692840556E-2</v>
      </c>
      <c r="D442" s="6">
        <f t="shared" si="13"/>
        <v>2.1928699614459347E-2</v>
      </c>
      <c r="E442" s="6"/>
      <c r="F442" s="6"/>
      <c r="G442" s="6"/>
      <c r="H442" s="6"/>
    </row>
    <row r="443" spans="1:8" x14ac:dyDescent="0.25">
      <c r="A443" t="s">
        <v>490</v>
      </c>
      <c r="B443">
        <v>151.55000000000001</v>
      </c>
      <c r="C443" s="6">
        <f t="shared" si="12"/>
        <v>2.0470002020066103E-2</v>
      </c>
      <c r="D443" s="6">
        <f t="shared" si="13"/>
        <v>2.0263307460958446E-2</v>
      </c>
      <c r="E443" s="6"/>
      <c r="F443" s="6"/>
      <c r="G443" s="6"/>
      <c r="H443" s="6"/>
    </row>
    <row r="444" spans="1:8" x14ac:dyDescent="0.25">
      <c r="A444" t="s">
        <v>491</v>
      </c>
      <c r="B444">
        <v>148.51</v>
      </c>
      <c r="C444" s="6">
        <f t="shared" si="12"/>
        <v>1.7400835788175639E-2</v>
      </c>
      <c r="D444" s="6">
        <f t="shared" si="13"/>
        <v>1.7251174900367126E-2</v>
      </c>
      <c r="E444" s="6"/>
      <c r="F444" s="6"/>
      <c r="G444" s="6"/>
      <c r="H444" s="6"/>
    </row>
    <row r="445" spans="1:8" x14ac:dyDescent="0.25">
      <c r="A445" t="s">
        <v>492</v>
      </c>
      <c r="B445">
        <v>145.97</v>
      </c>
      <c r="C445" s="6">
        <f t="shared" si="12"/>
        <v>-1.4714816064799185E-2</v>
      </c>
      <c r="D445" s="6">
        <f t="shared" si="13"/>
        <v>-1.4824152877087557E-2</v>
      </c>
      <c r="E445" s="6"/>
      <c r="F445" s="6"/>
      <c r="G445" s="6"/>
      <c r="H445" s="6"/>
    </row>
    <row r="446" spans="1:8" x14ac:dyDescent="0.25">
      <c r="A446" t="s">
        <v>493</v>
      </c>
      <c r="B446">
        <v>148.15</v>
      </c>
      <c r="C446" s="6">
        <f t="shared" si="12"/>
        <v>-1.2794029452921851E-2</v>
      </c>
      <c r="D446" s="6">
        <f t="shared" si="13"/>
        <v>-1.287657788832385E-2</v>
      </c>
      <c r="E446" s="6"/>
      <c r="F446" s="6"/>
      <c r="G446" s="6"/>
      <c r="H446" s="6"/>
    </row>
    <row r="447" spans="1:8" x14ac:dyDescent="0.25">
      <c r="A447" t="s">
        <v>494</v>
      </c>
      <c r="B447">
        <v>150.07</v>
      </c>
      <c r="C447" s="6">
        <f t="shared" si="12"/>
        <v>1.4603475086200968E-2</v>
      </c>
      <c r="D447" s="6">
        <f t="shared" si="13"/>
        <v>1.4497871224619483E-2</v>
      </c>
      <c r="E447" s="6"/>
      <c r="F447" s="6"/>
      <c r="G447" s="6"/>
      <c r="H447" s="6"/>
    </row>
    <row r="448" spans="1:8" x14ac:dyDescent="0.25">
      <c r="A448" t="s">
        <v>495</v>
      </c>
      <c r="B448">
        <v>147.91</v>
      </c>
      <c r="C448" s="6">
        <f t="shared" si="12"/>
        <v>5.3014341058927883E-3</v>
      </c>
      <c r="D448" s="6">
        <f t="shared" si="13"/>
        <v>5.2874309734230523E-3</v>
      </c>
      <c r="E448" s="6"/>
      <c r="F448" s="6"/>
      <c r="G448" s="6"/>
      <c r="H448" s="6"/>
    </row>
    <row r="449" spans="1:8" x14ac:dyDescent="0.25">
      <c r="A449" t="s">
        <v>496</v>
      </c>
      <c r="B449">
        <v>147.13</v>
      </c>
      <c r="C449" s="6">
        <f t="shared" si="12"/>
        <v>-2.5760965358280208E-3</v>
      </c>
      <c r="D449" s="6">
        <f t="shared" si="13"/>
        <v>-2.5794203821020165E-3</v>
      </c>
      <c r="E449" s="6"/>
      <c r="F449" s="6"/>
      <c r="G449" s="6"/>
      <c r="H449" s="6"/>
    </row>
    <row r="450" spans="1:8" x14ac:dyDescent="0.25">
      <c r="A450" t="s">
        <v>497</v>
      </c>
      <c r="B450">
        <v>147.51</v>
      </c>
      <c r="C450" s="6">
        <f t="shared" si="12"/>
        <v>5.3844056706651156E-3</v>
      </c>
      <c r="D450" s="6">
        <f t="shared" si="13"/>
        <v>5.369961583802884E-3</v>
      </c>
      <c r="E450" s="6"/>
      <c r="F450" s="6"/>
      <c r="G450" s="6"/>
      <c r="H450" s="6"/>
    </row>
    <row r="451" spans="1:8" x14ac:dyDescent="0.25">
      <c r="A451" t="s">
        <v>498</v>
      </c>
      <c r="B451">
        <v>146.72</v>
      </c>
      <c r="C451" s="6">
        <f t="shared" ref="C451:C514" si="14">(B451/B452)-1</f>
        <v>3.7627420127250844E-3</v>
      </c>
      <c r="D451" s="6">
        <f t="shared" ref="D451:D514" si="15">LN(B451/B452)</f>
        <v>3.7556806069535403E-3</v>
      </c>
      <c r="E451" s="6"/>
      <c r="F451" s="6"/>
      <c r="G451" s="6"/>
      <c r="H451" s="6"/>
    </row>
    <row r="452" spans="1:8" x14ac:dyDescent="0.25">
      <c r="A452" t="s">
        <v>499</v>
      </c>
      <c r="B452">
        <v>146.16999999999999</v>
      </c>
      <c r="C452" s="6">
        <f t="shared" si="14"/>
        <v>-3.1371479233445188E-3</v>
      </c>
      <c r="D452" s="6">
        <f t="shared" si="15"/>
        <v>-3.1420790877865388E-3</v>
      </c>
      <c r="E452" s="6"/>
      <c r="F452" s="6"/>
      <c r="G452" s="6"/>
      <c r="H452" s="6"/>
    </row>
    <row r="453" spans="1:8" x14ac:dyDescent="0.25">
      <c r="A453" t="s">
        <v>500</v>
      </c>
      <c r="B453">
        <v>146.63</v>
      </c>
      <c r="C453" s="6">
        <f t="shared" si="14"/>
        <v>3.8337783254605018E-3</v>
      </c>
      <c r="D453" s="6">
        <f t="shared" si="15"/>
        <v>3.8264481262687234E-3</v>
      </c>
      <c r="E453" s="6"/>
      <c r="F453" s="6"/>
      <c r="G453" s="6"/>
      <c r="H453" s="6"/>
    </row>
    <row r="454" spans="1:8" x14ac:dyDescent="0.25">
      <c r="A454" t="s">
        <v>501</v>
      </c>
      <c r="B454">
        <v>146.07</v>
      </c>
      <c r="C454" s="6">
        <f t="shared" si="14"/>
        <v>-9.5606183889340723E-3</v>
      </c>
      <c r="D454" s="6">
        <f t="shared" si="15"/>
        <v>-9.6066145032245153E-3</v>
      </c>
      <c r="E454" s="6"/>
      <c r="F454" s="6"/>
      <c r="G454" s="6"/>
      <c r="H454" s="6"/>
    </row>
    <row r="455" spans="1:8" x14ac:dyDescent="0.25">
      <c r="A455" t="s">
        <v>502</v>
      </c>
      <c r="B455">
        <v>147.47999999999999</v>
      </c>
      <c r="C455" s="6">
        <f t="shared" si="14"/>
        <v>2.0552210919659641E-2</v>
      </c>
      <c r="D455" s="6">
        <f t="shared" si="15"/>
        <v>2.034386405570475E-2</v>
      </c>
      <c r="E455" s="6"/>
      <c r="F455" s="6"/>
      <c r="G455" s="6"/>
      <c r="H455" s="6"/>
    </row>
    <row r="456" spans="1:8" x14ac:dyDescent="0.25">
      <c r="A456" t="s">
        <v>503</v>
      </c>
      <c r="B456">
        <v>144.51</v>
      </c>
      <c r="C456" s="6">
        <f t="shared" si="14"/>
        <v>-1.1221347930208792E-2</v>
      </c>
      <c r="D456" s="6">
        <f t="shared" si="15"/>
        <v>-1.1284782247015934E-2</v>
      </c>
      <c r="E456" s="6"/>
      <c r="F456" s="6"/>
      <c r="G456" s="6"/>
      <c r="H456" s="6"/>
    </row>
    <row r="457" spans="1:8" x14ac:dyDescent="0.25">
      <c r="A457" t="s">
        <v>504</v>
      </c>
      <c r="B457">
        <v>146.15</v>
      </c>
      <c r="C457" s="6">
        <f t="shared" si="14"/>
        <v>3.6157390996100602E-2</v>
      </c>
      <c r="D457" s="6">
        <f t="shared" si="15"/>
        <v>3.5519054109249583E-2</v>
      </c>
      <c r="E457" s="6"/>
      <c r="F457" s="6"/>
      <c r="G457" s="6"/>
      <c r="H457" s="6"/>
    </row>
    <row r="458" spans="1:8" x14ac:dyDescent="0.25">
      <c r="A458" t="s">
        <v>505</v>
      </c>
      <c r="B458">
        <v>141.05000000000001</v>
      </c>
      <c r="C458" s="6">
        <f t="shared" si="14"/>
        <v>-7.9476719651145888E-3</v>
      </c>
      <c r="D458" s="6">
        <f t="shared" si="15"/>
        <v>-7.9794230533316943E-3</v>
      </c>
      <c r="E458" s="6"/>
      <c r="F458" s="6"/>
      <c r="G458" s="6"/>
      <c r="H458" s="6"/>
    </row>
    <row r="459" spans="1:8" x14ac:dyDescent="0.25">
      <c r="A459" t="s">
        <v>506</v>
      </c>
      <c r="B459">
        <v>142.18</v>
      </c>
      <c r="C459" s="6">
        <f t="shared" si="14"/>
        <v>6.8692018978826486E-3</v>
      </c>
      <c r="D459" s="6">
        <f t="shared" si="15"/>
        <v>6.8457164201764977E-3</v>
      </c>
      <c r="E459" s="6"/>
      <c r="F459" s="6"/>
      <c r="G459" s="6"/>
      <c r="H459" s="6"/>
    </row>
    <row r="460" spans="1:8" x14ac:dyDescent="0.25">
      <c r="A460" t="s">
        <v>507</v>
      </c>
      <c r="B460">
        <v>141.21</v>
      </c>
      <c r="C460" s="6">
        <f t="shared" si="14"/>
        <v>-5.8434243874964098E-3</v>
      </c>
      <c r="D460" s="6">
        <f t="shared" si="15"/>
        <v>-5.8605639937264675E-3</v>
      </c>
      <c r="E460" s="6"/>
      <c r="F460" s="6"/>
      <c r="G460" s="6"/>
      <c r="H460" s="6"/>
    </row>
    <row r="461" spans="1:8" x14ac:dyDescent="0.25">
      <c r="A461" t="s">
        <v>508</v>
      </c>
      <c r="B461">
        <v>142.04</v>
      </c>
      <c r="C461" s="6">
        <f t="shared" si="14"/>
        <v>1.8499928294851475E-2</v>
      </c>
      <c r="D461" s="6">
        <f t="shared" si="15"/>
        <v>1.8330886282022379E-2</v>
      </c>
      <c r="E461" s="6"/>
      <c r="F461" s="6"/>
      <c r="G461" s="6"/>
      <c r="H461" s="6"/>
    </row>
    <row r="462" spans="1:8" x14ac:dyDescent="0.25">
      <c r="A462" t="s">
        <v>509</v>
      </c>
      <c r="B462">
        <v>139.46</v>
      </c>
      <c r="C462" s="6">
        <f t="shared" si="14"/>
        <v>-6.4493013256894383E-4</v>
      </c>
      <c r="D462" s="6">
        <f t="shared" si="15"/>
        <v>-6.4513818946647589E-4</v>
      </c>
      <c r="E462" s="6"/>
      <c r="F462" s="6"/>
      <c r="G462" s="6"/>
      <c r="H462" s="6"/>
    </row>
    <row r="463" spans="1:8" x14ac:dyDescent="0.25">
      <c r="A463" t="s">
        <v>510</v>
      </c>
      <c r="B463">
        <v>139.55000000000001</v>
      </c>
      <c r="C463" s="6">
        <f t="shared" si="14"/>
        <v>1.4171511627907085E-2</v>
      </c>
      <c r="D463" s="6">
        <f t="shared" si="15"/>
        <v>1.4072034483087997E-2</v>
      </c>
      <c r="E463" s="6"/>
      <c r="F463" s="6"/>
      <c r="G463" s="6"/>
      <c r="H463" s="6"/>
    </row>
    <row r="464" spans="1:8" x14ac:dyDescent="0.25">
      <c r="A464" t="s">
        <v>511</v>
      </c>
      <c r="B464">
        <v>137.6</v>
      </c>
      <c r="C464" s="6">
        <f t="shared" si="14"/>
        <v>-2.6817424077698604E-3</v>
      </c>
      <c r="D464" s="6">
        <f t="shared" si="15"/>
        <v>-2.6853447206989095E-3</v>
      </c>
      <c r="E464" s="6"/>
      <c r="F464" s="6"/>
      <c r="G464" s="6"/>
      <c r="H464" s="6"/>
    </row>
    <row r="465" spans="1:8" x14ac:dyDescent="0.25">
      <c r="A465" t="s">
        <v>512</v>
      </c>
      <c r="B465">
        <v>137.97</v>
      </c>
      <c r="C465" s="6">
        <f t="shared" si="14"/>
        <v>4.9530191565301251E-3</v>
      </c>
      <c r="D465" s="6">
        <f t="shared" si="15"/>
        <v>4.9407933104287467E-3</v>
      </c>
      <c r="E465" s="6"/>
      <c r="F465" s="6"/>
      <c r="G465" s="6"/>
      <c r="H465" s="6"/>
    </row>
    <row r="466" spans="1:8" x14ac:dyDescent="0.25">
      <c r="A466" t="s">
        <v>513</v>
      </c>
      <c r="B466">
        <v>137.29</v>
      </c>
      <c r="C466" s="6">
        <f t="shared" si="14"/>
        <v>-1.4429289303661275E-2</v>
      </c>
      <c r="D466" s="6">
        <f t="shared" si="15"/>
        <v>-1.4534403876246585E-2</v>
      </c>
      <c r="E466" s="6"/>
      <c r="F466" s="6"/>
      <c r="G466" s="6"/>
      <c r="H466" s="6"/>
    </row>
    <row r="467" spans="1:8" x14ac:dyDescent="0.25">
      <c r="A467" t="s">
        <v>514</v>
      </c>
      <c r="B467">
        <v>139.30000000000001</v>
      </c>
      <c r="C467" s="6">
        <f t="shared" si="14"/>
        <v>-9.9502487562187492E-3</v>
      </c>
      <c r="D467" s="6">
        <f t="shared" si="15"/>
        <v>-1.0000083334583198E-2</v>
      </c>
      <c r="E467" s="6"/>
      <c r="F467" s="6"/>
      <c r="G467" s="6"/>
      <c r="H467" s="6"/>
    </row>
    <row r="468" spans="1:8" x14ac:dyDescent="0.25">
      <c r="A468" t="s">
        <v>515</v>
      </c>
      <c r="B468">
        <v>140.69999999999999</v>
      </c>
      <c r="C468" s="6">
        <f t="shared" si="14"/>
        <v>-2.237354085603116E-2</v>
      </c>
      <c r="D468" s="6">
        <f t="shared" si="15"/>
        <v>-2.2627625521934324E-2</v>
      </c>
      <c r="E468" s="6"/>
      <c r="F468" s="6"/>
      <c r="G468" s="6"/>
      <c r="H468" s="6"/>
    </row>
    <row r="469" spans="1:8" x14ac:dyDescent="0.25">
      <c r="A469" t="s">
        <v>516</v>
      </c>
      <c r="B469">
        <v>143.91999999999999</v>
      </c>
      <c r="C469" s="6">
        <f t="shared" si="14"/>
        <v>-1.3894678338199906E-4</v>
      </c>
      <c r="D469" s="6">
        <f t="shared" si="15"/>
        <v>-1.3895643738057688E-4</v>
      </c>
      <c r="E469" s="6"/>
      <c r="F469" s="6"/>
      <c r="G469" s="6"/>
      <c r="H469" s="6"/>
    </row>
    <row r="470" spans="1:8" x14ac:dyDescent="0.25">
      <c r="A470" t="s">
        <v>517</v>
      </c>
      <c r="B470">
        <v>143.94</v>
      </c>
      <c r="C470" s="6">
        <f t="shared" si="14"/>
        <v>-8.0628488732686909E-3</v>
      </c>
      <c r="D470" s="6">
        <f t="shared" si="15"/>
        <v>-8.0955294233434564E-3</v>
      </c>
      <c r="E470" s="6"/>
      <c r="F470" s="6"/>
      <c r="G470" s="6"/>
      <c r="H470" s="6"/>
    </row>
    <row r="471" spans="1:8" x14ac:dyDescent="0.25">
      <c r="A471" t="s">
        <v>518</v>
      </c>
      <c r="B471">
        <v>145.11000000000001</v>
      </c>
      <c r="C471" s="6">
        <f t="shared" si="14"/>
        <v>1.2489533910131412E-2</v>
      </c>
      <c r="D471" s="6">
        <f t="shared" si="15"/>
        <v>1.2412183066248696E-2</v>
      </c>
      <c r="E471" s="6"/>
      <c r="F471" s="6"/>
      <c r="G471" s="6"/>
      <c r="H471" s="6"/>
    </row>
    <row r="472" spans="1:8" x14ac:dyDescent="0.25">
      <c r="A472" t="s">
        <v>519</v>
      </c>
      <c r="B472">
        <v>143.32</v>
      </c>
      <c r="C472" s="6">
        <f t="shared" si="14"/>
        <v>1.1176306230791244E-3</v>
      </c>
      <c r="D472" s="6">
        <f t="shared" si="15"/>
        <v>1.1170065389280593E-3</v>
      </c>
      <c r="E472" s="6"/>
      <c r="F472" s="6"/>
      <c r="G472" s="6"/>
      <c r="H472" s="6"/>
    </row>
    <row r="473" spans="1:8" x14ac:dyDescent="0.25">
      <c r="A473" t="s">
        <v>520</v>
      </c>
      <c r="B473">
        <v>143.16</v>
      </c>
      <c r="C473" s="6">
        <f t="shared" si="14"/>
        <v>8.5241282141599317E-3</v>
      </c>
      <c r="D473" s="6">
        <f t="shared" si="15"/>
        <v>8.4880029788448781E-3</v>
      </c>
      <c r="E473" s="6"/>
      <c r="F473" s="6"/>
      <c r="G473" s="6"/>
      <c r="H473" s="6"/>
    </row>
    <row r="474" spans="1:8" x14ac:dyDescent="0.25">
      <c r="A474" t="s">
        <v>521</v>
      </c>
      <c r="B474">
        <v>141.94999999999999</v>
      </c>
      <c r="C474" s="6">
        <f t="shared" si="14"/>
        <v>7.6666430041880673E-3</v>
      </c>
      <c r="D474" s="6">
        <f t="shared" si="15"/>
        <v>7.637403646764524E-3</v>
      </c>
      <c r="E474" s="6"/>
      <c r="F474" s="6"/>
      <c r="G474" s="6"/>
      <c r="H474" s="6"/>
    </row>
    <row r="475" spans="1:8" x14ac:dyDescent="0.25">
      <c r="A475" t="s">
        <v>522</v>
      </c>
      <c r="B475">
        <v>140.87</v>
      </c>
      <c r="C475" s="6">
        <f t="shared" si="14"/>
        <v>7.7258745260748718E-3</v>
      </c>
      <c r="D475" s="6">
        <f t="shared" si="15"/>
        <v>7.6961827891783722E-3</v>
      </c>
      <c r="E475" s="6"/>
      <c r="F475" s="6"/>
      <c r="G475" s="6"/>
      <c r="H475" s="6"/>
    </row>
    <row r="476" spans="1:8" x14ac:dyDescent="0.25">
      <c r="A476" t="s">
        <v>523</v>
      </c>
      <c r="B476">
        <v>139.79</v>
      </c>
      <c r="C476" s="6">
        <f t="shared" si="14"/>
        <v>-2.5989409141583208E-2</v>
      </c>
      <c r="D476" s="6">
        <f t="shared" si="15"/>
        <v>-2.6333101827448992E-2</v>
      </c>
      <c r="E476" s="6"/>
      <c r="F476" s="6"/>
      <c r="G476" s="6"/>
      <c r="H476" s="6"/>
    </row>
    <row r="477" spans="1:8" x14ac:dyDescent="0.25">
      <c r="A477" t="s">
        <v>524</v>
      </c>
      <c r="B477">
        <v>143.52000000000001</v>
      </c>
      <c r="C477" s="6">
        <f t="shared" si="14"/>
        <v>-1.7726370542741843E-2</v>
      </c>
      <c r="D477" s="6">
        <f t="shared" si="15"/>
        <v>-1.7885364373507153E-2</v>
      </c>
      <c r="E477" s="6"/>
      <c r="F477" s="6"/>
      <c r="G477" s="6"/>
      <c r="H477" s="6"/>
    </row>
    <row r="478" spans="1:8" x14ac:dyDescent="0.25">
      <c r="A478" t="s">
        <v>525</v>
      </c>
      <c r="B478">
        <v>146.11000000000001</v>
      </c>
      <c r="C478" s="6">
        <f t="shared" si="14"/>
        <v>2.7496483825597995E-2</v>
      </c>
      <c r="D478" s="6">
        <f t="shared" si="15"/>
        <v>2.7125245314852803E-2</v>
      </c>
      <c r="E478" s="6"/>
      <c r="F478" s="6"/>
      <c r="G478" s="6"/>
      <c r="H478" s="6"/>
    </row>
    <row r="479" spans="1:8" x14ac:dyDescent="0.25">
      <c r="A479" t="s">
        <v>526</v>
      </c>
      <c r="B479">
        <v>142.19999999999999</v>
      </c>
      <c r="C479" s="6">
        <f t="shared" si="14"/>
        <v>6.5118912797281769E-3</v>
      </c>
      <c r="D479" s="6">
        <f t="shared" si="15"/>
        <v>6.4907805134905971E-3</v>
      </c>
      <c r="E479" s="6"/>
      <c r="F479" s="6"/>
      <c r="G479" s="6"/>
      <c r="H479" s="6"/>
    </row>
    <row r="480" spans="1:8" x14ac:dyDescent="0.25">
      <c r="A480" t="s">
        <v>527</v>
      </c>
      <c r="B480">
        <v>141.28</v>
      </c>
      <c r="C480" s="6">
        <f t="shared" si="14"/>
        <v>2.9104848441825482E-3</v>
      </c>
      <c r="D480" s="6">
        <f t="shared" si="15"/>
        <v>2.9062575834343713E-3</v>
      </c>
      <c r="E480" s="6"/>
      <c r="F480" s="6"/>
      <c r="G480" s="6"/>
      <c r="H480" s="6"/>
    </row>
    <row r="481" spans="1:8" x14ac:dyDescent="0.25">
      <c r="A481" t="s">
        <v>528</v>
      </c>
      <c r="B481">
        <v>140.87</v>
      </c>
      <c r="C481" s="6">
        <f t="shared" si="14"/>
        <v>-6.4884688624020637E-3</v>
      </c>
      <c r="D481" s="6">
        <f t="shared" si="15"/>
        <v>-6.5096104772510025E-3</v>
      </c>
      <c r="E481" s="6"/>
      <c r="F481" s="6"/>
      <c r="G481" s="6"/>
      <c r="H481" s="6"/>
    </row>
    <row r="482" spans="1:8" x14ac:dyDescent="0.25">
      <c r="A482" t="s">
        <v>529</v>
      </c>
      <c r="B482">
        <v>141.79</v>
      </c>
      <c r="C482" s="6">
        <f t="shared" si="14"/>
        <v>-4.50565732758621E-2</v>
      </c>
      <c r="D482" s="6">
        <f t="shared" si="15"/>
        <v>-4.6103179288423911E-2</v>
      </c>
      <c r="E482" s="6"/>
      <c r="F482" s="6"/>
      <c r="G482" s="6"/>
      <c r="H482" s="6"/>
    </row>
    <row r="483" spans="1:8" x14ac:dyDescent="0.25">
      <c r="A483" t="s">
        <v>530</v>
      </c>
      <c r="B483">
        <v>148.47999999999999</v>
      </c>
      <c r="C483" s="6">
        <f t="shared" si="14"/>
        <v>-1.8314049586776959E-2</v>
      </c>
      <c r="D483" s="6">
        <f t="shared" si="15"/>
        <v>-1.84838278730605E-2</v>
      </c>
      <c r="E483" s="6"/>
      <c r="F483" s="6"/>
      <c r="G483" s="6"/>
      <c r="H483" s="6"/>
    </row>
    <row r="484" spans="1:8" x14ac:dyDescent="0.25">
      <c r="A484" t="s">
        <v>531</v>
      </c>
      <c r="B484">
        <v>151.25</v>
      </c>
      <c r="C484" s="6">
        <f t="shared" si="14"/>
        <v>-1.4524328249818641E-3</v>
      </c>
      <c r="D484" s="6">
        <f t="shared" si="15"/>
        <v>-1.4534886279831975E-3</v>
      </c>
      <c r="E484" s="6"/>
      <c r="F484" s="6"/>
      <c r="G484" s="6"/>
      <c r="H484" s="6"/>
    </row>
    <row r="485" spans="1:8" x14ac:dyDescent="0.25">
      <c r="A485" t="s">
        <v>532</v>
      </c>
      <c r="B485">
        <v>151.47</v>
      </c>
      <c r="C485" s="6">
        <f t="shared" si="14"/>
        <v>2.7472527472527597E-2</v>
      </c>
      <c r="D485" s="6">
        <f t="shared" si="15"/>
        <v>2.7101929777791394E-2</v>
      </c>
      <c r="E485" s="6"/>
      <c r="F485" s="6"/>
      <c r="G485" s="6"/>
      <c r="H485" s="6"/>
    </row>
    <row r="486" spans="1:8" x14ac:dyDescent="0.25">
      <c r="A486" t="s">
        <v>533</v>
      </c>
      <c r="B486">
        <v>147.41999999999999</v>
      </c>
      <c r="C486" s="6">
        <f t="shared" si="14"/>
        <v>1.3544173255414238E-2</v>
      </c>
      <c r="D486" s="6">
        <f t="shared" si="15"/>
        <v>1.3453270819932115E-2</v>
      </c>
      <c r="E486" s="6"/>
      <c r="F486" s="6"/>
      <c r="G486" s="6"/>
      <c r="H486" s="6"/>
    </row>
    <row r="487" spans="1:8" x14ac:dyDescent="0.25">
      <c r="A487" t="s">
        <v>534</v>
      </c>
      <c r="B487">
        <v>145.44999999999999</v>
      </c>
      <c r="C487" s="6">
        <f t="shared" si="14"/>
        <v>2.3502920273027694E-2</v>
      </c>
      <c r="D487" s="6">
        <f t="shared" si="15"/>
        <v>2.3230979337440297E-2</v>
      </c>
      <c r="E487" s="6"/>
      <c r="F487" s="6"/>
      <c r="G487" s="6"/>
      <c r="H487" s="6"/>
    </row>
    <row r="488" spans="1:8" x14ac:dyDescent="0.25">
      <c r="A488" t="s">
        <v>535</v>
      </c>
      <c r="B488">
        <v>142.11000000000001</v>
      </c>
      <c r="C488" s="6">
        <f t="shared" si="14"/>
        <v>-9.6864111498257133E-3</v>
      </c>
      <c r="D488" s="6">
        <f t="shared" si="15"/>
        <v>-9.7336295959056223E-3</v>
      </c>
      <c r="E488" s="6"/>
      <c r="F488" s="6"/>
      <c r="G488" s="6"/>
      <c r="H488" s="6"/>
    </row>
    <row r="489" spans="1:8" x14ac:dyDescent="0.25">
      <c r="A489" t="s">
        <v>536</v>
      </c>
      <c r="B489">
        <v>143.5</v>
      </c>
      <c r="C489" s="6">
        <f t="shared" si="14"/>
        <v>-1.2592031927337821E-2</v>
      </c>
      <c r="D489" s="6">
        <f t="shared" si="15"/>
        <v>-1.2671983438403334E-2</v>
      </c>
      <c r="E489" s="6"/>
      <c r="F489" s="6"/>
      <c r="G489" s="6"/>
      <c r="H489" s="6"/>
    </row>
    <row r="490" spans="1:8" x14ac:dyDescent="0.25">
      <c r="A490" t="s">
        <v>537</v>
      </c>
      <c r="B490">
        <v>145.33000000000001</v>
      </c>
      <c r="C490" s="6">
        <f t="shared" si="14"/>
        <v>-2.9515859766277019E-2</v>
      </c>
      <c r="D490" s="6">
        <f t="shared" si="15"/>
        <v>-2.9960218357479522E-2</v>
      </c>
      <c r="E490" s="6"/>
      <c r="F490" s="6"/>
      <c r="G490" s="6"/>
      <c r="H490" s="6"/>
    </row>
    <row r="491" spans="1:8" x14ac:dyDescent="0.25">
      <c r="A491" t="s">
        <v>538</v>
      </c>
      <c r="B491">
        <v>149.75</v>
      </c>
      <c r="C491" s="6">
        <f t="shared" si="14"/>
        <v>8.8930809135618905E-3</v>
      </c>
      <c r="D491" s="6">
        <f t="shared" si="15"/>
        <v>8.8537703588850922E-3</v>
      </c>
      <c r="E491" s="6"/>
      <c r="F491" s="6"/>
      <c r="G491" s="6"/>
      <c r="H491" s="6"/>
    </row>
    <row r="492" spans="1:8" x14ac:dyDescent="0.25">
      <c r="A492" t="s">
        <v>539</v>
      </c>
      <c r="B492">
        <v>148.43</v>
      </c>
      <c r="C492" s="6">
        <f t="shared" si="14"/>
        <v>-4.713804713804004E-4</v>
      </c>
      <c r="D492" s="6">
        <f t="shared" si="15"/>
        <v>-4.7149160608065695E-4</v>
      </c>
      <c r="E492" s="6"/>
      <c r="F492" s="6"/>
      <c r="G492" s="6"/>
      <c r="H492" s="6"/>
    </row>
    <row r="493" spans="1:8" x14ac:dyDescent="0.25">
      <c r="A493" t="s">
        <v>540</v>
      </c>
      <c r="B493">
        <v>148.5</v>
      </c>
      <c r="C493" s="6">
        <f t="shared" si="14"/>
        <v>-2.5270758122743597E-2</v>
      </c>
      <c r="D493" s="6">
        <f t="shared" si="15"/>
        <v>-2.5595547188963653E-2</v>
      </c>
      <c r="E493" s="6"/>
      <c r="F493" s="6"/>
      <c r="G493" s="6"/>
      <c r="H493" s="6"/>
    </row>
    <row r="494" spans="1:8" x14ac:dyDescent="0.25">
      <c r="A494" t="s">
        <v>541</v>
      </c>
      <c r="B494">
        <v>152.35</v>
      </c>
      <c r="C494" s="6">
        <f t="shared" si="14"/>
        <v>2.0428667113194798E-2</v>
      </c>
      <c r="D494" s="6">
        <f t="shared" si="15"/>
        <v>2.0222800886573241E-2</v>
      </c>
      <c r="E494" s="6"/>
      <c r="F494" s="6"/>
      <c r="G494" s="6"/>
      <c r="H494" s="6"/>
    </row>
    <row r="495" spans="1:8" x14ac:dyDescent="0.25">
      <c r="A495" t="s">
        <v>542</v>
      </c>
      <c r="B495">
        <v>149.30000000000001</v>
      </c>
      <c r="C495" s="6">
        <f t="shared" si="14"/>
        <v>-2.0212626328914407E-2</v>
      </c>
      <c r="D495" s="6">
        <f t="shared" si="15"/>
        <v>-2.0419696499718733E-2</v>
      </c>
      <c r="E495" s="6"/>
      <c r="F495" s="6"/>
      <c r="G495" s="6"/>
      <c r="H495" s="6"/>
    </row>
    <row r="496" spans="1:8" x14ac:dyDescent="0.25">
      <c r="A496" t="s">
        <v>543</v>
      </c>
      <c r="B496">
        <v>152.38</v>
      </c>
      <c r="C496" s="6">
        <f t="shared" si="14"/>
        <v>-3.0353165765192536E-2</v>
      </c>
      <c r="D496" s="6">
        <f t="shared" si="15"/>
        <v>-3.0823362198713063E-2</v>
      </c>
      <c r="E496" s="6"/>
      <c r="F496" s="6"/>
      <c r="G496" s="6"/>
      <c r="H496" s="6"/>
    </row>
    <row r="497" spans="1:8" x14ac:dyDescent="0.25">
      <c r="A497" t="s">
        <v>544</v>
      </c>
      <c r="B497">
        <v>157.15</v>
      </c>
      <c r="C497" s="6">
        <f t="shared" si="14"/>
        <v>-2.6021832952526358E-3</v>
      </c>
      <c r="D497" s="6">
        <f t="shared" si="15"/>
        <v>-2.605574859128558E-3</v>
      </c>
      <c r="E497" s="6"/>
      <c r="F497" s="6"/>
      <c r="G497" s="6"/>
      <c r="H497" s="6"/>
    </row>
    <row r="498" spans="1:8" x14ac:dyDescent="0.25">
      <c r="A498" t="s">
        <v>545</v>
      </c>
      <c r="B498">
        <v>157.56</v>
      </c>
      <c r="C498" s="6">
        <f t="shared" si="14"/>
        <v>1.5140777011790396E-2</v>
      </c>
      <c r="D498" s="6">
        <f t="shared" si="15"/>
        <v>1.5027299439611869E-2</v>
      </c>
      <c r="E498" s="6"/>
      <c r="F498" s="6"/>
      <c r="G498" s="6"/>
      <c r="H498" s="6"/>
    </row>
    <row r="499" spans="1:8" x14ac:dyDescent="0.25">
      <c r="A499" t="s">
        <v>546</v>
      </c>
      <c r="B499">
        <v>155.21</v>
      </c>
      <c r="C499" s="6">
        <f t="shared" si="14"/>
        <v>1.504152769603051E-2</v>
      </c>
      <c r="D499" s="6">
        <f t="shared" si="15"/>
        <v>1.4929525643033304E-2</v>
      </c>
      <c r="E499" s="6"/>
      <c r="F499" s="6"/>
      <c r="G499" s="6"/>
      <c r="H499" s="6"/>
    </row>
    <row r="500" spans="1:8" x14ac:dyDescent="0.25">
      <c r="A500" t="s">
        <v>547</v>
      </c>
      <c r="B500">
        <v>152.91</v>
      </c>
      <c r="C500" s="6">
        <f t="shared" si="14"/>
        <v>-3.5839958295321717E-3</v>
      </c>
      <c r="D500" s="6">
        <f t="shared" si="15"/>
        <v>-3.590433729459185E-3</v>
      </c>
      <c r="E500" s="6"/>
      <c r="F500" s="6"/>
      <c r="G500" s="6"/>
      <c r="H500" s="6"/>
    </row>
    <row r="501" spans="1:8" x14ac:dyDescent="0.25">
      <c r="A501" t="s">
        <v>548</v>
      </c>
      <c r="B501">
        <v>153.46</v>
      </c>
      <c r="C501" s="6">
        <f t="shared" si="14"/>
        <v>-1.4829556397252364E-2</v>
      </c>
      <c r="D501" s="6">
        <f t="shared" si="15"/>
        <v>-1.4940613588995321E-2</v>
      </c>
      <c r="E501" s="6"/>
      <c r="F501" s="6"/>
      <c r="G501" s="6"/>
      <c r="H501" s="6"/>
    </row>
    <row r="502" spans="1:8" x14ac:dyDescent="0.25">
      <c r="A502" t="s">
        <v>549</v>
      </c>
      <c r="B502">
        <v>155.77000000000001</v>
      </c>
      <c r="C502" s="6">
        <f t="shared" si="14"/>
        <v>3.8533170637733427E-4</v>
      </c>
      <c r="D502" s="6">
        <f t="shared" si="15"/>
        <v>3.852574851812724E-4</v>
      </c>
      <c r="E502" s="6"/>
      <c r="F502" s="6"/>
      <c r="G502" s="6"/>
      <c r="H502" s="6"/>
    </row>
    <row r="503" spans="1:8" x14ac:dyDescent="0.25">
      <c r="A503" t="s">
        <v>550</v>
      </c>
      <c r="B503">
        <v>155.71</v>
      </c>
      <c r="C503" s="6">
        <f t="shared" si="14"/>
        <v>1.4792899408284654E-3</v>
      </c>
      <c r="D503" s="6">
        <f t="shared" si="15"/>
        <v>1.4781968693109652E-3</v>
      </c>
      <c r="E503" s="6"/>
      <c r="F503" s="6"/>
      <c r="G503" s="6"/>
      <c r="H503" s="6"/>
    </row>
    <row r="504" spans="1:8" x14ac:dyDescent="0.25">
      <c r="A504" t="s">
        <v>551</v>
      </c>
      <c r="B504">
        <v>155.47999999999999</v>
      </c>
      <c r="C504" s="6">
        <f t="shared" si="14"/>
        <v>1.3889794587544912E-2</v>
      </c>
      <c r="D504" s="6">
        <f t="shared" si="15"/>
        <v>1.3794215423761953E-2</v>
      </c>
      <c r="E504" s="6"/>
      <c r="F504" s="6"/>
      <c r="G504" s="6"/>
      <c r="H504" s="6"/>
    </row>
    <row r="505" spans="1:8" x14ac:dyDescent="0.25">
      <c r="A505" t="s">
        <v>552</v>
      </c>
      <c r="B505">
        <v>153.35</v>
      </c>
      <c r="C505" s="6">
        <f t="shared" si="14"/>
        <v>1.4689340303050358E-2</v>
      </c>
      <c r="D505" s="6">
        <f t="shared" si="15"/>
        <v>1.4582496978231253E-2</v>
      </c>
      <c r="E505" s="6"/>
      <c r="F505" s="6"/>
      <c r="G505" s="6"/>
      <c r="H505" s="6"/>
    </row>
    <row r="506" spans="1:8" x14ac:dyDescent="0.25">
      <c r="A506" t="s">
        <v>553</v>
      </c>
      <c r="B506">
        <v>151.13</v>
      </c>
      <c r="C506" s="6">
        <f t="shared" si="14"/>
        <v>-3.6037759918357004E-2</v>
      </c>
      <c r="D506" s="6">
        <f t="shared" si="15"/>
        <v>-3.6703155178546901E-2</v>
      </c>
      <c r="E506" s="6"/>
      <c r="F506" s="6"/>
      <c r="G506" s="6"/>
      <c r="H506" s="6"/>
    </row>
    <row r="507" spans="1:8" x14ac:dyDescent="0.25">
      <c r="A507" t="s">
        <v>554</v>
      </c>
      <c r="B507">
        <v>156.78</v>
      </c>
      <c r="C507" s="6">
        <f t="shared" si="14"/>
        <v>-7.7843174482626898E-3</v>
      </c>
      <c r="D507" s="6">
        <f t="shared" si="15"/>
        <v>-7.8147734028314632E-3</v>
      </c>
      <c r="E507" s="6"/>
      <c r="F507" s="6"/>
      <c r="G507" s="6"/>
      <c r="H507" s="6"/>
    </row>
    <row r="508" spans="1:8" x14ac:dyDescent="0.25">
      <c r="A508" t="s">
        <v>555</v>
      </c>
      <c r="B508">
        <v>158.01</v>
      </c>
      <c r="C508" s="6">
        <f t="shared" si="14"/>
        <v>4.1663919836508523E-2</v>
      </c>
      <c r="D508" s="6">
        <f t="shared" si="15"/>
        <v>4.0819357559826533E-2</v>
      </c>
      <c r="E508" s="6"/>
      <c r="F508" s="6"/>
      <c r="G508" s="6"/>
      <c r="H508" s="6"/>
    </row>
    <row r="509" spans="1:8" x14ac:dyDescent="0.25">
      <c r="A509" t="s">
        <v>556</v>
      </c>
      <c r="B509">
        <v>151.69</v>
      </c>
      <c r="C509" s="6">
        <f t="shared" si="14"/>
        <v>-4.2014048447450714E-3</v>
      </c>
      <c r="D509" s="6">
        <f t="shared" si="15"/>
        <v>-4.2102555450288202E-3</v>
      </c>
      <c r="E509" s="6"/>
      <c r="F509" s="6"/>
      <c r="G509" s="6"/>
      <c r="H509" s="6"/>
    </row>
    <row r="510" spans="1:8" x14ac:dyDescent="0.25">
      <c r="A510" t="s">
        <v>557</v>
      </c>
      <c r="B510">
        <v>152.33000000000001</v>
      </c>
      <c r="C510" s="6">
        <f t="shared" si="14"/>
        <v>-2.2923762116845436E-3</v>
      </c>
      <c r="D510" s="6">
        <f t="shared" si="15"/>
        <v>-2.2950077284192637E-3</v>
      </c>
      <c r="E510" s="6"/>
      <c r="F510" s="6"/>
      <c r="G510" s="6"/>
      <c r="H510" s="6"/>
    </row>
    <row r="511" spans="1:8" x14ac:dyDescent="0.25">
      <c r="A511" t="s">
        <v>558</v>
      </c>
      <c r="B511">
        <v>152.68</v>
      </c>
      <c r="C511" s="6">
        <f t="shared" si="14"/>
        <v>1.9634032322692674E-2</v>
      </c>
      <c r="D511" s="6">
        <f t="shared" si="15"/>
        <v>1.944377107448984E-2</v>
      </c>
      <c r="E511" s="6"/>
      <c r="F511" s="6"/>
      <c r="G511" s="6"/>
      <c r="H511" s="6"/>
    </row>
    <row r="512" spans="1:8" x14ac:dyDescent="0.25">
      <c r="A512" t="s">
        <v>559</v>
      </c>
      <c r="B512">
        <v>149.74</v>
      </c>
      <c r="C512" s="6">
        <f t="shared" si="14"/>
        <v>-3.5932925206281219E-3</v>
      </c>
      <c r="D512" s="6">
        <f t="shared" si="15"/>
        <v>-3.5997639032289536E-3</v>
      </c>
      <c r="E512" s="6"/>
      <c r="F512" s="6"/>
      <c r="G512" s="6"/>
      <c r="H512" s="6"/>
    </row>
    <row r="513" spans="1:8" x14ac:dyDescent="0.25">
      <c r="A513" t="s">
        <v>560</v>
      </c>
      <c r="B513">
        <v>150.28</v>
      </c>
      <c r="C513" s="6">
        <f t="shared" si="14"/>
        <v>1.6573090712304506E-2</v>
      </c>
      <c r="D513" s="6">
        <f t="shared" si="15"/>
        <v>1.6437255792769459E-2</v>
      </c>
      <c r="E513" s="6"/>
      <c r="F513" s="6"/>
      <c r="G513" s="6"/>
      <c r="H513" s="6"/>
    </row>
    <row r="514" spans="1:8" x14ac:dyDescent="0.25">
      <c r="A514" t="s">
        <v>561</v>
      </c>
      <c r="B514">
        <v>147.83000000000001</v>
      </c>
      <c r="C514" s="6">
        <f t="shared" si="14"/>
        <v>1.6939964764872695E-3</v>
      </c>
      <c r="D514" s="6">
        <f t="shared" si="15"/>
        <v>1.6925632827778777E-3</v>
      </c>
      <c r="E514" s="6"/>
      <c r="F514" s="6"/>
      <c r="G514" s="6"/>
      <c r="H514" s="6"/>
    </row>
    <row r="515" spans="1:8" x14ac:dyDescent="0.25">
      <c r="A515" t="s">
        <v>562</v>
      </c>
      <c r="B515">
        <v>147.58000000000001</v>
      </c>
      <c r="C515" s="6">
        <f t="shared" ref="C515:C578" si="16">(B515/B516)-1</f>
        <v>1.2972750360354279E-2</v>
      </c>
      <c r="D515" s="6">
        <f t="shared" ref="D515:D578" si="17">LN(B515/B516)</f>
        <v>1.2889324964316185E-2</v>
      </c>
      <c r="E515" s="6"/>
      <c r="F515" s="6"/>
      <c r="G515" s="6"/>
      <c r="H515" s="6"/>
    </row>
    <row r="516" spans="1:8" x14ac:dyDescent="0.25">
      <c r="A516" t="s">
        <v>563</v>
      </c>
      <c r="B516">
        <v>145.69</v>
      </c>
      <c r="C516" s="6">
        <f t="shared" si="16"/>
        <v>-2.6526794066550896E-2</v>
      </c>
      <c r="D516" s="6">
        <f t="shared" si="17"/>
        <v>-2.6884977986308019E-2</v>
      </c>
      <c r="E516" s="6"/>
      <c r="F516" s="6"/>
      <c r="G516" s="6"/>
      <c r="H516" s="6"/>
    </row>
    <row r="517" spans="1:8" x14ac:dyDescent="0.25">
      <c r="A517" t="s">
        <v>564</v>
      </c>
      <c r="B517">
        <v>149.66</v>
      </c>
      <c r="C517" s="6">
        <f t="shared" si="16"/>
        <v>2.6127152140416054E-3</v>
      </c>
      <c r="D517" s="6">
        <f t="shared" si="17"/>
        <v>2.6093080070640905E-3</v>
      </c>
      <c r="E517" s="6"/>
      <c r="F517" s="6"/>
      <c r="G517" s="6"/>
      <c r="H517" s="6"/>
    </row>
    <row r="518" spans="1:8" x14ac:dyDescent="0.25">
      <c r="A518" t="s">
        <v>565</v>
      </c>
      <c r="B518">
        <v>149.27000000000001</v>
      </c>
      <c r="C518" s="6">
        <f t="shared" si="16"/>
        <v>-2.2725753626094969E-3</v>
      </c>
      <c r="D518" s="6">
        <f t="shared" si="17"/>
        <v>-2.2751615809925973E-3</v>
      </c>
      <c r="E518" s="6"/>
      <c r="F518" s="6"/>
      <c r="G518" s="6"/>
      <c r="H518" s="6"/>
    </row>
    <row r="519" spans="1:8" x14ac:dyDescent="0.25">
      <c r="A519" t="s">
        <v>566</v>
      </c>
      <c r="B519">
        <v>149.61000000000001</v>
      </c>
      <c r="C519" s="6">
        <f t="shared" si="16"/>
        <v>-1.8564681186040266E-2</v>
      </c>
      <c r="D519" s="6">
        <f t="shared" si="17"/>
        <v>-1.8739167779518451E-2</v>
      </c>
      <c r="E519" s="6"/>
      <c r="F519" s="6"/>
      <c r="G519" s="6"/>
      <c r="H519" s="6"/>
    </row>
    <row r="520" spans="1:8" x14ac:dyDescent="0.25">
      <c r="A520" t="s">
        <v>567</v>
      </c>
      <c r="B520">
        <v>152.44</v>
      </c>
      <c r="C520" s="6">
        <f t="shared" si="16"/>
        <v>1.1478999402826595E-2</v>
      </c>
      <c r="D520" s="6">
        <f t="shared" si="17"/>
        <v>1.1413615574074474E-2</v>
      </c>
      <c r="E520" s="6"/>
      <c r="F520" s="6"/>
      <c r="G520" s="6"/>
      <c r="H520" s="6"/>
    </row>
    <row r="521" spans="1:8" x14ac:dyDescent="0.25">
      <c r="A521" t="s">
        <v>568</v>
      </c>
      <c r="B521">
        <v>150.71</v>
      </c>
      <c r="C521" s="6">
        <f t="shared" si="16"/>
        <v>-7.834101382488412E-3</v>
      </c>
      <c r="D521" s="6">
        <f t="shared" si="17"/>
        <v>-7.864949170142136E-3</v>
      </c>
      <c r="E521" s="6"/>
      <c r="F521" s="6"/>
      <c r="G521" s="6"/>
      <c r="H521" s="6"/>
    </row>
    <row r="522" spans="1:8" x14ac:dyDescent="0.25">
      <c r="A522" t="s">
        <v>569</v>
      </c>
      <c r="B522">
        <v>151.9</v>
      </c>
      <c r="C522" s="6">
        <f t="shared" si="16"/>
        <v>1.8301267010793154E-2</v>
      </c>
      <c r="D522" s="6">
        <f t="shared" si="17"/>
        <v>1.8135814435888194E-2</v>
      </c>
      <c r="E522" s="6"/>
      <c r="F522" s="6"/>
      <c r="G522" s="6"/>
      <c r="H522" s="6"/>
    </row>
    <row r="523" spans="1:8" x14ac:dyDescent="0.25">
      <c r="A523" t="s">
        <v>570</v>
      </c>
      <c r="B523">
        <v>149.16999999999999</v>
      </c>
      <c r="C523" s="6">
        <f t="shared" si="16"/>
        <v>-9.3764650726690935E-4</v>
      </c>
      <c r="D523" s="6">
        <f t="shared" si="17"/>
        <v>-9.3808637273357857E-4</v>
      </c>
      <c r="E523" s="6"/>
      <c r="F523" s="6"/>
      <c r="G523" s="6"/>
      <c r="H523" s="6"/>
    </row>
    <row r="524" spans="1:8" x14ac:dyDescent="0.25">
      <c r="A524" t="s">
        <v>571</v>
      </c>
      <c r="B524">
        <v>149.31</v>
      </c>
      <c r="C524" s="6">
        <f t="shared" si="16"/>
        <v>4.7348484848484862E-2</v>
      </c>
      <c r="D524" s="6">
        <f t="shared" si="17"/>
        <v>4.6261717816073342E-2</v>
      </c>
      <c r="E524" s="6"/>
      <c r="F524" s="6"/>
      <c r="G524" s="6"/>
      <c r="H524" s="6"/>
    </row>
    <row r="525" spans="1:8" x14ac:dyDescent="0.25">
      <c r="A525" t="s">
        <v>572</v>
      </c>
      <c r="B525">
        <v>142.56</v>
      </c>
      <c r="C525" s="6">
        <f t="shared" si="16"/>
        <v>-7.6569678407349961E-3</v>
      </c>
      <c r="D525" s="6">
        <f t="shared" si="17"/>
        <v>-7.686432924156294E-3</v>
      </c>
      <c r="E525" s="6"/>
      <c r="F525" s="6"/>
      <c r="G525" s="6"/>
      <c r="H525" s="6"/>
    </row>
    <row r="526" spans="1:8" x14ac:dyDescent="0.25">
      <c r="A526" t="s">
        <v>573</v>
      </c>
      <c r="B526">
        <v>143.66</v>
      </c>
      <c r="C526" s="6">
        <f t="shared" si="16"/>
        <v>-3.5903630628816852E-2</v>
      </c>
      <c r="D526" s="6">
        <f t="shared" si="17"/>
        <v>-3.6564021140713276E-2</v>
      </c>
      <c r="E526" s="6"/>
      <c r="F526" s="6"/>
      <c r="G526" s="6"/>
      <c r="H526" s="6"/>
    </row>
    <row r="527" spans="1:8" x14ac:dyDescent="0.25">
      <c r="A527" t="s">
        <v>574</v>
      </c>
      <c r="B527">
        <v>149.01</v>
      </c>
      <c r="C527" s="6">
        <f t="shared" si="16"/>
        <v>-2.0766248274955657E-2</v>
      </c>
      <c r="D527" s="6">
        <f t="shared" si="17"/>
        <v>-2.0984899144654342E-2</v>
      </c>
      <c r="E527" s="6"/>
      <c r="F527" s="6"/>
      <c r="G527" s="6"/>
      <c r="H527" s="6"/>
    </row>
    <row r="528" spans="1:8" x14ac:dyDescent="0.25">
      <c r="A528" t="s">
        <v>575</v>
      </c>
      <c r="B528">
        <v>152.16999999999999</v>
      </c>
      <c r="C528" s="6">
        <f t="shared" si="16"/>
        <v>1.3858351655673173E-2</v>
      </c>
      <c r="D528" s="6">
        <f t="shared" si="17"/>
        <v>1.3763202763799704E-2</v>
      </c>
      <c r="E528" s="6"/>
      <c r="F528" s="6"/>
      <c r="G528" s="6"/>
      <c r="H528" s="6"/>
    </row>
    <row r="529" spans="1:8" x14ac:dyDescent="0.25">
      <c r="A529" t="s">
        <v>576</v>
      </c>
      <c r="B529">
        <v>150.09</v>
      </c>
      <c r="C529" s="6">
        <f t="shared" si="16"/>
        <v>-3.6510886882632487E-3</v>
      </c>
      <c r="D529" s="6">
        <f t="shared" si="17"/>
        <v>-3.6577701806734448E-3</v>
      </c>
      <c r="E529" s="6"/>
      <c r="F529" s="6"/>
      <c r="G529" s="6"/>
      <c r="H529" s="6"/>
    </row>
    <row r="530" spans="1:8" x14ac:dyDescent="0.25">
      <c r="A530" t="s">
        <v>577</v>
      </c>
      <c r="B530">
        <v>150.63999999999999</v>
      </c>
      <c r="C530" s="6">
        <f t="shared" si="16"/>
        <v>4.2347079988928726E-2</v>
      </c>
      <c r="D530" s="6">
        <f t="shared" si="17"/>
        <v>4.1474978069457359E-2</v>
      </c>
      <c r="E530" s="6"/>
      <c r="F530" s="6"/>
      <c r="G530" s="6"/>
      <c r="H530" s="6"/>
    </row>
    <row r="531" spans="1:8" x14ac:dyDescent="0.25">
      <c r="A531" t="s">
        <v>578</v>
      </c>
      <c r="B531">
        <v>144.52000000000001</v>
      </c>
      <c r="C531" s="6">
        <f t="shared" si="16"/>
        <v>-3.0262363282560489E-2</v>
      </c>
      <c r="D531" s="6">
        <f t="shared" si="17"/>
        <v>-3.0729721681261861E-2</v>
      </c>
      <c r="E531" s="6"/>
      <c r="F531" s="6"/>
      <c r="G531" s="6"/>
      <c r="H531" s="6"/>
    </row>
    <row r="532" spans="1:8" x14ac:dyDescent="0.25">
      <c r="A532" t="s">
        <v>579</v>
      </c>
      <c r="B532">
        <v>149.03</v>
      </c>
      <c r="C532" s="6">
        <f t="shared" si="16"/>
        <v>7.7740815736187407E-2</v>
      </c>
      <c r="D532" s="6">
        <f t="shared" si="17"/>
        <v>7.4867012907277583E-2</v>
      </c>
      <c r="E532" s="6"/>
      <c r="F532" s="6"/>
      <c r="G532" s="6"/>
      <c r="H532" s="6"/>
    </row>
    <row r="533" spans="1:8" x14ac:dyDescent="0.25">
      <c r="A533" t="s">
        <v>580</v>
      </c>
      <c r="B533">
        <v>138.28</v>
      </c>
      <c r="C533" s="6">
        <f t="shared" si="16"/>
        <v>-4.7658402203856642E-2</v>
      </c>
      <c r="D533" s="6">
        <f t="shared" si="17"/>
        <v>-4.8831487337271814E-2</v>
      </c>
      <c r="E533" s="6"/>
      <c r="F533" s="6"/>
      <c r="G533" s="6"/>
      <c r="H533" s="6"/>
    </row>
    <row r="534" spans="1:8" x14ac:dyDescent="0.25">
      <c r="A534" t="s">
        <v>581</v>
      </c>
      <c r="B534">
        <v>145.19999999999999</v>
      </c>
      <c r="C534" s="6">
        <f t="shared" si="16"/>
        <v>-2.6222252028703763E-2</v>
      </c>
      <c r="D534" s="6">
        <f t="shared" si="17"/>
        <v>-2.6572186212120468E-2</v>
      </c>
      <c r="E534" s="6"/>
      <c r="F534" s="6"/>
      <c r="G534" s="6"/>
      <c r="H534" s="6"/>
    </row>
    <row r="535" spans="1:8" x14ac:dyDescent="0.25">
      <c r="A535" t="s">
        <v>582</v>
      </c>
      <c r="B535">
        <v>149.11000000000001</v>
      </c>
      <c r="C535" s="6">
        <f t="shared" si="16"/>
        <v>-2.1716310195512234E-2</v>
      </c>
      <c r="D535" s="6">
        <f t="shared" si="17"/>
        <v>-2.1955579635155167E-2</v>
      </c>
      <c r="E535" s="6"/>
      <c r="F535" s="6"/>
      <c r="G535" s="6"/>
      <c r="H535" s="6"/>
    </row>
    <row r="536" spans="1:8" x14ac:dyDescent="0.25">
      <c r="A536" t="s">
        <v>583</v>
      </c>
      <c r="B536">
        <v>152.41999999999999</v>
      </c>
      <c r="C536" s="6">
        <f t="shared" si="16"/>
        <v>-6.5366691194505888E-2</v>
      </c>
      <c r="D536" s="6">
        <f t="shared" si="17"/>
        <v>-6.7601009713081389E-2</v>
      </c>
      <c r="E536" s="6"/>
      <c r="F536" s="6"/>
      <c r="G536" s="6"/>
      <c r="H536" s="6"/>
    </row>
    <row r="537" spans="1:8" x14ac:dyDescent="0.25">
      <c r="A537" t="s">
        <v>584</v>
      </c>
      <c r="B537">
        <v>163.08000000000001</v>
      </c>
      <c r="C537" s="6">
        <f t="shared" si="16"/>
        <v>1.6581473631716914E-2</v>
      </c>
      <c r="D537" s="6">
        <f t="shared" si="17"/>
        <v>1.6445502012274332E-2</v>
      </c>
      <c r="E537" s="6"/>
      <c r="F537" s="6"/>
      <c r="G537" s="6"/>
      <c r="H537" s="6"/>
    </row>
    <row r="538" spans="1:8" x14ac:dyDescent="0.25">
      <c r="A538" t="s">
        <v>585</v>
      </c>
      <c r="B538">
        <v>160.41999999999999</v>
      </c>
      <c r="C538" s="6">
        <f t="shared" si="16"/>
        <v>1.6088168229034583E-2</v>
      </c>
      <c r="D538" s="6">
        <f t="shared" si="17"/>
        <v>1.5960125144132004E-2</v>
      </c>
      <c r="E538" s="6"/>
      <c r="F538" s="6"/>
      <c r="G538" s="6"/>
      <c r="H538" s="6"/>
    </row>
    <row r="539" spans="1:8" x14ac:dyDescent="0.25">
      <c r="A539" t="s">
        <v>586</v>
      </c>
      <c r="B539">
        <v>157.88</v>
      </c>
      <c r="C539" s="6">
        <f t="shared" si="16"/>
        <v>-1.8586436252875038E-2</v>
      </c>
      <c r="D539" s="6">
        <f t="shared" si="17"/>
        <v>-1.8761334607570214E-2</v>
      </c>
      <c r="E539" s="6"/>
      <c r="F539" s="6"/>
      <c r="G539" s="6"/>
      <c r="H539" s="6"/>
    </row>
    <row r="540" spans="1:8" x14ac:dyDescent="0.25">
      <c r="A540" t="s">
        <v>587</v>
      </c>
      <c r="B540">
        <v>160.87</v>
      </c>
      <c r="C540" s="6">
        <f t="shared" si="16"/>
        <v>6.443943943943875E-3</v>
      </c>
      <c r="D540" s="6">
        <f t="shared" si="17"/>
        <v>6.4232705019730734E-3</v>
      </c>
      <c r="E540" s="6"/>
      <c r="F540" s="6"/>
      <c r="G540" s="6"/>
      <c r="H540" s="6"/>
    </row>
    <row r="541" spans="1:8" x14ac:dyDescent="0.25">
      <c r="A541" t="s">
        <v>588</v>
      </c>
      <c r="B541">
        <v>159.84</v>
      </c>
      <c r="C541" s="6">
        <f t="shared" si="16"/>
        <v>8.6451694327003281E-3</v>
      </c>
      <c r="D541" s="6">
        <f t="shared" si="17"/>
        <v>8.6080139455266269E-3</v>
      </c>
      <c r="E541" s="6"/>
      <c r="F541" s="6"/>
      <c r="G541" s="6"/>
      <c r="H541" s="6"/>
    </row>
    <row r="542" spans="1:8" x14ac:dyDescent="0.25">
      <c r="A542" t="s">
        <v>589</v>
      </c>
      <c r="B542">
        <v>158.47</v>
      </c>
      <c r="C542" s="6">
        <f t="shared" si="16"/>
        <v>-2.1427689267629946E-2</v>
      </c>
      <c r="D542" s="6">
        <f t="shared" si="17"/>
        <v>-2.1660595303251352E-2</v>
      </c>
      <c r="E542" s="6"/>
      <c r="F542" s="6"/>
      <c r="G542" s="6"/>
      <c r="H542" s="6"/>
    </row>
    <row r="543" spans="1:8" x14ac:dyDescent="0.25">
      <c r="A543" t="s">
        <v>590</v>
      </c>
      <c r="B543">
        <v>161.94</v>
      </c>
      <c r="C543" s="6">
        <f t="shared" si="16"/>
        <v>4.8562548562548491E-2</v>
      </c>
      <c r="D543" s="6">
        <f t="shared" si="17"/>
        <v>4.7420224861932612E-2</v>
      </c>
      <c r="E543" s="6"/>
      <c r="F543" s="6"/>
      <c r="G543" s="6"/>
      <c r="H543" s="6"/>
    </row>
    <row r="544" spans="1:8" x14ac:dyDescent="0.25">
      <c r="A544" t="s">
        <v>591</v>
      </c>
      <c r="B544">
        <v>154.44</v>
      </c>
      <c r="C544" s="6">
        <f t="shared" si="16"/>
        <v>-1.1014344262295084E-2</v>
      </c>
      <c r="D544" s="6">
        <f t="shared" si="17"/>
        <v>-1.1075451268746752E-2</v>
      </c>
      <c r="E544" s="6"/>
      <c r="F544" s="6"/>
      <c r="G544" s="6"/>
      <c r="H544" s="6"/>
    </row>
    <row r="545" spans="1:8" x14ac:dyDescent="0.25">
      <c r="A545" t="s">
        <v>592</v>
      </c>
      <c r="B545">
        <v>156.16</v>
      </c>
      <c r="C545" s="6">
        <f t="shared" si="16"/>
        <v>-3.5732516590096797E-3</v>
      </c>
      <c r="D545" s="6">
        <f t="shared" si="17"/>
        <v>-3.5796509715029378E-3</v>
      </c>
      <c r="E545" s="6"/>
      <c r="F545" s="6"/>
      <c r="G545" s="6"/>
      <c r="H545" s="6"/>
    </row>
    <row r="546" spans="1:8" x14ac:dyDescent="0.25">
      <c r="A546" t="s">
        <v>593</v>
      </c>
      <c r="B546">
        <v>156.72</v>
      </c>
      <c r="C546" s="6">
        <f t="shared" si="16"/>
        <v>-6.0882800608828003E-3</v>
      </c>
      <c r="D546" s="6">
        <f t="shared" si="17"/>
        <v>-6.1068892081794501E-3</v>
      </c>
      <c r="E546" s="6"/>
      <c r="F546" s="6"/>
      <c r="G546" s="6"/>
      <c r="H546" s="6"/>
    </row>
    <row r="547" spans="1:8" x14ac:dyDescent="0.25">
      <c r="A547" t="s">
        <v>594</v>
      </c>
      <c r="B547">
        <v>157.68</v>
      </c>
      <c r="C547" s="6">
        <f t="shared" si="16"/>
        <v>1.9263089851325299E-2</v>
      </c>
      <c r="D547" s="6">
        <f t="shared" si="17"/>
        <v>1.9079905265444477E-2</v>
      </c>
      <c r="E547" s="6"/>
      <c r="F547" s="6"/>
      <c r="G547" s="6"/>
      <c r="H547" s="6"/>
    </row>
    <row r="548" spans="1:8" x14ac:dyDescent="0.25">
      <c r="A548" t="s">
        <v>595</v>
      </c>
      <c r="B548">
        <v>154.69999999999999</v>
      </c>
      <c r="C548" s="6">
        <f t="shared" si="16"/>
        <v>-2.6370444961923312E-2</v>
      </c>
      <c r="D548" s="6">
        <f t="shared" si="17"/>
        <v>-2.672438132125516E-2</v>
      </c>
      <c r="E548" s="6"/>
      <c r="F548" s="6"/>
      <c r="G548" s="6"/>
      <c r="H548" s="6"/>
    </row>
    <row r="549" spans="1:8" x14ac:dyDescent="0.25">
      <c r="A549" t="s">
        <v>596</v>
      </c>
      <c r="B549">
        <v>158.88999999999999</v>
      </c>
      <c r="C549" s="6">
        <f t="shared" si="16"/>
        <v>-2.5573408561265887E-2</v>
      </c>
      <c r="D549" s="6">
        <f t="shared" si="17"/>
        <v>-2.5906092334489206E-2</v>
      </c>
      <c r="E549" s="6"/>
      <c r="F549" s="6"/>
      <c r="G549" s="6"/>
      <c r="H549" s="6"/>
    </row>
    <row r="550" spans="1:8" x14ac:dyDescent="0.25">
      <c r="A550" t="s">
        <v>597</v>
      </c>
      <c r="B550">
        <v>163.06</v>
      </c>
      <c r="C550" s="6">
        <f t="shared" si="16"/>
        <v>1.9047619047618536E-3</v>
      </c>
      <c r="D550" s="6">
        <f t="shared" si="17"/>
        <v>1.9029501460860636E-3</v>
      </c>
      <c r="E550" s="6"/>
      <c r="F550" s="6"/>
      <c r="G550" s="6"/>
      <c r="H550" s="6"/>
    </row>
    <row r="551" spans="1:8" x14ac:dyDescent="0.25">
      <c r="A551" t="s">
        <v>598</v>
      </c>
      <c r="B551">
        <v>162.75</v>
      </c>
      <c r="C551" s="6">
        <f t="shared" si="16"/>
        <v>-7.9848835791783701E-3</v>
      </c>
      <c r="D551" s="6">
        <f t="shared" si="17"/>
        <v>-8.0169334859252327E-3</v>
      </c>
      <c r="E551" s="6"/>
      <c r="F551" s="6"/>
      <c r="G551" s="6"/>
      <c r="H551" s="6"/>
    </row>
    <row r="552" spans="1:8" x14ac:dyDescent="0.25">
      <c r="A552" t="s">
        <v>599</v>
      </c>
      <c r="B552">
        <v>164.06</v>
      </c>
      <c r="C552" s="6">
        <f t="shared" si="16"/>
        <v>6.5030674846626724E-3</v>
      </c>
      <c r="D552" s="6">
        <f t="shared" si="17"/>
        <v>6.4820137678415959E-3</v>
      </c>
      <c r="E552" s="6"/>
      <c r="F552" s="6"/>
      <c r="G552" s="6"/>
      <c r="H552" s="6"/>
    </row>
    <row r="553" spans="1:8" x14ac:dyDescent="0.25">
      <c r="A553" t="s">
        <v>600</v>
      </c>
      <c r="B553">
        <v>163</v>
      </c>
      <c r="C553" s="6">
        <f t="shared" si="16"/>
        <v>4.2799564967052728E-2</v>
      </c>
      <c r="D553" s="6">
        <f t="shared" si="17"/>
        <v>4.1908985899382592E-2</v>
      </c>
      <c r="E553" s="6"/>
      <c r="F553" s="6"/>
      <c r="G553" s="6"/>
      <c r="H553" s="6"/>
    </row>
    <row r="554" spans="1:8" x14ac:dyDescent="0.25">
      <c r="A554" t="s">
        <v>601</v>
      </c>
      <c r="B554">
        <v>156.31</v>
      </c>
      <c r="C554" s="6">
        <f t="shared" si="16"/>
        <v>1.4094432699083281E-3</v>
      </c>
      <c r="D554" s="6">
        <f t="shared" si="17"/>
        <v>1.4084509370579205E-3</v>
      </c>
      <c r="E554" s="6"/>
      <c r="F554" s="6"/>
      <c r="G554" s="6"/>
      <c r="H554" s="6"/>
    </row>
    <row r="555" spans="1:8" x14ac:dyDescent="0.25">
      <c r="A555" t="s">
        <v>602</v>
      </c>
      <c r="B555">
        <v>156.09</v>
      </c>
      <c r="C555" s="6">
        <f t="shared" si="16"/>
        <v>9.8337322895776236E-3</v>
      </c>
      <c r="D555" s="6">
        <f t="shared" si="17"/>
        <v>9.785695806094721E-3</v>
      </c>
      <c r="E555" s="6"/>
      <c r="F555" s="6"/>
      <c r="G555" s="6"/>
      <c r="H555" s="6"/>
    </row>
    <row r="556" spans="1:8" x14ac:dyDescent="0.25">
      <c r="A556" t="s">
        <v>603</v>
      </c>
      <c r="B556">
        <v>154.57</v>
      </c>
      <c r="C556" s="6">
        <f t="shared" si="16"/>
        <v>7.2987943955686863E-3</v>
      </c>
      <c r="D556" s="6">
        <f t="shared" si="17"/>
        <v>7.2722870984821162E-3</v>
      </c>
      <c r="E556" s="6"/>
      <c r="F556" s="6"/>
      <c r="G556" s="6"/>
      <c r="H556" s="6"/>
    </row>
    <row r="557" spans="1:8" x14ac:dyDescent="0.25">
      <c r="A557" t="s">
        <v>604</v>
      </c>
      <c r="B557">
        <v>153.44999999999999</v>
      </c>
      <c r="C557" s="6">
        <f t="shared" si="16"/>
        <v>1.8934447636458351E-3</v>
      </c>
      <c r="D557" s="6">
        <f t="shared" si="17"/>
        <v>1.8916544566513925E-3</v>
      </c>
      <c r="E557" s="6"/>
      <c r="F557" s="6"/>
      <c r="G557" s="6"/>
      <c r="H557" s="6"/>
    </row>
    <row r="558" spans="1:8" x14ac:dyDescent="0.25">
      <c r="A558" t="s">
        <v>605</v>
      </c>
      <c r="B558">
        <v>153.16</v>
      </c>
      <c r="C558" s="6">
        <f t="shared" si="16"/>
        <v>-6.0354338373678207E-3</v>
      </c>
      <c r="D558" s="6">
        <f t="shared" si="17"/>
        <v>-6.0537206846683006E-3</v>
      </c>
      <c r="E558" s="6"/>
      <c r="F558" s="6"/>
      <c r="G558" s="6"/>
      <c r="H558" s="6"/>
    </row>
    <row r="559" spans="1:8" x14ac:dyDescent="0.25">
      <c r="A559" t="s">
        <v>606</v>
      </c>
      <c r="B559">
        <v>154.09</v>
      </c>
      <c r="C559" s="6">
        <f t="shared" si="16"/>
        <v>2.2113821138212142E-3</v>
      </c>
      <c r="D559" s="6">
        <f t="shared" si="17"/>
        <v>2.208940607134838E-3</v>
      </c>
      <c r="E559" s="6"/>
      <c r="F559" s="6"/>
      <c r="G559" s="6"/>
      <c r="H559" s="6"/>
    </row>
    <row r="560" spans="1:8" x14ac:dyDescent="0.25">
      <c r="A560" t="s">
        <v>607</v>
      </c>
      <c r="B560">
        <v>153.75</v>
      </c>
      <c r="C560" s="6">
        <f t="shared" si="16"/>
        <v>5.5591890124264687E-3</v>
      </c>
      <c r="D560" s="6">
        <f t="shared" si="17"/>
        <v>5.5437937516106799E-3</v>
      </c>
      <c r="E560" s="6"/>
      <c r="F560" s="6"/>
      <c r="G560" s="6"/>
      <c r="H560" s="6"/>
    </row>
    <row r="561" spans="1:8" x14ac:dyDescent="0.25">
      <c r="A561" t="s">
        <v>608</v>
      </c>
      <c r="B561">
        <v>152.9</v>
      </c>
      <c r="C561" s="6">
        <f t="shared" si="16"/>
        <v>-2.9452837374634888E-2</v>
      </c>
      <c r="D561" s="6">
        <f t="shared" si="17"/>
        <v>-2.9895281340161516E-2</v>
      </c>
      <c r="E561" s="6"/>
      <c r="F561" s="6"/>
      <c r="G561" s="6"/>
      <c r="H561" s="6"/>
    </row>
    <row r="562" spans="1:8" x14ac:dyDescent="0.25">
      <c r="A562" t="s">
        <v>609</v>
      </c>
      <c r="B562">
        <v>157.54</v>
      </c>
      <c r="C562" s="6">
        <f t="shared" si="16"/>
        <v>8.6433190345092115E-3</v>
      </c>
      <c r="D562" s="6">
        <f t="shared" si="17"/>
        <v>8.6061794055471482E-3</v>
      </c>
      <c r="E562" s="6"/>
      <c r="F562" s="6"/>
      <c r="G562" s="6"/>
      <c r="H562" s="6"/>
    </row>
    <row r="563" spans="1:8" x14ac:dyDescent="0.25">
      <c r="A563" t="s">
        <v>610</v>
      </c>
      <c r="B563">
        <v>156.19</v>
      </c>
      <c r="C563" s="6">
        <f t="shared" si="16"/>
        <v>3.5337959393473284E-3</v>
      </c>
      <c r="D563" s="6">
        <f t="shared" si="17"/>
        <v>3.5275667532783665E-3</v>
      </c>
      <c r="E563" s="6"/>
      <c r="F563" s="6"/>
      <c r="G563" s="6"/>
      <c r="H563" s="6"/>
    </row>
    <row r="564" spans="1:8" x14ac:dyDescent="0.25">
      <c r="A564" t="s">
        <v>611</v>
      </c>
      <c r="B564">
        <v>155.63999999999999</v>
      </c>
      <c r="C564" s="6">
        <f t="shared" si="16"/>
        <v>-3.7127128408654952E-3</v>
      </c>
      <c r="D564" s="6">
        <f t="shared" si="17"/>
        <v>-3.7196220657984688E-3</v>
      </c>
      <c r="E564" s="6"/>
      <c r="F564" s="6"/>
      <c r="G564" s="6"/>
      <c r="H564" s="6"/>
    </row>
    <row r="565" spans="1:8" x14ac:dyDescent="0.25">
      <c r="A565" t="s">
        <v>612</v>
      </c>
      <c r="B565">
        <v>156.22</v>
      </c>
      <c r="C565" s="6">
        <f t="shared" si="16"/>
        <v>5.4708116109931648E-3</v>
      </c>
      <c r="D565" s="6">
        <f t="shared" si="17"/>
        <v>5.4559010782415096E-3</v>
      </c>
      <c r="E565" s="6"/>
      <c r="F565" s="6"/>
      <c r="G565" s="6"/>
      <c r="H565" s="6"/>
    </row>
    <row r="566" spans="1:8" x14ac:dyDescent="0.25">
      <c r="A566" t="s">
        <v>613</v>
      </c>
      <c r="B566">
        <v>155.37</v>
      </c>
      <c r="C566" s="6">
        <f t="shared" si="16"/>
        <v>-1.1829803472619638E-2</v>
      </c>
      <c r="D566" s="6">
        <f t="shared" si="17"/>
        <v>-1.1900332378274703E-2</v>
      </c>
      <c r="E566" s="6"/>
      <c r="F566" s="6"/>
      <c r="G566" s="6"/>
      <c r="H566" s="6"/>
    </row>
    <row r="567" spans="1:8" x14ac:dyDescent="0.25">
      <c r="A567" t="s">
        <v>614</v>
      </c>
      <c r="B567">
        <v>157.22999999999999</v>
      </c>
      <c r="C567" s="6">
        <f t="shared" si="16"/>
        <v>-1.3118252573437128E-2</v>
      </c>
      <c r="D567" s="6">
        <f t="shared" si="17"/>
        <v>-1.3205056831258917E-2</v>
      </c>
      <c r="E567" s="6"/>
      <c r="F567" s="6"/>
      <c r="G567" s="6"/>
      <c r="H567" s="6"/>
    </row>
    <row r="568" spans="1:8" x14ac:dyDescent="0.25">
      <c r="A568" t="s">
        <v>615</v>
      </c>
      <c r="B568">
        <v>159.32</v>
      </c>
      <c r="C568" s="6">
        <f t="shared" si="16"/>
        <v>1.9778531652051567E-2</v>
      </c>
      <c r="D568" s="6">
        <f t="shared" si="17"/>
        <v>1.9585477889631817E-2</v>
      </c>
      <c r="E568" s="6"/>
      <c r="F568" s="6"/>
      <c r="G568" s="6"/>
      <c r="H568" s="6"/>
    </row>
    <row r="569" spans="1:8" x14ac:dyDescent="0.25">
      <c r="A569" t="s">
        <v>616</v>
      </c>
      <c r="B569">
        <v>156.22999999999999</v>
      </c>
      <c r="C569" s="6">
        <f t="shared" si="16"/>
        <v>9.8248335595629843E-3</v>
      </c>
      <c r="D569" s="6">
        <f t="shared" si="17"/>
        <v>9.7768836928344236E-3</v>
      </c>
      <c r="E569" s="6"/>
      <c r="F569" s="6"/>
      <c r="G569" s="6"/>
      <c r="H569" s="6"/>
    </row>
    <row r="570" spans="1:8" x14ac:dyDescent="0.25">
      <c r="A570" t="s">
        <v>617</v>
      </c>
      <c r="B570">
        <v>154.71</v>
      </c>
      <c r="C570" s="6">
        <f t="shared" si="16"/>
        <v>4.8713951675760647E-3</v>
      </c>
      <c r="D570" s="6">
        <f t="shared" si="17"/>
        <v>4.8595683154319712E-3</v>
      </c>
      <c r="E570" s="6"/>
      <c r="F570" s="6"/>
      <c r="G570" s="6"/>
      <c r="H570" s="6"/>
    </row>
    <row r="571" spans="1:8" x14ac:dyDescent="0.25">
      <c r="A571" t="s">
        <v>618</v>
      </c>
      <c r="B571">
        <v>153.96</v>
      </c>
      <c r="C571" s="6">
        <f t="shared" si="16"/>
        <v>6.7351075655528447E-3</v>
      </c>
      <c r="D571" s="6">
        <f t="shared" si="17"/>
        <v>6.7125280555133705E-3</v>
      </c>
      <c r="E571" s="6"/>
      <c r="F571" s="6"/>
      <c r="G571" s="6"/>
      <c r="H571" s="6"/>
    </row>
    <row r="572" spans="1:8" x14ac:dyDescent="0.25">
      <c r="A572" t="s">
        <v>619</v>
      </c>
      <c r="B572">
        <v>152.93</v>
      </c>
      <c r="C572" s="6">
        <f t="shared" si="16"/>
        <v>-1.8735964068014033E-2</v>
      </c>
      <c r="D572" s="6">
        <f t="shared" si="17"/>
        <v>-1.891370585331403E-2</v>
      </c>
      <c r="E572" s="6"/>
      <c r="F572" s="6"/>
      <c r="G572" s="6"/>
      <c r="H572" s="6"/>
    </row>
    <row r="573" spans="1:8" x14ac:dyDescent="0.25">
      <c r="A573" t="s">
        <v>620</v>
      </c>
      <c r="B573">
        <v>155.85</v>
      </c>
      <c r="C573" s="6">
        <f t="shared" si="16"/>
        <v>4.8355899419729731E-3</v>
      </c>
      <c r="D573" s="6">
        <f t="shared" si="17"/>
        <v>4.8239360308530042E-3</v>
      </c>
      <c r="E573" s="6"/>
      <c r="F573" s="6"/>
      <c r="G573" s="6"/>
      <c r="H573" s="6"/>
    </row>
    <row r="574" spans="1:8" x14ac:dyDescent="0.25">
      <c r="A574" t="s">
        <v>621</v>
      </c>
      <c r="B574">
        <v>155.1</v>
      </c>
      <c r="C574" s="6">
        <f t="shared" si="16"/>
        <v>-1.5050485806820335E-2</v>
      </c>
      <c r="D574" s="6">
        <f t="shared" si="17"/>
        <v>-1.5164893749824947E-2</v>
      </c>
      <c r="E574" s="6"/>
      <c r="F574" s="6"/>
      <c r="G574" s="6"/>
      <c r="H574" s="6"/>
    </row>
    <row r="575" spans="1:8" x14ac:dyDescent="0.25">
      <c r="A575" t="s">
        <v>622</v>
      </c>
      <c r="B575">
        <v>157.47</v>
      </c>
      <c r="C575" s="6">
        <f t="shared" si="16"/>
        <v>7.6145380087022652E-3</v>
      </c>
      <c r="D575" s="6">
        <f t="shared" si="17"/>
        <v>7.5856937454481981E-3</v>
      </c>
      <c r="E575" s="6"/>
      <c r="F575" s="6"/>
      <c r="G575" s="6"/>
      <c r="H575" s="6"/>
    </row>
    <row r="576" spans="1:8" x14ac:dyDescent="0.25">
      <c r="A576" t="s">
        <v>623</v>
      </c>
      <c r="B576">
        <v>156.28</v>
      </c>
      <c r="C576" s="6">
        <f t="shared" si="16"/>
        <v>9.8869143780291324E-3</v>
      </c>
      <c r="D576" s="6">
        <f t="shared" si="17"/>
        <v>9.8383586221644052E-3</v>
      </c>
      <c r="E576" s="6"/>
      <c r="F576" s="6"/>
      <c r="G576" s="6"/>
      <c r="H576" s="6"/>
    </row>
    <row r="577" spans="1:8" x14ac:dyDescent="0.25">
      <c r="A577" t="s">
        <v>624</v>
      </c>
      <c r="B577">
        <v>154.75</v>
      </c>
      <c r="C577" s="6">
        <f t="shared" si="16"/>
        <v>8.6690131664712844E-3</v>
      </c>
      <c r="D577" s="6">
        <f t="shared" si="17"/>
        <v>8.6316530335553889E-3</v>
      </c>
      <c r="E577" s="6"/>
      <c r="F577" s="6"/>
      <c r="G577" s="6"/>
      <c r="H577" s="6"/>
    </row>
    <row r="578" spans="1:8" x14ac:dyDescent="0.25">
      <c r="A578" t="s">
        <v>625</v>
      </c>
      <c r="B578">
        <v>153.41999999999999</v>
      </c>
      <c r="C578" s="6">
        <f t="shared" si="16"/>
        <v>-7.9534432589719595E-3</v>
      </c>
      <c r="D578" s="6">
        <f t="shared" si="17"/>
        <v>-7.9852405999284587E-3</v>
      </c>
      <c r="E578" s="6"/>
      <c r="F578" s="6"/>
      <c r="G578" s="6"/>
      <c r="H578" s="6"/>
    </row>
    <row r="579" spans="1:8" x14ac:dyDescent="0.25">
      <c r="A579" t="s">
        <v>626</v>
      </c>
      <c r="B579">
        <v>154.65</v>
      </c>
      <c r="C579" s="6">
        <f t="shared" ref="C579:C625" si="18">(B579/B580)-1</f>
        <v>2.6074840764331197E-2</v>
      </c>
      <c r="D579" s="6">
        <f t="shared" ref="D579:D625" si="19">LN(B579/B580)</f>
        <v>2.5740688303025682E-2</v>
      </c>
      <c r="E579" s="6"/>
      <c r="F579" s="6"/>
      <c r="G579" s="6"/>
      <c r="H579" s="6"/>
    </row>
    <row r="580" spans="1:8" x14ac:dyDescent="0.25">
      <c r="A580" t="s">
        <v>627</v>
      </c>
      <c r="B580">
        <v>150.72</v>
      </c>
      <c r="C580" s="6">
        <f t="shared" si="18"/>
        <v>3.275318624092094E-2</v>
      </c>
      <c r="D580" s="6">
        <f t="shared" si="19"/>
        <v>3.2228232490578892E-2</v>
      </c>
      <c r="E580" s="6"/>
      <c r="F580" s="6"/>
      <c r="G580" s="6"/>
      <c r="H580" s="6"/>
    </row>
    <row r="581" spans="1:8" x14ac:dyDescent="0.25">
      <c r="A581" t="s">
        <v>628</v>
      </c>
      <c r="B581">
        <v>145.94</v>
      </c>
      <c r="C581" s="6">
        <f t="shared" si="18"/>
        <v>3.506841779550296E-3</v>
      </c>
      <c r="D581" s="6">
        <f t="shared" si="19"/>
        <v>3.500707147855242E-3</v>
      </c>
      <c r="E581" s="6"/>
      <c r="F581" s="6"/>
      <c r="G581" s="6"/>
      <c r="H581" s="6"/>
    </row>
    <row r="582" spans="1:8" x14ac:dyDescent="0.25">
      <c r="A582" t="s">
        <v>629</v>
      </c>
      <c r="B582">
        <v>145.43</v>
      </c>
      <c r="C582" s="6">
        <f t="shared" si="18"/>
        <v>2.1995783555867954E-2</v>
      </c>
      <c r="D582" s="6">
        <f t="shared" si="19"/>
        <v>2.1757366093812184E-2</v>
      </c>
      <c r="E582" s="6"/>
      <c r="F582" s="6"/>
      <c r="G582" s="6"/>
      <c r="H582" s="6"/>
    </row>
    <row r="583" spans="1:8" x14ac:dyDescent="0.25">
      <c r="A583" t="s">
        <v>630</v>
      </c>
      <c r="B583">
        <v>142.30000000000001</v>
      </c>
      <c r="C583" s="6">
        <f t="shared" si="18"/>
        <v>-3.919921601567955E-3</v>
      </c>
      <c r="D583" s="6">
        <f t="shared" si="19"/>
        <v>-3.927624631019715E-3</v>
      </c>
      <c r="E583" s="6"/>
      <c r="F583" s="6"/>
      <c r="G583" s="6"/>
      <c r="H583" s="6"/>
    </row>
    <row r="584" spans="1:8" x14ac:dyDescent="0.25">
      <c r="A584" t="s">
        <v>631</v>
      </c>
      <c r="B584">
        <v>142.86000000000001</v>
      </c>
      <c r="C584" s="6">
        <f t="shared" si="18"/>
        <v>2.1084983203488061E-2</v>
      </c>
      <c r="D584" s="6">
        <f t="shared" si="19"/>
        <v>2.0865770981631993E-2</v>
      </c>
      <c r="E584" s="6"/>
      <c r="F584" s="6"/>
      <c r="G584" s="6"/>
      <c r="H584" s="6"/>
    </row>
    <row r="585" spans="1:8" x14ac:dyDescent="0.25">
      <c r="A585" t="s">
        <v>632</v>
      </c>
      <c r="B585">
        <v>139.91</v>
      </c>
      <c r="C585" s="6">
        <f t="shared" si="18"/>
        <v>-2.6238864142539065E-2</v>
      </c>
      <c r="D585" s="6">
        <f t="shared" si="19"/>
        <v>-2.6589245808695039E-2</v>
      </c>
      <c r="E585" s="6"/>
      <c r="F585" s="6"/>
      <c r="G585" s="6"/>
      <c r="H585" s="6"/>
    </row>
    <row r="586" spans="1:8" x14ac:dyDescent="0.25">
      <c r="A586" t="s">
        <v>633</v>
      </c>
      <c r="B586">
        <v>143.68</v>
      </c>
      <c r="C586" s="6">
        <f t="shared" si="18"/>
        <v>-9.1034482758620694E-3</v>
      </c>
      <c r="D586" s="6">
        <f t="shared" si="19"/>
        <v>-9.1451378666849298E-3</v>
      </c>
      <c r="E586" s="6"/>
      <c r="F586" s="6"/>
      <c r="G586" s="6"/>
      <c r="H586" s="6"/>
    </row>
    <row r="587" spans="1:8" x14ac:dyDescent="0.25">
      <c r="A587" t="s">
        <v>634</v>
      </c>
      <c r="B587">
        <v>145</v>
      </c>
      <c r="C587" s="6">
        <f t="shared" si="18"/>
        <v>-1.2261580381471515E-2</v>
      </c>
      <c r="D587" s="6">
        <f t="shared" si="19"/>
        <v>-1.2337373759840932E-2</v>
      </c>
      <c r="E587" s="6"/>
      <c r="F587" s="6"/>
      <c r="G587" s="6"/>
      <c r="H587" s="6"/>
    </row>
    <row r="588" spans="1:8" x14ac:dyDescent="0.25">
      <c r="A588" t="s">
        <v>635</v>
      </c>
      <c r="B588">
        <v>146.80000000000001</v>
      </c>
      <c r="C588" s="6">
        <f t="shared" si="18"/>
        <v>-3.4620867558210477E-3</v>
      </c>
      <c r="D588" s="6">
        <f t="shared" si="19"/>
        <v>-3.4680936464317538E-3</v>
      </c>
      <c r="E588" s="6"/>
      <c r="F588" s="6"/>
      <c r="G588" s="6"/>
      <c r="H588" s="6"/>
    </row>
    <row r="589" spans="1:8" x14ac:dyDescent="0.25">
      <c r="A589" t="s">
        <v>636</v>
      </c>
      <c r="B589">
        <v>147.31</v>
      </c>
      <c r="C589" s="6">
        <f t="shared" si="18"/>
        <v>-7.7461942610804746E-3</v>
      </c>
      <c r="D589" s="6">
        <f t="shared" si="19"/>
        <v>-7.7763518625539735E-3</v>
      </c>
      <c r="E589" s="6"/>
      <c r="F589" s="6"/>
      <c r="G589" s="6"/>
      <c r="H589" s="6"/>
    </row>
    <row r="590" spans="1:8" x14ac:dyDescent="0.25">
      <c r="A590" t="s">
        <v>637</v>
      </c>
      <c r="B590">
        <v>148.46</v>
      </c>
      <c r="C590" s="6">
        <f t="shared" si="18"/>
        <v>1.3448016929483275E-2</v>
      </c>
      <c r="D590" s="6">
        <f t="shared" si="19"/>
        <v>1.3358394947722346E-2</v>
      </c>
      <c r="E590" s="6"/>
      <c r="F590" s="6"/>
      <c r="G590" s="6"/>
      <c r="H590" s="6"/>
    </row>
    <row r="591" spans="1:8" x14ac:dyDescent="0.25">
      <c r="A591" t="s">
        <v>638</v>
      </c>
      <c r="B591">
        <v>146.49</v>
      </c>
      <c r="C591" s="6">
        <f t="shared" si="18"/>
        <v>-4.1468388851120253E-3</v>
      </c>
      <c r="D591" s="6">
        <f t="shared" si="19"/>
        <v>-4.1554608657131085E-3</v>
      </c>
      <c r="E591" s="6"/>
      <c r="F591" s="6"/>
      <c r="G591" s="6"/>
      <c r="H591" s="6"/>
    </row>
    <row r="592" spans="1:8" x14ac:dyDescent="0.25">
      <c r="A592" t="s">
        <v>639</v>
      </c>
      <c r="B592">
        <v>147.1</v>
      </c>
      <c r="C592" s="6">
        <f t="shared" si="18"/>
        <v>-2.7118644067797293E-3</v>
      </c>
      <c r="D592" s="6">
        <f t="shared" si="19"/>
        <v>-2.7155481724827502E-3</v>
      </c>
      <c r="E592" s="6"/>
      <c r="F592" s="6"/>
      <c r="G592" s="6"/>
      <c r="H592" s="6"/>
    </row>
    <row r="593" spans="1:8" x14ac:dyDescent="0.25">
      <c r="A593" t="s">
        <v>640</v>
      </c>
      <c r="B593">
        <v>147.5</v>
      </c>
      <c r="C593" s="6">
        <f t="shared" si="18"/>
        <v>-8.1366417860265772E-3</v>
      </c>
      <c r="D593" s="6">
        <f t="shared" si="19"/>
        <v>-8.1699249207177818E-3</v>
      </c>
      <c r="E593" s="6"/>
      <c r="F593" s="6"/>
      <c r="G593" s="6"/>
      <c r="H593" s="6"/>
    </row>
    <row r="594" spans="1:8" x14ac:dyDescent="0.25">
      <c r="A594" t="s">
        <v>641</v>
      </c>
      <c r="B594">
        <v>148.71</v>
      </c>
      <c r="C594" s="6">
        <f t="shared" si="18"/>
        <v>1.884077829542341E-2</v>
      </c>
      <c r="D594" s="6">
        <f t="shared" si="19"/>
        <v>1.866548913234533E-2</v>
      </c>
      <c r="E594" s="6"/>
      <c r="F594" s="6"/>
      <c r="G594" s="6"/>
      <c r="H594" s="6"/>
    </row>
    <row r="595" spans="1:8" x14ac:dyDescent="0.25">
      <c r="A595" t="s">
        <v>642</v>
      </c>
      <c r="B595">
        <v>145.96</v>
      </c>
      <c r="C595" s="6">
        <f t="shared" si="18"/>
        <v>1.9772235031090712E-2</v>
      </c>
      <c r="D595" s="6">
        <f t="shared" si="19"/>
        <v>1.9579303372121656E-2</v>
      </c>
      <c r="E595" s="6"/>
      <c r="F595" s="6"/>
      <c r="G595" s="6"/>
      <c r="H595" s="6"/>
    </row>
    <row r="596" spans="1:8" x14ac:dyDescent="0.25">
      <c r="A596" t="s">
        <v>643</v>
      </c>
      <c r="B596">
        <v>143.13</v>
      </c>
      <c r="C596" s="6">
        <f t="shared" si="18"/>
        <v>-1.534705266829417E-3</v>
      </c>
      <c r="D596" s="6">
        <f t="shared" si="19"/>
        <v>-1.5358841332534896E-3</v>
      </c>
      <c r="E596" s="6"/>
      <c r="F596" s="6"/>
      <c r="G596" s="6"/>
      <c r="H596" s="6"/>
    </row>
    <row r="597" spans="1:8" x14ac:dyDescent="0.25">
      <c r="A597" t="s">
        <v>644</v>
      </c>
      <c r="B597">
        <v>143.35</v>
      </c>
      <c r="C597" s="6">
        <f t="shared" si="18"/>
        <v>-4.7212386308408405E-3</v>
      </c>
      <c r="D597" s="6">
        <f t="shared" si="19"/>
        <v>-4.7324188815798772E-3</v>
      </c>
      <c r="E597" s="6"/>
      <c r="F597" s="6"/>
      <c r="G597" s="6"/>
      <c r="H597" s="6"/>
    </row>
    <row r="598" spans="1:8" x14ac:dyDescent="0.25">
      <c r="A598" t="s">
        <v>645</v>
      </c>
      <c r="B598">
        <v>144.03</v>
      </c>
      <c r="C598" s="6">
        <f t="shared" si="18"/>
        <v>4.953949204577146E-3</v>
      </c>
      <c r="D598" s="6">
        <f t="shared" si="19"/>
        <v>4.9417187742055897E-3</v>
      </c>
      <c r="E598" s="6"/>
      <c r="F598" s="6"/>
      <c r="G598" s="6"/>
      <c r="H598" s="6"/>
    </row>
    <row r="599" spans="1:8" x14ac:dyDescent="0.25">
      <c r="A599" t="s">
        <v>646</v>
      </c>
      <c r="B599">
        <v>143.32</v>
      </c>
      <c r="C599" s="6">
        <f t="shared" si="18"/>
        <v>-2.7151778441487973E-2</v>
      </c>
      <c r="D599" s="6">
        <f t="shared" si="19"/>
        <v>-2.7527199140111546E-2</v>
      </c>
      <c r="E599" s="6"/>
      <c r="F599" s="6"/>
      <c r="G599" s="6"/>
      <c r="H599" s="6"/>
    </row>
    <row r="600" spans="1:8" x14ac:dyDescent="0.25">
      <c r="A600" t="s">
        <v>647</v>
      </c>
      <c r="B600">
        <v>147.32</v>
      </c>
      <c r="C600" s="6">
        <f t="shared" si="18"/>
        <v>1.299594306539209E-2</v>
      </c>
      <c r="D600" s="6">
        <f t="shared" si="19"/>
        <v>1.2912220387245557E-2</v>
      </c>
      <c r="E600" s="6"/>
      <c r="F600" s="6"/>
      <c r="G600" s="6"/>
      <c r="H600" s="6"/>
    </row>
    <row r="601" spans="1:8" x14ac:dyDescent="0.25">
      <c r="A601" t="s">
        <v>648</v>
      </c>
      <c r="B601">
        <v>145.43</v>
      </c>
      <c r="C601" s="6">
        <f t="shared" si="18"/>
        <v>-1.4501592464592927E-2</v>
      </c>
      <c r="D601" s="6">
        <f t="shared" si="19"/>
        <v>-1.4607768285739181E-2</v>
      </c>
      <c r="E601" s="6"/>
      <c r="F601" s="6"/>
      <c r="G601" s="6"/>
      <c r="H601" s="6"/>
    </row>
    <row r="602" spans="1:8" x14ac:dyDescent="0.25">
      <c r="A602" t="s">
        <v>649</v>
      </c>
      <c r="B602">
        <v>147.57</v>
      </c>
      <c r="C602" s="6">
        <f t="shared" si="18"/>
        <v>-1.8359608860507026E-2</v>
      </c>
      <c r="D602" s="6">
        <f t="shared" si="19"/>
        <v>-1.8530238164384982E-2</v>
      </c>
      <c r="E602" s="6"/>
      <c r="F602" s="6"/>
      <c r="G602" s="6"/>
      <c r="H602" s="6"/>
    </row>
    <row r="603" spans="1:8" x14ac:dyDescent="0.25">
      <c r="A603" t="s">
        <v>650</v>
      </c>
      <c r="B603">
        <v>150.33000000000001</v>
      </c>
      <c r="C603" s="6">
        <f t="shared" si="18"/>
        <v>3.404084901882376E-3</v>
      </c>
      <c r="D603" s="6">
        <f t="shared" si="19"/>
        <v>3.3983041200062367E-3</v>
      </c>
      <c r="E603" s="6"/>
      <c r="F603" s="6"/>
      <c r="G603" s="6"/>
      <c r="H603" s="6"/>
    </row>
    <row r="604" spans="1:8" x14ac:dyDescent="0.25">
      <c r="A604" t="s">
        <v>651</v>
      </c>
      <c r="B604">
        <v>149.82</v>
      </c>
      <c r="C604" s="6">
        <f t="shared" si="18"/>
        <v>-1.4731027226094984E-2</v>
      </c>
      <c r="D604" s="6">
        <f t="shared" si="19"/>
        <v>-1.4840606280553755E-2</v>
      </c>
      <c r="E604" s="6"/>
      <c r="F604" s="6"/>
      <c r="G604" s="6"/>
      <c r="H604" s="6"/>
    </row>
    <row r="605" spans="1:8" x14ac:dyDescent="0.25">
      <c r="A605" t="s">
        <v>652</v>
      </c>
      <c r="B605">
        <v>152.06</v>
      </c>
      <c r="C605" s="6">
        <f t="shared" si="18"/>
        <v>-1.4517174335709759E-2</v>
      </c>
      <c r="D605" s="6">
        <f t="shared" si="19"/>
        <v>-1.4623579568824674E-2</v>
      </c>
      <c r="E605" s="6"/>
      <c r="F605" s="6"/>
      <c r="G605" s="6"/>
      <c r="H605" s="6"/>
    </row>
    <row r="606" spans="1:8" x14ac:dyDescent="0.25">
      <c r="A606" t="s">
        <v>653</v>
      </c>
      <c r="B606">
        <v>154.30000000000001</v>
      </c>
      <c r="C606" s="6">
        <f t="shared" si="18"/>
        <v>3.1141406041165665E-2</v>
      </c>
      <c r="D606" s="6">
        <f t="shared" si="19"/>
        <v>3.0666349889169959E-2</v>
      </c>
      <c r="E606" s="6"/>
      <c r="F606" s="6"/>
      <c r="G606" s="6"/>
      <c r="H606" s="6"/>
    </row>
    <row r="607" spans="1:8" x14ac:dyDescent="0.25">
      <c r="A607" t="s">
        <v>654</v>
      </c>
      <c r="B607">
        <v>149.63999999999999</v>
      </c>
      <c r="C607" s="6">
        <f t="shared" si="18"/>
        <v>-2.3365095940477865E-2</v>
      </c>
      <c r="D607" s="6">
        <f t="shared" si="19"/>
        <v>-2.3642387608729592E-2</v>
      </c>
      <c r="E607" s="6"/>
      <c r="F607" s="6"/>
      <c r="G607" s="6"/>
      <c r="H607" s="6"/>
    </row>
    <row r="608" spans="1:8" x14ac:dyDescent="0.25">
      <c r="A608" t="s">
        <v>655</v>
      </c>
      <c r="B608">
        <v>153.22</v>
      </c>
      <c r="C608" s="6">
        <f t="shared" si="18"/>
        <v>-2.1208636770154499E-2</v>
      </c>
      <c r="D608" s="6">
        <f t="shared" si="19"/>
        <v>-2.1436771288017107E-2</v>
      </c>
      <c r="E608" s="6"/>
      <c r="F608" s="6"/>
      <c r="G608" s="6"/>
      <c r="H608" s="6"/>
    </row>
    <row r="609" spans="1:8" x14ac:dyDescent="0.25">
      <c r="A609" t="s">
        <v>656</v>
      </c>
      <c r="B609">
        <v>156.54</v>
      </c>
      <c r="C609" s="6">
        <f t="shared" si="18"/>
        <v>1.9871001368167107E-2</v>
      </c>
      <c r="D609" s="6">
        <f t="shared" si="19"/>
        <v>1.9676150051375182E-2</v>
      </c>
      <c r="E609" s="6"/>
      <c r="F609" s="6"/>
      <c r="G609" s="6"/>
      <c r="H609" s="6"/>
    </row>
    <row r="610" spans="1:8" x14ac:dyDescent="0.25">
      <c r="A610" t="s">
        <v>657</v>
      </c>
      <c r="B610">
        <v>153.49</v>
      </c>
      <c r="C610" s="6">
        <f t="shared" si="18"/>
        <v>-2.9879831113996946E-3</v>
      </c>
      <c r="D610" s="6">
        <f t="shared" si="19"/>
        <v>-2.992456045192582E-3</v>
      </c>
      <c r="E610" s="6"/>
      <c r="F610" s="6"/>
      <c r="G610" s="6"/>
      <c r="H610" s="6"/>
    </row>
    <row r="611" spans="1:8" x14ac:dyDescent="0.25">
      <c r="A611" t="s">
        <v>658</v>
      </c>
      <c r="B611">
        <v>153.94999999999999</v>
      </c>
      <c r="C611" s="6">
        <f t="shared" si="18"/>
        <v>1.0104323863263431E-2</v>
      </c>
      <c r="D611" s="6">
        <f t="shared" si="19"/>
        <v>1.0053616472751001E-2</v>
      </c>
      <c r="E611" s="6"/>
      <c r="F611" s="6"/>
      <c r="G611" s="6"/>
      <c r="H611" s="6"/>
    </row>
    <row r="612" spans="1:8" x14ac:dyDescent="0.25">
      <c r="A612" t="s">
        <v>659</v>
      </c>
      <c r="B612">
        <v>152.41</v>
      </c>
      <c r="C612" s="6">
        <f t="shared" si="18"/>
        <v>-2.8133996336038303E-3</v>
      </c>
      <c r="D612" s="6">
        <f t="shared" si="19"/>
        <v>-2.8173646809410168E-3</v>
      </c>
      <c r="E612" s="6"/>
      <c r="F612" s="6"/>
      <c r="G612" s="6"/>
      <c r="H612" s="6"/>
    </row>
    <row r="613" spans="1:8" x14ac:dyDescent="0.25">
      <c r="A613" t="s">
        <v>660</v>
      </c>
      <c r="B613">
        <v>152.84</v>
      </c>
      <c r="C613" s="6">
        <f t="shared" si="18"/>
        <v>2.4602802172018601E-2</v>
      </c>
      <c r="D613" s="6">
        <f t="shared" si="19"/>
        <v>2.4305027412860222E-2</v>
      </c>
      <c r="E613" s="6"/>
      <c r="F613" s="6"/>
      <c r="G613" s="6"/>
      <c r="H613" s="6"/>
    </row>
    <row r="614" spans="1:8" x14ac:dyDescent="0.25">
      <c r="A614" t="s">
        <v>661</v>
      </c>
      <c r="B614">
        <v>149.16999999999999</v>
      </c>
      <c r="C614" s="6">
        <f t="shared" si="18"/>
        <v>-1.028397027600858E-2</v>
      </c>
      <c r="D614" s="6">
        <f t="shared" si="19"/>
        <v>-1.033721566221394E-2</v>
      </c>
      <c r="E614" s="6"/>
      <c r="F614" s="6"/>
      <c r="G614" s="6"/>
      <c r="H614" s="6"/>
    </row>
    <row r="615" spans="1:8" x14ac:dyDescent="0.25">
      <c r="A615" t="s">
        <v>662</v>
      </c>
      <c r="B615">
        <v>150.72</v>
      </c>
      <c r="C615" s="6">
        <f t="shared" si="18"/>
        <v>-1.4515496273048267E-2</v>
      </c>
      <c r="D615" s="6">
        <f t="shared" si="19"/>
        <v>-1.4621876788026161E-2</v>
      </c>
      <c r="E615" s="6"/>
      <c r="F615" s="6"/>
      <c r="G615" s="6"/>
      <c r="H615" s="6"/>
    </row>
    <row r="616" spans="1:8" x14ac:dyDescent="0.25">
      <c r="A616" t="s">
        <v>663</v>
      </c>
      <c r="B616">
        <v>152.94</v>
      </c>
      <c r="C616" s="6">
        <f t="shared" si="18"/>
        <v>1.6617920765753746E-2</v>
      </c>
      <c r="D616" s="6">
        <f t="shared" si="19"/>
        <v>1.6481354013943392E-2</v>
      </c>
      <c r="E616" s="6"/>
      <c r="F616" s="6"/>
      <c r="G616" s="6"/>
      <c r="H616" s="6"/>
    </row>
    <row r="617" spans="1:8" x14ac:dyDescent="0.25">
      <c r="A617" t="s">
        <v>664</v>
      </c>
      <c r="B617">
        <v>150.44</v>
      </c>
      <c r="C617" s="6">
        <f t="shared" si="18"/>
        <v>-7.2588095552329479E-3</v>
      </c>
      <c r="D617" s="6">
        <f t="shared" si="19"/>
        <v>-7.2852829010916897E-3</v>
      </c>
      <c r="E617" s="6"/>
      <c r="F617" s="6"/>
      <c r="G617" s="6"/>
      <c r="H617" s="6"/>
    </row>
    <row r="618" spans="1:8" x14ac:dyDescent="0.25">
      <c r="A618" t="s">
        <v>665</v>
      </c>
      <c r="B618">
        <v>151.54</v>
      </c>
      <c r="C618" s="6">
        <f t="shared" si="18"/>
        <v>-1.7377772014006032E-2</v>
      </c>
      <c r="D618" s="6">
        <f t="shared" si="19"/>
        <v>-1.7530537901587318E-2</v>
      </c>
      <c r="E618" s="6"/>
      <c r="F618" s="6"/>
      <c r="G618" s="6"/>
      <c r="H618" s="6"/>
    </row>
    <row r="619" spans="1:8" x14ac:dyDescent="0.25">
      <c r="A619" t="s">
        <v>666</v>
      </c>
      <c r="B619">
        <v>154.22</v>
      </c>
      <c r="C619" s="6">
        <f t="shared" si="18"/>
        <v>8.3692951484242162E-3</v>
      </c>
      <c r="D619" s="6">
        <f t="shared" si="19"/>
        <v>8.3344667887354992E-3</v>
      </c>
      <c r="E619" s="6"/>
      <c r="F619" s="6"/>
      <c r="G619" s="6"/>
      <c r="H619" s="6"/>
    </row>
    <row r="620" spans="1:8" x14ac:dyDescent="0.25">
      <c r="A620" t="s">
        <v>667</v>
      </c>
      <c r="B620">
        <v>152.94</v>
      </c>
      <c r="C620" s="6">
        <f t="shared" si="18"/>
        <v>-2.0870678617157412E-2</v>
      </c>
      <c r="D620" s="6">
        <f t="shared" si="19"/>
        <v>-2.1091549789506437E-2</v>
      </c>
      <c r="E620" s="6"/>
      <c r="F620" s="6"/>
      <c r="G620" s="6"/>
      <c r="H620" s="6"/>
    </row>
    <row r="621" spans="1:8" x14ac:dyDescent="0.25">
      <c r="A621" t="s">
        <v>668</v>
      </c>
      <c r="B621">
        <v>156.19999999999999</v>
      </c>
      <c r="C621" s="6">
        <f t="shared" si="18"/>
        <v>-2.5637826710747991E-2</v>
      </c>
      <c r="D621" s="6">
        <f t="shared" si="19"/>
        <v>-2.5972203295996681E-2</v>
      </c>
      <c r="E621" s="6"/>
      <c r="F621" s="6"/>
      <c r="G621" s="6"/>
      <c r="H621" s="6"/>
    </row>
    <row r="622" spans="1:8" x14ac:dyDescent="0.25">
      <c r="A622" t="s">
        <v>669</v>
      </c>
      <c r="B622">
        <v>160.31</v>
      </c>
      <c r="C622" s="6">
        <f t="shared" si="18"/>
        <v>-3.6193110082366475E-2</v>
      </c>
      <c r="D622" s="6">
        <f t="shared" si="19"/>
        <v>-3.6864326100861454E-2</v>
      </c>
      <c r="E622" s="6"/>
      <c r="F622" s="6"/>
      <c r="G622" s="6"/>
      <c r="H622" s="6"/>
    </row>
    <row r="623" spans="1:8" x14ac:dyDescent="0.25">
      <c r="A623" t="s">
        <v>670</v>
      </c>
      <c r="B623">
        <v>166.33</v>
      </c>
      <c r="C623" s="6">
        <f t="shared" si="18"/>
        <v>1.805606561390638E-2</v>
      </c>
      <c r="D623" s="6">
        <f t="shared" si="19"/>
        <v>1.7894990888720479E-2</v>
      </c>
      <c r="E623" s="6"/>
      <c r="F623" s="6"/>
      <c r="G623" s="6"/>
      <c r="H623" s="6"/>
    </row>
    <row r="624" spans="1:8" x14ac:dyDescent="0.25">
      <c r="A624" t="s">
        <v>671</v>
      </c>
      <c r="B624">
        <v>163.38</v>
      </c>
      <c r="C624" s="6">
        <f t="shared" si="18"/>
        <v>-6.1169562025931157E-4</v>
      </c>
      <c r="D624" s="6">
        <f t="shared" si="19"/>
        <v>-6.1188278235328112E-4</v>
      </c>
      <c r="E624" s="6"/>
      <c r="F624" s="6"/>
      <c r="G624" s="6"/>
      <c r="H624" s="6"/>
    </row>
    <row r="625" spans="1:8" x14ac:dyDescent="0.25">
      <c r="A625" t="s">
        <v>672</v>
      </c>
      <c r="B625">
        <v>163.47999999999999</v>
      </c>
      <c r="C625" s="6">
        <f t="shared" si="18"/>
        <v>1.5088481837938428E-2</v>
      </c>
      <c r="D625" s="6">
        <f t="shared" si="19"/>
        <v>1.4975782918868627E-2</v>
      </c>
      <c r="E625" s="6"/>
      <c r="F625" s="6"/>
      <c r="G625" s="6"/>
      <c r="H625" s="6"/>
    </row>
    <row r="626" spans="1:8" x14ac:dyDescent="0.25">
      <c r="A626" t="s">
        <v>673</v>
      </c>
      <c r="B626">
        <v>161.05000000000001</v>
      </c>
      <c r="C626" s="6">
        <f>(B626/B627)-1</f>
        <v>2.2020560984896465E-2</v>
      </c>
      <c r="D626" s="6">
        <f>LN(B626/B627)</f>
        <v>2.1781609959665705E-2</v>
      </c>
      <c r="E626" s="6"/>
      <c r="F626" s="6"/>
      <c r="G626" s="6"/>
      <c r="H626" s="6"/>
    </row>
    <row r="627" spans="1:8" x14ac:dyDescent="0.25">
      <c r="A627" t="s">
        <v>674</v>
      </c>
      <c r="B627">
        <v>157.58000000000001</v>
      </c>
      <c r="C627" s="6">
        <f>(B627/B628)-1</f>
        <v>8.1248800460624881E-3</v>
      </c>
      <c r="D627" s="6">
        <f t="shared" ref="D627:D690" si="20">LN(B627/B628)</f>
        <v>8.092050910162395E-3</v>
      </c>
      <c r="E627" s="6"/>
      <c r="F627" s="6"/>
      <c r="G627" s="6"/>
      <c r="H627" s="6"/>
    </row>
    <row r="628" spans="1:8" x14ac:dyDescent="0.25">
      <c r="A628" t="s">
        <v>675</v>
      </c>
      <c r="B628">
        <v>156.31</v>
      </c>
      <c r="C628" s="6">
        <f t="shared" ref="C628:C691" si="21">(B628/B629)-1</f>
        <v>-2.1901007446342491E-2</v>
      </c>
      <c r="D628" s="6">
        <f t="shared" si="20"/>
        <v>-2.2144394689637609E-2</v>
      </c>
      <c r="E628" s="6"/>
      <c r="F628" s="6"/>
      <c r="G628" s="6"/>
      <c r="H628" s="6"/>
    </row>
    <row r="629" spans="1:8" x14ac:dyDescent="0.25">
      <c r="A629" t="s">
        <v>676</v>
      </c>
      <c r="B629">
        <v>159.81</v>
      </c>
      <c r="C629" s="6">
        <f t="shared" si="21"/>
        <v>-3.1571930675069693E-2</v>
      </c>
      <c r="D629" s="6">
        <f t="shared" si="20"/>
        <v>-3.208106907917968E-2</v>
      </c>
      <c r="E629" s="6"/>
      <c r="F629" s="6"/>
      <c r="G629" s="6"/>
      <c r="H629" s="6"/>
    </row>
    <row r="630" spans="1:8" x14ac:dyDescent="0.25">
      <c r="A630" t="s">
        <v>677</v>
      </c>
      <c r="B630">
        <v>165.02</v>
      </c>
      <c r="C630" s="6">
        <f t="shared" si="21"/>
        <v>2.4078441107111992E-2</v>
      </c>
      <c r="D630" s="6">
        <f t="shared" si="20"/>
        <v>2.3793126327147415E-2</v>
      </c>
      <c r="E630" s="6"/>
      <c r="F630" s="6"/>
      <c r="G630" s="6"/>
      <c r="H630" s="6"/>
    </row>
    <row r="631" spans="1:8" x14ac:dyDescent="0.25">
      <c r="A631" t="s">
        <v>678</v>
      </c>
      <c r="B631">
        <v>161.13999999999999</v>
      </c>
      <c r="C631" s="6">
        <f t="shared" si="21"/>
        <v>3.0966090850927497E-2</v>
      </c>
      <c r="D631" s="6">
        <f t="shared" si="20"/>
        <v>3.0496314921618764E-2</v>
      </c>
      <c r="E631" s="6"/>
      <c r="F631" s="6"/>
      <c r="G631" s="6"/>
      <c r="H631" s="6"/>
    </row>
    <row r="632" spans="1:8" x14ac:dyDescent="0.25">
      <c r="A632" t="s">
        <v>679</v>
      </c>
      <c r="B632">
        <v>156.30000000000001</v>
      </c>
      <c r="C632" s="6">
        <f t="shared" si="21"/>
        <v>2.7343236492704204E-2</v>
      </c>
      <c r="D632" s="6">
        <f t="shared" si="20"/>
        <v>2.6976087858275925E-2</v>
      </c>
      <c r="E632" s="6"/>
      <c r="F632" s="6"/>
      <c r="G632" s="6"/>
      <c r="H632" s="6"/>
    </row>
    <row r="633" spans="1:8" x14ac:dyDescent="0.25">
      <c r="A633" t="s">
        <v>680</v>
      </c>
      <c r="B633">
        <v>152.13999999999999</v>
      </c>
      <c r="C633" s="6">
        <f t="shared" si="21"/>
        <v>1.0292848130685872E-2</v>
      </c>
      <c r="D633" s="6">
        <f t="shared" si="20"/>
        <v>1.0240237470426954E-2</v>
      </c>
      <c r="E633" s="6"/>
      <c r="F633" s="6"/>
      <c r="G633" s="6"/>
      <c r="H633" s="6"/>
    </row>
    <row r="634" spans="1:8" x14ac:dyDescent="0.25">
      <c r="A634" t="s">
        <v>681</v>
      </c>
      <c r="B634">
        <v>150.59</v>
      </c>
      <c r="C634" s="6">
        <f t="shared" si="21"/>
        <v>-6.7932990370663804E-3</v>
      </c>
      <c r="D634" s="6">
        <f t="shared" si="20"/>
        <v>-6.8164785294298237E-3</v>
      </c>
      <c r="E634" s="6"/>
      <c r="F634" s="6"/>
      <c r="G634" s="6"/>
      <c r="H634" s="6"/>
    </row>
    <row r="635" spans="1:8" x14ac:dyDescent="0.25">
      <c r="A635" t="s">
        <v>682</v>
      </c>
      <c r="B635">
        <v>151.62</v>
      </c>
      <c r="C635" s="6">
        <f t="shared" si="21"/>
        <v>-1.0700769933446375E-2</v>
      </c>
      <c r="D635" s="6">
        <f t="shared" si="20"/>
        <v>-1.0758434914100343E-2</v>
      </c>
      <c r="E635" s="6"/>
      <c r="F635" s="6"/>
      <c r="G635" s="6"/>
      <c r="H635" s="6"/>
    </row>
    <row r="636" spans="1:8" x14ac:dyDescent="0.25">
      <c r="A636" t="s">
        <v>683</v>
      </c>
      <c r="B636">
        <v>153.26</v>
      </c>
      <c r="C636" s="6">
        <f t="shared" si="21"/>
        <v>3.8417236940172073E-2</v>
      </c>
      <c r="D636" s="6">
        <f t="shared" si="20"/>
        <v>3.7697666348573702E-2</v>
      </c>
      <c r="E636" s="6"/>
      <c r="F636" s="6"/>
      <c r="G636" s="6"/>
      <c r="H636" s="6"/>
    </row>
    <row r="637" spans="1:8" x14ac:dyDescent="0.25">
      <c r="A637" t="s">
        <v>684</v>
      </c>
      <c r="B637">
        <v>147.59</v>
      </c>
      <c r="C637" s="6">
        <f t="shared" si="21"/>
        <v>5.586972814607849E-3</v>
      </c>
      <c r="D637" s="6">
        <f t="shared" si="20"/>
        <v>5.5714235705771019E-3</v>
      </c>
      <c r="E637" s="6"/>
      <c r="F637" s="6"/>
      <c r="G637" s="6"/>
      <c r="H637" s="6"/>
    </row>
    <row r="638" spans="1:8" x14ac:dyDescent="0.25">
      <c r="A638" t="s">
        <v>685</v>
      </c>
      <c r="B638">
        <v>146.77000000000001</v>
      </c>
      <c r="C638" s="6">
        <f t="shared" si="21"/>
        <v>1.1997517754947395E-2</v>
      </c>
      <c r="D638" s="6">
        <f t="shared" si="20"/>
        <v>1.1926118050948852E-2</v>
      </c>
      <c r="E638" s="6"/>
      <c r="F638" s="6"/>
      <c r="G638" s="6"/>
      <c r="H638" s="6"/>
    </row>
    <row r="639" spans="1:8" x14ac:dyDescent="0.25">
      <c r="A639" t="s">
        <v>686</v>
      </c>
      <c r="B639">
        <v>145.03</v>
      </c>
      <c r="C639" s="6">
        <f t="shared" si="21"/>
        <v>8.0628345033710858E-3</v>
      </c>
      <c r="D639" s="6">
        <f t="shared" si="20"/>
        <v>8.0305035232169746E-3</v>
      </c>
      <c r="E639" s="6"/>
      <c r="F639" s="6"/>
      <c r="G639" s="6"/>
      <c r="H639" s="6"/>
    </row>
    <row r="640" spans="1:8" x14ac:dyDescent="0.25">
      <c r="A640" t="s">
        <v>687</v>
      </c>
      <c r="B640">
        <v>143.87</v>
      </c>
      <c r="C640" s="6">
        <f t="shared" si="21"/>
        <v>2.158630973514164E-2</v>
      </c>
      <c r="D640" s="6">
        <f t="shared" si="20"/>
        <v>2.1356624838982732E-2</v>
      </c>
      <c r="E640" s="6"/>
      <c r="F640" s="6"/>
      <c r="G640" s="6"/>
      <c r="H640" s="6"/>
    </row>
    <row r="641" spans="1:8" x14ac:dyDescent="0.25">
      <c r="A641" t="s">
        <v>688</v>
      </c>
      <c r="B641">
        <v>140.83000000000001</v>
      </c>
      <c r="C641" s="6">
        <f t="shared" si="21"/>
        <v>2.1306818181821008E-4</v>
      </c>
      <c r="D641" s="6">
        <f t="shared" si="20"/>
        <v>2.1304548601693658E-4</v>
      </c>
      <c r="E641" s="6"/>
      <c r="F641" s="6"/>
      <c r="G641" s="6"/>
      <c r="H641" s="6"/>
    </row>
    <row r="642" spans="1:8" x14ac:dyDescent="0.25">
      <c r="A642" t="s">
        <v>689</v>
      </c>
      <c r="B642">
        <v>140.80000000000001</v>
      </c>
      <c r="C642" s="6">
        <f t="shared" si="21"/>
        <v>1.6386342308525315E-2</v>
      </c>
      <c r="D642" s="6">
        <f t="shared" si="20"/>
        <v>1.6253535054154444E-2</v>
      </c>
      <c r="E642" s="6"/>
      <c r="F642" s="6"/>
      <c r="G642" s="6"/>
      <c r="H642" s="6"/>
    </row>
    <row r="643" spans="1:8" x14ac:dyDescent="0.25">
      <c r="A643" t="s">
        <v>690</v>
      </c>
      <c r="B643">
        <v>138.53</v>
      </c>
      <c r="C643" s="6">
        <f t="shared" si="21"/>
        <v>3.8923053847307543E-2</v>
      </c>
      <c r="D643" s="6">
        <f t="shared" si="20"/>
        <v>3.8184651479873613E-2</v>
      </c>
      <c r="E643" s="6"/>
      <c r="F643" s="6"/>
      <c r="G643" s="6"/>
      <c r="H643" s="6"/>
    </row>
    <row r="644" spans="1:8" x14ac:dyDescent="0.25">
      <c r="A644" t="s">
        <v>691</v>
      </c>
      <c r="B644">
        <v>133.34</v>
      </c>
      <c r="C644" s="6">
        <f t="shared" si="21"/>
        <v>6.9475909983387485E-3</v>
      </c>
      <c r="D644" s="6">
        <f t="shared" si="20"/>
        <v>6.9235676932140559E-3</v>
      </c>
      <c r="E644" s="6"/>
      <c r="F644" s="6"/>
      <c r="G644" s="6"/>
      <c r="H644" s="6"/>
    </row>
    <row r="645" spans="1:8" x14ac:dyDescent="0.25">
      <c r="A645" t="s">
        <v>692</v>
      </c>
      <c r="B645">
        <v>132.41999999999999</v>
      </c>
      <c r="C645" s="6">
        <f t="shared" si="21"/>
        <v>6.9961977186310254E-3</v>
      </c>
      <c r="D645" s="6">
        <f t="shared" si="20"/>
        <v>6.9718378788806391E-3</v>
      </c>
      <c r="E645" s="6"/>
      <c r="F645" s="6"/>
      <c r="G645" s="6"/>
      <c r="H645" s="6"/>
    </row>
    <row r="646" spans="1:8" x14ac:dyDescent="0.25">
      <c r="A646" t="s">
        <v>693</v>
      </c>
      <c r="B646">
        <v>131.5</v>
      </c>
      <c r="C646" s="6">
        <f t="shared" si="21"/>
        <v>1.6857407980204187E-2</v>
      </c>
      <c r="D646" s="6">
        <f t="shared" si="20"/>
        <v>1.6716898760586948E-2</v>
      </c>
      <c r="E646" s="6"/>
      <c r="F646" s="6"/>
      <c r="G646" s="6"/>
      <c r="H646" s="6"/>
    </row>
    <row r="647" spans="1:8" x14ac:dyDescent="0.25">
      <c r="A647" t="s">
        <v>694</v>
      </c>
      <c r="B647">
        <v>129.32</v>
      </c>
      <c r="C647" s="6">
        <f t="shared" si="21"/>
        <v>5.1297994714751827E-3</v>
      </c>
      <c r="D647" s="6">
        <f t="shared" si="20"/>
        <v>5.1166868743780141E-3</v>
      </c>
      <c r="E647" s="6"/>
      <c r="F647" s="6"/>
      <c r="G647" s="6"/>
      <c r="H647" s="6"/>
    </row>
    <row r="648" spans="1:8" x14ac:dyDescent="0.25">
      <c r="A648" t="s">
        <v>695</v>
      </c>
      <c r="B648">
        <v>128.66</v>
      </c>
      <c r="C648" s="6">
        <f t="shared" si="21"/>
        <v>-2.6409383276579712E-2</v>
      </c>
      <c r="D648" s="6">
        <f t="shared" si="20"/>
        <v>-2.6764375067443981E-2</v>
      </c>
      <c r="E648" s="6"/>
      <c r="F648" s="6"/>
      <c r="G648" s="6"/>
      <c r="H648" s="6"/>
    </row>
    <row r="649" spans="1:8" x14ac:dyDescent="0.25">
      <c r="A649" t="s">
        <v>696</v>
      </c>
      <c r="B649">
        <v>132.15</v>
      </c>
      <c r="C649" s="6">
        <f t="shared" si="21"/>
        <v>2.1015220582554228E-2</v>
      </c>
      <c r="D649" s="6">
        <f t="shared" si="20"/>
        <v>2.0797446595951376E-2</v>
      </c>
      <c r="E649" s="6"/>
      <c r="F649" s="6"/>
      <c r="G649" s="6"/>
      <c r="H649" s="6"/>
    </row>
    <row r="650" spans="1:8" x14ac:dyDescent="0.25">
      <c r="A650" t="s">
        <v>697</v>
      </c>
      <c r="B650">
        <v>129.43</v>
      </c>
      <c r="C650" s="6">
        <f t="shared" si="21"/>
        <v>-8.0472103004290974E-3</v>
      </c>
      <c r="D650" s="6">
        <f t="shared" si="20"/>
        <v>-8.0797638584115591E-3</v>
      </c>
      <c r="E650" s="6"/>
      <c r="F650" s="6"/>
      <c r="G650" s="6"/>
      <c r="H650" s="6"/>
    </row>
    <row r="651" spans="1:8" x14ac:dyDescent="0.25">
      <c r="A651" t="s">
        <v>698</v>
      </c>
      <c r="B651">
        <v>130.47999999999999</v>
      </c>
      <c r="C651" s="6">
        <f t="shared" si="21"/>
        <v>-6.4722454884643676E-3</v>
      </c>
      <c r="D651" s="6">
        <f t="shared" si="20"/>
        <v>-6.4932812843103037E-3</v>
      </c>
      <c r="E651" s="6"/>
      <c r="F651" s="6"/>
      <c r="G651" s="6"/>
      <c r="H651" s="6"/>
    </row>
    <row r="652" spans="1:8" x14ac:dyDescent="0.25">
      <c r="A652" t="s">
        <v>699</v>
      </c>
      <c r="B652">
        <v>131.33000000000001</v>
      </c>
      <c r="C652" s="6">
        <f t="shared" si="21"/>
        <v>-2.1823327871294373E-2</v>
      </c>
      <c r="D652" s="6">
        <f t="shared" si="20"/>
        <v>-2.2064978913536794E-2</v>
      </c>
      <c r="E652" s="6"/>
      <c r="F652" s="6"/>
      <c r="G652" s="6"/>
      <c r="H652" s="6"/>
    </row>
    <row r="653" spans="1:8" x14ac:dyDescent="0.25">
      <c r="A653" t="s">
        <v>700</v>
      </c>
      <c r="B653">
        <v>134.26</v>
      </c>
      <c r="C653" s="6">
        <f t="shared" si="21"/>
        <v>-1.4894709809964102E-2</v>
      </c>
      <c r="D653" s="6">
        <f t="shared" si="20"/>
        <v>-1.5006749928816211E-2</v>
      </c>
      <c r="E653" s="6"/>
      <c r="F653" s="6"/>
      <c r="G653" s="6"/>
      <c r="H653" s="6"/>
    </row>
    <row r="654" spans="1:8" x14ac:dyDescent="0.25">
      <c r="A654" t="s">
        <v>701</v>
      </c>
      <c r="B654">
        <v>136.29</v>
      </c>
      <c r="C654" s="6">
        <f t="shared" si="21"/>
        <v>6.6474628849988449E-3</v>
      </c>
      <c r="D654" s="6">
        <f t="shared" si="20"/>
        <v>6.6254659324020658E-3</v>
      </c>
      <c r="E654" s="6"/>
      <c r="F654" s="6"/>
      <c r="G654" s="6"/>
      <c r="H654" s="6"/>
    </row>
    <row r="655" spans="1:8" x14ac:dyDescent="0.25">
      <c r="A655" t="s">
        <v>702</v>
      </c>
      <c r="B655">
        <v>135.38999999999999</v>
      </c>
      <c r="C655" s="6">
        <f t="shared" si="21"/>
        <v>-2.3442008078476628E-2</v>
      </c>
      <c r="D655" s="6">
        <f t="shared" si="20"/>
        <v>-2.3721142900331126E-2</v>
      </c>
      <c r="E655" s="6"/>
      <c r="F655" s="6"/>
      <c r="G655" s="6"/>
      <c r="H655" s="6"/>
    </row>
    <row r="656" spans="1:8" x14ac:dyDescent="0.25">
      <c r="A656" t="s">
        <v>703</v>
      </c>
      <c r="B656">
        <v>138.63999999999999</v>
      </c>
      <c r="C656" s="6">
        <f t="shared" si="21"/>
        <v>3.5090338957742162E-2</v>
      </c>
      <c r="D656" s="6">
        <f t="shared" si="20"/>
        <v>3.4488706925446401E-2</v>
      </c>
      <c r="E656" s="6"/>
      <c r="F656" s="6"/>
      <c r="G656" s="6"/>
      <c r="H656" s="6"/>
    </row>
    <row r="657" spans="1:8" x14ac:dyDescent="0.25">
      <c r="A657" t="s">
        <v>704</v>
      </c>
      <c r="B657">
        <v>133.94</v>
      </c>
      <c r="C657" s="6">
        <f t="shared" si="21"/>
        <v>3.4845090010043878E-2</v>
      </c>
      <c r="D657" s="6">
        <f t="shared" si="20"/>
        <v>3.4251744027557193E-2</v>
      </c>
      <c r="E657" s="6"/>
      <c r="F657" s="6"/>
      <c r="G657" s="6"/>
      <c r="H657" s="6"/>
    </row>
    <row r="658" spans="1:8" x14ac:dyDescent="0.25">
      <c r="A658" t="s">
        <v>705</v>
      </c>
      <c r="B658">
        <v>129.43</v>
      </c>
      <c r="C658" s="6">
        <f t="shared" si="21"/>
        <v>3.5108765195137615E-2</v>
      </c>
      <c r="D658" s="6">
        <f t="shared" si="20"/>
        <v>3.4506508341125668E-2</v>
      </c>
      <c r="E658" s="6"/>
      <c r="F658" s="6"/>
      <c r="G658" s="6"/>
      <c r="H658" s="6"/>
    </row>
    <row r="659" spans="1:8" x14ac:dyDescent="0.25">
      <c r="A659" t="s">
        <v>706</v>
      </c>
      <c r="B659">
        <v>125.04</v>
      </c>
      <c r="C659" s="6">
        <f t="shared" si="21"/>
        <v>-2.0369790034471924E-2</v>
      </c>
      <c r="D659" s="6">
        <f t="shared" si="20"/>
        <v>-2.058011529682156E-2</v>
      </c>
      <c r="E659" s="6"/>
      <c r="F659" s="6"/>
      <c r="G659" s="6"/>
      <c r="H659" s="6"/>
    </row>
    <row r="660" spans="1:8" x14ac:dyDescent="0.25">
      <c r="A660" t="s">
        <v>707</v>
      </c>
      <c r="B660">
        <v>127.64</v>
      </c>
      <c r="C660" s="6">
        <f t="shared" si="21"/>
        <v>2.1201696135690895E-2</v>
      </c>
      <c r="D660" s="6">
        <f t="shared" si="20"/>
        <v>2.0980067307912353E-2</v>
      </c>
      <c r="E660" s="6"/>
      <c r="F660" s="6"/>
      <c r="G660" s="6"/>
      <c r="H660" s="6"/>
    </row>
    <row r="661" spans="1:8" x14ac:dyDescent="0.25">
      <c r="A661" t="s">
        <v>708</v>
      </c>
      <c r="B661">
        <v>124.99</v>
      </c>
      <c r="C661" s="6">
        <f t="shared" si="21"/>
        <v>2.2162250572456577E-2</v>
      </c>
      <c r="D661" s="6">
        <f t="shared" si="20"/>
        <v>2.1920237079496613E-2</v>
      </c>
      <c r="E661" s="6"/>
      <c r="F661" s="6"/>
      <c r="G661" s="6"/>
      <c r="H661" s="6"/>
    </row>
    <row r="662" spans="1:8" x14ac:dyDescent="0.25">
      <c r="A662" t="s">
        <v>709</v>
      </c>
      <c r="B662">
        <v>122.28</v>
      </c>
      <c r="C662" s="6">
        <f t="shared" si="21"/>
        <v>-9.0761750405187192E-3</v>
      </c>
      <c r="D662" s="6">
        <f t="shared" si="20"/>
        <v>-9.1176144486537648E-3</v>
      </c>
      <c r="E662" s="6"/>
      <c r="F662" s="6"/>
      <c r="G662" s="6"/>
      <c r="H662" s="6"/>
    </row>
    <row r="663" spans="1:8" x14ac:dyDescent="0.25">
      <c r="A663" t="s">
        <v>710</v>
      </c>
      <c r="B663">
        <v>123.4</v>
      </c>
      <c r="C663" s="6">
        <f t="shared" si="21"/>
        <v>1.4302153542659957E-2</v>
      </c>
      <c r="D663" s="6">
        <f t="shared" si="20"/>
        <v>1.4200842578728239E-2</v>
      </c>
      <c r="E663" s="6"/>
      <c r="F663" s="6"/>
      <c r="G663" s="6"/>
      <c r="H663" s="6"/>
    </row>
    <row r="664" spans="1:8" x14ac:dyDescent="0.25">
      <c r="A664" t="s">
        <v>711</v>
      </c>
      <c r="B664">
        <v>121.66</v>
      </c>
      <c r="C664" s="6">
        <f t="shared" si="21"/>
        <v>-1.7761989342806372E-2</v>
      </c>
      <c r="D664" s="6">
        <f t="shared" si="20"/>
        <v>-1.7921626617355562E-2</v>
      </c>
      <c r="E664" s="6"/>
      <c r="F664" s="6"/>
      <c r="G664" s="6"/>
      <c r="H664" s="6"/>
    </row>
    <row r="665" spans="1:8" x14ac:dyDescent="0.25">
      <c r="A665" t="s">
        <v>712</v>
      </c>
      <c r="B665">
        <v>123.86</v>
      </c>
      <c r="C665" s="6">
        <f t="shared" si="21"/>
        <v>1.2921164540399044E-2</v>
      </c>
      <c r="D665" s="6">
        <f t="shared" si="20"/>
        <v>1.2838398487281072E-2</v>
      </c>
      <c r="E665" s="6"/>
      <c r="F665" s="6"/>
      <c r="G665" s="6"/>
      <c r="H665" s="6"/>
    </row>
    <row r="666" spans="1:8" x14ac:dyDescent="0.25">
      <c r="A666" t="s">
        <v>713</v>
      </c>
      <c r="B666">
        <v>122.28</v>
      </c>
      <c r="C666" s="6">
        <f t="shared" si="21"/>
        <v>1.9254813703425855E-2</v>
      </c>
      <c r="D666" s="6">
        <f t="shared" si="20"/>
        <v>1.9071785495797071E-2</v>
      </c>
      <c r="E666" s="6"/>
      <c r="F666" s="6"/>
      <c r="G666" s="6"/>
      <c r="H666" s="6"/>
    </row>
    <row r="667" spans="1:8" x14ac:dyDescent="0.25">
      <c r="A667" t="s">
        <v>714</v>
      </c>
      <c r="B667">
        <v>119.97</v>
      </c>
      <c r="C667" s="6">
        <f t="shared" si="21"/>
        <v>8.3207261724658199E-3</v>
      </c>
      <c r="D667" s="6">
        <f t="shared" si="20"/>
        <v>8.2862997670769354E-3</v>
      </c>
      <c r="E667" s="6"/>
      <c r="F667" s="6"/>
      <c r="G667" s="6"/>
      <c r="H667" s="6"/>
    </row>
    <row r="668" spans="1:8" x14ac:dyDescent="0.25">
      <c r="A668" t="s">
        <v>715</v>
      </c>
      <c r="B668">
        <v>118.98</v>
      </c>
      <c r="C668" s="6">
        <f t="shared" si="21"/>
        <v>-2.0014825796886515E-2</v>
      </c>
      <c r="D668" s="6">
        <f t="shared" si="20"/>
        <v>-2.0217835796124219E-2</v>
      </c>
      <c r="E668" s="6"/>
      <c r="F668" s="6"/>
      <c r="G668" s="6"/>
      <c r="H668" s="6"/>
    </row>
    <row r="669" spans="1:8" x14ac:dyDescent="0.25">
      <c r="A669" t="s">
        <v>716</v>
      </c>
      <c r="B669">
        <v>121.41</v>
      </c>
      <c r="C669" s="6">
        <f t="shared" si="21"/>
        <v>2.4770869457517719E-3</v>
      </c>
      <c r="D669" s="6">
        <f t="shared" si="20"/>
        <v>2.4740240229247333E-3</v>
      </c>
      <c r="E669" s="6"/>
      <c r="F669" s="6"/>
      <c r="G669" s="6"/>
      <c r="H669" s="6"/>
    </row>
    <row r="670" spans="1:8" x14ac:dyDescent="0.25">
      <c r="A670" t="s">
        <v>717</v>
      </c>
      <c r="B670">
        <v>121.11</v>
      </c>
      <c r="C670" s="6">
        <f t="shared" si="21"/>
        <v>-2.2202486678507993E-2</v>
      </c>
      <c r="D670" s="6">
        <f t="shared" si="20"/>
        <v>-2.2452671976955729E-2</v>
      </c>
      <c r="E670" s="6"/>
      <c r="F670" s="6"/>
      <c r="G670" s="6"/>
      <c r="H670" s="6"/>
    </row>
    <row r="671" spans="1:8" x14ac:dyDescent="0.25">
      <c r="A671" t="s">
        <v>718</v>
      </c>
      <c r="B671">
        <v>123.86</v>
      </c>
      <c r="C671" s="6">
        <f t="shared" si="21"/>
        <v>-1.5421303656597773E-2</v>
      </c>
      <c r="D671" s="6">
        <f t="shared" si="20"/>
        <v>-1.5541448756425281E-2</v>
      </c>
      <c r="E671" s="6"/>
      <c r="F671" s="6"/>
      <c r="G671" s="6"/>
      <c r="H671" s="6"/>
    </row>
    <row r="672" spans="1:8" x14ac:dyDescent="0.25">
      <c r="A672" t="s">
        <v>719</v>
      </c>
      <c r="B672">
        <v>125.8</v>
      </c>
      <c r="C672" s="6">
        <f t="shared" si="21"/>
        <v>-3.2485539973060584E-3</v>
      </c>
      <c r="D672" s="6">
        <f t="shared" si="20"/>
        <v>-3.253842004199039E-3</v>
      </c>
      <c r="E672" s="6"/>
      <c r="F672" s="6"/>
      <c r="G672" s="6"/>
      <c r="H672" s="6"/>
    </row>
    <row r="673" spans="1:8" x14ac:dyDescent="0.25">
      <c r="A673" t="s">
        <v>720</v>
      </c>
      <c r="B673">
        <v>126.21</v>
      </c>
      <c r="C673" s="6">
        <f t="shared" si="21"/>
        <v>-8.1728880157171391E-3</v>
      </c>
      <c r="D673" s="6">
        <f t="shared" si="20"/>
        <v>-8.2064691600929641E-3</v>
      </c>
      <c r="E673" s="6"/>
      <c r="F673" s="6"/>
      <c r="G673" s="6"/>
      <c r="H673" s="6"/>
    </row>
    <row r="674" spans="1:8" x14ac:dyDescent="0.25">
      <c r="A674" t="s">
        <v>721</v>
      </c>
      <c r="B674">
        <v>127.25</v>
      </c>
      <c r="C674" s="6">
        <f t="shared" si="21"/>
        <v>5.7698387606703871E-3</v>
      </c>
      <c r="D674" s="6">
        <f t="shared" si="20"/>
        <v>5.7532569931841695E-3</v>
      </c>
      <c r="E674" s="6"/>
      <c r="F674" s="6"/>
      <c r="G674" s="6"/>
      <c r="H674" s="6"/>
    </row>
    <row r="675" spans="1:8" x14ac:dyDescent="0.25">
      <c r="A675" t="s">
        <v>722</v>
      </c>
      <c r="B675">
        <v>126.52</v>
      </c>
      <c r="C675" s="6">
        <f t="shared" si="21"/>
        <v>-4.6416489654630411E-3</v>
      </c>
      <c r="D675" s="6">
        <f t="shared" si="20"/>
        <v>-4.6524548691295074E-3</v>
      </c>
      <c r="E675" s="6"/>
      <c r="F675" s="6"/>
      <c r="G675" s="6"/>
      <c r="H675" s="6"/>
    </row>
    <row r="676" spans="1:8" x14ac:dyDescent="0.25">
      <c r="A676" t="s">
        <v>723</v>
      </c>
      <c r="B676">
        <v>127.11</v>
      </c>
      <c r="C676" s="6">
        <f t="shared" si="21"/>
        <v>1.5093435553426016E-2</v>
      </c>
      <c r="D676" s="6">
        <f t="shared" si="20"/>
        <v>1.4980662989413205E-2</v>
      </c>
      <c r="E676" s="6"/>
      <c r="F676" s="6"/>
      <c r="G676" s="6"/>
      <c r="H676" s="6"/>
    </row>
    <row r="677" spans="1:8" x14ac:dyDescent="0.25">
      <c r="A677" t="s">
        <v>724</v>
      </c>
      <c r="B677">
        <v>125.22</v>
      </c>
      <c r="C677" s="6">
        <f t="shared" si="21"/>
        <v>-6.0327036037466364E-3</v>
      </c>
      <c r="D677" s="6">
        <f t="shared" si="20"/>
        <v>-6.0509738766185801E-3</v>
      </c>
      <c r="E677" s="6"/>
      <c r="F677" s="6"/>
      <c r="G677" s="6"/>
      <c r="H677" s="6"/>
    </row>
    <row r="678" spans="1:8" x14ac:dyDescent="0.25">
      <c r="A678" t="s">
        <v>725</v>
      </c>
      <c r="B678">
        <v>125.98</v>
      </c>
      <c r="C678" s="6">
        <f t="shared" si="21"/>
        <v>1.7116098821249759E-2</v>
      </c>
      <c r="D678" s="6">
        <f t="shared" si="20"/>
        <v>1.6971268683868047E-2</v>
      </c>
      <c r="E678" s="6"/>
      <c r="F678" s="6"/>
      <c r="G678" s="6"/>
      <c r="H678" s="6"/>
    </row>
    <row r="679" spans="1:8" x14ac:dyDescent="0.25">
      <c r="A679" t="s">
        <v>726</v>
      </c>
      <c r="B679">
        <v>123.86</v>
      </c>
      <c r="C679" s="6">
        <f t="shared" si="21"/>
        <v>-3.1388329979878948E-3</v>
      </c>
      <c r="D679" s="6">
        <f t="shared" si="20"/>
        <v>-3.1437694668232075E-3</v>
      </c>
      <c r="E679" s="6"/>
      <c r="F679" s="6"/>
      <c r="G679" s="6"/>
      <c r="H679" s="6"/>
    </row>
    <row r="680" spans="1:8" x14ac:dyDescent="0.25">
      <c r="A680" t="s">
        <v>727</v>
      </c>
      <c r="B680">
        <v>124.25</v>
      </c>
      <c r="C680" s="6">
        <f t="shared" si="21"/>
        <v>6.1543444813345616E-3</v>
      </c>
      <c r="D680" s="6">
        <f t="shared" si="20"/>
        <v>6.1354838470071161E-3</v>
      </c>
      <c r="E680" s="6"/>
      <c r="F680" s="6"/>
      <c r="G680" s="6"/>
      <c r="H680" s="6"/>
    </row>
    <row r="681" spans="1:8" x14ac:dyDescent="0.25">
      <c r="A681" t="s">
        <v>728</v>
      </c>
      <c r="B681">
        <v>123.49</v>
      </c>
      <c r="C681" s="6">
        <f t="shared" si="21"/>
        <v>1.7551087673038923E-2</v>
      </c>
      <c r="D681" s="6">
        <f t="shared" si="20"/>
        <v>1.7398846089454252E-2</v>
      </c>
      <c r="E681" s="6"/>
      <c r="F681" s="6"/>
      <c r="G681" s="6"/>
      <c r="H681" s="6"/>
    </row>
    <row r="682" spans="1:8" x14ac:dyDescent="0.25">
      <c r="A682" t="s">
        <v>729</v>
      </c>
      <c r="B682">
        <v>121.36</v>
      </c>
      <c r="C682" s="6">
        <f t="shared" si="21"/>
        <v>5.0517598343684522E-3</v>
      </c>
      <c r="D682" s="6">
        <f t="shared" si="20"/>
        <v>5.0390425075946621E-3</v>
      </c>
      <c r="E682" s="6"/>
      <c r="F682" s="6"/>
      <c r="G682" s="6"/>
      <c r="H682" s="6"/>
    </row>
    <row r="683" spans="1:8" x14ac:dyDescent="0.25">
      <c r="A683" t="s">
        <v>730</v>
      </c>
      <c r="B683">
        <v>120.75</v>
      </c>
      <c r="C683" s="6">
        <f t="shared" si="21"/>
        <v>4.0589451913133345E-2</v>
      </c>
      <c r="D683" s="6">
        <f t="shared" si="20"/>
        <v>3.9787333279478747E-2</v>
      </c>
      <c r="E683" s="6"/>
      <c r="F683" s="6"/>
      <c r="G683" s="6"/>
      <c r="H683" s="6"/>
    </row>
    <row r="684" spans="1:8" x14ac:dyDescent="0.25">
      <c r="A684" t="s">
        <v>731</v>
      </c>
      <c r="B684">
        <v>116.04</v>
      </c>
      <c r="C684" s="6">
        <f t="shared" si="21"/>
        <v>6.5053343741867664E-3</v>
      </c>
      <c r="D684" s="6">
        <f t="shared" si="20"/>
        <v>6.4842660083409415E-3</v>
      </c>
      <c r="E684" s="6"/>
      <c r="F684" s="6"/>
      <c r="G684" s="6"/>
      <c r="H684" s="6"/>
    </row>
    <row r="685" spans="1:8" x14ac:dyDescent="0.25">
      <c r="A685" t="s">
        <v>732</v>
      </c>
      <c r="B685">
        <v>115.29</v>
      </c>
      <c r="C685" s="6">
        <f t="shared" si="21"/>
        <v>4.6188747731397584E-2</v>
      </c>
      <c r="D685" s="6">
        <f t="shared" si="20"/>
        <v>4.5153796526048263E-2</v>
      </c>
      <c r="E685" s="6"/>
      <c r="F685" s="6"/>
      <c r="G685" s="6"/>
      <c r="H685" s="6"/>
    </row>
    <row r="686" spans="1:8" x14ac:dyDescent="0.25">
      <c r="A686" t="s">
        <v>733</v>
      </c>
      <c r="B686">
        <v>110.2</v>
      </c>
      <c r="C686" s="6">
        <f t="shared" si="21"/>
        <v>-6.580726584332508E-3</v>
      </c>
      <c r="D686" s="6">
        <f t="shared" si="20"/>
        <v>-6.6024750317541861E-3</v>
      </c>
      <c r="E686" s="6"/>
      <c r="F686" s="6"/>
      <c r="G686" s="6"/>
      <c r="H686" s="6"/>
    </row>
    <row r="687" spans="1:8" x14ac:dyDescent="0.25">
      <c r="A687" t="s">
        <v>734</v>
      </c>
      <c r="B687">
        <v>110.93</v>
      </c>
      <c r="C687" s="6">
        <f t="shared" si="21"/>
        <v>-9.6419962503347945E-3</v>
      </c>
      <c r="D687" s="6">
        <f t="shared" si="20"/>
        <v>-9.6887812730798648E-3</v>
      </c>
      <c r="E687" s="6"/>
      <c r="F687" s="6"/>
      <c r="G687" s="6"/>
      <c r="H687" s="6"/>
    </row>
    <row r="688" spans="1:8" x14ac:dyDescent="0.25">
      <c r="A688" t="s">
        <v>735</v>
      </c>
      <c r="B688">
        <v>112.01</v>
      </c>
      <c r="C688" s="6">
        <f t="shared" si="21"/>
        <v>5.7466103977732441E-3</v>
      </c>
      <c r="D688" s="6">
        <f t="shared" si="20"/>
        <v>5.7301616186393638E-3</v>
      </c>
      <c r="E688" s="6"/>
      <c r="F688" s="6"/>
      <c r="G688" s="6"/>
      <c r="H688" s="6"/>
    </row>
    <row r="689" spans="1:8" x14ac:dyDescent="0.25">
      <c r="A689" t="s">
        <v>736</v>
      </c>
      <c r="B689">
        <v>111.37</v>
      </c>
      <c r="C689" s="6">
        <f t="shared" si="21"/>
        <v>-7.3090293252517924E-3</v>
      </c>
      <c r="D689" s="6">
        <f t="shared" si="20"/>
        <v>-7.3358711518644957E-3</v>
      </c>
      <c r="E689" s="6"/>
      <c r="F689" s="6"/>
      <c r="G689" s="6"/>
      <c r="H689" s="6"/>
    </row>
    <row r="690" spans="1:8" x14ac:dyDescent="0.25">
      <c r="A690" t="s">
        <v>737</v>
      </c>
      <c r="B690">
        <v>112.19</v>
      </c>
      <c r="C690" s="6">
        <f t="shared" si="21"/>
        <v>-3.2761444952151053E-2</v>
      </c>
      <c r="D690" s="6">
        <f t="shared" si="20"/>
        <v>-3.3310117936911542E-2</v>
      </c>
      <c r="E690" s="6"/>
      <c r="F690" s="6"/>
      <c r="G690" s="6"/>
      <c r="H690" s="6"/>
    </row>
    <row r="691" spans="1:8" x14ac:dyDescent="0.25">
      <c r="A691" t="s">
        <v>738</v>
      </c>
      <c r="B691">
        <v>115.99</v>
      </c>
      <c r="C691" s="6">
        <f t="shared" si="21"/>
        <v>-1.4109647258818581E-2</v>
      </c>
      <c r="D691" s="6">
        <f t="shared" ref="D691:D754" si="22">LN(B691/B692)</f>
        <v>-1.4210134679586692E-2</v>
      </c>
      <c r="E691" s="6"/>
      <c r="F691" s="6"/>
      <c r="G691" s="6"/>
      <c r="H691" s="6"/>
    </row>
    <row r="692" spans="1:8" x14ac:dyDescent="0.25">
      <c r="A692" t="s">
        <v>739</v>
      </c>
      <c r="B692">
        <v>117.65</v>
      </c>
      <c r="C692" s="6">
        <f t="shared" ref="C692:C755" si="23">(B692/B693)-1</f>
        <v>4.1058313423590898E-2</v>
      </c>
      <c r="D692" s="6">
        <f t="shared" si="22"/>
        <v>4.0237804801312158E-2</v>
      </c>
      <c r="E692" s="6"/>
      <c r="F692" s="6"/>
      <c r="G692" s="6"/>
      <c r="H692" s="6"/>
    </row>
    <row r="693" spans="1:8" x14ac:dyDescent="0.25">
      <c r="A693" t="s">
        <v>740</v>
      </c>
      <c r="B693">
        <v>113.01</v>
      </c>
      <c r="C693" s="6">
        <f t="shared" si="23"/>
        <v>-1.128608923884511E-2</v>
      </c>
      <c r="D693" s="6">
        <f t="shared" si="22"/>
        <v>-1.1350260428705544E-2</v>
      </c>
      <c r="E693" s="6"/>
      <c r="F693" s="6"/>
      <c r="G693" s="6"/>
      <c r="H693" s="6"/>
    </row>
    <row r="694" spans="1:8" x14ac:dyDescent="0.25">
      <c r="A694" t="s">
        <v>741</v>
      </c>
      <c r="B694">
        <v>114.3</v>
      </c>
      <c r="C694" s="6">
        <f t="shared" si="23"/>
        <v>-1.6097099078936083E-2</v>
      </c>
      <c r="D694" s="6">
        <f t="shared" si="22"/>
        <v>-1.6228064724618504E-2</v>
      </c>
      <c r="E694" s="6"/>
      <c r="F694" s="6"/>
      <c r="G694" s="6"/>
      <c r="H694" s="6"/>
    </row>
    <row r="695" spans="1:8" x14ac:dyDescent="0.25">
      <c r="A695" t="s">
        <v>742</v>
      </c>
      <c r="B695">
        <v>116.17</v>
      </c>
      <c r="C695" s="6">
        <f t="shared" si="23"/>
        <v>2.2983444874955961E-2</v>
      </c>
      <c r="D695" s="6">
        <f t="shared" si="22"/>
        <v>2.2723303920612989E-2</v>
      </c>
      <c r="E695" s="6"/>
      <c r="F695" s="6"/>
      <c r="G695" s="6"/>
      <c r="H695" s="6"/>
    </row>
    <row r="696" spans="1:8" x14ac:dyDescent="0.25">
      <c r="A696" t="s">
        <v>743</v>
      </c>
      <c r="B696">
        <v>113.56</v>
      </c>
      <c r="C696" s="6">
        <f t="shared" si="23"/>
        <v>-5.0581055095727745E-2</v>
      </c>
      <c r="D696" s="6">
        <f t="shared" si="22"/>
        <v>-5.1905118456602867E-2</v>
      </c>
      <c r="E696" s="6"/>
      <c r="F696" s="6"/>
      <c r="G696" s="6"/>
      <c r="H696" s="6"/>
    </row>
    <row r="697" spans="1:8" x14ac:dyDescent="0.25">
      <c r="A697" t="s">
        <v>744</v>
      </c>
      <c r="B697">
        <v>119.61</v>
      </c>
      <c r="C697" s="6">
        <f t="shared" si="23"/>
        <v>1.7264840959346772E-2</v>
      </c>
      <c r="D697" s="6">
        <f t="shared" si="22"/>
        <v>1.711749708726441E-2</v>
      </c>
      <c r="E697" s="6"/>
      <c r="F697" s="6"/>
      <c r="G697" s="6"/>
      <c r="H697" s="6"/>
    </row>
    <row r="698" spans="1:8" x14ac:dyDescent="0.25">
      <c r="A698" t="s">
        <v>745</v>
      </c>
      <c r="B698">
        <v>117.58</v>
      </c>
      <c r="C698" s="6">
        <f t="shared" si="23"/>
        <v>2.8876443822191122E-2</v>
      </c>
      <c r="D698" s="6">
        <f t="shared" si="22"/>
        <v>2.8467375611536568E-2</v>
      </c>
      <c r="E698" s="6"/>
      <c r="F698" s="6"/>
      <c r="G698" s="6"/>
      <c r="H698" s="6"/>
    </row>
    <row r="699" spans="1:8" x14ac:dyDescent="0.25">
      <c r="A699" t="s">
        <v>746</v>
      </c>
      <c r="B699">
        <v>114.28</v>
      </c>
      <c r="C699" s="6">
        <f t="shared" si="23"/>
        <v>2.4014336917562717E-2</v>
      </c>
      <c r="D699" s="6">
        <f t="shared" si="22"/>
        <v>2.3730527415361753E-2</v>
      </c>
      <c r="E699" s="6"/>
      <c r="F699" s="6"/>
      <c r="G699" s="6"/>
      <c r="H699" s="6"/>
    </row>
    <row r="700" spans="1:8" x14ac:dyDescent="0.25">
      <c r="A700" t="s">
        <v>747</v>
      </c>
      <c r="B700">
        <v>111.6</v>
      </c>
      <c r="C700" s="6">
        <f t="shared" si="23"/>
        <v>-1.2913497258093098E-2</v>
      </c>
      <c r="D700" s="6">
        <f t="shared" si="22"/>
        <v>-1.2997601299934231E-2</v>
      </c>
      <c r="E700" s="6"/>
      <c r="F700" s="6"/>
      <c r="G700" s="6"/>
      <c r="H700" s="6"/>
    </row>
    <row r="701" spans="1:8" x14ac:dyDescent="0.25">
      <c r="A701" t="s">
        <v>748</v>
      </c>
      <c r="B701">
        <v>113.06</v>
      </c>
      <c r="C701" s="6">
        <f t="shared" si="23"/>
        <v>-4.2275849920733188E-3</v>
      </c>
      <c r="D701" s="6">
        <f t="shared" si="22"/>
        <v>-4.2365464954354651E-3</v>
      </c>
      <c r="E701" s="6"/>
      <c r="F701" s="6"/>
      <c r="G701" s="6"/>
      <c r="H701" s="6"/>
    </row>
    <row r="702" spans="1:8" x14ac:dyDescent="0.25">
      <c r="A702" t="s">
        <v>749</v>
      </c>
      <c r="B702">
        <v>113.54</v>
      </c>
      <c r="C702" s="6">
        <f t="shared" si="23"/>
        <v>-1.2352122477383376E-2</v>
      </c>
      <c r="D702" s="6">
        <f t="shared" si="22"/>
        <v>-1.2429044028189257E-2</v>
      </c>
      <c r="E702" s="6"/>
      <c r="F702" s="6"/>
      <c r="G702" s="6"/>
      <c r="H702" s="6"/>
    </row>
    <row r="703" spans="1:8" x14ac:dyDescent="0.25">
      <c r="A703" t="s">
        <v>750</v>
      </c>
      <c r="B703">
        <v>114.96</v>
      </c>
      <c r="C703" s="6">
        <f t="shared" si="23"/>
        <v>-7.8226857887875312E-4</v>
      </c>
      <c r="D703" s="6">
        <f t="shared" si="22"/>
        <v>-7.8257471060540261E-4</v>
      </c>
      <c r="E703" s="6"/>
      <c r="F703" s="6"/>
      <c r="G703" s="6"/>
      <c r="H703" s="6"/>
    </row>
    <row r="704" spans="1:8" x14ac:dyDescent="0.25">
      <c r="A704" t="s">
        <v>751</v>
      </c>
      <c r="B704">
        <v>115.05</v>
      </c>
      <c r="C704" s="6">
        <f t="shared" si="23"/>
        <v>3.1191180424845477E-2</v>
      </c>
      <c r="D704" s="6">
        <f t="shared" si="22"/>
        <v>3.0714619876286604E-2</v>
      </c>
      <c r="E704" s="6"/>
      <c r="F704" s="6"/>
      <c r="G704" s="6"/>
      <c r="H704" s="6"/>
    </row>
    <row r="705" spans="1:8" x14ac:dyDescent="0.25">
      <c r="A705" t="s">
        <v>752</v>
      </c>
      <c r="B705">
        <v>111.57</v>
      </c>
      <c r="C705" s="6">
        <f t="shared" si="23"/>
        <v>-1.8992350303350114E-2</v>
      </c>
      <c r="D705" s="6">
        <f t="shared" si="22"/>
        <v>-1.9175021591264871E-2</v>
      </c>
      <c r="E705" s="6"/>
      <c r="F705" s="6"/>
      <c r="G705" s="6"/>
      <c r="H705" s="6"/>
    </row>
    <row r="706" spans="1:8" x14ac:dyDescent="0.25">
      <c r="A706" t="s">
        <v>753</v>
      </c>
      <c r="B706">
        <v>113.73</v>
      </c>
      <c r="C706" s="6">
        <f t="shared" si="23"/>
        <v>1.3817079693349887E-2</v>
      </c>
      <c r="D706" s="6">
        <f t="shared" si="22"/>
        <v>1.372249411616222E-2</v>
      </c>
      <c r="E706" s="6"/>
      <c r="F706" s="6"/>
      <c r="G706" s="6"/>
      <c r="H706" s="6"/>
    </row>
    <row r="707" spans="1:8" x14ac:dyDescent="0.25">
      <c r="A707" t="s">
        <v>754</v>
      </c>
      <c r="B707">
        <v>112.18</v>
      </c>
      <c r="C707" s="6">
        <f t="shared" si="23"/>
        <v>-6.2893081761006275E-3</v>
      </c>
      <c r="D707" s="6">
        <f t="shared" si="22"/>
        <v>-6.309169193264721E-3</v>
      </c>
      <c r="E707" s="6"/>
      <c r="F707" s="6"/>
      <c r="G707" s="6"/>
      <c r="H707" s="6"/>
    </row>
    <row r="708" spans="1:8" x14ac:dyDescent="0.25">
      <c r="A708" t="s">
        <v>755</v>
      </c>
      <c r="B708">
        <v>112.89</v>
      </c>
      <c r="C708" s="6">
        <f t="shared" si="23"/>
        <v>7.4067463858646931E-3</v>
      </c>
      <c r="D708" s="6">
        <f t="shared" si="22"/>
        <v>7.3794511363170917E-3</v>
      </c>
      <c r="E708" s="6"/>
      <c r="F708" s="6"/>
      <c r="G708" s="6"/>
      <c r="H708" s="6"/>
    </row>
    <row r="709" spans="1:8" x14ac:dyDescent="0.25">
      <c r="A709" t="s">
        <v>756</v>
      </c>
      <c r="B709">
        <v>112.06</v>
      </c>
      <c r="C709" s="6">
        <f t="shared" si="23"/>
        <v>-4.4420753375977728E-3</v>
      </c>
      <c r="D709" s="6">
        <f t="shared" si="22"/>
        <v>-4.4519706689951982E-3</v>
      </c>
      <c r="E709" s="6"/>
      <c r="F709" s="6"/>
      <c r="G709" s="6"/>
      <c r="H709" s="6"/>
    </row>
    <row r="710" spans="1:8" x14ac:dyDescent="0.25">
      <c r="A710" t="s">
        <v>757</v>
      </c>
      <c r="B710">
        <v>112.56</v>
      </c>
      <c r="C710" s="6">
        <f t="shared" si="23"/>
        <v>-1.3308490817141028E-3</v>
      </c>
      <c r="D710" s="6">
        <f t="shared" si="22"/>
        <v>-1.3317354478535727E-3</v>
      </c>
      <c r="E710" s="6"/>
      <c r="F710" s="6"/>
      <c r="G710" s="6"/>
      <c r="H710" s="6"/>
    </row>
    <row r="711" spans="1:8" x14ac:dyDescent="0.25">
      <c r="A711" t="s">
        <v>758</v>
      </c>
      <c r="B711">
        <v>112.71</v>
      </c>
      <c r="C711" s="6">
        <f t="shared" si="23"/>
        <v>4.8141214228403229E-3</v>
      </c>
      <c r="D711" s="6">
        <f t="shared" si="22"/>
        <v>4.8025705968551694E-3</v>
      </c>
      <c r="E711" s="6"/>
      <c r="F711" s="6"/>
      <c r="G711" s="6"/>
      <c r="H711" s="6"/>
    </row>
    <row r="712" spans="1:8" x14ac:dyDescent="0.25">
      <c r="A712" t="s">
        <v>759</v>
      </c>
      <c r="B712">
        <v>112.17</v>
      </c>
      <c r="C712" s="6">
        <f t="shared" si="23"/>
        <v>-1.5275217276797481E-2</v>
      </c>
      <c r="D712" s="6">
        <f t="shared" si="22"/>
        <v>-1.5393085254688616E-2</v>
      </c>
      <c r="E712" s="6"/>
      <c r="F712" s="6"/>
      <c r="G712" s="6"/>
      <c r="H712" s="6"/>
    </row>
    <row r="713" spans="1:8" x14ac:dyDescent="0.25">
      <c r="A713" t="s">
        <v>760</v>
      </c>
      <c r="B713">
        <v>113.91</v>
      </c>
      <c r="C713" s="6">
        <f t="shared" si="23"/>
        <v>-2.3907455012853518E-2</v>
      </c>
      <c r="D713" s="6">
        <f t="shared" si="22"/>
        <v>-2.4197876380689702E-2</v>
      </c>
      <c r="E713" s="6"/>
      <c r="F713" s="6"/>
      <c r="G713" s="6"/>
      <c r="H713" s="6"/>
    </row>
    <row r="714" spans="1:8" x14ac:dyDescent="0.25">
      <c r="A714" t="s">
        <v>761</v>
      </c>
      <c r="B714">
        <v>116.7</v>
      </c>
      <c r="C714" s="6">
        <f t="shared" si="23"/>
        <v>-4.9454297407912629E-3</v>
      </c>
      <c r="D714" s="6">
        <f t="shared" si="22"/>
        <v>-4.9576988458310553E-3</v>
      </c>
      <c r="E714" s="6"/>
      <c r="F714" s="6"/>
      <c r="G714" s="6"/>
      <c r="H714" s="6"/>
    </row>
    <row r="715" spans="1:8" x14ac:dyDescent="0.25">
      <c r="A715" t="s">
        <v>762</v>
      </c>
      <c r="B715">
        <v>117.28</v>
      </c>
      <c r="C715" s="6">
        <f t="shared" si="23"/>
        <v>2.3474997818308641E-2</v>
      </c>
      <c r="D715" s="6">
        <f t="shared" si="22"/>
        <v>2.3203697699984413E-2</v>
      </c>
      <c r="E715" s="6"/>
      <c r="F715" s="6"/>
      <c r="G715" s="6"/>
      <c r="H715" s="6"/>
    </row>
    <row r="716" spans="1:8" x14ac:dyDescent="0.25">
      <c r="A716" t="s">
        <v>763</v>
      </c>
      <c r="B716">
        <v>114.59</v>
      </c>
      <c r="C716" s="6">
        <f t="shared" si="23"/>
        <v>2.5964723789059008E-2</v>
      </c>
      <c r="D716" s="6">
        <f t="shared" si="22"/>
        <v>2.563336388562162E-2</v>
      </c>
      <c r="E716" s="6"/>
      <c r="F716" s="6"/>
      <c r="G716" s="6"/>
      <c r="H716" s="6"/>
    </row>
    <row r="717" spans="1:8" x14ac:dyDescent="0.25">
      <c r="A717" t="s">
        <v>764</v>
      </c>
      <c r="B717">
        <v>111.69</v>
      </c>
      <c r="C717" s="6">
        <f t="shared" si="23"/>
        <v>-1.2292182525645567E-2</v>
      </c>
      <c r="D717" s="6">
        <f t="shared" si="22"/>
        <v>-1.2368356272654375E-2</v>
      </c>
      <c r="E717" s="6"/>
      <c r="F717" s="6"/>
      <c r="G717" s="6"/>
      <c r="H717" s="6"/>
    </row>
    <row r="718" spans="1:8" x14ac:dyDescent="0.25">
      <c r="A718" t="s">
        <v>765</v>
      </c>
      <c r="B718">
        <v>113.08</v>
      </c>
      <c r="C718" s="6">
        <f t="shared" si="23"/>
        <v>-4.7907720804917009E-2</v>
      </c>
      <c r="D718" s="6">
        <f t="shared" si="22"/>
        <v>-4.909331696075929E-2</v>
      </c>
      <c r="E718" s="6"/>
      <c r="F718" s="6"/>
      <c r="G718" s="6"/>
      <c r="H718" s="6"/>
    </row>
    <row r="719" spans="1:8" x14ac:dyDescent="0.25">
      <c r="A719" t="s">
        <v>766</v>
      </c>
      <c r="B719">
        <v>118.77</v>
      </c>
      <c r="C719" s="6">
        <f t="shared" si="23"/>
        <v>3.269280932092844E-2</v>
      </c>
      <c r="D719" s="6">
        <f t="shared" si="22"/>
        <v>3.2169768681658752E-2</v>
      </c>
      <c r="E719" s="6"/>
      <c r="F719" s="6"/>
      <c r="G719" s="6"/>
      <c r="H719" s="6"/>
    </row>
    <row r="720" spans="1:8" x14ac:dyDescent="0.25">
      <c r="A720" t="s">
        <v>767</v>
      </c>
      <c r="B720">
        <v>115.01</v>
      </c>
      <c r="C720" s="6">
        <f t="shared" si="23"/>
        <v>-2.2771688333758089E-2</v>
      </c>
      <c r="D720" s="6">
        <f t="shared" si="22"/>
        <v>-2.3034967785080778E-2</v>
      </c>
      <c r="E720" s="6"/>
      <c r="F720" s="6"/>
      <c r="G720" s="6"/>
      <c r="H720" s="6"/>
    </row>
    <row r="721" spans="1:8" x14ac:dyDescent="0.25">
      <c r="A721" t="s">
        <v>768</v>
      </c>
      <c r="B721">
        <v>117.69</v>
      </c>
      <c r="C721" s="6">
        <f t="shared" si="23"/>
        <v>9.0020576131686347E-3</v>
      </c>
      <c r="D721" s="6">
        <f t="shared" si="22"/>
        <v>8.9617806292227806E-3</v>
      </c>
      <c r="E721" s="6"/>
      <c r="F721" s="6"/>
      <c r="G721" s="6"/>
      <c r="H721" s="6"/>
    </row>
    <row r="722" spans="1:8" x14ac:dyDescent="0.25">
      <c r="A722" t="s">
        <v>769</v>
      </c>
      <c r="B722">
        <v>116.64</v>
      </c>
      <c r="C722" s="6">
        <f t="shared" si="23"/>
        <v>-1.1022553840936089E-2</v>
      </c>
      <c r="D722" s="6">
        <f t="shared" si="22"/>
        <v>-1.1083752312010078E-2</v>
      </c>
      <c r="E722" s="6"/>
      <c r="F722" s="6"/>
      <c r="G722" s="6"/>
      <c r="H722" s="6"/>
    </row>
    <row r="723" spans="1:8" x14ac:dyDescent="0.25">
      <c r="A723" t="s">
        <v>770</v>
      </c>
      <c r="B723">
        <v>117.94</v>
      </c>
      <c r="C723" s="6">
        <f t="shared" si="23"/>
        <v>-7.0718976258630217E-3</v>
      </c>
      <c r="D723" s="6">
        <f t="shared" si="22"/>
        <v>-7.0970220153561518E-3</v>
      </c>
      <c r="E723" s="6"/>
      <c r="F723" s="6"/>
      <c r="G723" s="6"/>
      <c r="H723" s="6"/>
    </row>
    <row r="724" spans="1:8" x14ac:dyDescent="0.25">
      <c r="A724" t="s">
        <v>771</v>
      </c>
      <c r="B724">
        <v>118.78</v>
      </c>
      <c r="C724" s="6">
        <f t="shared" si="23"/>
        <v>4.3970911550819114E-3</v>
      </c>
      <c r="D724" s="6">
        <f t="shared" si="22"/>
        <v>4.3874521950301977E-3</v>
      </c>
      <c r="E724" s="6"/>
      <c r="F724" s="6"/>
      <c r="G724" s="6"/>
      <c r="H724" s="6"/>
    </row>
    <row r="725" spans="1:8" x14ac:dyDescent="0.25">
      <c r="A725" t="s">
        <v>772</v>
      </c>
      <c r="B725">
        <v>118.26</v>
      </c>
      <c r="C725" s="6">
        <f t="shared" si="23"/>
        <v>5.01402226565828E-3</v>
      </c>
      <c r="D725" s="6">
        <f t="shared" si="22"/>
        <v>5.0014939168463741E-3</v>
      </c>
      <c r="E725" s="6"/>
      <c r="F725" s="6"/>
      <c r="G725" s="6"/>
      <c r="H725" s="6"/>
    </row>
    <row r="726" spans="1:8" x14ac:dyDescent="0.25">
      <c r="A726" t="s">
        <v>773</v>
      </c>
      <c r="B726">
        <v>117.67</v>
      </c>
      <c r="C726" s="6">
        <f t="shared" si="23"/>
        <v>-2.6313611915597779E-2</v>
      </c>
      <c r="D726" s="6">
        <f t="shared" si="22"/>
        <v>-2.6666010673654404E-2</v>
      </c>
      <c r="E726" s="6"/>
      <c r="F726" s="6"/>
      <c r="G726" s="6"/>
      <c r="H726" s="6"/>
    </row>
    <row r="727" spans="1:8" x14ac:dyDescent="0.25">
      <c r="A727" t="s">
        <v>774</v>
      </c>
      <c r="B727">
        <v>120.85</v>
      </c>
      <c r="C727" s="6">
        <f t="shared" si="23"/>
        <v>9.110485340400043E-4</v>
      </c>
      <c r="D727" s="6">
        <f t="shared" si="22"/>
        <v>9.1063378121183783E-4</v>
      </c>
      <c r="E727" s="6"/>
      <c r="F727" s="6"/>
      <c r="G727" s="6"/>
      <c r="H727" s="6"/>
    </row>
    <row r="728" spans="1:8" x14ac:dyDescent="0.25">
      <c r="A728" t="s">
        <v>775</v>
      </c>
      <c r="B728">
        <v>120.74</v>
      </c>
      <c r="C728" s="6">
        <f t="shared" si="23"/>
        <v>-8.9468932118526023E-3</v>
      </c>
      <c r="D728" s="6">
        <f t="shared" si="22"/>
        <v>-8.9871569980360354E-3</v>
      </c>
      <c r="E728" s="6"/>
      <c r="F728" s="6"/>
      <c r="G728" s="6"/>
      <c r="H728" s="6"/>
    </row>
    <row r="729" spans="1:8" x14ac:dyDescent="0.25">
      <c r="A729" t="s">
        <v>776</v>
      </c>
      <c r="B729">
        <v>121.83</v>
      </c>
      <c r="C729" s="6">
        <f t="shared" si="23"/>
        <v>3.2114624505927836E-3</v>
      </c>
      <c r="D729" s="6">
        <f t="shared" si="22"/>
        <v>3.2063167189962162E-3</v>
      </c>
      <c r="E729" s="6"/>
      <c r="F729" s="6"/>
      <c r="G729" s="6"/>
      <c r="H729" s="6"/>
    </row>
    <row r="730" spans="1:8" x14ac:dyDescent="0.25">
      <c r="A730" t="s">
        <v>777</v>
      </c>
      <c r="B730">
        <v>121.44</v>
      </c>
      <c r="C730" s="6">
        <f t="shared" si="23"/>
        <v>-1.3645224171540016E-2</v>
      </c>
      <c r="D730" s="6">
        <f t="shared" si="22"/>
        <v>-1.3739175883304046E-2</v>
      </c>
      <c r="E730" s="6"/>
      <c r="F730" s="6"/>
      <c r="G730" s="6"/>
      <c r="H730" s="6"/>
    </row>
    <row r="731" spans="1:8" x14ac:dyDescent="0.25">
      <c r="A731" t="s">
        <v>778</v>
      </c>
      <c r="B731">
        <v>123.12</v>
      </c>
      <c r="C731" s="6">
        <f t="shared" si="23"/>
        <v>-1.1243173787343297E-2</v>
      </c>
      <c r="D731" s="6">
        <f t="shared" si="22"/>
        <v>-1.1306856042783531E-2</v>
      </c>
      <c r="E731" s="6"/>
      <c r="F731" s="6"/>
      <c r="G731" s="6"/>
      <c r="H731" s="6"/>
    </row>
    <row r="732" spans="1:8" x14ac:dyDescent="0.25">
      <c r="A732" t="s">
        <v>779</v>
      </c>
      <c r="B732">
        <v>124.52</v>
      </c>
      <c r="C732" s="6">
        <f t="shared" si="23"/>
        <v>-1.0410871811173839E-2</v>
      </c>
      <c r="D732" s="6">
        <f t="shared" si="22"/>
        <v>-1.0465444030469151E-2</v>
      </c>
      <c r="E732" s="6"/>
      <c r="F732" s="6"/>
      <c r="G732" s="6"/>
      <c r="H732" s="6"/>
    </row>
    <row r="733" spans="1:8" x14ac:dyDescent="0.25">
      <c r="A733" t="s">
        <v>780</v>
      </c>
      <c r="B733">
        <v>125.83</v>
      </c>
      <c r="C733" s="6">
        <f t="shared" si="23"/>
        <v>-1.3794184497217699E-2</v>
      </c>
      <c r="D733" s="6">
        <f t="shared" si="22"/>
        <v>-1.3890208329775371E-2</v>
      </c>
      <c r="E733" s="6"/>
      <c r="F733" s="6"/>
      <c r="G733" s="6"/>
      <c r="H733" s="6"/>
    </row>
    <row r="734" spans="1:8" x14ac:dyDescent="0.25">
      <c r="A734" t="s">
        <v>781</v>
      </c>
      <c r="B734">
        <v>127.59</v>
      </c>
      <c r="C734" s="6">
        <f t="shared" si="23"/>
        <v>-1.1236825790452487E-2</v>
      </c>
      <c r="D734" s="6">
        <f t="shared" si="22"/>
        <v>-1.1300435883301476E-2</v>
      </c>
      <c r="E734" s="6"/>
      <c r="F734" s="6"/>
      <c r="G734" s="6"/>
      <c r="H734" s="6"/>
    </row>
    <row r="735" spans="1:8" x14ac:dyDescent="0.25">
      <c r="A735" t="s">
        <v>782</v>
      </c>
      <c r="B735">
        <v>129.04</v>
      </c>
      <c r="C735" s="6">
        <f t="shared" si="23"/>
        <v>-1.5112196611204554E-2</v>
      </c>
      <c r="D735" s="6">
        <f t="shared" si="22"/>
        <v>-1.522754948677703E-2</v>
      </c>
      <c r="E735" s="6"/>
      <c r="F735" s="6"/>
      <c r="G735" s="6"/>
      <c r="H735" s="6"/>
    </row>
    <row r="736" spans="1:8" x14ac:dyDescent="0.25">
      <c r="A736" t="s">
        <v>783</v>
      </c>
      <c r="B736">
        <v>131.02000000000001</v>
      </c>
      <c r="C736" s="6">
        <f t="shared" si="23"/>
        <v>-2.4059590316573454E-2</v>
      </c>
      <c r="D736" s="6">
        <f t="shared" si="22"/>
        <v>-2.435375008524367E-2</v>
      </c>
      <c r="E736" s="6"/>
      <c r="F736" s="6"/>
      <c r="G736" s="6"/>
      <c r="H736" s="6"/>
    </row>
    <row r="737" spans="1:8" x14ac:dyDescent="0.25">
      <c r="A737" t="s">
        <v>784</v>
      </c>
      <c r="B737">
        <v>134.25</v>
      </c>
      <c r="C737" s="6">
        <f t="shared" si="23"/>
        <v>2.4730936569727469E-2</v>
      </c>
      <c r="D737" s="6">
        <f t="shared" si="22"/>
        <v>2.4430077223394756E-2</v>
      </c>
      <c r="E737" s="6"/>
      <c r="F737" s="6"/>
      <c r="G737" s="6"/>
      <c r="H737" s="6"/>
    </row>
    <row r="738" spans="1:8" x14ac:dyDescent="0.25">
      <c r="A738" t="s">
        <v>785</v>
      </c>
      <c r="B738">
        <v>131.01</v>
      </c>
      <c r="C738" s="6">
        <f t="shared" si="23"/>
        <v>8.0794090489380022E-3</v>
      </c>
      <c r="D738" s="6">
        <f t="shared" si="22"/>
        <v>8.0469453646795953E-3</v>
      </c>
      <c r="E738" s="6"/>
      <c r="F738" s="6"/>
      <c r="G738" s="6"/>
      <c r="H738" s="6"/>
    </row>
    <row r="739" spans="1:8" x14ac:dyDescent="0.25">
      <c r="A739" t="s">
        <v>786</v>
      </c>
      <c r="B739">
        <v>129.96</v>
      </c>
      <c r="C739" s="6">
        <f t="shared" si="23"/>
        <v>1.7299412915851242E-2</v>
      </c>
      <c r="D739" s="6">
        <f t="shared" si="22"/>
        <v>1.715148171708571E-2</v>
      </c>
      <c r="E739" s="6"/>
      <c r="F739" s="6"/>
      <c r="G739" s="6"/>
      <c r="H739" s="6"/>
    </row>
    <row r="740" spans="1:8" x14ac:dyDescent="0.25">
      <c r="A740" t="s">
        <v>787</v>
      </c>
      <c r="B740">
        <v>127.75</v>
      </c>
      <c r="C740" s="6">
        <f t="shared" si="23"/>
        <v>6.6188637617208279E-3</v>
      </c>
      <c r="D740" s="6">
        <f t="shared" si="22"/>
        <v>6.5970552617407472E-3</v>
      </c>
      <c r="E740" s="6"/>
      <c r="F740" s="6"/>
      <c r="G740" s="6"/>
      <c r="H740" s="6"/>
    </row>
    <row r="741" spans="1:8" x14ac:dyDescent="0.25">
      <c r="A741" t="s">
        <v>788</v>
      </c>
      <c r="B741">
        <v>126.91</v>
      </c>
      <c r="C741" s="6">
        <f t="shared" si="23"/>
        <v>-1.2142912742274525E-2</v>
      </c>
      <c r="D741" s="6">
        <f t="shared" si="22"/>
        <v>-1.2217240221445371E-2</v>
      </c>
      <c r="E741" s="6"/>
      <c r="F741" s="6"/>
      <c r="G741" s="6"/>
      <c r="H741" s="6"/>
    </row>
    <row r="742" spans="1:8" x14ac:dyDescent="0.25">
      <c r="A742" t="s">
        <v>789</v>
      </c>
      <c r="B742">
        <v>128.47</v>
      </c>
      <c r="C742" s="6">
        <f t="shared" si="23"/>
        <v>1.1415525114155223E-2</v>
      </c>
      <c r="D742" s="6">
        <f t="shared" si="22"/>
        <v>1.135085966868948E-2</v>
      </c>
      <c r="E742" s="6"/>
      <c r="F742" s="6"/>
      <c r="G742" s="6"/>
      <c r="H742" s="6"/>
    </row>
    <row r="743" spans="1:8" x14ac:dyDescent="0.25">
      <c r="A743" t="s">
        <v>790</v>
      </c>
      <c r="B743">
        <v>127.02</v>
      </c>
      <c r="C743" s="6">
        <f t="shared" si="23"/>
        <v>-5.1310777503921101E-2</v>
      </c>
      <c r="D743" s="6">
        <f t="shared" si="22"/>
        <v>-5.2674012934459412E-2</v>
      </c>
      <c r="E743" s="6"/>
      <c r="F743" s="6"/>
      <c r="G743" s="6"/>
      <c r="H743" s="6"/>
    </row>
    <row r="744" spans="1:8" x14ac:dyDescent="0.25">
      <c r="A744" t="s">
        <v>791</v>
      </c>
      <c r="B744">
        <v>133.88999999999999</v>
      </c>
      <c r="C744" s="6">
        <f t="shared" si="23"/>
        <v>3.7484069270559139E-3</v>
      </c>
      <c r="D744" s="6">
        <f t="shared" si="22"/>
        <v>3.7413991563354605E-3</v>
      </c>
      <c r="E744" s="6"/>
      <c r="F744" s="6"/>
      <c r="G744" s="6"/>
      <c r="H744" s="6"/>
    </row>
    <row r="745" spans="1:8" x14ac:dyDescent="0.25">
      <c r="A745" t="s">
        <v>792</v>
      </c>
      <c r="B745">
        <v>133.38999999999999</v>
      </c>
      <c r="C745" s="6">
        <f t="shared" si="23"/>
        <v>2.9561593084285187E-2</v>
      </c>
      <c r="D745" s="6">
        <f t="shared" si="22"/>
        <v>2.913307384982405E-2</v>
      </c>
      <c r="E745" s="6"/>
      <c r="F745" s="6"/>
      <c r="G745" s="6"/>
      <c r="H745" s="6"/>
    </row>
    <row r="746" spans="1:8" x14ac:dyDescent="0.25">
      <c r="A746" t="s">
        <v>793</v>
      </c>
      <c r="B746">
        <v>129.56</v>
      </c>
      <c r="C746" s="6">
        <f t="shared" si="23"/>
        <v>7.9396817462301206E-2</v>
      </c>
      <c r="D746" s="6">
        <f t="shared" si="22"/>
        <v>7.6402382765875299E-2</v>
      </c>
      <c r="E746" s="6"/>
      <c r="F746" s="6"/>
      <c r="G746" s="6"/>
      <c r="H746" s="6"/>
    </row>
    <row r="747" spans="1:8" x14ac:dyDescent="0.25">
      <c r="A747" t="s">
        <v>794</v>
      </c>
      <c r="B747">
        <v>120.03</v>
      </c>
      <c r="C747" s="6">
        <f t="shared" si="23"/>
        <v>-5.0545799715234985E-2</v>
      </c>
      <c r="D747" s="6">
        <f t="shared" si="22"/>
        <v>-5.1867985506899375E-2</v>
      </c>
      <c r="E747" s="6"/>
      <c r="F747" s="6"/>
      <c r="G747" s="6"/>
      <c r="H747" s="6"/>
    </row>
    <row r="748" spans="1:8" x14ac:dyDescent="0.25">
      <c r="A748" t="s">
        <v>795</v>
      </c>
      <c r="B748">
        <v>126.42</v>
      </c>
      <c r="C748" s="6">
        <f t="shared" si="23"/>
        <v>-3.1264367816091987E-2</v>
      </c>
      <c r="D748" s="6">
        <f t="shared" si="22"/>
        <v>-3.1763529718595467E-2</v>
      </c>
      <c r="E748" s="6"/>
      <c r="F748" s="6"/>
      <c r="G748" s="6"/>
      <c r="H748" s="6"/>
    </row>
    <row r="749" spans="1:8" x14ac:dyDescent="0.25">
      <c r="A749" t="s">
        <v>796</v>
      </c>
      <c r="B749">
        <v>130.5</v>
      </c>
      <c r="C749" s="6">
        <f t="shared" si="23"/>
        <v>-1.9902365752910267E-2</v>
      </c>
      <c r="D749" s="6">
        <f t="shared" si="22"/>
        <v>-2.0103085497193151E-2</v>
      </c>
      <c r="E749" s="6"/>
      <c r="F749" s="6"/>
      <c r="G749" s="6"/>
      <c r="H749" s="6"/>
    </row>
    <row r="750" spans="1:8" x14ac:dyDescent="0.25">
      <c r="A750" t="s">
        <v>797</v>
      </c>
      <c r="B750">
        <v>133.15</v>
      </c>
      <c r="C750" s="6">
        <f t="shared" si="23"/>
        <v>-1.9369568419502103E-2</v>
      </c>
      <c r="D750" s="6">
        <f t="shared" si="22"/>
        <v>-1.9559616613559736E-2</v>
      </c>
      <c r="E750" s="6"/>
      <c r="F750" s="6"/>
      <c r="G750" s="6"/>
      <c r="H750" s="6"/>
    </row>
    <row r="751" spans="1:8" x14ac:dyDescent="0.25">
      <c r="A751" t="s">
        <v>798</v>
      </c>
      <c r="B751">
        <v>135.78</v>
      </c>
      <c r="C751" s="6">
        <f t="shared" si="23"/>
        <v>-1.6514558887440245E-2</v>
      </c>
      <c r="D751" s="6">
        <f t="shared" si="22"/>
        <v>-1.6652444401828503E-2</v>
      </c>
      <c r="E751" s="6"/>
      <c r="F751" s="6"/>
      <c r="G751" s="6"/>
      <c r="H751" s="6"/>
    </row>
    <row r="752" spans="1:8" x14ac:dyDescent="0.25">
      <c r="A752" t="s">
        <v>799</v>
      </c>
      <c r="B752">
        <v>138.06</v>
      </c>
      <c r="C752" s="6">
        <f t="shared" si="23"/>
        <v>-2.451777008408107E-2</v>
      </c>
      <c r="D752" s="6">
        <f t="shared" si="22"/>
        <v>-2.4823335470417984E-2</v>
      </c>
      <c r="E752" s="6"/>
      <c r="F752" s="6"/>
      <c r="G752" s="6"/>
      <c r="H752" s="6"/>
    </row>
    <row r="753" spans="1:8" x14ac:dyDescent="0.25">
      <c r="A753" t="s">
        <v>800</v>
      </c>
      <c r="B753">
        <v>141.53</v>
      </c>
      <c r="C753" s="6">
        <f t="shared" si="23"/>
        <v>2.9383955196741418E-2</v>
      </c>
      <c r="D753" s="6">
        <f t="shared" si="22"/>
        <v>2.8960521556605001E-2</v>
      </c>
      <c r="E753" s="6"/>
      <c r="F753" s="6"/>
      <c r="G753" s="6"/>
      <c r="H753" s="6"/>
    </row>
    <row r="754" spans="1:8" x14ac:dyDescent="0.25">
      <c r="A754" t="s">
        <v>801</v>
      </c>
      <c r="B754">
        <v>137.49</v>
      </c>
      <c r="C754" s="6">
        <f t="shared" si="23"/>
        <v>-2.5446555146016459E-2</v>
      </c>
      <c r="D754" s="6">
        <f t="shared" si="22"/>
        <v>-2.5775918178708879E-2</v>
      </c>
      <c r="E754" s="6"/>
      <c r="F754" s="6"/>
      <c r="G754" s="6"/>
      <c r="H754" s="6"/>
    </row>
    <row r="755" spans="1:8" x14ac:dyDescent="0.25">
      <c r="A755" t="s">
        <v>802</v>
      </c>
      <c r="B755">
        <v>141.08000000000001</v>
      </c>
      <c r="C755" s="6">
        <f t="shared" si="23"/>
        <v>4.7286764160047623E-2</v>
      </c>
      <c r="D755" s="6">
        <f t="shared" ref="D755:D818" si="24">LN(B755/B756)</f>
        <v>4.6202785657374762E-2</v>
      </c>
      <c r="E755" s="6"/>
      <c r="F755" s="6"/>
      <c r="G755" s="6"/>
      <c r="H755" s="6"/>
    </row>
    <row r="756" spans="1:8" x14ac:dyDescent="0.25">
      <c r="A756" t="s">
        <v>803</v>
      </c>
      <c r="B756">
        <v>134.71</v>
      </c>
      <c r="C756" s="6">
        <f t="shared" ref="C756:C819" si="25">(B756/B757)-1</f>
        <v>-3.77857142857142E-2</v>
      </c>
      <c r="D756" s="6">
        <f t="shared" si="24"/>
        <v>-3.8518102898827622E-2</v>
      </c>
      <c r="E756" s="6"/>
      <c r="F756" s="6"/>
      <c r="G756" s="6"/>
      <c r="H756" s="6"/>
    </row>
    <row r="757" spans="1:8" x14ac:dyDescent="0.25">
      <c r="A757" t="s">
        <v>804</v>
      </c>
      <c r="B757">
        <v>140</v>
      </c>
      <c r="C757" s="6">
        <f t="shared" si="25"/>
        <v>5.5304172951231578E-3</v>
      </c>
      <c r="D757" s="6">
        <f t="shared" si="24"/>
        <v>5.5151806881101433E-3</v>
      </c>
      <c r="E757" s="6"/>
      <c r="F757" s="6"/>
      <c r="G757" s="6"/>
      <c r="H757" s="6"/>
    </row>
    <row r="758" spans="1:8" x14ac:dyDescent="0.25">
      <c r="A758" t="s">
        <v>805</v>
      </c>
      <c r="B758">
        <v>139.22999999999999</v>
      </c>
      <c r="C758" s="6">
        <f t="shared" si="25"/>
        <v>5.6338028169014009E-3</v>
      </c>
      <c r="D758" s="6">
        <f t="shared" si="24"/>
        <v>5.6179923042232738E-3</v>
      </c>
      <c r="E758" s="6"/>
      <c r="F758" s="6"/>
      <c r="G758" s="6"/>
      <c r="H758" s="6"/>
    </row>
    <row r="759" spans="1:8" x14ac:dyDescent="0.25">
      <c r="A759" t="s">
        <v>806</v>
      </c>
      <c r="B759">
        <v>138.44999999999999</v>
      </c>
      <c r="C759" s="6">
        <f t="shared" si="25"/>
        <v>-1.9614785441155691E-2</v>
      </c>
      <c r="D759" s="6">
        <f t="shared" si="24"/>
        <v>-1.9809708471229977E-2</v>
      </c>
      <c r="E759" s="6"/>
      <c r="F759" s="6"/>
      <c r="G759" s="6"/>
      <c r="H759" s="6"/>
    </row>
    <row r="760" spans="1:8" x14ac:dyDescent="0.25">
      <c r="A760" t="s">
        <v>807</v>
      </c>
      <c r="B760">
        <v>141.22</v>
      </c>
      <c r="C760" s="6">
        <f t="shared" si="25"/>
        <v>-4.7805272739532056E-2</v>
      </c>
      <c r="D760" s="6">
        <f t="shared" si="24"/>
        <v>-4.8985719665670377E-2</v>
      </c>
      <c r="E760" s="6"/>
      <c r="F760" s="6"/>
      <c r="G760" s="6"/>
      <c r="H760" s="6"/>
    </row>
    <row r="761" spans="1:8" x14ac:dyDescent="0.25">
      <c r="A761" t="s">
        <v>808</v>
      </c>
      <c r="B761">
        <v>148.31</v>
      </c>
      <c r="C761" s="6">
        <f t="shared" si="25"/>
        <v>8.1686237327692979E-2</v>
      </c>
      <c r="D761" s="6">
        <f t="shared" si="24"/>
        <v>7.8521154385307448E-2</v>
      </c>
      <c r="E761" s="6"/>
      <c r="F761" s="6"/>
      <c r="G761" s="6"/>
      <c r="H761" s="6"/>
    </row>
    <row r="762" spans="1:8" x14ac:dyDescent="0.25">
      <c r="A762" t="s">
        <v>809</v>
      </c>
      <c r="B762">
        <v>137.11000000000001</v>
      </c>
      <c r="C762" s="6">
        <f t="shared" si="25"/>
        <v>5.2789793973166965E-3</v>
      </c>
      <c r="D762" s="6">
        <f t="shared" si="24"/>
        <v>5.2650944297800142E-3</v>
      </c>
      <c r="E762" s="6"/>
      <c r="F762" s="6"/>
      <c r="G762" s="6"/>
      <c r="H762" s="6"/>
    </row>
    <row r="763" spans="1:8" x14ac:dyDescent="0.25">
      <c r="A763" t="s">
        <v>810</v>
      </c>
      <c r="B763">
        <v>136.38999999999999</v>
      </c>
      <c r="C763" s="6">
        <f t="shared" si="25"/>
        <v>-2.8512940488376604E-3</v>
      </c>
      <c r="D763" s="6">
        <f t="shared" si="24"/>
        <v>-2.855366731166323E-3</v>
      </c>
      <c r="E763" s="6"/>
      <c r="F763" s="6"/>
      <c r="G763" s="6"/>
      <c r="H763" s="6"/>
    </row>
    <row r="764" spans="1:8" x14ac:dyDescent="0.25">
      <c r="A764" t="s">
        <v>811</v>
      </c>
      <c r="B764">
        <v>136.78</v>
      </c>
      <c r="C764" s="6">
        <f t="shared" si="25"/>
        <v>-1.1683949174821073E-3</v>
      </c>
      <c r="D764" s="6">
        <f t="shared" si="24"/>
        <v>-1.1690780229668641E-3</v>
      </c>
      <c r="E764" s="6"/>
      <c r="F764" s="6"/>
      <c r="G764" s="6"/>
      <c r="H764" s="6"/>
    </row>
    <row r="765" spans="1:8" x14ac:dyDescent="0.25">
      <c r="A765" t="s">
        <v>812</v>
      </c>
      <c r="B765">
        <v>136.94</v>
      </c>
      <c r="C765" s="6">
        <f t="shared" si="25"/>
        <v>1.2429626380052738E-3</v>
      </c>
      <c r="D765" s="6">
        <f t="shared" si="24"/>
        <v>1.2421907994569837E-3</v>
      </c>
      <c r="E765" s="6"/>
      <c r="F765" s="6"/>
      <c r="G765" s="6"/>
      <c r="H765" s="6"/>
    </row>
    <row r="766" spans="1:8" x14ac:dyDescent="0.25">
      <c r="A766" t="s">
        <v>813</v>
      </c>
      <c r="B766">
        <v>136.77000000000001</v>
      </c>
      <c r="C766" s="6">
        <f t="shared" si="25"/>
        <v>-9.6307023895726429E-3</v>
      </c>
      <c r="D766" s="6">
        <f t="shared" si="24"/>
        <v>-9.6773775217865697E-3</v>
      </c>
      <c r="E766" s="6"/>
      <c r="F766" s="6"/>
      <c r="G766" s="6"/>
      <c r="H766" s="6"/>
    </row>
    <row r="767" spans="1:8" x14ac:dyDescent="0.25">
      <c r="A767" t="s">
        <v>814</v>
      </c>
      <c r="B767">
        <v>138.1</v>
      </c>
      <c r="C767" s="6">
        <f t="shared" si="25"/>
        <v>7.8820610129906044E-3</v>
      </c>
      <c r="D767" s="6">
        <f t="shared" si="24"/>
        <v>7.8511598404932322E-3</v>
      </c>
      <c r="E767" s="6"/>
      <c r="F767" s="6"/>
      <c r="G767" s="6"/>
      <c r="H767" s="6"/>
    </row>
    <row r="768" spans="1:8" x14ac:dyDescent="0.25">
      <c r="A768" t="s">
        <v>815</v>
      </c>
      <c r="B768">
        <v>137.02000000000001</v>
      </c>
      <c r="C768" s="6">
        <f t="shared" si="25"/>
        <v>-1.6438159500394733E-2</v>
      </c>
      <c r="D768" s="6">
        <f t="shared" si="24"/>
        <v>-1.6574765143380469E-2</v>
      </c>
      <c r="E768" s="6"/>
      <c r="F768" s="6"/>
      <c r="G768" s="6"/>
      <c r="H768" s="6"/>
    </row>
    <row r="769" spans="1:8" x14ac:dyDescent="0.25">
      <c r="A769" t="s">
        <v>816</v>
      </c>
      <c r="B769">
        <v>139.31</v>
      </c>
      <c r="C769" s="6">
        <f t="shared" si="25"/>
        <v>-2.7979346915992132E-2</v>
      </c>
      <c r="D769" s="6">
        <f t="shared" si="24"/>
        <v>-2.8378226718619462E-2</v>
      </c>
      <c r="E769" s="6"/>
      <c r="F769" s="6"/>
      <c r="G769" s="6"/>
      <c r="H769" s="6"/>
    </row>
    <row r="770" spans="1:8" x14ac:dyDescent="0.25">
      <c r="A770" t="s">
        <v>817</v>
      </c>
      <c r="B770">
        <v>143.32</v>
      </c>
      <c r="C770" s="6">
        <f t="shared" si="25"/>
        <v>-2.8799891576878789E-2</v>
      </c>
      <c r="D770" s="6">
        <f t="shared" si="24"/>
        <v>-2.9222747038605092E-2</v>
      </c>
      <c r="E770" s="6"/>
      <c r="F770" s="6"/>
      <c r="G770" s="6"/>
      <c r="H770" s="6"/>
    </row>
    <row r="771" spans="1:8" x14ac:dyDescent="0.25">
      <c r="A771" t="s">
        <v>818</v>
      </c>
      <c r="B771">
        <v>147.57</v>
      </c>
      <c r="C771" s="6">
        <f t="shared" si="25"/>
        <v>2.0045621068639052E-2</v>
      </c>
      <c r="D771" s="6">
        <f t="shared" si="24"/>
        <v>1.9847352833859366E-2</v>
      </c>
      <c r="E771" s="6"/>
      <c r="F771" s="6"/>
      <c r="G771" s="6"/>
      <c r="H771" s="6"/>
    </row>
    <row r="772" spans="1:8" x14ac:dyDescent="0.25">
      <c r="A772" t="s">
        <v>819</v>
      </c>
      <c r="B772">
        <v>144.66999999999999</v>
      </c>
      <c r="C772" s="6">
        <f t="shared" si="25"/>
        <v>-1.2895742358078666E-2</v>
      </c>
      <c r="D772" s="6">
        <f t="shared" si="24"/>
        <v>-1.2979614284321353E-2</v>
      </c>
      <c r="E772" s="6"/>
      <c r="F772" s="6"/>
      <c r="G772" s="6"/>
      <c r="H772" s="6"/>
    </row>
    <row r="773" spans="1:8" x14ac:dyDescent="0.25">
      <c r="A773" t="s">
        <v>820</v>
      </c>
      <c r="B773">
        <v>146.56</v>
      </c>
      <c r="C773" s="6">
        <f t="shared" si="25"/>
        <v>-1.0131027961637229E-2</v>
      </c>
      <c r="D773" s="6">
        <f t="shared" si="24"/>
        <v>-1.0182696089132208E-2</v>
      </c>
      <c r="E773" s="6"/>
      <c r="F773" s="6"/>
      <c r="G773" s="6"/>
      <c r="H773" s="6"/>
    </row>
    <row r="774" spans="1:8" x14ac:dyDescent="0.25">
      <c r="A774" t="s">
        <v>821</v>
      </c>
      <c r="B774">
        <v>148.06</v>
      </c>
      <c r="C774" s="6">
        <f t="shared" si="25"/>
        <v>-9.9632230023404267E-3</v>
      </c>
      <c r="D774" s="6">
        <f t="shared" si="24"/>
        <v>-1.0013188061004812E-2</v>
      </c>
      <c r="E774" s="6"/>
      <c r="F774" s="6"/>
      <c r="G774" s="6"/>
      <c r="H774" s="6"/>
    </row>
    <row r="775" spans="1:8" x14ac:dyDescent="0.25">
      <c r="A775" t="s">
        <v>822</v>
      </c>
      <c r="B775">
        <v>149.55000000000001</v>
      </c>
      <c r="C775" s="6">
        <f t="shared" si="25"/>
        <v>-7.3675826363996944E-3</v>
      </c>
      <c r="D775" s="6">
        <f t="shared" si="24"/>
        <v>-7.3948573215914691E-3</v>
      </c>
      <c r="E775" s="6"/>
      <c r="F775" s="6"/>
      <c r="G775" s="6"/>
      <c r="H775" s="6"/>
    </row>
    <row r="776" spans="1:8" x14ac:dyDescent="0.25">
      <c r="A776" t="s">
        <v>823</v>
      </c>
      <c r="B776">
        <v>150.66</v>
      </c>
      <c r="C776" s="6">
        <f t="shared" si="25"/>
        <v>-1.2712975098296164E-2</v>
      </c>
      <c r="D776" s="6">
        <f t="shared" si="24"/>
        <v>-1.2794476452807952E-2</v>
      </c>
      <c r="E776" s="6"/>
      <c r="F776" s="6"/>
      <c r="G776" s="6"/>
      <c r="H776" s="6"/>
    </row>
    <row r="777" spans="1:8" x14ac:dyDescent="0.25">
      <c r="A777" t="s">
        <v>824</v>
      </c>
      <c r="B777">
        <v>152.6</v>
      </c>
      <c r="C777" s="6">
        <f t="shared" si="25"/>
        <v>8.8589184186169678E-3</v>
      </c>
      <c r="D777" s="6">
        <f t="shared" si="24"/>
        <v>8.8199084224731897E-3</v>
      </c>
      <c r="E777" s="6"/>
      <c r="F777" s="6"/>
      <c r="G777" s="6"/>
      <c r="H777" s="6"/>
    </row>
    <row r="778" spans="1:8" x14ac:dyDescent="0.25">
      <c r="A778" t="s">
        <v>825</v>
      </c>
      <c r="B778">
        <v>151.26</v>
      </c>
      <c r="C778" s="6">
        <f t="shared" si="25"/>
        <v>8.8708063763087708E-3</v>
      </c>
      <c r="D778" s="6">
        <f t="shared" si="24"/>
        <v>8.831691921071496E-3</v>
      </c>
      <c r="E778" s="6"/>
      <c r="F778" s="6"/>
      <c r="G778" s="6"/>
      <c r="H778" s="6"/>
    </row>
    <row r="779" spans="1:8" x14ac:dyDescent="0.25">
      <c r="A779" t="s">
        <v>826</v>
      </c>
      <c r="B779">
        <v>149.93</v>
      </c>
      <c r="C779" s="6">
        <f t="shared" si="25"/>
        <v>-1.7882876981527462E-2</v>
      </c>
      <c r="D779" s="6">
        <f t="shared" si="24"/>
        <v>-1.8044707863512408E-2</v>
      </c>
      <c r="E779" s="6"/>
      <c r="F779" s="6"/>
      <c r="G779" s="6"/>
      <c r="H779" s="6"/>
    </row>
    <row r="780" spans="1:8" x14ac:dyDescent="0.25">
      <c r="A780" t="s">
        <v>827</v>
      </c>
      <c r="B780">
        <v>152.66</v>
      </c>
      <c r="C780" s="6">
        <f t="shared" si="25"/>
        <v>2.5802983469963792E-2</v>
      </c>
      <c r="D780" s="6">
        <f t="shared" si="24"/>
        <v>2.5475704401209213E-2</v>
      </c>
      <c r="E780" s="6"/>
      <c r="F780" s="6"/>
      <c r="G780" s="6"/>
      <c r="H780" s="6"/>
    </row>
    <row r="781" spans="1:8" x14ac:dyDescent="0.25">
      <c r="A781" t="s">
        <v>828</v>
      </c>
      <c r="B781">
        <v>148.82</v>
      </c>
      <c r="C781" s="6">
        <f t="shared" si="25"/>
        <v>-3.481987411276366E-3</v>
      </c>
      <c r="D781" s="6">
        <f t="shared" si="24"/>
        <v>-3.4880636384405461E-3</v>
      </c>
      <c r="E781" s="6"/>
      <c r="F781" s="6"/>
      <c r="G781" s="6"/>
      <c r="H781" s="6"/>
    </row>
    <row r="782" spans="1:8" x14ac:dyDescent="0.25">
      <c r="A782" t="s">
        <v>829</v>
      </c>
      <c r="B782">
        <v>149.34</v>
      </c>
      <c r="C782" s="6">
        <f t="shared" si="25"/>
        <v>-7.2018890200708396E-2</v>
      </c>
      <c r="D782" s="6">
        <f t="shared" si="24"/>
        <v>-7.4743902222847866E-2</v>
      </c>
      <c r="E782" s="6"/>
      <c r="F782" s="6"/>
      <c r="G782" s="6"/>
      <c r="H782" s="6"/>
    </row>
    <row r="783" spans="1:8" x14ac:dyDescent="0.25">
      <c r="A783" t="s">
        <v>830</v>
      </c>
      <c r="B783">
        <v>160.93</v>
      </c>
      <c r="C783" s="6">
        <f t="shared" si="25"/>
        <v>7.3081282923251445E-2</v>
      </c>
      <c r="D783" s="6">
        <f t="shared" si="24"/>
        <v>7.0534213736814927E-2</v>
      </c>
      <c r="E783" s="6"/>
      <c r="F783" s="6"/>
      <c r="G783" s="6"/>
      <c r="H783" s="6"/>
    </row>
    <row r="784" spans="1:8" x14ac:dyDescent="0.25">
      <c r="A784" t="s">
        <v>831</v>
      </c>
      <c r="B784">
        <v>149.97</v>
      </c>
      <c r="C784" s="6">
        <f t="shared" si="25"/>
        <v>5.5309267468862E-2</v>
      </c>
      <c r="D784" s="6">
        <f t="shared" si="24"/>
        <v>5.3833868489818436E-2</v>
      </c>
      <c r="E784" s="6"/>
      <c r="F784" s="6"/>
      <c r="G784" s="6"/>
      <c r="H784" s="6"/>
    </row>
    <row r="785" spans="1:8" x14ac:dyDescent="0.25">
      <c r="A785" t="s">
        <v>832</v>
      </c>
      <c r="B785">
        <v>142.11000000000001</v>
      </c>
      <c r="C785" s="6">
        <f t="shared" si="25"/>
        <v>1.5434083601286286E-2</v>
      </c>
      <c r="D785" s="6">
        <f t="shared" si="24"/>
        <v>1.5316189642307692E-2</v>
      </c>
      <c r="E785" s="6"/>
      <c r="F785" s="6"/>
      <c r="G785" s="6"/>
      <c r="H785" s="6"/>
    </row>
    <row r="786" spans="1:8" x14ac:dyDescent="0.25">
      <c r="A786" t="s">
        <v>833</v>
      </c>
      <c r="B786">
        <v>139.94999999999999</v>
      </c>
      <c r="C786" s="6">
        <f t="shared" si="25"/>
        <v>-8.8526912181302597E-3</v>
      </c>
      <c r="D786" s="6">
        <f t="shared" si="24"/>
        <v>-8.8921090976791257E-3</v>
      </c>
      <c r="E786" s="6"/>
      <c r="F786" s="6"/>
      <c r="G786" s="6"/>
      <c r="H786" s="6"/>
    </row>
    <row r="787" spans="1:8" x14ac:dyDescent="0.25">
      <c r="A787" t="s">
        <v>834</v>
      </c>
      <c r="B787">
        <v>141.19999999999999</v>
      </c>
      <c r="C787" s="6">
        <f t="shared" si="25"/>
        <v>7.4200913242008504E-3</v>
      </c>
      <c r="D787" s="6">
        <f t="shared" si="24"/>
        <v>7.3926978710603308E-3</v>
      </c>
      <c r="E787" s="6"/>
      <c r="F787" s="6"/>
      <c r="G787" s="6"/>
      <c r="H787" s="6"/>
    </row>
    <row r="788" spans="1:8" x14ac:dyDescent="0.25">
      <c r="A788" t="s">
        <v>835</v>
      </c>
      <c r="B788">
        <v>140.16</v>
      </c>
      <c r="C788" s="6">
        <f t="shared" si="25"/>
        <v>2.5611005414898358E-2</v>
      </c>
      <c r="D788" s="6">
        <f t="shared" si="24"/>
        <v>2.5288537835449147E-2</v>
      </c>
      <c r="E788" s="6"/>
      <c r="F788" s="6"/>
      <c r="G788" s="6"/>
      <c r="H788" s="6"/>
    </row>
    <row r="789" spans="1:8" x14ac:dyDescent="0.25">
      <c r="A789" t="s">
        <v>836</v>
      </c>
      <c r="B789">
        <v>136.66</v>
      </c>
      <c r="C789" s="6">
        <f t="shared" si="25"/>
        <v>-2.3229218783503702E-2</v>
      </c>
      <c r="D789" s="6">
        <f t="shared" si="24"/>
        <v>-2.3503269392562316E-2</v>
      </c>
      <c r="E789" s="6"/>
      <c r="F789" s="6"/>
      <c r="G789" s="6"/>
      <c r="H789" s="6"/>
    </row>
    <row r="790" spans="1:8" x14ac:dyDescent="0.25">
      <c r="A790" t="s">
        <v>837</v>
      </c>
      <c r="B790">
        <v>139.91</v>
      </c>
      <c r="C790" s="6">
        <f t="shared" si="25"/>
        <v>2.8447515436636372E-2</v>
      </c>
      <c r="D790" s="6">
        <f t="shared" si="24"/>
        <v>2.8050398606199903E-2</v>
      </c>
      <c r="E790" s="6"/>
      <c r="F790" s="6"/>
      <c r="G790" s="6"/>
      <c r="H790" s="6"/>
    </row>
    <row r="791" spans="1:8" x14ac:dyDescent="0.25">
      <c r="A791" t="s">
        <v>838</v>
      </c>
      <c r="B791">
        <v>136.04</v>
      </c>
      <c r="C791" s="6">
        <f t="shared" si="25"/>
        <v>3.2248273768874736E-2</v>
      </c>
      <c r="D791" s="6">
        <f t="shared" si="24"/>
        <v>3.1739213483196832E-2</v>
      </c>
      <c r="E791" s="6"/>
      <c r="F791" s="6"/>
      <c r="G791" s="6"/>
      <c r="H791" s="6"/>
    </row>
    <row r="792" spans="1:8" x14ac:dyDescent="0.25">
      <c r="A792" t="s">
        <v>839</v>
      </c>
      <c r="B792">
        <v>131.79</v>
      </c>
      <c r="C792" s="6">
        <f t="shared" si="25"/>
        <v>-1.1920827710301451E-2</v>
      </c>
      <c r="D792" s="6">
        <f t="shared" si="24"/>
        <v>-1.1992450548362382E-2</v>
      </c>
      <c r="E792" s="6"/>
      <c r="F792" s="6"/>
      <c r="G792" s="6"/>
      <c r="H792" s="6"/>
    </row>
    <row r="793" spans="1:8" x14ac:dyDescent="0.25">
      <c r="A793" t="s">
        <v>840</v>
      </c>
      <c r="B793">
        <v>133.38</v>
      </c>
      <c r="C793" s="6">
        <f t="shared" si="25"/>
        <v>-2.989983555090503E-3</v>
      </c>
      <c r="D793" s="6">
        <f t="shared" si="24"/>
        <v>-2.9944624861018279E-3</v>
      </c>
      <c r="E793" s="6"/>
      <c r="F793" s="6"/>
      <c r="G793" s="6"/>
      <c r="H793" s="6"/>
    </row>
    <row r="794" spans="1:8" x14ac:dyDescent="0.25">
      <c r="A794" t="s">
        <v>841</v>
      </c>
      <c r="B794">
        <v>133.78</v>
      </c>
      <c r="C794" s="6">
        <f t="shared" si="25"/>
        <v>2.6392511891974779E-2</v>
      </c>
      <c r="D794" s="6">
        <f t="shared" si="24"/>
        <v>2.6050238786027611E-2</v>
      </c>
      <c r="E794" s="6"/>
      <c r="F794" s="6"/>
      <c r="G794" s="6"/>
      <c r="H794" s="6"/>
    </row>
    <row r="795" spans="1:8" x14ac:dyDescent="0.25">
      <c r="A795" t="s">
        <v>842</v>
      </c>
      <c r="B795">
        <v>130.34</v>
      </c>
      <c r="C795" s="6">
        <f t="shared" si="25"/>
        <v>-5.2141662424550872E-2</v>
      </c>
      <c r="D795" s="6">
        <f t="shared" si="24"/>
        <v>-5.3550220830618986E-2</v>
      </c>
      <c r="E795" s="6"/>
      <c r="F795" s="6"/>
      <c r="G795" s="6"/>
      <c r="H795" s="6"/>
    </row>
    <row r="796" spans="1:8" x14ac:dyDescent="0.25">
      <c r="A796" t="s">
        <v>843</v>
      </c>
      <c r="B796">
        <v>137.51</v>
      </c>
      <c r="C796" s="6">
        <f t="shared" si="25"/>
        <v>-7.4346759058755429E-3</v>
      </c>
      <c r="D796" s="6">
        <f t="shared" si="24"/>
        <v>-7.4624508596055983E-3</v>
      </c>
      <c r="E796" s="6"/>
      <c r="F796" s="6"/>
      <c r="G796" s="6"/>
      <c r="H796" s="6"/>
    </row>
    <row r="797" spans="1:8" x14ac:dyDescent="0.25">
      <c r="A797" t="s">
        <v>844</v>
      </c>
      <c r="B797">
        <v>138.54</v>
      </c>
      <c r="C797" s="6">
        <f t="shared" si="25"/>
        <v>4.7957639939485652E-2</v>
      </c>
      <c r="D797" s="6">
        <f t="shared" si="24"/>
        <v>4.6843165176873099E-2</v>
      </c>
      <c r="E797" s="6"/>
      <c r="F797" s="6"/>
      <c r="G797" s="6"/>
      <c r="H797" s="6"/>
    </row>
    <row r="798" spans="1:8" x14ac:dyDescent="0.25">
      <c r="A798" t="s">
        <v>845</v>
      </c>
      <c r="B798">
        <v>132.19999999999999</v>
      </c>
      <c r="C798" s="6">
        <f t="shared" si="25"/>
        <v>2.0140442935411507E-2</v>
      </c>
      <c r="D798" s="6">
        <f t="shared" si="24"/>
        <v>1.9940306970262625E-2</v>
      </c>
      <c r="E798" s="6"/>
      <c r="F798" s="6"/>
      <c r="G798" s="6"/>
      <c r="H798" s="6"/>
    </row>
    <row r="799" spans="1:8" x14ac:dyDescent="0.25">
      <c r="A799" t="s">
        <v>846</v>
      </c>
      <c r="B799">
        <v>129.59</v>
      </c>
      <c r="C799" s="6">
        <f t="shared" si="25"/>
        <v>1.1079035655769731E-2</v>
      </c>
      <c r="D799" s="6">
        <f t="shared" si="24"/>
        <v>1.1018112705590517E-2</v>
      </c>
      <c r="E799" s="6"/>
      <c r="F799" s="6"/>
      <c r="G799" s="6"/>
      <c r="H799" s="6"/>
    </row>
    <row r="800" spans="1:8" x14ac:dyDescent="0.25">
      <c r="A800" t="s">
        <v>847</v>
      </c>
      <c r="B800">
        <v>128.16999999999999</v>
      </c>
      <c r="C800" s="6">
        <f t="shared" si="25"/>
        <v>-3.4719084199427708E-2</v>
      </c>
      <c r="D800" s="6">
        <f t="shared" si="24"/>
        <v>-3.5336115549280726E-2</v>
      </c>
      <c r="E800" s="6"/>
      <c r="F800" s="6"/>
      <c r="G800" s="6"/>
      <c r="H800" s="6"/>
    </row>
    <row r="801" spans="1:8" x14ac:dyDescent="0.25">
      <c r="A801" t="s">
        <v>848</v>
      </c>
      <c r="B801">
        <v>132.78</v>
      </c>
      <c r="C801" s="6">
        <f t="shared" si="25"/>
        <v>1.042538619587563E-2</v>
      </c>
      <c r="D801" s="6">
        <f t="shared" si="24"/>
        <v>1.0371416635466741E-2</v>
      </c>
      <c r="E801" s="6"/>
      <c r="F801" s="6"/>
      <c r="G801" s="6"/>
      <c r="H801" s="6"/>
    </row>
    <row r="802" spans="1:8" x14ac:dyDescent="0.25">
      <c r="A802" t="s">
        <v>849</v>
      </c>
      <c r="B802">
        <v>131.41</v>
      </c>
      <c r="C802" s="6">
        <f t="shared" si="25"/>
        <v>8.9059500959691729E-3</v>
      </c>
      <c r="D802" s="6">
        <f t="shared" si="24"/>
        <v>8.8665260220702584E-3</v>
      </c>
      <c r="E802" s="6"/>
      <c r="F802" s="6"/>
      <c r="G802" s="6"/>
      <c r="H802" s="6"/>
    </row>
    <row r="803" spans="1:8" x14ac:dyDescent="0.25">
      <c r="A803" t="s">
        <v>850</v>
      </c>
      <c r="B803">
        <v>130.25</v>
      </c>
      <c r="C803" s="6">
        <f t="shared" si="25"/>
        <v>-2.2073729258953345E-2</v>
      </c>
      <c r="D803" s="6">
        <f t="shared" si="24"/>
        <v>-2.2320999579462854E-2</v>
      </c>
      <c r="E803" s="6"/>
      <c r="F803" s="6"/>
      <c r="G803" s="6"/>
      <c r="H803" s="6"/>
    </row>
    <row r="804" spans="1:8" x14ac:dyDescent="0.25">
      <c r="A804" t="s">
        <v>851</v>
      </c>
      <c r="B804">
        <v>133.19</v>
      </c>
      <c r="C804" s="6">
        <f t="shared" si="25"/>
        <v>-2.7597284076805173E-2</v>
      </c>
      <c r="D804" s="6">
        <f t="shared" si="24"/>
        <v>-2.7985243533790689E-2</v>
      </c>
      <c r="E804" s="6"/>
      <c r="F804" s="6"/>
      <c r="G804" s="6"/>
      <c r="H804" s="6"/>
    </row>
    <row r="805" spans="1:8" x14ac:dyDescent="0.25">
      <c r="A805" t="s">
        <v>852</v>
      </c>
      <c r="B805">
        <v>136.97</v>
      </c>
      <c r="C805" s="6">
        <f t="shared" si="25"/>
        <v>-3.0569910473832174E-3</v>
      </c>
      <c r="D805" s="6">
        <f t="shared" si="24"/>
        <v>-3.06167318912687E-3</v>
      </c>
      <c r="E805" s="6"/>
      <c r="F805" s="6"/>
      <c r="G805" s="6"/>
      <c r="H805" s="6"/>
    </row>
    <row r="806" spans="1:8" x14ac:dyDescent="0.25">
      <c r="A806" t="s">
        <v>853</v>
      </c>
      <c r="B806">
        <v>137.38999999999999</v>
      </c>
      <c r="C806" s="6">
        <f t="shared" si="25"/>
        <v>1.3499557391560835E-2</v>
      </c>
      <c r="D806" s="6">
        <f t="shared" si="24"/>
        <v>1.3409250197006168E-2</v>
      </c>
      <c r="E806" s="6"/>
      <c r="F806" s="6"/>
      <c r="G806" s="6"/>
      <c r="H806" s="6"/>
    </row>
    <row r="807" spans="1:8" x14ac:dyDescent="0.25">
      <c r="A807" t="s">
        <v>854</v>
      </c>
      <c r="B807">
        <v>135.56</v>
      </c>
      <c r="C807" s="6">
        <f t="shared" si="25"/>
        <v>-2.6149425287356198E-2</v>
      </c>
      <c r="D807" s="6">
        <f t="shared" si="24"/>
        <v>-2.6497401161468558E-2</v>
      </c>
      <c r="E807" s="6"/>
      <c r="F807" s="6"/>
      <c r="G807" s="6"/>
      <c r="H807" s="6"/>
    </row>
    <row r="808" spans="1:8" x14ac:dyDescent="0.25">
      <c r="A808" t="s">
        <v>855</v>
      </c>
      <c r="B808">
        <v>139.19999999999999</v>
      </c>
      <c r="C808" s="6">
        <f t="shared" si="25"/>
        <v>5.5623780972331449E-3</v>
      </c>
      <c r="D808" s="6">
        <f t="shared" si="24"/>
        <v>5.5469652006755535E-3</v>
      </c>
      <c r="E808" s="6"/>
      <c r="F808" s="6"/>
      <c r="G808" s="6"/>
      <c r="H808" s="6"/>
    </row>
    <row r="809" spans="1:8" x14ac:dyDescent="0.25">
      <c r="A809" t="s">
        <v>856</v>
      </c>
      <c r="B809">
        <v>138.43</v>
      </c>
      <c r="C809" s="6">
        <f t="shared" si="25"/>
        <v>3.1059138984060874E-2</v>
      </c>
      <c r="D809" s="6">
        <f t="shared" si="24"/>
        <v>3.0586564189038233E-2</v>
      </c>
      <c r="E809" s="6"/>
      <c r="F809" s="6"/>
      <c r="G809" s="6"/>
      <c r="H809" s="6"/>
    </row>
    <row r="810" spans="1:8" x14ac:dyDescent="0.25">
      <c r="A810" t="s">
        <v>857</v>
      </c>
      <c r="B810">
        <v>134.26</v>
      </c>
      <c r="C810" s="6">
        <f t="shared" si="25"/>
        <v>-8.3462589556096978E-3</v>
      </c>
      <c r="D810" s="6">
        <f t="shared" si="24"/>
        <v>-8.3812839964140205E-3</v>
      </c>
      <c r="E810" s="6"/>
      <c r="F810" s="6"/>
      <c r="G810" s="6"/>
      <c r="H810" s="6"/>
    </row>
    <row r="811" spans="1:8" x14ac:dyDescent="0.25">
      <c r="A811" t="s">
        <v>858</v>
      </c>
      <c r="B811">
        <v>135.38999999999999</v>
      </c>
      <c r="C811" s="6">
        <f t="shared" si="25"/>
        <v>4.0021508680288642E-2</v>
      </c>
      <c r="D811" s="6">
        <f t="shared" si="24"/>
        <v>3.924139436277807E-2</v>
      </c>
      <c r="E811" s="6"/>
      <c r="F811" s="6"/>
      <c r="G811" s="6"/>
      <c r="H811" s="6"/>
    </row>
    <row r="812" spans="1:8" x14ac:dyDescent="0.25">
      <c r="A812" t="s">
        <v>859</v>
      </c>
      <c r="B812">
        <v>130.18</v>
      </c>
      <c r="C812" s="6">
        <f t="shared" si="25"/>
        <v>-1.1391251518833578E-2</v>
      </c>
      <c r="D812" s="6">
        <f t="shared" si="24"/>
        <v>-1.1456628784518468E-2</v>
      </c>
      <c r="E812" s="6"/>
      <c r="F812" s="6"/>
      <c r="G812" s="6"/>
      <c r="H812" s="6"/>
    </row>
    <row r="813" spans="1:8" x14ac:dyDescent="0.25">
      <c r="A813" t="s">
        <v>860</v>
      </c>
      <c r="B813">
        <v>131.68</v>
      </c>
      <c r="C813" s="6">
        <f t="shared" si="25"/>
        <v>1.7855762541547415E-2</v>
      </c>
      <c r="D813" s="6">
        <f t="shared" si="24"/>
        <v>1.7698220998949049E-2</v>
      </c>
      <c r="E813" s="6"/>
      <c r="F813" s="6"/>
      <c r="G813" s="6"/>
      <c r="H813" s="6"/>
    </row>
    <row r="814" spans="1:8" x14ac:dyDescent="0.25">
      <c r="A814" t="s">
        <v>861</v>
      </c>
      <c r="B814">
        <v>129.37</v>
      </c>
      <c r="C814" s="6">
        <f t="shared" si="25"/>
        <v>-1.4023321393186516E-2</v>
      </c>
      <c r="D814" s="6">
        <f t="shared" si="24"/>
        <v>-1.4122577187813831E-2</v>
      </c>
      <c r="E814" s="6"/>
      <c r="F814" s="6"/>
      <c r="G814" s="6"/>
      <c r="H814" s="6"/>
    </row>
    <row r="815" spans="1:8" x14ac:dyDescent="0.25">
      <c r="A815" t="s">
        <v>862</v>
      </c>
      <c r="B815">
        <v>131.21</v>
      </c>
      <c r="C815" s="6">
        <f t="shared" si="25"/>
        <v>3.5949212176840106E-3</v>
      </c>
      <c r="D815" s="6">
        <f t="shared" si="24"/>
        <v>3.588474933040907E-3</v>
      </c>
      <c r="E815" s="6"/>
      <c r="F815" s="6"/>
      <c r="G815" s="6"/>
      <c r="H815" s="6"/>
    </row>
    <row r="816" spans="1:8" x14ac:dyDescent="0.25">
      <c r="A816" t="s">
        <v>863</v>
      </c>
      <c r="B816">
        <v>130.74</v>
      </c>
      <c r="C816" s="6">
        <f t="shared" si="25"/>
        <v>-2.5177386129547896E-3</v>
      </c>
      <c r="D816" s="6">
        <f t="shared" si="24"/>
        <v>-2.5209134468705736E-3</v>
      </c>
      <c r="E816" s="6"/>
      <c r="F816" s="6"/>
      <c r="G816" s="6"/>
      <c r="H816" s="6"/>
    </row>
    <row r="817" spans="1:8" x14ac:dyDescent="0.25">
      <c r="A817" t="s">
        <v>864</v>
      </c>
      <c r="B817">
        <v>131.07</v>
      </c>
      <c r="C817" s="6">
        <f t="shared" si="25"/>
        <v>4.5987583352493644E-3</v>
      </c>
      <c r="D817" s="6">
        <f t="shared" si="24"/>
        <v>4.5882163537973603E-3</v>
      </c>
      <c r="E817" s="6"/>
      <c r="F817" s="6"/>
      <c r="G817" s="6"/>
      <c r="H817" s="6"/>
    </row>
    <row r="818" spans="1:8" x14ac:dyDescent="0.25">
      <c r="A818" t="s">
        <v>865</v>
      </c>
      <c r="B818">
        <v>130.47</v>
      </c>
      <c r="C818" s="6">
        <f t="shared" si="25"/>
        <v>-6.3970756225725234E-3</v>
      </c>
      <c r="D818" s="6">
        <f t="shared" si="24"/>
        <v>-6.4176245932569213E-3</v>
      </c>
      <c r="E818" s="6"/>
      <c r="F818" s="6"/>
      <c r="G818" s="6"/>
      <c r="H818" s="6"/>
    </row>
    <row r="819" spans="1:8" x14ac:dyDescent="0.25">
      <c r="A819" t="s">
        <v>866</v>
      </c>
      <c r="B819">
        <v>131.31</v>
      </c>
      <c r="C819" s="6">
        <f t="shared" si="25"/>
        <v>1.0387811634348987E-2</v>
      </c>
      <c r="D819" s="6">
        <f t="shared" ref="D819:D882" si="26">LN(B819/B820)</f>
        <v>1.0334229070014064E-2</v>
      </c>
      <c r="E819" s="6"/>
      <c r="F819" s="6"/>
      <c r="G819" s="6"/>
      <c r="H819" s="6"/>
    </row>
    <row r="820" spans="1:8" x14ac:dyDescent="0.25">
      <c r="A820" t="s">
        <v>867</v>
      </c>
      <c r="B820">
        <v>129.96</v>
      </c>
      <c r="C820" s="6">
        <f t="shared" ref="C820:C883" si="27">(B820/B821)-1</f>
        <v>-6.9204152249136008E-4</v>
      </c>
      <c r="D820" s="6">
        <f t="shared" si="26"/>
        <v>-6.9228109376100687E-4</v>
      </c>
      <c r="E820" s="6"/>
      <c r="F820" s="6"/>
      <c r="G820" s="6"/>
      <c r="H820" s="6"/>
    </row>
    <row r="821" spans="1:8" x14ac:dyDescent="0.25">
      <c r="A821" t="s">
        <v>868</v>
      </c>
      <c r="B821">
        <v>130.05000000000001</v>
      </c>
      <c r="C821" s="6">
        <f t="shared" si="27"/>
        <v>-3.7379718726868849E-2</v>
      </c>
      <c r="D821" s="6">
        <f t="shared" si="26"/>
        <v>-3.8096253071492482E-2</v>
      </c>
      <c r="E821" s="6"/>
      <c r="F821" s="6"/>
      <c r="G821" s="6"/>
      <c r="H821" s="6"/>
    </row>
    <row r="822" spans="1:8" x14ac:dyDescent="0.25">
      <c r="A822" t="s">
        <v>869</v>
      </c>
      <c r="B822">
        <v>135.1</v>
      </c>
      <c r="C822" s="6">
        <f t="shared" si="27"/>
        <v>-3.9459651617490321E-2</v>
      </c>
      <c r="D822" s="6">
        <f t="shared" si="26"/>
        <v>-4.0259289969712786E-2</v>
      </c>
      <c r="E822" s="6"/>
      <c r="F822" s="6"/>
      <c r="G822" s="6"/>
      <c r="H822" s="6"/>
    </row>
    <row r="823" spans="1:8" x14ac:dyDescent="0.25">
      <c r="A823" t="s">
        <v>870</v>
      </c>
      <c r="B823">
        <v>140.65</v>
      </c>
      <c r="C823" s="6">
        <f t="shared" si="27"/>
        <v>-3.047916075985313E-3</v>
      </c>
      <c r="D823" s="6">
        <f t="shared" si="26"/>
        <v>-3.0525704319854458E-3</v>
      </c>
      <c r="E823" s="6"/>
      <c r="F823" s="6"/>
      <c r="G823" s="6"/>
      <c r="H823" s="6"/>
    </row>
    <row r="824" spans="1:8" x14ac:dyDescent="0.25">
      <c r="A824" t="s">
        <v>871</v>
      </c>
      <c r="B824">
        <v>141.08000000000001</v>
      </c>
      <c r="C824" s="6">
        <f t="shared" si="27"/>
        <v>-1.4184892739850463E-2</v>
      </c>
      <c r="D824" s="6">
        <f t="shared" si="26"/>
        <v>-1.4286459954933205E-2</v>
      </c>
      <c r="E824" s="6"/>
      <c r="F824" s="6"/>
      <c r="G824" s="6"/>
      <c r="H824" s="6"/>
    </row>
    <row r="825" spans="1:8" x14ac:dyDescent="0.25">
      <c r="A825" t="s">
        <v>872</v>
      </c>
      <c r="B825">
        <v>143.11000000000001</v>
      </c>
      <c r="C825" s="6">
        <f t="shared" si="27"/>
        <v>-3.2844495505845672E-2</v>
      </c>
      <c r="D825" s="6">
        <f t="shared" si="26"/>
        <v>-3.3395985191658289E-2</v>
      </c>
      <c r="E825" s="6"/>
      <c r="F825" s="6"/>
      <c r="G825" s="6"/>
      <c r="H825" s="6"/>
    </row>
    <row r="826" spans="1:8" x14ac:dyDescent="0.25">
      <c r="A826" t="s">
        <v>873</v>
      </c>
      <c r="B826">
        <v>147.97</v>
      </c>
      <c r="C826" s="6">
        <f t="shared" si="27"/>
        <v>1.3493150684931399E-2</v>
      </c>
      <c r="D826" s="6">
        <f t="shared" si="26"/>
        <v>1.340292880610631E-2</v>
      </c>
      <c r="E826" s="6"/>
      <c r="F826" s="6"/>
      <c r="G826" s="6"/>
      <c r="H826" s="6"/>
    </row>
    <row r="827" spans="1:8" x14ac:dyDescent="0.25">
      <c r="A827" t="s">
        <v>874</v>
      </c>
      <c r="B827">
        <v>146</v>
      </c>
      <c r="C827" s="6">
        <f t="shared" si="27"/>
        <v>-2.6407041877834159E-2</v>
      </c>
      <c r="D827" s="6">
        <f t="shared" si="26"/>
        <v>-2.6761970159374909E-2</v>
      </c>
      <c r="E827" s="6"/>
      <c r="F827" s="6"/>
      <c r="G827" s="6"/>
      <c r="H827" s="6"/>
    </row>
    <row r="828" spans="1:8" x14ac:dyDescent="0.25">
      <c r="A828" t="s">
        <v>875</v>
      </c>
      <c r="B828">
        <v>149.96</v>
      </c>
      <c r="C828" s="6">
        <f t="shared" si="27"/>
        <v>1.4545700561531705E-2</v>
      </c>
      <c r="D828" s="6">
        <f t="shared" si="26"/>
        <v>1.4440926643729876E-2</v>
      </c>
      <c r="E828" s="6"/>
      <c r="F828" s="6"/>
      <c r="G828" s="6"/>
      <c r="H828" s="6"/>
    </row>
    <row r="829" spans="1:8" x14ac:dyDescent="0.25">
      <c r="A829" t="s">
        <v>876</v>
      </c>
      <c r="B829">
        <v>147.81</v>
      </c>
      <c r="C829" s="6">
        <f t="shared" si="27"/>
        <v>3.3708650954612063E-2</v>
      </c>
      <c r="D829" s="6">
        <f t="shared" si="26"/>
        <v>3.3152967479225394E-2</v>
      </c>
      <c r="E829" s="6"/>
      <c r="F829" s="6"/>
      <c r="G829" s="6"/>
      <c r="H829" s="6"/>
    </row>
    <row r="830" spans="1:8" x14ac:dyDescent="0.25">
      <c r="A830" t="s">
        <v>877</v>
      </c>
      <c r="B830">
        <v>142.99</v>
      </c>
      <c r="C830" s="6">
        <f t="shared" si="27"/>
        <v>-2.1554673600656771E-2</v>
      </c>
      <c r="D830" s="6">
        <f t="shared" si="26"/>
        <v>-2.179036861831575E-2</v>
      </c>
      <c r="E830" s="6"/>
      <c r="F830" s="6"/>
      <c r="G830" s="6"/>
      <c r="H830" s="6"/>
    </row>
    <row r="831" spans="1:8" x14ac:dyDescent="0.25">
      <c r="A831" t="s">
        <v>878</v>
      </c>
      <c r="B831">
        <v>146.13999999999999</v>
      </c>
      <c r="C831" s="6">
        <f t="shared" si="27"/>
        <v>-1.2434112717934931E-2</v>
      </c>
      <c r="D831" s="6">
        <f t="shared" si="26"/>
        <v>-1.2512063134333196E-2</v>
      </c>
      <c r="E831" s="6"/>
      <c r="F831" s="6"/>
      <c r="G831" s="6"/>
      <c r="H831" s="6"/>
    </row>
    <row r="832" spans="1:8" x14ac:dyDescent="0.25">
      <c r="A832" t="s">
        <v>879</v>
      </c>
      <c r="B832">
        <v>147.97999999999999</v>
      </c>
      <c r="C832" s="6">
        <f t="shared" si="27"/>
        <v>5.2115179523640087E-2</v>
      </c>
      <c r="D832" s="6">
        <f t="shared" si="26"/>
        <v>5.0802594561538877E-2</v>
      </c>
      <c r="E832" s="6"/>
      <c r="F832" s="6"/>
      <c r="G832" s="6"/>
      <c r="H832" s="6"/>
    </row>
    <row r="833" spans="1:8" x14ac:dyDescent="0.25">
      <c r="A833" t="s">
        <v>880</v>
      </c>
      <c r="B833">
        <v>140.65</v>
      </c>
      <c r="C833" s="6">
        <f t="shared" si="27"/>
        <v>3.0931613281536263E-2</v>
      </c>
      <c r="D833" s="6">
        <f t="shared" si="26"/>
        <v>3.0462872361083054E-2</v>
      </c>
      <c r="E833" s="6"/>
      <c r="F833" s="6"/>
      <c r="G833" s="6"/>
      <c r="H833" s="6"/>
    </row>
    <row r="834" spans="1:8" x14ac:dyDescent="0.25">
      <c r="A834" t="s">
        <v>881</v>
      </c>
      <c r="B834">
        <v>136.43</v>
      </c>
      <c r="C834" s="6">
        <f t="shared" si="27"/>
        <v>6.1209439528024934E-3</v>
      </c>
      <c r="D834" s="6">
        <f t="shared" si="26"/>
        <v>6.1022870684876857E-3</v>
      </c>
      <c r="E834" s="6"/>
      <c r="F834" s="6"/>
      <c r="G834" s="6"/>
      <c r="H834" s="6"/>
    </row>
    <row r="835" spans="1:8" x14ac:dyDescent="0.25">
      <c r="A835" t="s">
        <v>882</v>
      </c>
      <c r="B835">
        <v>135.6</v>
      </c>
      <c r="C835" s="6">
        <f t="shared" si="27"/>
        <v>3.6266745614683682E-3</v>
      </c>
      <c r="D835" s="6">
        <f t="shared" si="26"/>
        <v>3.6201140344273991E-3</v>
      </c>
      <c r="E835" s="6"/>
      <c r="F835" s="6"/>
      <c r="G835" s="6"/>
      <c r="H835" s="6"/>
    </row>
    <row r="836" spans="1:8" x14ac:dyDescent="0.25">
      <c r="A836" t="s">
        <v>883</v>
      </c>
      <c r="B836">
        <v>135.11000000000001</v>
      </c>
      <c r="C836" s="6">
        <f t="shared" si="27"/>
        <v>1.5711923019094964E-2</v>
      </c>
      <c r="D836" s="6">
        <f t="shared" si="26"/>
        <v>1.5589768615592723E-2</v>
      </c>
      <c r="E836" s="6"/>
      <c r="F836" s="6"/>
      <c r="G836" s="6"/>
      <c r="H836" s="6"/>
    </row>
    <row r="837" spans="1:8" x14ac:dyDescent="0.25">
      <c r="A837" t="s">
        <v>884</v>
      </c>
      <c r="B837">
        <v>133.02000000000001</v>
      </c>
      <c r="C837" s="6">
        <f t="shared" si="27"/>
        <v>-6.2752129090094533E-3</v>
      </c>
      <c r="D837" s="6">
        <f t="shared" si="26"/>
        <v>-6.2949848162210881E-3</v>
      </c>
      <c r="E837" s="6"/>
      <c r="F837" s="6"/>
      <c r="G837" s="6"/>
      <c r="H837" s="6"/>
    </row>
    <row r="838" spans="1:8" x14ac:dyDescent="0.25">
      <c r="A838" t="s">
        <v>885</v>
      </c>
      <c r="B838">
        <v>133.86000000000001</v>
      </c>
      <c r="C838" s="6">
        <f t="shared" si="27"/>
        <v>7.9060311723515575E-3</v>
      </c>
      <c r="D838" s="6">
        <f t="shared" si="26"/>
        <v>7.8749422603368747E-3</v>
      </c>
      <c r="E838" s="6"/>
      <c r="F838" s="6"/>
      <c r="G838" s="6"/>
      <c r="H838" s="6"/>
    </row>
    <row r="839" spans="1:8" x14ac:dyDescent="0.25">
      <c r="A839" t="s">
        <v>886</v>
      </c>
      <c r="B839">
        <v>132.81</v>
      </c>
      <c r="C839" s="6">
        <f t="shared" si="27"/>
        <v>-3.9748012599369886E-3</v>
      </c>
      <c r="D839" s="6">
        <f t="shared" si="26"/>
        <v>-3.9827217777545975E-3</v>
      </c>
      <c r="E839" s="6"/>
      <c r="F839" s="6"/>
      <c r="G839" s="6"/>
      <c r="H839" s="6"/>
    </row>
    <row r="840" spans="1:8" x14ac:dyDescent="0.25">
      <c r="A840" t="s">
        <v>887</v>
      </c>
      <c r="B840">
        <v>133.34</v>
      </c>
      <c r="C840" s="6">
        <f t="shared" si="27"/>
        <v>7.9371078690755326E-3</v>
      </c>
      <c r="D840" s="6">
        <f t="shared" si="26"/>
        <v>7.9057747156252509E-3</v>
      </c>
      <c r="E840" s="6"/>
      <c r="F840" s="6"/>
      <c r="G840" s="6"/>
      <c r="H840" s="6"/>
    </row>
    <row r="841" spans="1:8" x14ac:dyDescent="0.25">
      <c r="A841" t="s">
        <v>888</v>
      </c>
      <c r="B841">
        <v>132.29</v>
      </c>
      <c r="C841" s="6">
        <f t="shared" si="27"/>
        <v>1.7380604475890182E-2</v>
      </c>
      <c r="D841" s="6">
        <f t="shared" si="26"/>
        <v>1.7231289411060228E-2</v>
      </c>
      <c r="E841" s="6"/>
      <c r="F841" s="6"/>
      <c r="G841" s="6"/>
      <c r="H841" s="6"/>
    </row>
    <row r="842" spans="1:8" x14ac:dyDescent="0.25">
      <c r="A842" t="s">
        <v>889</v>
      </c>
      <c r="B842">
        <v>130.03</v>
      </c>
      <c r="C842" s="6">
        <f t="shared" si="27"/>
        <v>-8.4524358383264442E-4</v>
      </c>
      <c r="D842" s="6">
        <f t="shared" si="26"/>
        <v>-8.4560100360935757E-4</v>
      </c>
      <c r="E842" s="6"/>
      <c r="F842" s="6"/>
      <c r="G842" s="6"/>
      <c r="H842" s="6"/>
    </row>
    <row r="843" spans="1:8" x14ac:dyDescent="0.25">
      <c r="A843" t="s">
        <v>890</v>
      </c>
      <c r="B843">
        <v>130.13999999999999</v>
      </c>
      <c r="C843" s="6">
        <f t="shared" si="27"/>
        <v>4.0117265854033857E-3</v>
      </c>
      <c r="D843" s="6">
        <f t="shared" si="26"/>
        <v>4.0037010672679769E-3</v>
      </c>
      <c r="E843" s="6"/>
      <c r="F843" s="6"/>
      <c r="G843" s="6"/>
      <c r="H843" s="6"/>
    </row>
    <row r="844" spans="1:8" x14ac:dyDescent="0.25">
      <c r="A844" t="s">
        <v>891</v>
      </c>
      <c r="B844">
        <v>129.62</v>
      </c>
      <c r="C844" s="6">
        <f t="shared" si="27"/>
        <v>4.8840995426002731E-3</v>
      </c>
      <c r="D844" s="6">
        <f t="shared" si="26"/>
        <v>4.8722110225252633E-3</v>
      </c>
      <c r="E844" s="6"/>
      <c r="F844" s="6"/>
      <c r="G844" s="6"/>
      <c r="H844" s="6"/>
    </row>
    <row r="845" spans="1:8" x14ac:dyDescent="0.25">
      <c r="A845" t="s">
        <v>892</v>
      </c>
      <c r="B845">
        <v>128.99</v>
      </c>
      <c r="C845" s="6">
        <f t="shared" si="27"/>
        <v>8.4434367914940633E-3</v>
      </c>
      <c r="D845" s="6">
        <f t="shared" si="26"/>
        <v>8.407990365742999E-3</v>
      </c>
      <c r="E845" s="6"/>
      <c r="F845" s="6"/>
      <c r="G845" s="6"/>
      <c r="H845" s="6"/>
    </row>
    <row r="846" spans="1:8" x14ac:dyDescent="0.25">
      <c r="A846" t="s">
        <v>893</v>
      </c>
      <c r="B846">
        <v>127.91</v>
      </c>
      <c r="C846" s="6">
        <f t="shared" si="27"/>
        <v>-1.5319476520400332E-2</v>
      </c>
      <c r="D846" s="6">
        <f t="shared" si="26"/>
        <v>-1.5438032065252093E-2</v>
      </c>
      <c r="E846" s="6"/>
      <c r="F846" s="6"/>
      <c r="G846" s="6"/>
      <c r="H846" s="6"/>
    </row>
    <row r="847" spans="1:8" x14ac:dyDescent="0.25">
      <c r="A847" t="s">
        <v>894</v>
      </c>
      <c r="B847">
        <v>129.9</v>
      </c>
      <c r="C847" s="6">
        <f t="shared" si="27"/>
        <v>1.058036408899965E-2</v>
      </c>
      <c r="D847" s="6">
        <f t="shared" si="26"/>
        <v>1.0524783733413841E-2</v>
      </c>
      <c r="E847" s="6"/>
      <c r="F847" s="6"/>
      <c r="G847" s="6"/>
      <c r="H847" s="6"/>
    </row>
    <row r="848" spans="1:8" x14ac:dyDescent="0.25">
      <c r="A848" t="s">
        <v>895</v>
      </c>
      <c r="B848">
        <v>128.54</v>
      </c>
      <c r="C848" s="6">
        <f t="shared" si="27"/>
        <v>3.2283970446514543E-2</v>
      </c>
      <c r="D848" s="6">
        <f t="shared" si="26"/>
        <v>3.1773794369732641E-2</v>
      </c>
      <c r="E848" s="6"/>
      <c r="F848" s="6"/>
      <c r="G848" s="6"/>
      <c r="H848" s="6"/>
    </row>
    <row r="849" spans="1:8" x14ac:dyDescent="0.25">
      <c r="A849" t="s">
        <v>896</v>
      </c>
      <c r="B849">
        <v>124.52</v>
      </c>
      <c r="C849" s="6">
        <f t="shared" si="27"/>
        <v>-1.2686330478908991E-2</v>
      </c>
      <c r="D849" s="6">
        <f t="shared" si="26"/>
        <v>-1.2767489103452665E-2</v>
      </c>
      <c r="E849" s="6"/>
      <c r="F849" s="6"/>
      <c r="G849" s="6"/>
      <c r="H849" s="6"/>
    </row>
    <row r="850" spans="1:8" x14ac:dyDescent="0.25">
      <c r="A850" t="s">
        <v>897</v>
      </c>
      <c r="B850">
        <v>126.12</v>
      </c>
      <c r="C850" s="6">
        <f t="shared" si="27"/>
        <v>-4.0274816394219037E-3</v>
      </c>
      <c r="D850" s="6">
        <f t="shared" si="26"/>
        <v>-4.0356137856569687E-3</v>
      </c>
      <c r="E850" s="6"/>
      <c r="F850" s="6"/>
      <c r="G850" s="6"/>
      <c r="H850" s="6"/>
    </row>
    <row r="851" spans="1:8" x14ac:dyDescent="0.25">
      <c r="A851" t="s">
        <v>898</v>
      </c>
      <c r="B851">
        <v>126.63</v>
      </c>
      <c r="C851" s="6">
        <f t="shared" si="27"/>
        <v>-4.4229753188919974E-2</v>
      </c>
      <c r="D851" s="6">
        <f t="shared" si="26"/>
        <v>-4.5237722417514767E-2</v>
      </c>
      <c r="E851" s="6"/>
      <c r="F851" s="6"/>
      <c r="G851" s="6"/>
      <c r="H851" s="6"/>
    </row>
    <row r="852" spans="1:8" x14ac:dyDescent="0.25">
      <c r="A852" t="s">
        <v>899</v>
      </c>
      <c r="B852">
        <v>132.49</v>
      </c>
      <c r="C852" s="6">
        <f t="shared" si="27"/>
        <v>-2.1636390488849355E-2</v>
      </c>
      <c r="D852" s="6">
        <f t="shared" si="26"/>
        <v>-2.1873889177467392E-2</v>
      </c>
      <c r="E852" s="6"/>
      <c r="F852" s="6"/>
      <c r="G852" s="6"/>
      <c r="H852" s="6"/>
    </row>
    <row r="853" spans="1:8" x14ac:dyDescent="0.25">
      <c r="A853" t="s">
        <v>900</v>
      </c>
      <c r="B853">
        <v>135.41999999999999</v>
      </c>
      <c r="C853" s="6">
        <f t="shared" si="27"/>
        <v>3.7939756265808144E-2</v>
      </c>
      <c r="D853" s="6">
        <f t="shared" si="26"/>
        <v>3.723774477984252E-2</v>
      </c>
      <c r="E853" s="6"/>
      <c r="F853" s="6"/>
      <c r="G853" s="6"/>
      <c r="H853" s="6"/>
    </row>
    <row r="854" spans="1:8" x14ac:dyDescent="0.25">
      <c r="A854" t="s">
        <v>901</v>
      </c>
      <c r="B854">
        <v>130.47</v>
      </c>
      <c r="C854" s="6">
        <f t="shared" si="27"/>
        <v>-3.437213565536168E-3</v>
      </c>
      <c r="D854" s="6">
        <f t="shared" si="26"/>
        <v>-3.4431343553229989E-3</v>
      </c>
      <c r="E854" s="6"/>
      <c r="F854" s="6"/>
      <c r="G854" s="6"/>
      <c r="H854" s="6"/>
    </row>
    <row r="855" spans="1:8" x14ac:dyDescent="0.25">
      <c r="A855" t="s">
        <v>902</v>
      </c>
      <c r="B855">
        <v>130.91999999999999</v>
      </c>
      <c r="C855" s="6">
        <f t="shared" si="27"/>
        <v>5.9935454126325283E-3</v>
      </c>
      <c r="D855" s="6">
        <f t="shared" si="26"/>
        <v>5.9756555661417288E-3</v>
      </c>
      <c r="E855" s="6"/>
      <c r="F855" s="6"/>
      <c r="G855" s="6"/>
      <c r="H855" s="6"/>
    </row>
    <row r="856" spans="1:8" x14ac:dyDescent="0.25">
      <c r="A856" t="s">
        <v>903</v>
      </c>
      <c r="B856">
        <v>130.13999999999999</v>
      </c>
      <c r="C856" s="6">
        <f t="shared" si="27"/>
        <v>-2.128299616454854E-2</v>
      </c>
      <c r="D856" s="6">
        <f t="shared" si="26"/>
        <v>-2.1512744801776628E-2</v>
      </c>
      <c r="E856" s="6"/>
      <c r="F856" s="6"/>
      <c r="G856" s="6"/>
      <c r="H856" s="6"/>
    </row>
    <row r="857" spans="1:8" x14ac:dyDescent="0.25">
      <c r="A857" t="s">
        <v>904</v>
      </c>
      <c r="B857">
        <v>132.97</v>
      </c>
      <c r="C857" s="6">
        <f t="shared" si="27"/>
        <v>-1.4087639949581066E-2</v>
      </c>
      <c r="D857" s="6">
        <f t="shared" si="26"/>
        <v>-1.4187812660151724E-2</v>
      </c>
      <c r="E857" s="6"/>
      <c r="F857" s="6"/>
      <c r="G857" s="6"/>
      <c r="H857" s="6"/>
    </row>
    <row r="858" spans="1:8" x14ac:dyDescent="0.25">
      <c r="A858" t="s">
        <v>905</v>
      </c>
      <c r="B858">
        <v>134.87</v>
      </c>
      <c r="C858" s="6">
        <f t="shared" si="27"/>
        <v>4.8022379361255751E-2</v>
      </c>
      <c r="D858" s="6">
        <f t="shared" si="26"/>
        <v>4.6904940023192759E-2</v>
      </c>
      <c r="E858" s="6"/>
      <c r="F858" s="6"/>
      <c r="G858" s="6"/>
      <c r="H858" s="6"/>
    </row>
    <row r="859" spans="1:8" x14ac:dyDescent="0.25">
      <c r="A859" t="s">
        <v>906</v>
      </c>
      <c r="B859">
        <v>128.69</v>
      </c>
      <c r="C859" s="6">
        <f t="shared" si="27"/>
        <v>4.370561148833163E-3</v>
      </c>
      <c r="D859" s="6">
        <f t="shared" si="26"/>
        <v>4.3610379840886161E-3</v>
      </c>
      <c r="E859" s="6"/>
      <c r="F859" s="6"/>
      <c r="G859" s="6"/>
      <c r="H859" s="6"/>
    </row>
    <row r="860" spans="1:8" x14ac:dyDescent="0.25">
      <c r="A860" t="s">
        <v>907</v>
      </c>
      <c r="B860">
        <v>128.13</v>
      </c>
      <c r="C860" s="6">
        <f t="shared" si="27"/>
        <v>1.7227691330581107E-2</v>
      </c>
      <c r="D860" s="6">
        <f t="shared" si="26"/>
        <v>1.7080977288660894E-2</v>
      </c>
      <c r="E860" s="6"/>
      <c r="F860" s="6"/>
      <c r="G860" s="6"/>
      <c r="H860" s="6"/>
    </row>
    <row r="861" spans="1:8" x14ac:dyDescent="0.25">
      <c r="A861" t="s">
        <v>908</v>
      </c>
      <c r="B861">
        <v>125.96</v>
      </c>
      <c r="C861" s="6">
        <f t="shared" si="27"/>
        <v>6.0702875399361034E-3</v>
      </c>
      <c r="D861" s="6">
        <f t="shared" si="26"/>
        <v>6.0519375668257472E-3</v>
      </c>
      <c r="E861" s="6"/>
      <c r="F861" s="6"/>
      <c r="G861" s="6"/>
      <c r="H861" s="6"/>
    </row>
    <row r="862" spans="1:8" x14ac:dyDescent="0.25">
      <c r="A862" t="s">
        <v>909</v>
      </c>
      <c r="B862">
        <v>125.2</v>
      </c>
      <c r="C862" s="6">
        <f t="shared" si="27"/>
        <v>-6.5322881672265631E-2</v>
      </c>
      <c r="D862" s="6">
        <f t="shared" si="26"/>
        <v>-6.7554137324619443E-2</v>
      </c>
      <c r="E862" s="6"/>
      <c r="F862" s="6"/>
      <c r="G862" s="6"/>
      <c r="H862" s="6"/>
    </row>
    <row r="863" spans="1:8" x14ac:dyDescent="0.25">
      <c r="A863" t="s">
        <v>910</v>
      </c>
      <c r="B863">
        <v>133.94999999999999</v>
      </c>
      <c r="C863" s="6">
        <f t="shared" si="27"/>
        <v>-1.1293179805137332E-2</v>
      </c>
      <c r="D863" s="6">
        <f t="shared" si="26"/>
        <v>-1.1357431958953258E-2</v>
      </c>
      <c r="E863" s="6"/>
      <c r="F863" s="6"/>
      <c r="G863" s="6"/>
      <c r="H863" s="6"/>
    </row>
    <row r="864" spans="1:8" x14ac:dyDescent="0.25">
      <c r="A864" t="s">
        <v>911</v>
      </c>
      <c r="B864">
        <v>135.47999999999999</v>
      </c>
      <c r="C864" s="6">
        <f t="shared" si="27"/>
        <v>-1.3902030715481462E-2</v>
      </c>
      <c r="D864" s="6">
        <f t="shared" si="26"/>
        <v>-1.3999568986285878E-2</v>
      </c>
      <c r="E864" s="6"/>
      <c r="F864" s="6"/>
      <c r="G864" s="6"/>
      <c r="H864" s="6"/>
    </row>
    <row r="865" spans="1:8" x14ac:dyDescent="0.25">
      <c r="A865" t="s">
        <v>912</v>
      </c>
      <c r="B865">
        <v>137.38999999999999</v>
      </c>
      <c r="C865" s="6">
        <f t="shared" si="27"/>
        <v>1.8231675683687776E-2</v>
      </c>
      <c r="D865" s="6">
        <f t="shared" si="26"/>
        <v>1.8067471493160844E-2</v>
      </c>
      <c r="E865" s="6"/>
      <c r="F865" s="6"/>
      <c r="G865" s="6"/>
      <c r="H865" s="6"/>
    </row>
    <row r="866" spans="1:8" x14ac:dyDescent="0.25">
      <c r="A866" t="s">
        <v>913</v>
      </c>
      <c r="B866">
        <v>134.93</v>
      </c>
      <c r="C866" s="6">
        <f t="shared" si="27"/>
        <v>-1.8904966189195016E-2</v>
      </c>
      <c r="D866" s="6">
        <f t="shared" si="26"/>
        <v>-1.9085949683920383E-2</v>
      </c>
      <c r="E866" s="6"/>
      <c r="F866" s="6"/>
      <c r="G866" s="6"/>
      <c r="H866" s="6"/>
    </row>
    <row r="867" spans="1:8" x14ac:dyDescent="0.25">
      <c r="A867" t="s">
        <v>914</v>
      </c>
      <c r="B867">
        <v>137.53</v>
      </c>
      <c r="C867" s="6">
        <f t="shared" si="27"/>
        <v>6.5871331332796323E-3</v>
      </c>
      <c r="D867" s="6">
        <f t="shared" si="26"/>
        <v>6.5655327762198798E-3</v>
      </c>
      <c r="E867" s="6"/>
      <c r="F867" s="6"/>
      <c r="G867" s="6"/>
      <c r="H867" s="6"/>
    </row>
    <row r="868" spans="1:8" x14ac:dyDescent="0.25">
      <c r="A868" t="s">
        <v>915</v>
      </c>
      <c r="B868">
        <v>136.63</v>
      </c>
      <c r="C868" s="6">
        <f t="shared" si="27"/>
        <v>1.3876521222914828E-2</v>
      </c>
      <c r="D868" s="6">
        <f t="shared" si="26"/>
        <v>1.3781123812044388E-2</v>
      </c>
      <c r="E868" s="6"/>
      <c r="F868" s="6"/>
      <c r="G868" s="6"/>
      <c r="H868" s="6"/>
    </row>
    <row r="869" spans="1:8" x14ac:dyDescent="0.25">
      <c r="A869" t="s">
        <v>916</v>
      </c>
      <c r="B869">
        <v>134.76</v>
      </c>
      <c r="C869" s="6">
        <f t="shared" si="27"/>
        <v>2.4245648704111833E-2</v>
      </c>
      <c r="D869" s="6">
        <f t="shared" si="26"/>
        <v>2.3956389160605236E-2</v>
      </c>
      <c r="E869" s="6"/>
      <c r="F869" s="6"/>
      <c r="G869" s="6"/>
      <c r="H869" s="6"/>
    </row>
    <row r="870" spans="1:8" x14ac:dyDescent="0.25">
      <c r="A870" t="s">
        <v>917</v>
      </c>
      <c r="B870">
        <v>131.57</v>
      </c>
      <c r="C870" s="6">
        <f t="shared" si="27"/>
        <v>2.1030575818717923E-2</v>
      </c>
      <c r="D870" s="6">
        <f t="shared" si="26"/>
        <v>2.0812485667250406E-2</v>
      </c>
      <c r="E870" s="6"/>
      <c r="F870" s="6"/>
      <c r="G870" s="6"/>
      <c r="H870" s="6"/>
    </row>
    <row r="871" spans="1:8" x14ac:dyDescent="0.25">
      <c r="A871" t="s">
        <v>918</v>
      </c>
      <c r="B871">
        <v>128.86000000000001</v>
      </c>
      <c r="C871" s="6">
        <f t="shared" si="27"/>
        <v>-1.7685622808354839E-2</v>
      </c>
      <c r="D871" s="6">
        <f t="shared" si="26"/>
        <v>-1.7843882155092972E-2</v>
      </c>
      <c r="E871" s="6"/>
      <c r="F871" s="6"/>
      <c r="G871" s="6"/>
      <c r="H871" s="6"/>
    </row>
    <row r="872" spans="1:8" x14ac:dyDescent="0.25">
      <c r="A872" t="s">
        <v>919</v>
      </c>
      <c r="B872">
        <v>131.18</v>
      </c>
      <c r="C872" s="6">
        <f t="shared" si="27"/>
        <v>1.2113262865519614E-2</v>
      </c>
      <c r="D872" s="6">
        <f t="shared" si="26"/>
        <v>1.2040484430305715E-2</v>
      </c>
      <c r="E872" s="6"/>
      <c r="F872" s="6"/>
      <c r="G872" s="6"/>
      <c r="H872" s="6"/>
    </row>
    <row r="873" spans="1:8" x14ac:dyDescent="0.25">
      <c r="A873" t="s">
        <v>920</v>
      </c>
      <c r="B873">
        <v>129.61000000000001</v>
      </c>
      <c r="C873" s="6">
        <f t="shared" si="27"/>
        <v>-3.5137348321298334E-2</v>
      </c>
      <c r="D873" s="6">
        <f t="shared" si="26"/>
        <v>-3.576951763963819E-2</v>
      </c>
      <c r="E873" s="6"/>
      <c r="F873" s="6"/>
      <c r="G873" s="6"/>
      <c r="H873" s="6"/>
    </row>
    <row r="874" spans="1:8" x14ac:dyDescent="0.25">
      <c r="A874" t="s">
        <v>921</v>
      </c>
      <c r="B874">
        <v>134.33000000000001</v>
      </c>
      <c r="C874" s="6">
        <f t="shared" si="27"/>
        <v>1.4117469424732132E-2</v>
      </c>
      <c r="D874" s="6">
        <f t="shared" si="26"/>
        <v>1.4018746018088602E-2</v>
      </c>
      <c r="E874" s="6"/>
      <c r="F874" s="6"/>
      <c r="G874" s="6"/>
      <c r="H874" s="6"/>
    </row>
    <row r="875" spans="1:8" x14ac:dyDescent="0.25">
      <c r="A875" t="s">
        <v>922</v>
      </c>
      <c r="B875">
        <v>132.46</v>
      </c>
      <c r="C875" s="6">
        <f t="shared" si="27"/>
        <v>-7.4185088047956649E-3</v>
      </c>
      <c r="D875" s="6">
        <f t="shared" si="26"/>
        <v>-7.4461627936996226E-3</v>
      </c>
      <c r="E875" s="6"/>
      <c r="F875" s="6"/>
      <c r="G875" s="6"/>
      <c r="H875" s="6"/>
    </row>
    <row r="876" spans="1:8" x14ac:dyDescent="0.25">
      <c r="A876" t="s">
        <v>923</v>
      </c>
      <c r="B876">
        <v>133.44999999999999</v>
      </c>
      <c r="C876" s="6">
        <f t="shared" si="27"/>
        <v>1.2058243591688056E-2</v>
      </c>
      <c r="D876" s="6">
        <f t="shared" si="26"/>
        <v>1.1986122165379453E-2</v>
      </c>
      <c r="E876" s="6"/>
      <c r="F876" s="6"/>
      <c r="G876" s="6"/>
      <c r="H876" s="6"/>
    </row>
    <row r="877" spans="1:8" x14ac:dyDescent="0.25">
      <c r="A877" t="s">
        <v>924</v>
      </c>
      <c r="B877">
        <v>131.86000000000001</v>
      </c>
      <c r="C877" s="6">
        <f t="shared" si="27"/>
        <v>-7.8254326561323362E-3</v>
      </c>
      <c r="D877" s="6">
        <f t="shared" si="26"/>
        <v>-7.8562120340459566E-3</v>
      </c>
      <c r="E877" s="6"/>
      <c r="F877" s="6"/>
      <c r="G877" s="6"/>
      <c r="H877" s="6"/>
    </row>
    <row r="878" spans="1:8" x14ac:dyDescent="0.25">
      <c r="A878" t="s">
        <v>925</v>
      </c>
      <c r="B878">
        <v>132.9</v>
      </c>
      <c r="C878" s="6">
        <f t="shared" si="27"/>
        <v>4.6456692913385833E-2</v>
      </c>
      <c r="D878" s="6">
        <f t="shared" si="26"/>
        <v>4.5409879260608375E-2</v>
      </c>
      <c r="E878" s="6"/>
      <c r="F878" s="6"/>
      <c r="G878" s="6"/>
      <c r="H878" s="6"/>
    </row>
    <row r="879" spans="1:8" x14ac:dyDescent="0.25">
      <c r="A879" t="s">
        <v>926</v>
      </c>
      <c r="B879">
        <v>127</v>
      </c>
      <c r="C879" s="6">
        <f t="shared" si="27"/>
        <v>-2.5700038358266175E-2</v>
      </c>
      <c r="D879" s="6">
        <f t="shared" si="26"/>
        <v>-2.6036053920919431E-2</v>
      </c>
      <c r="E879" s="6"/>
      <c r="F879" s="6"/>
      <c r="G879" s="6"/>
      <c r="H879" s="6"/>
    </row>
    <row r="880" spans="1:8" x14ac:dyDescent="0.25">
      <c r="A880" t="s">
        <v>927</v>
      </c>
      <c r="B880">
        <v>130.35</v>
      </c>
      <c r="C880" s="6">
        <f t="shared" si="27"/>
        <v>-2.983019733822978E-3</v>
      </c>
      <c r="D880" s="6">
        <f t="shared" si="26"/>
        <v>-2.987477805072896E-3</v>
      </c>
      <c r="E880" s="6"/>
      <c r="F880" s="6"/>
      <c r="G880" s="6"/>
      <c r="H880" s="6"/>
    </row>
    <row r="881" spans="1:8" x14ac:dyDescent="0.25">
      <c r="A881" t="s">
        <v>928</v>
      </c>
      <c r="B881">
        <v>130.74</v>
      </c>
      <c r="C881" s="6">
        <f t="shared" si="27"/>
        <v>-1.7804823078656828E-2</v>
      </c>
      <c r="D881" s="6">
        <f t="shared" si="26"/>
        <v>-1.7965235874344385E-2</v>
      </c>
      <c r="E881" s="6"/>
      <c r="F881" s="6"/>
      <c r="G881" s="6"/>
      <c r="H881" s="6"/>
    </row>
    <row r="882" spans="1:8" x14ac:dyDescent="0.25">
      <c r="A882" t="s">
        <v>929</v>
      </c>
      <c r="B882">
        <v>133.11000000000001</v>
      </c>
      <c r="C882" s="6">
        <f t="shared" si="27"/>
        <v>-4.9960745128827311E-2</v>
      </c>
      <c r="D882" s="6">
        <f t="shared" si="26"/>
        <v>-5.1251974324212225E-2</v>
      </c>
      <c r="E882" s="6"/>
      <c r="F882" s="6"/>
      <c r="G882" s="6"/>
      <c r="H882" s="6"/>
    </row>
    <row r="883" spans="1:8" x14ac:dyDescent="0.25">
      <c r="A883" t="s">
        <v>930</v>
      </c>
      <c r="B883">
        <v>140.11000000000001</v>
      </c>
      <c r="C883" s="6">
        <f t="shared" si="27"/>
        <v>2.1954777534646475E-2</v>
      </c>
      <c r="D883" s="6">
        <f t="shared" ref="D883:D946" si="28">LN(B883/B884)</f>
        <v>2.1717241814871599E-2</v>
      </c>
      <c r="E883" s="6"/>
      <c r="F883" s="6"/>
      <c r="G883" s="6"/>
      <c r="H883" s="6"/>
    </row>
    <row r="884" spans="1:8" x14ac:dyDescent="0.25">
      <c r="A884" t="s">
        <v>931</v>
      </c>
      <c r="B884">
        <v>137.1</v>
      </c>
      <c r="C884" s="6">
        <f t="shared" ref="C884:C947" si="29">(B884/B885)-1</f>
        <v>-1.2603528988116675E-2</v>
      </c>
      <c r="D884" s="6">
        <f t="shared" si="28"/>
        <v>-1.268362718453985E-2</v>
      </c>
      <c r="E884" s="6"/>
      <c r="F884" s="6"/>
      <c r="G884" s="6"/>
      <c r="H884" s="6"/>
    </row>
    <row r="885" spans="1:8" x14ac:dyDescent="0.25">
      <c r="A885" t="s">
        <v>932</v>
      </c>
      <c r="B885">
        <v>138.85</v>
      </c>
      <c r="C885" s="6">
        <f t="shared" si="29"/>
        <v>-3.0157248510089829E-3</v>
      </c>
      <c r="D885" s="6">
        <f t="shared" si="28"/>
        <v>-3.0202813121921811E-3</v>
      </c>
      <c r="E885" s="6"/>
      <c r="F885" s="6"/>
      <c r="G885" s="6"/>
      <c r="H885" s="6"/>
    </row>
    <row r="886" spans="1:8" x14ac:dyDescent="0.25">
      <c r="A886" t="s">
        <v>933</v>
      </c>
      <c r="B886">
        <v>139.27000000000001</v>
      </c>
      <c r="C886" s="6">
        <f t="shared" si="29"/>
        <v>-5.4984290202797492E-3</v>
      </c>
      <c r="D886" s="6">
        <f t="shared" si="28"/>
        <v>-5.5136010214641706E-3</v>
      </c>
      <c r="E886" s="6"/>
      <c r="F886" s="6"/>
      <c r="G886" s="6"/>
      <c r="H886" s="6"/>
    </row>
    <row r="887" spans="1:8" x14ac:dyDescent="0.25">
      <c r="A887" t="s">
        <v>934</v>
      </c>
      <c r="B887">
        <v>140.04</v>
      </c>
      <c r="C887" s="6">
        <f t="shared" si="29"/>
        <v>8.0621940685285942E-3</v>
      </c>
      <c r="D887" s="6">
        <f t="shared" si="28"/>
        <v>8.0298682105916005E-3</v>
      </c>
      <c r="E887" s="6"/>
      <c r="F887" s="6"/>
      <c r="G887" s="6"/>
      <c r="H887" s="6"/>
    </row>
    <row r="888" spans="1:8" x14ac:dyDescent="0.25">
      <c r="A888" t="s">
        <v>935</v>
      </c>
      <c r="B888">
        <v>138.91999999999999</v>
      </c>
      <c r="C888" s="6">
        <f t="shared" si="29"/>
        <v>3.6121947695419987E-3</v>
      </c>
      <c r="D888" s="6">
        <f t="shared" si="28"/>
        <v>3.6056864621559965E-3</v>
      </c>
      <c r="E888" s="6"/>
      <c r="F888" s="6"/>
      <c r="G888" s="6"/>
      <c r="H888" s="6"/>
    </row>
    <row r="889" spans="1:8" x14ac:dyDescent="0.25">
      <c r="A889" t="s">
        <v>936</v>
      </c>
      <c r="B889">
        <v>138.41999999999999</v>
      </c>
      <c r="C889" s="6">
        <f t="shared" si="29"/>
        <v>-1.1003143755358824E-2</v>
      </c>
      <c r="D889" s="6">
        <f t="shared" si="28"/>
        <v>-1.1064126085770131E-2</v>
      </c>
      <c r="E889" s="6"/>
      <c r="F889" s="6"/>
      <c r="G889" s="6"/>
      <c r="H889" s="6"/>
    </row>
    <row r="890" spans="1:8" x14ac:dyDescent="0.25">
      <c r="A890" t="s">
        <v>937</v>
      </c>
      <c r="B890">
        <v>139.96</v>
      </c>
      <c r="C890" s="6">
        <f t="shared" si="29"/>
        <v>2.9344708391557006E-2</v>
      </c>
      <c r="D890" s="6">
        <f t="shared" si="28"/>
        <v>2.8922394331892677E-2</v>
      </c>
      <c r="E890" s="6"/>
      <c r="F890" s="6"/>
      <c r="G890" s="6"/>
      <c r="H890" s="6"/>
    </row>
    <row r="891" spans="1:8" x14ac:dyDescent="0.25">
      <c r="A891" t="s">
        <v>938</v>
      </c>
      <c r="B891">
        <v>135.97</v>
      </c>
      <c r="C891" s="6">
        <f t="shared" si="29"/>
        <v>-1.5637442988489125E-2</v>
      </c>
      <c r="D891" s="6">
        <f t="shared" si="28"/>
        <v>-1.5760997544273837E-2</v>
      </c>
      <c r="E891" s="6"/>
      <c r="F891" s="6"/>
      <c r="G891" s="6"/>
      <c r="H891" s="6"/>
    </row>
    <row r="892" spans="1:8" x14ac:dyDescent="0.25">
      <c r="A892" t="s">
        <v>939</v>
      </c>
      <c r="B892">
        <v>138.13</v>
      </c>
      <c r="C892" s="6">
        <f t="shared" si="29"/>
        <v>7.072032662583938E-3</v>
      </c>
      <c r="D892" s="6">
        <f t="shared" si="28"/>
        <v>7.0471431171489534E-3</v>
      </c>
      <c r="E892" s="6"/>
      <c r="F892" s="6"/>
      <c r="G892" s="6"/>
      <c r="H892" s="6"/>
    </row>
    <row r="893" spans="1:8" x14ac:dyDescent="0.25">
      <c r="A893" t="s">
        <v>940</v>
      </c>
      <c r="B893">
        <v>137.16</v>
      </c>
      <c r="C893" s="6">
        <f t="shared" si="29"/>
        <v>7.6403173670289704E-3</v>
      </c>
      <c r="D893" s="6">
        <f t="shared" si="28"/>
        <v>7.6112779620144989E-3</v>
      </c>
      <c r="E893" s="6"/>
      <c r="F893" s="6"/>
      <c r="G893" s="6"/>
      <c r="H893" s="6"/>
    </row>
    <row r="894" spans="1:8" x14ac:dyDescent="0.25">
      <c r="A894" t="s">
        <v>941</v>
      </c>
      <c r="B894">
        <v>136.12</v>
      </c>
      <c r="C894" s="6">
        <f t="shared" si="29"/>
        <v>8.5951393005334609E-3</v>
      </c>
      <c r="D894" s="6">
        <f t="shared" si="28"/>
        <v>8.5584113949920878E-3</v>
      </c>
      <c r="E894" s="6"/>
      <c r="F894" s="6"/>
      <c r="G894" s="6"/>
      <c r="H894" s="6"/>
    </row>
    <row r="895" spans="1:8" x14ac:dyDescent="0.25">
      <c r="A895" t="s">
        <v>942</v>
      </c>
      <c r="B895">
        <v>134.96</v>
      </c>
      <c r="C895" s="6">
        <f t="shared" si="29"/>
        <v>1.6112031320584252E-2</v>
      </c>
      <c r="D895" s="6">
        <f t="shared" si="28"/>
        <v>1.5983610125145247E-2</v>
      </c>
      <c r="E895" s="6"/>
      <c r="F895" s="6"/>
      <c r="G895" s="6"/>
      <c r="H895" s="6"/>
    </row>
    <row r="896" spans="1:8" x14ac:dyDescent="0.25">
      <c r="A896" t="s">
        <v>943</v>
      </c>
      <c r="B896">
        <v>132.82</v>
      </c>
      <c r="C896" s="6">
        <f t="shared" si="29"/>
        <v>-1.9561526537240748E-2</v>
      </c>
      <c r="D896" s="6">
        <f t="shared" si="28"/>
        <v>-1.9755385480077443E-2</v>
      </c>
      <c r="E896" s="6"/>
      <c r="F896" s="6"/>
      <c r="G896" s="6"/>
      <c r="H896" s="6"/>
    </row>
    <row r="897" spans="1:8" x14ac:dyDescent="0.25">
      <c r="A897" t="s">
        <v>944</v>
      </c>
      <c r="B897">
        <v>135.47</v>
      </c>
      <c r="C897" s="6">
        <f t="shared" si="29"/>
        <v>1.1084835944428217E-3</v>
      </c>
      <c r="D897" s="6">
        <f t="shared" si="28"/>
        <v>1.1078696801373217E-3</v>
      </c>
      <c r="E897" s="6"/>
      <c r="F897" s="6"/>
      <c r="G897" s="6"/>
      <c r="H897" s="6"/>
    </row>
    <row r="898" spans="1:8" x14ac:dyDescent="0.25">
      <c r="A898" t="s">
        <v>945</v>
      </c>
      <c r="B898">
        <v>135.32</v>
      </c>
      <c r="C898" s="6">
        <f t="shared" si="29"/>
        <v>9.0976882923190505E-3</v>
      </c>
      <c r="D898" s="6">
        <f t="shared" si="28"/>
        <v>9.0565536248747736E-3</v>
      </c>
      <c r="E898" s="6"/>
      <c r="F898" s="6"/>
      <c r="G898" s="6"/>
      <c r="H898" s="6"/>
    </row>
    <row r="899" spans="1:8" x14ac:dyDescent="0.25">
      <c r="A899" t="s">
        <v>946</v>
      </c>
      <c r="B899">
        <v>134.1</v>
      </c>
      <c r="C899" s="6">
        <f t="shared" si="29"/>
        <v>4.0431266846361336E-3</v>
      </c>
      <c r="D899" s="6">
        <f t="shared" si="28"/>
        <v>4.0349752121790821E-3</v>
      </c>
      <c r="E899" s="6"/>
      <c r="F899" s="6"/>
      <c r="G899" s="6"/>
      <c r="H899" s="6"/>
    </row>
    <row r="900" spans="1:8" x14ac:dyDescent="0.25">
      <c r="A900" t="s">
        <v>947</v>
      </c>
      <c r="B900">
        <v>133.56</v>
      </c>
      <c r="C900" s="6">
        <f t="shared" si="29"/>
        <v>7.4677528852682418E-3</v>
      </c>
      <c r="D900" s="6">
        <f t="shared" si="28"/>
        <v>7.4400072646955686E-3</v>
      </c>
      <c r="E900" s="6"/>
      <c r="F900" s="6"/>
      <c r="G900" s="6"/>
      <c r="H900" s="6"/>
    </row>
    <row r="901" spans="1:8" x14ac:dyDescent="0.25">
      <c r="A901" t="s">
        <v>948</v>
      </c>
      <c r="B901">
        <v>132.57</v>
      </c>
      <c r="C901" s="6">
        <f t="shared" si="29"/>
        <v>5.1558116612329119E-3</v>
      </c>
      <c r="D901" s="6">
        <f t="shared" si="28"/>
        <v>5.1425659729649308E-3</v>
      </c>
      <c r="E901" s="6"/>
      <c r="F901" s="6"/>
      <c r="G901" s="6"/>
      <c r="H901" s="6"/>
    </row>
    <row r="902" spans="1:8" x14ac:dyDescent="0.25">
      <c r="A902" t="s">
        <v>949</v>
      </c>
      <c r="B902">
        <v>131.88999999999999</v>
      </c>
      <c r="C902" s="6">
        <f t="shared" si="29"/>
        <v>1.0032164190534321E-2</v>
      </c>
      <c r="D902" s="6">
        <f t="shared" si="28"/>
        <v>9.9821760793057848E-3</v>
      </c>
      <c r="E902" s="6"/>
      <c r="F902" s="6"/>
      <c r="G902" s="6"/>
      <c r="H902" s="6"/>
    </row>
    <row r="903" spans="1:8" x14ac:dyDescent="0.25">
      <c r="A903" t="s">
        <v>950</v>
      </c>
      <c r="B903">
        <v>130.58000000000001</v>
      </c>
      <c r="C903" s="6">
        <f t="shared" si="29"/>
        <v>-1.538229527974655E-2</v>
      </c>
      <c r="D903" s="6">
        <f t="shared" si="28"/>
        <v>-1.5501830182234047E-2</v>
      </c>
      <c r="E903" s="6"/>
      <c r="F903" s="6"/>
      <c r="G903" s="6"/>
      <c r="H903" s="6"/>
    </row>
    <row r="904" spans="1:8" x14ac:dyDescent="0.25">
      <c r="A904" t="s">
        <v>951</v>
      </c>
      <c r="B904">
        <v>132.62</v>
      </c>
      <c r="C904" s="6">
        <f t="shared" si="29"/>
        <v>3.2383621360734915E-2</v>
      </c>
      <c r="D904" s="6">
        <f t="shared" si="28"/>
        <v>3.1870324111075189E-2</v>
      </c>
      <c r="E904" s="6"/>
      <c r="F904" s="6"/>
      <c r="G904" s="6"/>
      <c r="H904" s="6"/>
    </row>
    <row r="905" spans="1:8" x14ac:dyDescent="0.25">
      <c r="A905" t="s">
        <v>952</v>
      </c>
      <c r="B905">
        <v>128.46</v>
      </c>
      <c r="C905" s="6">
        <f t="shared" si="29"/>
        <v>1.911939706465704E-2</v>
      </c>
      <c r="D905" s="6">
        <f t="shared" si="28"/>
        <v>1.8938918195717754E-2</v>
      </c>
      <c r="E905" s="6"/>
      <c r="F905" s="6"/>
      <c r="G905" s="6"/>
      <c r="H905" s="6"/>
    </row>
    <row r="906" spans="1:8" x14ac:dyDescent="0.25">
      <c r="A906" t="s">
        <v>953</v>
      </c>
      <c r="B906">
        <v>126.05</v>
      </c>
      <c r="C906" s="6">
        <f t="shared" si="29"/>
        <v>-2.3743569449939939E-3</v>
      </c>
      <c r="D906" s="6">
        <f t="shared" si="28"/>
        <v>-2.3771802002743297E-3</v>
      </c>
      <c r="E906" s="6"/>
      <c r="F906" s="6"/>
      <c r="G906" s="6"/>
      <c r="H906" s="6"/>
    </row>
    <row r="907" spans="1:8" x14ac:dyDescent="0.25">
      <c r="A907" t="s">
        <v>954</v>
      </c>
      <c r="B907">
        <v>126.35</v>
      </c>
      <c r="C907" s="6">
        <f t="shared" si="29"/>
        <v>2.6067890206269206E-2</v>
      </c>
      <c r="D907" s="6">
        <f t="shared" si="28"/>
        <v>2.573391435113908E-2</v>
      </c>
      <c r="E907" s="6"/>
      <c r="F907" s="6"/>
      <c r="G907" s="6"/>
      <c r="H907" s="6"/>
    </row>
    <row r="908" spans="1:8" x14ac:dyDescent="0.25">
      <c r="A908" t="s">
        <v>955</v>
      </c>
      <c r="B908">
        <v>123.14</v>
      </c>
      <c r="C908" s="6">
        <f t="shared" si="29"/>
        <v>1.7082892703164099E-3</v>
      </c>
      <c r="D908" s="6">
        <f t="shared" si="28"/>
        <v>1.7068318038143853E-3</v>
      </c>
      <c r="E908" s="6"/>
      <c r="F908" s="6"/>
      <c r="G908" s="6"/>
      <c r="H908" s="6"/>
    </row>
    <row r="909" spans="1:8" x14ac:dyDescent="0.25">
      <c r="A909" t="s">
        <v>956</v>
      </c>
      <c r="B909">
        <v>122.93</v>
      </c>
      <c r="C909" s="6">
        <f t="shared" si="29"/>
        <v>-2.4984137055837463E-2</v>
      </c>
      <c r="D909" s="6">
        <f t="shared" si="28"/>
        <v>-2.5301538430319237E-2</v>
      </c>
      <c r="E909" s="6"/>
      <c r="F909" s="6"/>
      <c r="G909" s="6"/>
      <c r="H909" s="6"/>
    </row>
    <row r="910" spans="1:8" x14ac:dyDescent="0.25">
      <c r="A910" t="s">
        <v>957</v>
      </c>
      <c r="B910">
        <v>126.08</v>
      </c>
      <c r="C910" s="6">
        <f t="shared" si="29"/>
        <v>-3.5717017208413027E-2</v>
      </c>
      <c r="D910" s="6">
        <f t="shared" si="28"/>
        <v>-3.6370476835463315E-2</v>
      </c>
      <c r="E910" s="6"/>
      <c r="F910" s="6"/>
      <c r="G910" s="6"/>
      <c r="H910" s="6"/>
    </row>
    <row r="911" spans="1:8" x14ac:dyDescent="0.25">
      <c r="A911" t="s">
        <v>958</v>
      </c>
      <c r="B911">
        <v>130.75</v>
      </c>
      <c r="C911" s="6">
        <f t="shared" si="29"/>
        <v>1.7351384998443686E-2</v>
      </c>
      <c r="D911" s="6">
        <f t="shared" si="28"/>
        <v>1.7202568697374437E-2</v>
      </c>
      <c r="E911" s="6"/>
      <c r="F911" s="6"/>
      <c r="G911" s="6"/>
      <c r="H911" s="6"/>
    </row>
    <row r="912" spans="1:8" x14ac:dyDescent="0.25">
      <c r="A912" t="s">
        <v>959</v>
      </c>
      <c r="B912">
        <v>128.52000000000001</v>
      </c>
      <c r="C912" s="6">
        <f t="shared" si="29"/>
        <v>7.3679260072112562E-3</v>
      </c>
      <c r="D912" s="6">
        <f t="shared" si="28"/>
        <v>7.3409154338485551E-3</v>
      </c>
      <c r="E912" s="6"/>
      <c r="F912" s="6"/>
      <c r="G912" s="6"/>
      <c r="H912" s="6"/>
    </row>
    <row r="913" spans="1:8" x14ac:dyDescent="0.25">
      <c r="A913" t="s">
        <v>960</v>
      </c>
      <c r="B913">
        <v>127.58</v>
      </c>
      <c r="C913" s="6">
        <f t="shared" si="29"/>
        <v>7.8443677439588022E-4</v>
      </c>
      <c r="D913" s="6">
        <f t="shared" si="28"/>
        <v>7.8412926467348305E-4</v>
      </c>
      <c r="E913" s="6"/>
      <c r="F913" s="6"/>
      <c r="G913" s="6"/>
      <c r="H913" s="6"/>
    </row>
    <row r="914" spans="1:8" x14ac:dyDescent="0.25">
      <c r="A914" t="s">
        <v>961</v>
      </c>
      <c r="B914">
        <v>127.48</v>
      </c>
      <c r="C914" s="6">
        <f t="shared" si="29"/>
        <v>1.0863531837284945E-2</v>
      </c>
      <c r="D914" s="6">
        <f t="shared" si="28"/>
        <v>1.0804947581352579E-2</v>
      </c>
      <c r="E914" s="6"/>
      <c r="F914" s="6"/>
      <c r="G914" s="6"/>
      <c r="H914" s="6"/>
    </row>
    <row r="915" spans="1:8" x14ac:dyDescent="0.25">
      <c r="A915" t="s">
        <v>962</v>
      </c>
      <c r="B915">
        <v>126.11</v>
      </c>
      <c r="C915" s="6">
        <f t="shared" si="29"/>
        <v>5.2610601833400494E-3</v>
      </c>
      <c r="D915" s="6">
        <f t="shared" si="28"/>
        <v>5.2472691553518969E-3</v>
      </c>
      <c r="E915" s="6"/>
      <c r="F915" s="6"/>
      <c r="G915" s="6"/>
      <c r="H915" s="6"/>
    </row>
    <row r="916" spans="1:8" x14ac:dyDescent="0.25">
      <c r="A916" t="s">
        <v>963</v>
      </c>
      <c r="B916">
        <v>125.45</v>
      </c>
      <c r="C916" s="6">
        <f t="shared" si="29"/>
        <v>-2.5933690503921025E-2</v>
      </c>
      <c r="D916" s="6">
        <f t="shared" si="28"/>
        <v>-2.6275898092147539E-2</v>
      </c>
      <c r="E916" s="6"/>
      <c r="F916" s="6"/>
      <c r="G916" s="6"/>
      <c r="H916" s="6"/>
    </row>
    <row r="917" spans="1:8" x14ac:dyDescent="0.25">
      <c r="A917" t="s">
        <v>964</v>
      </c>
      <c r="B917">
        <v>128.79</v>
      </c>
      <c r="C917" s="6">
        <f t="shared" si="29"/>
        <v>1.1069241639189764E-2</v>
      </c>
      <c r="D917" s="6">
        <f t="shared" si="28"/>
        <v>1.1008425961359133E-2</v>
      </c>
      <c r="E917" s="6"/>
      <c r="F917" s="6"/>
      <c r="G917" s="6"/>
      <c r="H917" s="6"/>
    </row>
    <row r="918" spans="1:8" x14ac:dyDescent="0.25">
      <c r="A918" t="s">
        <v>965</v>
      </c>
      <c r="B918">
        <v>127.38</v>
      </c>
      <c r="C918" s="6">
        <f t="shared" si="29"/>
        <v>1.1675005956635731E-2</v>
      </c>
      <c r="D918" s="6">
        <f t="shared" si="28"/>
        <v>1.1607378929610578E-2</v>
      </c>
      <c r="E918" s="6"/>
      <c r="F918" s="6"/>
      <c r="G918" s="6"/>
      <c r="H918" s="6"/>
    </row>
    <row r="919" spans="1:8" x14ac:dyDescent="0.25">
      <c r="A919" t="s">
        <v>966</v>
      </c>
      <c r="B919">
        <v>125.91</v>
      </c>
      <c r="C919" s="6">
        <f t="shared" si="29"/>
        <v>-2.9299968324358883E-3</v>
      </c>
      <c r="D919" s="6">
        <f t="shared" si="28"/>
        <v>-2.9342976761817454E-3</v>
      </c>
      <c r="E919" s="6"/>
      <c r="F919" s="6"/>
      <c r="G919" s="6"/>
      <c r="H919" s="6"/>
    </row>
    <row r="920" spans="1:8" x14ac:dyDescent="0.25">
      <c r="A920" t="s">
        <v>967</v>
      </c>
      <c r="B920">
        <v>126.28</v>
      </c>
      <c r="C920" s="6">
        <f t="shared" si="29"/>
        <v>-1.3899734499453364E-2</v>
      </c>
      <c r="D920" s="6">
        <f t="shared" si="28"/>
        <v>-1.3997240400865205E-2</v>
      </c>
      <c r="E920" s="6"/>
      <c r="F920" s="6"/>
      <c r="G920" s="6"/>
      <c r="H920" s="6"/>
    </row>
    <row r="921" spans="1:8" x14ac:dyDescent="0.25">
      <c r="A921" t="s">
        <v>968</v>
      </c>
      <c r="B921">
        <v>128.06</v>
      </c>
      <c r="C921" s="6">
        <f t="shared" si="29"/>
        <v>-3.4092623321768101E-2</v>
      </c>
      <c r="D921" s="6">
        <f t="shared" si="28"/>
        <v>-3.4687332722589483E-2</v>
      </c>
      <c r="E921" s="6"/>
      <c r="F921" s="6"/>
      <c r="G921" s="6"/>
      <c r="H921" s="6"/>
    </row>
    <row r="922" spans="1:8" x14ac:dyDescent="0.25">
      <c r="A922" t="s">
        <v>969</v>
      </c>
      <c r="B922">
        <v>132.58000000000001</v>
      </c>
      <c r="C922" s="6">
        <f t="shared" si="29"/>
        <v>3.1510153271609775E-2</v>
      </c>
      <c r="D922" s="6">
        <f t="shared" si="28"/>
        <v>3.102389669120505E-2</v>
      </c>
      <c r="E922" s="6"/>
      <c r="F922" s="6"/>
      <c r="G922" s="6"/>
      <c r="H922" s="6"/>
    </row>
    <row r="923" spans="1:8" x14ac:dyDescent="0.25">
      <c r="A923" t="s">
        <v>970</v>
      </c>
      <c r="B923">
        <v>128.53</v>
      </c>
      <c r="C923" s="6">
        <f t="shared" si="29"/>
        <v>7.7863427548074959E-4</v>
      </c>
      <c r="D923" s="6">
        <f t="shared" si="28"/>
        <v>7.7833129707598604E-4</v>
      </c>
      <c r="E923" s="6"/>
      <c r="F923" s="6"/>
      <c r="G923" s="6"/>
      <c r="H923" s="6"/>
    </row>
    <row r="924" spans="1:8" x14ac:dyDescent="0.25">
      <c r="A924" t="s">
        <v>971</v>
      </c>
      <c r="B924">
        <v>128.43</v>
      </c>
      <c r="C924" s="6">
        <f t="shared" si="29"/>
        <v>-5.2668267368910504E-3</v>
      </c>
      <c r="D924" s="6">
        <f t="shared" si="28"/>
        <v>-5.280745361662848E-3</v>
      </c>
      <c r="E924" s="6"/>
      <c r="F924" s="6"/>
      <c r="G924" s="6"/>
      <c r="H924" s="6"/>
    </row>
    <row r="925" spans="1:8" x14ac:dyDescent="0.25">
      <c r="A925" t="s">
        <v>972</v>
      </c>
      <c r="B925">
        <v>129.11000000000001</v>
      </c>
      <c r="C925" s="6">
        <f t="shared" si="29"/>
        <v>6.0780799501285454E-3</v>
      </c>
      <c r="D925" s="6">
        <f t="shared" si="28"/>
        <v>6.0596829302575709E-3</v>
      </c>
      <c r="E925" s="6"/>
      <c r="F925" s="6"/>
      <c r="G925" s="6"/>
      <c r="H925" s="6"/>
    </row>
    <row r="926" spans="1:8" x14ac:dyDescent="0.25">
      <c r="A926" t="s">
        <v>973</v>
      </c>
      <c r="B926">
        <v>128.33000000000001</v>
      </c>
      <c r="C926" s="6">
        <f t="shared" si="29"/>
        <v>2.1898391463609057E-2</v>
      </c>
      <c r="D926" s="6">
        <f t="shared" si="28"/>
        <v>2.1662065570406487E-2</v>
      </c>
      <c r="E926" s="6"/>
      <c r="F926" s="6"/>
      <c r="G926" s="6"/>
      <c r="H926" s="6"/>
    </row>
    <row r="927" spans="1:8" x14ac:dyDescent="0.25">
      <c r="A927" t="s">
        <v>974</v>
      </c>
      <c r="B927">
        <v>125.58</v>
      </c>
      <c r="C927" s="6">
        <f t="shared" si="29"/>
        <v>-1.844614663123334E-2</v>
      </c>
      <c r="D927" s="6">
        <f t="shared" si="28"/>
        <v>-1.8618398336028151E-2</v>
      </c>
      <c r="E927" s="6"/>
      <c r="F927" s="6"/>
      <c r="G927" s="6"/>
      <c r="H927" s="6"/>
    </row>
    <row r="928" spans="1:8" x14ac:dyDescent="0.25">
      <c r="A928" t="s">
        <v>975</v>
      </c>
      <c r="B928">
        <v>127.94</v>
      </c>
      <c r="C928" s="6">
        <f t="shared" si="29"/>
        <v>2.327441414060627E-2</v>
      </c>
      <c r="D928" s="6">
        <f t="shared" si="28"/>
        <v>2.3007695515083287E-2</v>
      </c>
      <c r="E928" s="6"/>
      <c r="F928" s="6"/>
      <c r="G928" s="6"/>
      <c r="H928" s="6"/>
    </row>
    <row r="929" spans="1:8" x14ac:dyDescent="0.25">
      <c r="A929" t="s">
        <v>976</v>
      </c>
      <c r="B929">
        <v>125.03</v>
      </c>
      <c r="C929" s="6">
        <f t="shared" si="29"/>
        <v>-1.2323248281854826E-2</v>
      </c>
      <c r="D929" s="6">
        <f t="shared" si="28"/>
        <v>-1.2399809141828623E-2</v>
      </c>
      <c r="E929" s="6"/>
      <c r="F929" s="6"/>
      <c r="G929" s="6"/>
      <c r="H929" s="6"/>
    </row>
    <row r="930" spans="1:8" x14ac:dyDescent="0.25">
      <c r="A930" t="s">
        <v>977</v>
      </c>
      <c r="B930">
        <v>126.59</v>
      </c>
      <c r="C930" s="6">
        <f t="shared" si="29"/>
        <v>-3.3590350408428171E-2</v>
      </c>
      <c r="D930" s="6">
        <f t="shared" si="28"/>
        <v>-3.4167466760820692E-2</v>
      </c>
      <c r="E930" s="6"/>
      <c r="F930" s="6"/>
      <c r="G930" s="6"/>
      <c r="H930" s="6"/>
    </row>
    <row r="931" spans="1:8" x14ac:dyDescent="0.25">
      <c r="A931" t="s">
        <v>978</v>
      </c>
      <c r="B931">
        <v>130.99</v>
      </c>
      <c r="C931" s="6">
        <f t="shared" si="29"/>
        <v>-1.4445865623354037E-2</v>
      </c>
      <c r="D931" s="6">
        <f t="shared" si="28"/>
        <v>-1.4551223023683732E-2</v>
      </c>
      <c r="E931" s="6"/>
      <c r="F931" s="6"/>
      <c r="G931" s="6"/>
      <c r="H931" s="6"/>
    </row>
    <row r="932" spans="1:8" x14ac:dyDescent="0.25">
      <c r="A932" t="s">
        <v>979</v>
      </c>
      <c r="B932">
        <v>132.91</v>
      </c>
      <c r="C932" s="6">
        <f t="shared" si="29"/>
        <v>1.8077364994254941E-2</v>
      </c>
      <c r="D932" s="6">
        <f t="shared" si="28"/>
        <v>1.7915912288103405E-2</v>
      </c>
      <c r="E932" s="6"/>
      <c r="F932" s="6"/>
      <c r="G932" s="6"/>
      <c r="H932" s="6"/>
    </row>
    <row r="933" spans="1:8" x14ac:dyDescent="0.25">
      <c r="A933" t="s">
        <v>980</v>
      </c>
      <c r="B933">
        <v>130.55000000000001</v>
      </c>
      <c r="C933" s="6">
        <f t="shared" si="29"/>
        <v>-5.6363774849568227E-3</v>
      </c>
      <c r="D933" s="6">
        <f t="shared" si="28"/>
        <v>-5.6523218008809918E-3</v>
      </c>
      <c r="E933" s="6"/>
      <c r="F933" s="6"/>
      <c r="G933" s="6"/>
      <c r="H933" s="6"/>
    </row>
    <row r="934" spans="1:8" x14ac:dyDescent="0.25">
      <c r="A934" t="s">
        <v>981</v>
      </c>
      <c r="B934">
        <v>131.29</v>
      </c>
      <c r="C934" s="6">
        <f t="shared" si="29"/>
        <v>9.3019680196799737E-3</v>
      </c>
      <c r="D934" s="6">
        <f t="shared" si="28"/>
        <v>9.2589711465183057E-3</v>
      </c>
      <c r="E934" s="6"/>
      <c r="F934" s="6"/>
      <c r="G934" s="6"/>
      <c r="H934" s="6"/>
    </row>
    <row r="935" spans="1:8" x14ac:dyDescent="0.25">
      <c r="A935" t="s">
        <v>982</v>
      </c>
      <c r="B935">
        <v>130.08000000000001</v>
      </c>
      <c r="C935" s="6">
        <f t="shared" si="29"/>
        <v>3.9360963185923747E-3</v>
      </c>
      <c r="D935" s="6">
        <f t="shared" si="28"/>
        <v>3.9283701587811259E-3</v>
      </c>
      <c r="E935" s="6"/>
      <c r="F935" s="6"/>
      <c r="G935" s="6"/>
      <c r="H935" s="6"/>
    </row>
    <row r="936" spans="1:8" x14ac:dyDescent="0.25">
      <c r="A936" t="s">
        <v>983</v>
      </c>
      <c r="B936">
        <v>129.57</v>
      </c>
      <c r="C936" s="6">
        <f t="shared" si="29"/>
        <v>-3.8574294090432115E-4</v>
      </c>
      <c r="D936" s="6">
        <f t="shared" si="28"/>
        <v>-3.858173588506302E-4</v>
      </c>
      <c r="E936" s="6"/>
      <c r="F936" s="6"/>
      <c r="G936" s="6"/>
      <c r="H936" s="6"/>
    </row>
    <row r="937" spans="1:8" x14ac:dyDescent="0.25">
      <c r="A937" t="s">
        <v>984</v>
      </c>
      <c r="B937">
        <v>129.62</v>
      </c>
      <c r="C937" s="6">
        <f t="shared" si="29"/>
        <v>4.5725800201503741E-3</v>
      </c>
      <c r="D937" s="6">
        <f t="shared" si="28"/>
        <v>4.5621575358153156E-3</v>
      </c>
      <c r="E937" s="6"/>
      <c r="F937" s="6"/>
      <c r="G937" s="6"/>
      <c r="H937" s="6"/>
    </row>
    <row r="938" spans="1:8" x14ac:dyDescent="0.25">
      <c r="A938" t="s">
        <v>985</v>
      </c>
      <c r="B938">
        <v>129.03</v>
      </c>
      <c r="C938" s="6">
        <f t="shared" si="29"/>
        <v>-1.4703606252901569E-3</v>
      </c>
      <c r="D938" s="6">
        <f t="shared" si="28"/>
        <v>-1.4714426662647195E-3</v>
      </c>
      <c r="E938" s="6"/>
      <c r="F938" s="6"/>
      <c r="G938" s="6"/>
      <c r="H938" s="6"/>
    </row>
    <row r="939" spans="1:8" x14ac:dyDescent="0.25">
      <c r="A939" t="s">
        <v>986</v>
      </c>
      <c r="B939">
        <v>129.22</v>
      </c>
      <c r="C939" s="6">
        <f t="shared" si="29"/>
        <v>6.8567866604332117E-3</v>
      </c>
      <c r="D939" s="6">
        <f t="shared" si="28"/>
        <v>6.8333858076501308E-3</v>
      </c>
      <c r="E939" s="6"/>
      <c r="F939" s="6"/>
      <c r="G939" s="6"/>
      <c r="H939" s="6"/>
    </row>
    <row r="940" spans="1:8" x14ac:dyDescent="0.25">
      <c r="A940" t="s">
        <v>987</v>
      </c>
      <c r="B940">
        <v>128.34</v>
      </c>
      <c r="C940" s="6">
        <f t="shared" si="29"/>
        <v>-5.8099000697188208E-3</v>
      </c>
      <c r="D940" s="6">
        <f t="shared" si="28"/>
        <v>-5.8268431962487195E-3</v>
      </c>
      <c r="E940" s="6"/>
      <c r="F940" s="6"/>
      <c r="G940" s="6"/>
      <c r="H940" s="6"/>
    </row>
    <row r="941" spans="1:8" x14ac:dyDescent="0.25">
      <c r="A941" t="s">
        <v>988</v>
      </c>
      <c r="B941">
        <v>129.09</v>
      </c>
      <c r="C941" s="6">
        <f t="shared" si="29"/>
        <v>-3.1437575030011988E-2</v>
      </c>
      <c r="D941" s="6">
        <f t="shared" si="28"/>
        <v>-3.1942342899914586E-2</v>
      </c>
      <c r="E941" s="6"/>
      <c r="F941" s="6"/>
      <c r="G941" s="6"/>
      <c r="H941" s="6"/>
    </row>
    <row r="942" spans="1:8" x14ac:dyDescent="0.25">
      <c r="A942" t="s">
        <v>989</v>
      </c>
      <c r="B942">
        <v>133.28</v>
      </c>
      <c r="C942" s="6">
        <f t="shared" si="29"/>
        <v>3.1738659235175604E-2</v>
      </c>
      <c r="D942" s="6">
        <f t="shared" si="28"/>
        <v>3.124539781420578E-2</v>
      </c>
      <c r="E942" s="6"/>
      <c r="F942" s="6"/>
      <c r="G942" s="6"/>
      <c r="H942" s="6"/>
    </row>
    <row r="943" spans="1:8" x14ac:dyDescent="0.25">
      <c r="A943" t="s">
        <v>990</v>
      </c>
      <c r="B943">
        <v>129.18</v>
      </c>
      <c r="C943" s="6">
        <f t="shared" si="29"/>
        <v>1.0073614877954551E-3</v>
      </c>
      <c r="D943" s="6">
        <f t="shared" si="28"/>
        <v>1.006854439703818E-3</v>
      </c>
      <c r="E943" s="6"/>
      <c r="F943" s="6"/>
      <c r="G943" s="6"/>
      <c r="H943" s="6"/>
    </row>
    <row r="944" spans="1:8" x14ac:dyDescent="0.25">
      <c r="A944" t="s">
        <v>991</v>
      </c>
      <c r="B944">
        <v>129.05000000000001</v>
      </c>
      <c r="C944" s="6">
        <f t="shared" si="29"/>
        <v>-1.960039504672173E-2</v>
      </c>
      <c r="D944" s="6">
        <f t="shared" si="28"/>
        <v>-1.9795030272693335E-2</v>
      </c>
      <c r="E944" s="6"/>
      <c r="F944" s="6"/>
      <c r="G944" s="6"/>
      <c r="H944" s="6"/>
    </row>
    <row r="945" spans="1:8" x14ac:dyDescent="0.25">
      <c r="A945" t="s">
        <v>992</v>
      </c>
      <c r="B945">
        <v>131.63</v>
      </c>
      <c r="C945" s="6">
        <f t="shared" si="29"/>
        <v>1.2694260655485401E-2</v>
      </c>
      <c r="D945" s="6">
        <f t="shared" si="28"/>
        <v>1.2614363971113469E-2</v>
      </c>
      <c r="E945" s="6"/>
      <c r="F945" s="6"/>
      <c r="G945" s="6"/>
      <c r="H945" s="6"/>
    </row>
    <row r="946" spans="1:8" x14ac:dyDescent="0.25">
      <c r="A946" t="s">
        <v>993</v>
      </c>
      <c r="B946">
        <v>129.97999999999999</v>
      </c>
      <c r="C946" s="6">
        <f t="shared" si="29"/>
        <v>4.6182266009853201E-4</v>
      </c>
      <c r="D946" s="6">
        <f t="shared" si="28"/>
        <v>4.6171605283501223E-4</v>
      </c>
      <c r="E946" s="6"/>
      <c r="F946" s="6"/>
      <c r="G946" s="6"/>
      <c r="H946" s="6"/>
    </row>
    <row r="947" spans="1:8" x14ac:dyDescent="0.25">
      <c r="A947" t="s">
        <v>994</v>
      </c>
      <c r="B947">
        <v>129.91999999999999</v>
      </c>
      <c r="C947" s="6">
        <f t="shared" si="29"/>
        <v>3.5532210721456181E-3</v>
      </c>
      <c r="D947" s="6">
        <f t="shared" ref="D947:D1010" si="30">LN(B947/B948)</f>
        <v>3.5469232960034743E-3</v>
      </c>
      <c r="E947" s="6"/>
      <c r="F947" s="6"/>
      <c r="G947" s="6"/>
      <c r="H947" s="6"/>
    </row>
    <row r="948" spans="1:8" x14ac:dyDescent="0.25">
      <c r="A948" t="s">
        <v>995</v>
      </c>
      <c r="B948">
        <v>129.46</v>
      </c>
      <c r="C948" s="6">
        <f t="shared" ref="C948:C1011" si="31">(B948/B949)-1</f>
        <v>1.6808042726987216E-2</v>
      </c>
      <c r="D948" s="6">
        <f t="shared" si="30"/>
        <v>1.6668350703472147E-2</v>
      </c>
      <c r="E948" s="6"/>
      <c r="F948" s="6"/>
      <c r="G948" s="6"/>
      <c r="H948" s="6"/>
    </row>
    <row r="949" spans="1:8" x14ac:dyDescent="0.25">
      <c r="A949" t="s">
        <v>996</v>
      </c>
      <c r="B949">
        <v>127.32</v>
      </c>
      <c r="C949" s="6">
        <f t="shared" si="31"/>
        <v>-1.0200078462142548E-3</v>
      </c>
      <c r="D949" s="6">
        <f t="shared" si="30"/>
        <v>-1.0205284082324248E-3</v>
      </c>
      <c r="E949" s="6"/>
      <c r="F949" s="6"/>
      <c r="G949" s="6"/>
      <c r="H949" s="6"/>
    </row>
    <row r="950" spans="1:8" x14ac:dyDescent="0.25">
      <c r="A950" t="s">
        <v>997</v>
      </c>
      <c r="B950">
        <v>127.45</v>
      </c>
      <c r="C950" s="6">
        <f t="shared" si="31"/>
        <v>7.8468298807310433E-5</v>
      </c>
      <c r="D950" s="6">
        <f t="shared" si="30"/>
        <v>7.8465220331392374E-5</v>
      </c>
      <c r="E950" s="6"/>
      <c r="F950" s="6"/>
      <c r="G950" s="6"/>
      <c r="H950" s="6"/>
    </row>
    <row r="951" spans="1:8" x14ac:dyDescent="0.25">
      <c r="A951" t="s">
        <v>998</v>
      </c>
      <c r="B951">
        <v>127.44</v>
      </c>
      <c r="C951" s="6">
        <f t="shared" si="31"/>
        <v>2.6334863493597371E-2</v>
      </c>
      <c r="D951" s="6">
        <f t="shared" si="30"/>
        <v>2.5994071173042244E-2</v>
      </c>
      <c r="E951" s="6"/>
      <c r="F951" s="6"/>
      <c r="G951" s="6"/>
      <c r="H951" s="6"/>
    </row>
    <row r="952" spans="1:8" x14ac:dyDescent="0.25">
      <c r="A952" t="s">
        <v>999</v>
      </c>
      <c r="B952">
        <v>124.17</v>
      </c>
      <c r="C952" s="6">
        <f t="shared" si="31"/>
        <v>8.0370189965903727E-3</v>
      </c>
      <c r="D952" s="6">
        <f t="shared" si="30"/>
        <v>8.0048941698535412E-3</v>
      </c>
      <c r="E952" s="6"/>
      <c r="F952" s="6"/>
      <c r="G952" s="6"/>
      <c r="H952" s="6"/>
    </row>
    <row r="953" spans="1:8" x14ac:dyDescent="0.25">
      <c r="A953" t="s">
        <v>1000</v>
      </c>
      <c r="B953">
        <v>123.18</v>
      </c>
      <c r="C953" s="6">
        <f t="shared" si="31"/>
        <v>-2.8548895899053517E-2</v>
      </c>
      <c r="D953" s="6">
        <f t="shared" si="30"/>
        <v>-2.8964341744228232E-2</v>
      </c>
      <c r="E953" s="6"/>
      <c r="F953" s="6"/>
      <c r="G953" s="6"/>
      <c r="H953" s="6"/>
    </row>
    <row r="954" spans="1:8" x14ac:dyDescent="0.25">
      <c r="A954" t="s">
        <v>1001</v>
      </c>
      <c r="B954">
        <v>126.8</v>
      </c>
      <c r="C954" s="6">
        <f t="shared" si="31"/>
        <v>1.5775358889413837E-4</v>
      </c>
      <c r="D954" s="6">
        <f t="shared" si="30"/>
        <v>1.5774114710520793E-4</v>
      </c>
      <c r="E954" s="6"/>
      <c r="F954" s="6"/>
      <c r="G954" s="6"/>
      <c r="H954" s="6"/>
    </row>
    <row r="955" spans="1:8" x14ac:dyDescent="0.25">
      <c r="A955" t="s">
        <v>1002</v>
      </c>
      <c r="B955">
        <v>126.78</v>
      </c>
      <c r="C955" s="6">
        <f t="shared" si="31"/>
        <v>7.7100389476194575E-3</v>
      </c>
      <c r="D955" s="6">
        <f t="shared" si="30"/>
        <v>7.6804684929808352E-3</v>
      </c>
      <c r="E955" s="6"/>
      <c r="F955" s="6"/>
      <c r="G955" s="6"/>
      <c r="H955" s="6"/>
    </row>
    <row r="956" spans="1:8" x14ac:dyDescent="0.25">
      <c r="A956" t="s">
        <v>1003</v>
      </c>
      <c r="B956">
        <v>125.81</v>
      </c>
      <c r="C956" s="6">
        <f t="shared" si="31"/>
        <v>-1.9831826114549145E-3</v>
      </c>
      <c r="D956" s="6">
        <f t="shared" si="30"/>
        <v>-1.9851517219245732E-3</v>
      </c>
      <c r="E956" s="6"/>
      <c r="F956" s="6"/>
      <c r="G956" s="6"/>
      <c r="H956" s="6"/>
    </row>
    <row r="957" spans="1:8" x14ac:dyDescent="0.25">
      <c r="A957" t="s">
        <v>1004</v>
      </c>
      <c r="B957">
        <v>126.06</v>
      </c>
      <c r="C957" s="6">
        <f t="shared" si="31"/>
        <v>-1.1294117647058788E-2</v>
      </c>
      <c r="D957" s="6">
        <f t="shared" si="30"/>
        <v>-1.1358380513516751E-2</v>
      </c>
      <c r="E957" s="6"/>
      <c r="F957" s="6"/>
      <c r="G957" s="6"/>
      <c r="H957" s="6"/>
    </row>
    <row r="958" spans="1:8" x14ac:dyDescent="0.25">
      <c r="A958" t="s">
        <v>1005</v>
      </c>
      <c r="B958">
        <v>127.5</v>
      </c>
      <c r="C958" s="6">
        <f t="shared" si="31"/>
        <v>-1.5683814303635302E-4</v>
      </c>
      <c r="D958" s="6">
        <f t="shared" si="30"/>
        <v>-1.5685044342403869E-4</v>
      </c>
      <c r="E958" s="6"/>
      <c r="F958" s="6"/>
      <c r="G958" s="6"/>
      <c r="H958" s="6"/>
    </row>
    <row r="959" spans="1:8" x14ac:dyDescent="0.25">
      <c r="A959" t="s">
        <v>1006</v>
      </c>
      <c r="B959">
        <v>127.52</v>
      </c>
      <c r="C959" s="6">
        <f t="shared" si="31"/>
        <v>1.9996800511917989E-2</v>
      </c>
      <c r="D959" s="6">
        <f t="shared" si="30"/>
        <v>1.9799490538238512E-2</v>
      </c>
      <c r="E959" s="6"/>
      <c r="F959" s="6"/>
      <c r="G959" s="6"/>
      <c r="H959" s="6"/>
    </row>
    <row r="960" spans="1:8" x14ac:dyDescent="0.25">
      <c r="A960" t="s">
        <v>1007</v>
      </c>
      <c r="B960">
        <v>125.02</v>
      </c>
      <c r="C960" s="6">
        <f t="shared" si="31"/>
        <v>-3.280210428593533E-2</v>
      </c>
      <c r="D960" s="6">
        <f t="shared" si="30"/>
        <v>-3.3352155331083107E-2</v>
      </c>
      <c r="E960" s="6"/>
      <c r="F960" s="6"/>
      <c r="G960" s="6"/>
      <c r="H960" s="6"/>
    </row>
    <row r="961" spans="1:8" x14ac:dyDescent="0.25">
      <c r="A961" t="s">
        <v>1008</v>
      </c>
      <c r="B961">
        <v>129.26</v>
      </c>
      <c r="C961" s="6">
        <f t="shared" si="31"/>
        <v>4.8196517412935069E-3</v>
      </c>
      <c r="D961" s="6">
        <f t="shared" si="30"/>
        <v>4.8080744040931321E-3</v>
      </c>
      <c r="E961" s="6"/>
      <c r="F961" s="6"/>
      <c r="G961" s="6"/>
      <c r="H961" s="6"/>
    </row>
    <row r="962" spans="1:8" x14ac:dyDescent="0.25">
      <c r="A962" t="s">
        <v>1009</v>
      </c>
      <c r="B962">
        <v>128.63999999999999</v>
      </c>
      <c r="C962" s="6">
        <f t="shared" si="31"/>
        <v>-1.0689840805968021E-2</v>
      </c>
      <c r="D962" s="6">
        <f t="shared" si="30"/>
        <v>-1.0747387632572431E-2</v>
      </c>
      <c r="E962" s="6"/>
      <c r="F962" s="6"/>
      <c r="G962" s="6"/>
      <c r="H962" s="6"/>
    </row>
    <row r="963" spans="1:8" x14ac:dyDescent="0.25">
      <c r="A963" t="s">
        <v>1010</v>
      </c>
      <c r="B963">
        <v>130.03</v>
      </c>
      <c r="C963" s="6">
        <f t="shared" si="31"/>
        <v>-2.6844608068721243E-3</v>
      </c>
      <c r="D963" s="6">
        <f t="shared" si="30"/>
        <v>-2.6880704331646728E-3</v>
      </c>
      <c r="E963" s="6"/>
      <c r="F963" s="6"/>
      <c r="G963" s="6"/>
      <c r="H963" s="6"/>
    </row>
    <row r="964" spans="1:8" x14ac:dyDescent="0.25">
      <c r="A964" t="s">
        <v>1011</v>
      </c>
      <c r="B964">
        <v>130.38</v>
      </c>
      <c r="C964" s="6">
        <f t="shared" si="31"/>
        <v>-1.0623766884200969E-2</v>
      </c>
      <c r="D964" s="6">
        <f t="shared" si="30"/>
        <v>-1.0680601989280591E-2</v>
      </c>
      <c r="E964" s="6"/>
      <c r="F964" s="6"/>
      <c r="G964" s="6"/>
      <c r="H964" s="6"/>
    </row>
    <row r="965" spans="1:8" x14ac:dyDescent="0.25">
      <c r="A965" t="s">
        <v>1012</v>
      </c>
      <c r="B965">
        <v>131.78</v>
      </c>
      <c r="C965" s="6">
        <f t="shared" si="31"/>
        <v>2.3454488971730525E-2</v>
      </c>
      <c r="D965" s="6">
        <f t="shared" si="30"/>
        <v>2.3183659055066589E-2</v>
      </c>
      <c r="E965" s="6"/>
      <c r="F965" s="6"/>
      <c r="G965" s="6"/>
      <c r="H965" s="6"/>
    </row>
    <row r="966" spans="1:8" x14ac:dyDescent="0.25">
      <c r="A966" t="s">
        <v>1013</v>
      </c>
      <c r="B966">
        <v>128.76</v>
      </c>
      <c r="C966" s="6">
        <f t="shared" si="31"/>
        <v>-4.5612678778508275E-3</v>
      </c>
      <c r="D966" s="6">
        <f t="shared" si="30"/>
        <v>-4.5717022014307596E-3</v>
      </c>
      <c r="E966" s="6"/>
      <c r="F966" s="6"/>
      <c r="G966" s="6"/>
      <c r="H966" s="6"/>
    </row>
    <row r="967" spans="1:8" x14ac:dyDescent="0.25">
      <c r="A967" t="s">
        <v>1014</v>
      </c>
      <c r="B967">
        <v>129.35</v>
      </c>
      <c r="C967" s="6">
        <f t="shared" si="31"/>
        <v>9.2857695581516353E-4</v>
      </c>
      <c r="D967" s="6">
        <f t="shared" si="30"/>
        <v>9.281460949380865E-4</v>
      </c>
      <c r="E967" s="6"/>
      <c r="F967" s="6"/>
      <c r="G967" s="6"/>
      <c r="H967" s="6"/>
    </row>
    <row r="968" spans="1:8" x14ac:dyDescent="0.25">
      <c r="A968" t="s">
        <v>1015</v>
      </c>
      <c r="B968">
        <v>129.22999999999999</v>
      </c>
      <c r="C968" s="6">
        <f t="shared" si="31"/>
        <v>-1.1322775610129399E-2</v>
      </c>
      <c r="D968" s="6">
        <f t="shared" si="30"/>
        <v>-1.1387366260360542E-2</v>
      </c>
      <c r="E968" s="6"/>
      <c r="F968" s="6"/>
      <c r="G968" s="6"/>
      <c r="H968" s="6"/>
    </row>
    <row r="969" spans="1:8" x14ac:dyDescent="0.25">
      <c r="A969" t="s">
        <v>1016</v>
      </c>
      <c r="B969">
        <v>130.71</v>
      </c>
      <c r="C969" s="6">
        <f t="shared" si="31"/>
        <v>8.7204815557955229E-3</v>
      </c>
      <c r="D969" s="6">
        <f t="shared" si="30"/>
        <v>8.6826777756491228E-3</v>
      </c>
      <c r="E969" s="6"/>
      <c r="F969" s="6"/>
      <c r="G969" s="6"/>
      <c r="H969" s="6"/>
    </row>
    <row r="970" spans="1:8" x14ac:dyDescent="0.25">
      <c r="A970" t="s">
        <v>1017</v>
      </c>
      <c r="B970">
        <v>129.58000000000001</v>
      </c>
      <c r="C970" s="6">
        <f t="shared" si="31"/>
        <v>1.5458339774310215E-3</v>
      </c>
      <c r="D970" s="6">
        <f t="shared" si="30"/>
        <v>1.5446404059720189E-3</v>
      </c>
      <c r="E970" s="6"/>
      <c r="F970" s="6"/>
      <c r="G970" s="6"/>
      <c r="H970" s="6"/>
    </row>
    <row r="971" spans="1:8" x14ac:dyDescent="0.25">
      <c r="A971" t="s">
        <v>1018</v>
      </c>
      <c r="B971">
        <v>129.38</v>
      </c>
      <c r="C971" s="6">
        <f t="shared" si="31"/>
        <v>6.3783447417546935E-3</v>
      </c>
      <c r="D971" s="6">
        <f t="shared" si="30"/>
        <v>6.3580891865820943E-3</v>
      </c>
      <c r="E971" s="6"/>
      <c r="F971" s="6"/>
      <c r="G971" s="6"/>
      <c r="H971" s="6"/>
    </row>
    <row r="972" spans="1:8" x14ac:dyDescent="0.25">
      <c r="A972" t="s">
        <v>1019</v>
      </c>
      <c r="B972">
        <v>128.56</v>
      </c>
      <c r="C972" s="6">
        <f t="shared" si="31"/>
        <v>-7.3353409003165115E-3</v>
      </c>
      <c r="D972" s="6">
        <f t="shared" si="30"/>
        <v>-7.3623768062386179E-3</v>
      </c>
      <c r="E972" s="6"/>
      <c r="F972" s="6"/>
      <c r="G972" s="6"/>
      <c r="H972" s="6"/>
    </row>
    <row r="973" spans="1:8" x14ac:dyDescent="0.25">
      <c r="A973" t="s">
        <v>1020</v>
      </c>
      <c r="B973">
        <v>129.51</v>
      </c>
      <c r="C973" s="6">
        <f t="shared" si="31"/>
        <v>-1.6554028400030396E-2</v>
      </c>
      <c r="D973" s="6">
        <f t="shared" si="30"/>
        <v>-1.6692577486632939E-2</v>
      </c>
      <c r="E973" s="6"/>
      <c r="F973" s="6"/>
      <c r="G973" s="6"/>
      <c r="H973" s="6"/>
    </row>
    <row r="974" spans="1:8" x14ac:dyDescent="0.25">
      <c r="A974" t="s">
        <v>1021</v>
      </c>
      <c r="B974">
        <v>131.69</v>
      </c>
      <c r="C974" s="6">
        <f t="shared" si="31"/>
        <v>3.4288326729654539E-3</v>
      </c>
      <c r="D974" s="6">
        <f t="shared" si="30"/>
        <v>3.4229676292277605E-3</v>
      </c>
      <c r="E974" s="6"/>
      <c r="F974" s="6"/>
      <c r="G974" s="6"/>
      <c r="H974" s="6"/>
    </row>
    <row r="975" spans="1:8" x14ac:dyDescent="0.25">
      <c r="A975" t="s">
        <v>1022</v>
      </c>
      <c r="B975">
        <v>131.24</v>
      </c>
      <c r="C975" s="6">
        <f t="shared" si="31"/>
        <v>-9.6589194083911423E-3</v>
      </c>
      <c r="D975" s="6">
        <f t="shared" si="30"/>
        <v>-9.7058693387941861E-3</v>
      </c>
      <c r="E975" s="6"/>
      <c r="F975" s="6"/>
      <c r="G975" s="6"/>
      <c r="H975" s="6"/>
    </row>
    <row r="976" spans="1:8" x14ac:dyDescent="0.25">
      <c r="A976" t="s">
        <v>1023</v>
      </c>
      <c r="B976">
        <v>132.52000000000001</v>
      </c>
      <c r="C976" s="6">
        <f t="shared" si="31"/>
        <v>3.1034743774127627E-3</v>
      </c>
      <c r="D976" s="6">
        <f t="shared" si="30"/>
        <v>3.098668541432396E-3</v>
      </c>
      <c r="E976" s="6"/>
      <c r="F976" s="6"/>
      <c r="G976" s="6"/>
      <c r="H976" s="6"/>
    </row>
    <row r="977" spans="1:8" x14ac:dyDescent="0.25">
      <c r="A977" t="s">
        <v>1024</v>
      </c>
      <c r="B977">
        <v>132.11000000000001</v>
      </c>
      <c r="C977" s="6">
        <f t="shared" si="31"/>
        <v>1.1020127037575822E-2</v>
      </c>
      <c r="D977" s="6">
        <f t="shared" si="30"/>
        <v>1.0959847889208207E-2</v>
      </c>
      <c r="E977" s="6"/>
      <c r="F977" s="6"/>
      <c r="G977" s="6"/>
      <c r="H977" s="6"/>
    </row>
    <row r="978" spans="1:8" x14ac:dyDescent="0.25">
      <c r="A978" t="s">
        <v>1025</v>
      </c>
      <c r="B978">
        <v>130.66999999999999</v>
      </c>
      <c r="C978" s="6">
        <f t="shared" si="31"/>
        <v>-2.295332823259999E-4</v>
      </c>
      <c r="D978" s="6">
        <f t="shared" si="30"/>
        <v>-2.29559629121569E-4</v>
      </c>
      <c r="E978" s="6"/>
      <c r="F978" s="6"/>
      <c r="G978" s="6"/>
      <c r="H978" s="6"/>
    </row>
    <row r="979" spans="1:8" x14ac:dyDescent="0.25">
      <c r="A979" t="s">
        <v>1026</v>
      </c>
      <c r="B979">
        <v>130.69999999999999</v>
      </c>
      <c r="C979" s="6">
        <f t="shared" si="31"/>
        <v>-7.0652586796323691E-3</v>
      </c>
      <c r="D979" s="6">
        <f t="shared" si="30"/>
        <v>-7.0903358071401539E-3</v>
      </c>
      <c r="E979" s="6"/>
      <c r="F979" s="6"/>
      <c r="G979" s="6"/>
      <c r="H979" s="6"/>
    </row>
    <row r="980" spans="1:8" x14ac:dyDescent="0.25">
      <c r="A980" t="s">
        <v>1027</v>
      </c>
      <c r="B980">
        <v>131.63</v>
      </c>
      <c r="C980" s="6">
        <f t="shared" si="31"/>
        <v>-8.7355975600572622E-3</v>
      </c>
      <c r="D980" s="6">
        <f t="shared" si="30"/>
        <v>-8.7739765649198203E-3</v>
      </c>
      <c r="E980" s="6"/>
      <c r="F980" s="6"/>
      <c r="G980" s="6"/>
      <c r="H980" s="6"/>
    </row>
    <row r="981" spans="1:8" x14ac:dyDescent="0.25">
      <c r="A981" t="s">
        <v>1028</v>
      </c>
      <c r="B981">
        <v>132.79</v>
      </c>
      <c r="C981" s="6">
        <f t="shared" si="31"/>
        <v>-1.5059106994963489E-4</v>
      </c>
      <c r="D981" s="6">
        <f t="shared" si="30"/>
        <v>-1.506024099232893E-4</v>
      </c>
      <c r="E981" s="6"/>
      <c r="F981" s="6"/>
      <c r="G981" s="6"/>
      <c r="H981" s="6"/>
    </row>
    <row r="982" spans="1:8" x14ac:dyDescent="0.25">
      <c r="A982" t="s">
        <v>1029</v>
      </c>
      <c r="B982">
        <v>132.81</v>
      </c>
      <c r="C982" s="6">
        <f t="shared" si="31"/>
        <v>-4.4463630477012739E-2</v>
      </c>
      <c r="D982" s="6">
        <f t="shared" si="30"/>
        <v>-4.5482452684507353E-2</v>
      </c>
      <c r="E982" s="6"/>
      <c r="F982" s="6"/>
      <c r="G982" s="6"/>
      <c r="H982" s="6"/>
    </row>
    <row r="983" spans="1:8" x14ac:dyDescent="0.25">
      <c r="A983" t="s">
        <v>1030</v>
      </c>
      <c r="B983">
        <v>138.99</v>
      </c>
      <c r="C983" s="6">
        <f t="shared" si="31"/>
        <v>5.4312371994234887E-2</v>
      </c>
      <c r="D983" s="6">
        <f t="shared" si="30"/>
        <v>5.288877432678802E-2</v>
      </c>
      <c r="E983" s="6"/>
      <c r="F983" s="6"/>
      <c r="G983" s="6"/>
      <c r="H983" s="6"/>
    </row>
    <row r="984" spans="1:8" x14ac:dyDescent="0.25">
      <c r="A984" t="s">
        <v>1031</v>
      </c>
      <c r="B984">
        <v>131.83000000000001</v>
      </c>
      <c r="C984" s="6">
        <f t="shared" si="31"/>
        <v>-8.4987966305655194E-3</v>
      </c>
      <c r="D984" s="6">
        <f t="shared" si="30"/>
        <v>-8.5351173372594305E-3</v>
      </c>
      <c r="E984" s="6"/>
      <c r="F984" s="6"/>
      <c r="G984" s="6"/>
      <c r="H984" s="6"/>
    </row>
    <row r="985" spans="1:8" x14ac:dyDescent="0.25">
      <c r="A985" t="s">
        <v>1032</v>
      </c>
      <c r="B985">
        <v>132.96</v>
      </c>
      <c r="C985" s="6">
        <f t="shared" si="31"/>
        <v>-7.0943170786348375E-3</v>
      </c>
      <c r="D985" s="6">
        <f t="shared" si="30"/>
        <v>-7.1196014003366845E-3</v>
      </c>
      <c r="E985" s="6"/>
      <c r="F985" s="6"/>
      <c r="G985" s="6"/>
      <c r="H985" s="6"/>
    </row>
    <row r="986" spans="1:8" x14ac:dyDescent="0.25">
      <c r="A986" t="s">
        <v>1033</v>
      </c>
      <c r="B986">
        <v>133.91</v>
      </c>
      <c r="C986" s="6">
        <f t="shared" si="31"/>
        <v>1.3625009461811999E-2</v>
      </c>
      <c r="D986" s="6">
        <f t="shared" si="30"/>
        <v>1.3533023617211969E-2</v>
      </c>
      <c r="E986" s="6"/>
      <c r="F986" s="6"/>
      <c r="G986" s="6"/>
      <c r="H986" s="6"/>
    </row>
    <row r="987" spans="1:8" x14ac:dyDescent="0.25">
      <c r="A987" t="s">
        <v>1034</v>
      </c>
      <c r="B987">
        <v>132.11000000000001</v>
      </c>
      <c r="C987" s="6">
        <f t="shared" si="31"/>
        <v>-3.906022694210054E-2</v>
      </c>
      <c r="D987" s="6">
        <f t="shared" si="30"/>
        <v>-3.9843543091370281E-2</v>
      </c>
      <c r="E987" s="6"/>
      <c r="F987" s="6"/>
      <c r="G987" s="6"/>
      <c r="H987" s="6"/>
    </row>
    <row r="988" spans="1:8" x14ac:dyDescent="0.25">
      <c r="A988" t="s">
        <v>1035</v>
      </c>
      <c r="B988">
        <v>137.47999999999999</v>
      </c>
      <c r="C988" s="6">
        <f t="shared" si="31"/>
        <v>9.3979441997062985E-3</v>
      </c>
      <c r="D988" s="6">
        <f t="shared" si="30"/>
        <v>9.3540582662211269E-3</v>
      </c>
      <c r="E988" s="6"/>
      <c r="F988" s="6"/>
      <c r="G988" s="6"/>
      <c r="H988" s="6"/>
    </row>
    <row r="989" spans="1:8" x14ac:dyDescent="0.25">
      <c r="A989" t="s">
        <v>1036</v>
      </c>
      <c r="B989">
        <v>136.19999999999999</v>
      </c>
      <c r="C989" s="6">
        <f t="shared" si="31"/>
        <v>-1.31864947109116E-2</v>
      </c>
      <c r="D989" s="6">
        <f t="shared" si="30"/>
        <v>-1.3274208477043921E-2</v>
      </c>
      <c r="E989" s="6"/>
      <c r="F989" s="6"/>
      <c r="G989" s="6"/>
      <c r="H989" s="6"/>
    </row>
    <row r="990" spans="1:8" x14ac:dyDescent="0.25">
      <c r="A990" t="s">
        <v>1037</v>
      </c>
      <c r="B990">
        <v>138.02000000000001</v>
      </c>
      <c r="C990" s="6">
        <f t="shared" si="31"/>
        <v>5.0620385171652682E-2</v>
      </c>
      <c r="D990" s="6">
        <f t="shared" si="30"/>
        <v>4.9380832711039185E-2</v>
      </c>
      <c r="E990" s="6"/>
      <c r="F990" s="6"/>
      <c r="G990" s="6"/>
      <c r="H990" s="6"/>
    </row>
    <row r="991" spans="1:8" x14ac:dyDescent="0.25">
      <c r="A991" t="s">
        <v>1038</v>
      </c>
      <c r="B991">
        <v>131.37</v>
      </c>
      <c r="C991" s="6">
        <f t="shared" si="31"/>
        <v>1.9830676531156222E-3</v>
      </c>
      <c r="D991" s="6">
        <f t="shared" si="30"/>
        <v>1.981103970106147E-3</v>
      </c>
      <c r="E991" s="6"/>
      <c r="F991" s="6"/>
      <c r="G991" s="6"/>
      <c r="H991" s="6"/>
    </row>
    <row r="992" spans="1:8" x14ac:dyDescent="0.25">
      <c r="A992" t="s">
        <v>1039</v>
      </c>
      <c r="B992">
        <v>131.11000000000001</v>
      </c>
      <c r="C992" s="6">
        <f t="shared" si="31"/>
        <v>5.0594097355309842E-3</v>
      </c>
      <c r="D992" s="6">
        <f t="shared" si="30"/>
        <v>5.046653928573141E-3</v>
      </c>
      <c r="E992" s="6"/>
      <c r="F992" s="6"/>
      <c r="G992" s="6"/>
      <c r="H992" s="6"/>
    </row>
    <row r="993" spans="1:8" x14ac:dyDescent="0.25">
      <c r="A993" t="s">
        <v>1040</v>
      </c>
      <c r="B993">
        <v>130.44999999999999</v>
      </c>
      <c r="C993" s="6">
        <f t="shared" si="31"/>
        <v>-4.9890750182083221E-2</v>
      </c>
      <c r="D993" s="6">
        <f t="shared" si="30"/>
        <v>-5.117830119118813E-2</v>
      </c>
      <c r="E993" s="6"/>
      <c r="F993" s="6"/>
      <c r="G993" s="6"/>
      <c r="H993" s="6"/>
    </row>
    <row r="994" spans="1:8" x14ac:dyDescent="0.25">
      <c r="A994" t="s">
        <v>1041</v>
      </c>
      <c r="B994">
        <v>137.30000000000001</v>
      </c>
      <c r="C994" s="6">
        <f t="shared" si="31"/>
        <v>9.5588235294119528E-3</v>
      </c>
      <c r="D994" s="6">
        <f t="shared" si="30"/>
        <v>9.5134270378735425E-3</v>
      </c>
      <c r="E994" s="6"/>
      <c r="F994" s="6"/>
      <c r="G994" s="6"/>
      <c r="H994" s="6"/>
    </row>
    <row r="995" spans="1:8" x14ac:dyDescent="0.25">
      <c r="A995" t="s">
        <v>1042</v>
      </c>
      <c r="B995">
        <v>136</v>
      </c>
      <c r="C995" s="6">
        <f t="shared" si="31"/>
        <v>5.1898832082914348E-2</v>
      </c>
      <c r="D995" s="6">
        <f t="shared" si="30"/>
        <v>5.0596942469590081E-2</v>
      </c>
      <c r="E995" s="6"/>
      <c r="F995" s="6"/>
      <c r="G995" s="6"/>
      <c r="H995" s="6"/>
    </row>
    <row r="996" spans="1:8" x14ac:dyDescent="0.25">
      <c r="A996" t="s">
        <v>1043</v>
      </c>
      <c r="B996">
        <v>129.29</v>
      </c>
      <c r="C996" s="6">
        <f t="shared" si="31"/>
        <v>-1.1588380716934799E-3</v>
      </c>
      <c r="D996" s="6">
        <f t="shared" si="30"/>
        <v>-1.1595100437196918E-3</v>
      </c>
      <c r="E996" s="6"/>
      <c r="F996" s="6"/>
      <c r="G996" s="6"/>
      <c r="H996" s="6"/>
    </row>
    <row r="997" spans="1:8" x14ac:dyDescent="0.25">
      <c r="A997" t="s">
        <v>1044</v>
      </c>
      <c r="B997">
        <v>129.44</v>
      </c>
      <c r="C997" s="6">
        <f t="shared" si="31"/>
        <v>2.8117553613979274E-2</v>
      </c>
      <c r="D997" s="6">
        <f t="shared" si="30"/>
        <v>2.7729512259880004E-2</v>
      </c>
      <c r="E997" s="6"/>
      <c r="F997" s="6"/>
      <c r="G997" s="6"/>
      <c r="H997" s="6"/>
    </row>
    <row r="998" spans="1:8" x14ac:dyDescent="0.25">
      <c r="A998" t="s">
        <v>1045</v>
      </c>
      <c r="B998">
        <v>125.9</v>
      </c>
      <c r="C998" s="6">
        <f t="shared" si="31"/>
        <v>2.1418140515982564E-2</v>
      </c>
      <c r="D998" s="6">
        <f t="shared" si="30"/>
        <v>2.1191995516204484E-2</v>
      </c>
      <c r="E998" s="6"/>
      <c r="F998" s="6"/>
      <c r="G998" s="6"/>
      <c r="H998" s="6"/>
    </row>
    <row r="999" spans="1:8" x14ac:dyDescent="0.25">
      <c r="A999" t="s">
        <v>1046</v>
      </c>
      <c r="B999">
        <v>123.26</v>
      </c>
      <c r="C999" s="6">
        <f t="shared" si="31"/>
        <v>4.360342054017452E-2</v>
      </c>
      <c r="D999" s="6">
        <f t="shared" si="30"/>
        <v>4.2679551910341347E-2</v>
      </c>
      <c r="E999" s="6"/>
      <c r="F999" s="6"/>
      <c r="G999" s="6"/>
      <c r="H999" s="6"/>
    </row>
    <row r="1000" spans="1:8" x14ac:dyDescent="0.25">
      <c r="A1000" t="s">
        <v>1047</v>
      </c>
      <c r="B1000">
        <v>118.11</v>
      </c>
      <c r="C1000" s="6">
        <f t="shared" si="31"/>
        <v>1.3124034997426648E-2</v>
      </c>
      <c r="D1000" s="6">
        <f t="shared" si="30"/>
        <v>1.3038661006352112E-2</v>
      </c>
      <c r="E1000" s="6"/>
      <c r="F1000" s="6"/>
      <c r="G1000" s="6"/>
      <c r="H1000" s="6"/>
    </row>
    <row r="1001" spans="1:8" x14ac:dyDescent="0.25">
      <c r="A1001" t="s">
        <v>1048</v>
      </c>
      <c r="B1001">
        <v>116.58</v>
      </c>
      <c r="C1001" s="6">
        <f t="shared" si="31"/>
        <v>-9.1789903110657267E-3</v>
      </c>
      <c r="D1001" s="6">
        <f t="shared" si="30"/>
        <v>-9.2213768189061355E-3</v>
      </c>
      <c r="E1001" s="6"/>
      <c r="F1001" s="6"/>
      <c r="G1001" s="6"/>
      <c r="H1001" s="6"/>
    </row>
    <row r="1002" spans="1:8" x14ac:dyDescent="0.25">
      <c r="A1002" t="s">
        <v>1049</v>
      </c>
      <c r="B1002">
        <v>117.66</v>
      </c>
      <c r="C1002" s="6">
        <f t="shared" si="31"/>
        <v>-2.0316402997502037E-2</v>
      </c>
      <c r="D1002" s="6">
        <f t="shared" si="30"/>
        <v>-2.0525619649627899E-2</v>
      </c>
      <c r="E1002" s="6"/>
      <c r="F1002" s="6"/>
      <c r="G1002" s="6"/>
      <c r="H1002" s="6"/>
    </row>
    <row r="1003" spans="1:8" x14ac:dyDescent="0.25">
      <c r="A1003" t="s">
        <v>1050</v>
      </c>
      <c r="B1003">
        <v>120.1</v>
      </c>
      <c r="C1003" s="6">
        <f t="shared" si="31"/>
        <v>4.4325499707285054E-3</v>
      </c>
      <c r="D1003" s="6">
        <f t="shared" si="30"/>
        <v>4.4227551544492993E-3</v>
      </c>
      <c r="E1003" s="6"/>
      <c r="F1003" s="6"/>
      <c r="G1003" s="6"/>
      <c r="H1003" s="6"/>
    </row>
    <row r="1004" spans="1:8" x14ac:dyDescent="0.25">
      <c r="A1004" t="s">
        <v>1051</v>
      </c>
      <c r="B1004">
        <v>119.57</v>
      </c>
      <c r="C1004" s="6">
        <f t="shared" si="31"/>
        <v>3.4407519301777878E-3</v>
      </c>
      <c r="D1004" s="6">
        <f t="shared" si="30"/>
        <v>3.4348460864069611E-3</v>
      </c>
      <c r="E1004" s="6"/>
      <c r="F1004" s="6"/>
      <c r="G1004" s="6"/>
      <c r="H1004" s="6"/>
    </row>
    <row r="1005" spans="1:8" x14ac:dyDescent="0.25">
      <c r="A1005" t="s">
        <v>1052</v>
      </c>
      <c r="B1005">
        <v>119.16</v>
      </c>
      <c r="C1005" s="6">
        <f t="shared" si="31"/>
        <v>9.1463414634145312E-3</v>
      </c>
      <c r="D1005" s="6">
        <f t="shared" si="30"/>
        <v>9.1047669929190667E-3</v>
      </c>
      <c r="E1005" s="6"/>
      <c r="F1005" s="6"/>
      <c r="G1005" s="6"/>
      <c r="H1005" s="6"/>
    </row>
    <row r="1006" spans="1:8" x14ac:dyDescent="0.25">
      <c r="A1006" t="s">
        <v>1053</v>
      </c>
      <c r="B1006">
        <v>118.08</v>
      </c>
      <c r="C1006" s="6">
        <f t="shared" si="31"/>
        <v>-1.4439529254653194E-2</v>
      </c>
      <c r="D1006" s="6">
        <f t="shared" si="30"/>
        <v>-1.4544793799645312E-2</v>
      </c>
      <c r="E1006" s="6"/>
      <c r="F1006" s="6"/>
      <c r="G1006" s="6"/>
      <c r="H1006" s="6"/>
    </row>
    <row r="1007" spans="1:8" x14ac:dyDescent="0.25">
      <c r="A1007" t="s">
        <v>1054</v>
      </c>
      <c r="B1007">
        <v>119.81</v>
      </c>
      <c r="C1007" s="6">
        <f t="shared" si="31"/>
        <v>-3.9903566381245259E-3</v>
      </c>
      <c r="D1007" s="6">
        <f t="shared" si="30"/>
        <v>-3.9983393541735317E-3</v>
      </c>
      <c r="E1007" s="6"/>
      <c r="F1007" s="6"/>
      <c r="G1007" s="6"/>
      <c r="H1007" s="6"/>
    </row>
    <row r="1008" spans="1:8" x14ac:dyDescent="0.25">
      <c r="A1008" t="s">
        <v>1055</v>
      </c>
      <c r="B1008">
        <v>120.29</v>
      </c>
      <c r="C1008" s="6">
        <f t="shared" si="31"/>
        <v>4.3731019522776693E-2</v>
      </c>
      <c r="D1008" s="6">
        <f t="shared" si="30"/>
        <v>4.2801812129223439E-2</v>
      </c>
      <c r="E1008" s="6"/>
      <c r="F1008" s="6"/>
      <c r="G1008" s="6"/>
      <c r="H1008" s="6"/>
    </row>
    <row r="1009" spans="1:8" x14ac:dyDescent="0.25">
      <c r="A1009" t="s">
        <v>1056</v>
      </c>
      <c r="B1009">
        <v>115.25</v>
      </c>
      <c r="C1009" s="6">
        <f t="shared" si="31"/>
        <v>-4.9484536082474273E-2</v>
      </c>
      <c r="D1009" s="6">
        <f t="shared" si="30"/>
        <v>-5.0750847940834724E-2</v>
      </c>
      <c r="E1009" s="6"/>
      <c r="F1009" s="6"/>
      <c r="G1009" s="6"/>
      <c r="H1009" s="6"/>
    </row>
    <row r="1010" spans="1:8" x14ac:dyDescent="0.25">
      <c r="A1010" t="s">
        <v>1057</v>
      </c>
      <c r="B1010">
        <v>121.25</v>
      </c>
      <c r="C1010" s="6">
        <f t="shared" si="31"/>
        <v>1.6942044787385591E-2</v>
      </c>
      <c r="D1010" s="6">
        <f t="shared" si="30"/>
        <v>1.6800128999551849E-2</v>
      </c>
      <c r="E1010" s="6"/>
      <c r="F1010" s="6"/>
      <c r="G1010" s="6"/>
      <c r="H1010" s="6"/>
    </row>
    <row r="1011" spans="1:8" x14ac:dyDescent="0.25">
      <c r="A1011" t="s">
        <v>1058</v>
      </c>
      <c r="B1011">
        <v>119.23</v>
      </c>
      <c r="C1011" s="6">
        <f t="shared" si="31"/>
        <v>3.5350559717195473E-3</v>
      </c>
      <c r="D1011" s="6">
        <f t="shared" ref="D1011:D1074" si="32">LN(B1011/B1012)</f>
        <v>3.5288223478445609E-3</v>
      </c>
      <c r="E1011" s="6"/>
      <c r="F1011" s="6"/>
      <c r="G1011" s="6"/>
      <c r="H1011" s="6"/>
    </row>
    <row r="1012" spans="1:8" x14ac:dyDescent="0.25">
      <c r="A1012" t="s">
        <v>1059</v>
      </c>
      <c r="B1012">
        <v>118.81</v>
      </c>
      <c r="C1012" s="6">
        <f t="shared" ref="C1012:C1075" si="33">(B1012/B1013)-1</f>
        <v>-1.5413938841468466E-2</v>
      </c>
      <c r="D1012" s="6">
        <f t="shared" si="32"/>
        <v>-1.5533968615313387E-2</v>
      </c>
      <c r="E1012" s="6"/>
      <c r="F1012" s="6"/>
      <c r="G1012" s="6"/>
      <c r="H1012" s="6"/>
    </row>
    <row r="1013" spans="1:8" x14ac:dyDescent="0.25">
      <c r="A1013" t="s">
        <v>1060</v>
      </c>
      <c r="B1013">
        <v>120.67</v>
      </c>
      <c r="C1013" s="6">
        <f t="shared" si="33"/>
        <v>-1.0577238438832293E-2</v>
      </c>
      <c r="D1013" s="6">
        <f t="shared" si="32"/>
        <v>-1.0633575034544497E-2</v>
      </c>
      <c r="E1013" s="6"/>
      <c r="F1013" s="6"/>
      <c r="G1013" s="6"/>
      <c r="H1013" s="6"/>
    </row>
    <row r="1014" spans="1:8" x14ac:dyDescent="0.25">
      <c r="A1014" t="s">
        <v>1061</v>
      </c>
      <c r="B1014">
        <v>121.96</v>
      </c>
      <c r="C1014" s="6">
        <f t="shared" si="33"/>
        <v>-2.4592179686855342E-4</v>
      </c>
      <c r="D1014" s="6">
        <f t="shared" si="32"/>
        <v>-2.459520405921365E-4</v>
      </c>
      <c r="E1014" s="6"/>
      <c r="F1014" s="6"/>
      <c r="G1014" s="6"/>
      <c r="H1014" s="6"/>
    </row>
    <row r="1015" spans="1:8" x14ac:dyDescent="0.25">
      <c r="A1015" t="s">
        <v>1062</v>
      </c>
      <c r="B1015">
        <v>121.99</v>
      </c>
      <c r="C1015" s="6">
        <f t="shared" si="33"/>
        <v>2.7543800539083563E-2</v>
      </c>
      <c r="D1015" s="6">
        <f t="shared" si="32"/>
        <v>2.7171294741575897E-2</v>
      </c>
      <c r="E1015" s="6"/>
      <c r="F1015" s="6"/>
      <c r="G1015" s="6"/>
      <c r="H1015" s="6"/>
    </row>
    <row r="1016" spans="1:8" x14ac:dyDescent="0.25">
      <c r="A1016" t="s">
        <v>1063</v>
      </c>
      <c r="B1016">
        <v>118.72</v>
      </c>
      <c r="C1016" s="6">
        <f t="shared" si="33"/>
        <v>1.0118043844857816E-3</v>
      </c>
      <c r="D1016" s="6">
        <f t="shared" si="32"/>
        <v>1.0112928554453556E-3</v>
      </c>
      <c r="E1016" s="6"/>
      <c r="F1016" s="6"/>
      <c r="G1016" s="6"/>
      <c r="H1016" s="6"/>
    </row>
    <row r="1017" spans="1:8" x14ac:dyDescent="0.25">
      <c r="A1017" t="s">
        <v>1064</v>
      </c>
      <c r="B1017">
        <v>118.6</v>
      </c>
      <c r="C1017" s="6">
        <f t="shared" si="33"/>
        <v>-9.6860387441550788E-3</v>
      </c>
      <c r="D1017" s="6">
        <f t="shared" si="32"/>
        <v>-9.7332535477479415E-3</v>
      </c>
      <c r="E1017" s="6"/>
      <c r="F1017" s="6"/>
      <c r="G1017" s="6"/>
      <c r="H1017" s="6"/>
    </row>
    <row r="1018" spans="1:8" x14ac:dyDescent="0.25">
      <c r="A1018" t="s">
        <v>1065</v>
      </c>
      <c r="B1018">
        <v>119.76</v>
      </c>
      <c r="C1018" s="6">
        <f t="shared" si="33"/>
        <v>-1.569820004931366E-2</v>
      </c>
      <c r="D1018" s="6">
        <f t="shared" si="32"/>
        <v>-1.582272168798473E-2</v>
      </c>
      <c r="E1018" s="6"/>
      <c r="F1018" s="6"/>
      <c r="G1018" s="6"/>
      <c r="H1018" s="6"/>
    </row>
    <row r="1019" spans="1:8" x14ac:dyDescent="0.25">
      <c r="A1019" t="s">
        <v>1066</v>
      </c>
      <c r="B1019">
        <v>121.67</v>
      </c>
      <c r="C1019" s="6">
        <f t="shared" si="33"/>
        <v>-4.1077883667428594E-4</v>
      </c>
      <c r="D1019" s="6">
        <f t="shared" si="32"/>
        <v>-4.1086322941257425E-4</v>
      </c>
      <c r="E1019" s="6"/>
      <c r="F1019" s="6"/>
      <c r="G1019" s="6"/>
      <c r="H1019" s="6"/>
    </row>
    <row r="1020" spans="1:8" x14ac:dyDescent="0.25">
      <c r="A1020" t="s">
        <v>1067</v>
      </c>
      <c r="B1020">
        <v>121.72</v>
      </c>
      <c r="C1020" s="6">
        <f t="shared" si="33"/>
        <v>6.0335564922722185E-3</v>
      </c>
      <c r="D1020" s="6">
        <f t="shared" si="32"/>
        <v>6.0154274753839885E-3</v>
      </c>
      <c r="E1020" s="6"/>
      <c r="F1020" s="6"/>
      <c r="G1020" s="6"/>
      <c r="H1020" s="6"/>
    </row>
    <row r="1021" spans="1:8" x14ac:dyDescent="0.25">
      <c r="A1021" t="s">
        <v>1068</v>
      </c>
      <c r="B1021">
        <v>120.99</v>
      </c>
      <c r="C1021" s="6">
        <f t="shared" si="33"/>
        <v>3.2249808036856953E-2</v>
      </c>
      <c r="D1021" s="6">
        <f t="shared" si="32"/>
        <v>3.1740699818297587E-2</v>
      </c>
      <c r="E1021" s="6"/>
      <c r="F1021" s="6"/>
      <c r="G1021" s="6"/>
      <c r="H1021" s="6"/>
    </row>
    <row r="1022" spans="1:8" x14ac:dyDescent="0.25">
      <c r="A1022" t="s">
        <v>1069</v>
      </c>
      <c r="B1022">
        <v>117.21</v>
      </c>
      <c r="C1022" s="6">
        <f t="shared" si="33"/>
        <v>3.5961983046493007E-3</v>
      </c>
      <c r="D1022" s="6">
        <f t="shared" si="32"/>
        <v>3.5897474446147867E-3</v>
      </c>
      <c r="E1022" s="6"/>
      <c r="F1022" s="6"/>
      <c r="G1022" s="6"/>
      <c r="H1022" s="6"/>
    </row>
    <row r="1023" spans="1:8" x14ac:dyDescent="0.25">
      <c r="A1023" t="s">
        <v>1070</v>
      </c>
      <c r="B1023">
        <v>116.79</v>
      </c>
      <c r="C1023" s="6">
        <f t="shared" si="33"/>
        <v>-1.7121821761834077E-4</v>
      </c>
      <c r="D1023" s="6">
        <f t="shared" si="32"/>
        <v>-1.712328771307039E-4</v>
      </c>
      <c r="E1023" s="6"/>
      <c r="F1023" s="6"/>
      <c r="G1023" s="6"/>
      <c r="H1023" s="6"/>
    </row>
    <row r="1024" spans="1:8" x14ac:dyDescent="0.25">
      <c r="A1024" t="s">
        <v>1071</v>
      </c>
      <c r="B1024">
        <v>116.81</v>
      </c>
      <c r="C1024" s="6">
        <f t="shared" si="33"/>
        <v>-1.7495163596601859E-2</v>
      </c>
      <c r="D1024" s="6">
        <f t="shared" si="32"/>
        <v>-1.7650012702848522E-2</v>
      </c>
      <c r="E1024" s="6"/>
      <c r="F1024" s="6"/>
      <c r="G1024" s="6"/>
      <c r="H1024" s="6"/>
    </row>
    <row r="1025" spans="1:8" x14ac:dyDescent="0.25">
      <c r="A1025" t="s">
        <v>1072</v>
      </c>
      <c r="B1025">
        <v>118.89</v>
      </c>
      <c r="C1025" s="6">
        <f t="shared" si="33"/>
        <v>3.2064804657834234E-3</v>
      </c>
      <c r="D1025" s="6">
        <f t="shared" si="32"/>
        <v>3.2013506700960264E-3</v>
      </c>
      <c r="E1025" s="6"/>
      <c r="F1025" s="6"/>
      <c r="G1025" s="6"/>
      <c r="H1025" s="6"/>
    </row>
    <row r="1026" spans="1:8" x14ac:dyDescent="0.25">
      <c r="A1026" t="s">
        <v>1073</v>
      </c>
      <c r="B1026">
        <v>118.51</v>
      </c>
      <c r="C1026" s="6">
        <f t="shared" si="33"/>
        <v>-1.3074616922051918E-2</v>
      </c>
      <c r="D1026" s="6">
        <f t="shared" si="32"/>
        <v>-1.3160842124849213E-2</v>
      </c>
      <c r="E1026" s="6"/>
      <c r="F1026" s="6"/>
      <c r="G1026" s="6"/>
      <c r="H1026" s="6"/>
    </row>
    <row r="1027" spans="1:8" x14ac:dyDescent="0.25">
      <c r="A1027" t="s">
        <v>1074</v>
      </c>
      <c r="B1027">
        <v>120.08</v>
      </c>
      <c r="C1027" s="6">
        <f t="shared" si="33"/>
        <v>-2.15123859191656E-2</v>
      </c>
      <c r="D1027" s="6">
        <f t="shared" si="32"/>
        <v>-2.174715029373956E-2</v>
      </c>
      <c r="E1027" s="6"/>
      <c r="F1027" s="6"/>
      <c r="G1027" s="6"/>
      <c r="H1027" s="6"/>
    </row>
    <row r="1028" spans="1:8" x14ac:dyDescent="0.25">
      <c r="A1028" t="s">
        <v>1075</v>
      </c>
      <c r="B1028">
        <v>122.72</v>
      </c>
      <c r="C1028" s="6">
        <f t="shared" si="33"/>
        <v>6.5925475549378998E-2</v>
      </c>
      <c r="D1028" s="6">
        <f t="shared" si="32"/>
        <v>6.384341293337302E-2</v>
      </c>
      <c r="E1028" s="6"/>
      <c r="F1028" s="6"/>
      <c r="G1028" s="6"/>
      <c r="H1028" s="6"/>
    </row>
    <row r="1029" spans="1:8" x14ac:dyDescent="0.25">
      <c r="A1029" t="s">
        <v>1076</v>
      </c>
      <c r="B1029">
        <v>115.13</v>
      </c>
      <c r="C1029" s="6">
        <f t="shared" si="33"/>
        <v>-1.8666893965223252E-2</v>
      </c>
      <c r="D1029" s="6">
        <f t="shared" si="32"/>
        <v>-1.8843319423677146E-2</v>
      </c>
      <c r="E1029" s="6"/>
      <c r="F1029" s="6"/>
      <c r="G1029" s="6"/>
      <c r="H1029" s="6"/>
    </row>
    <row r="1030" spans="1:8" x14ac:dyDescent="0.25">
      <c r="A1030" t="s">
        <v>1077</v>
      </c>
      <c r="B1030">
        <v>117.32</v>
      </c>
      <c r="C1030" s="6">
        <f t="shared" si="33"/>
        <v>1.8787361229717359E-3</v>
      </c>
      <c r="D1030" s="6">
        <f t="shared" si="32"/>
        <v>1.8769735055785461E-3</v>
      </c>
      <c r="E1030" s="6"/>
      <c r="F1030" s="6"/>
      <c r="G1030" s="6"/>
      <c r="H1030" s="6"/>
    </row>
    <row r="1031" spans="1:8" x14ac:dyDescent="0.25">
      <c r="A1031" t="s">
        <v>1078</v>
      </c>
      <c r="B1031">
        <v>117.1</v>
      </c>
      <c r="C1031" s="6">
        <f t="shared" si="33"/>
        <v>1.7199444058373814E-2</v>
      </c>
      <c r="D1031" s="6">
        <f t="shared" si="32"/>
        <v>1.7053208024559226E-2</v>
      </c>
      <c r="E1031" s="6"/>
      <c r="F1031" s="6"/>
      <c r="G1031" s="6"/>
      <c r="H1031" s="6"/>
    </row>
    <row r="1032" spans="1:8" x14ac:dyDescent="0.25">
      <c r="A1032" t="s">
        <v>1079</v>
      </c>
      <c r="B1032">
        <v>115.12</v>
      </c>
      <c r="C1032" s="6">
        <f t="shared" si="33"/>
        <v>-2.1338094023633403E-2</v>
      </c>
      <c r="D1032" s="6">
        <f t="shared" si="32"/>
        <v>-2.1569042393237561E-2</v>
      </c>
      <c r="E1032" s="6"/>
      <c r="F1032" s="6"/>
      <c r="G1032" s="6"/>
      <c r="H1032" s="6"/>
    </row>
    <row r="1033" spans="1:8" x14ac:dyDescent="0.25">
      <c r="A1033" t="s">
        <v>1080</v>
      </c>
      <c r="B1033">
        <v>117.63</v>
      </c>
      <c r="C1033" s="6">
        <f t="shared" si="33"/>
        <v>4.643714971977575E-2</v>
      </c>
      <c r="D1033" s="6">
        <f t="shared" si="32"/>
        <v>4.5391203498644207E-2</v>
      </c>
      <c r="E1033" s="6"/>
      <c r="F1033" s="6"/>
      <c r="G1033" s="6"/>
      <c r="H1033" s="6"/>
    </row>
    <row r="1034" spans="1:8" x14ac:dyDescent="0.25">
      <c r="A1034" t="s">
        <v>1081</v>
      </c>
      <c r="B1034">
        <v>112.41</v>
      </c>
      <c r="C1034" s="6">
        <f t="shared" si="33"/>
        <v>4.4499822000698686E-4</v>
      </c>
      <c r="D1034" s="6">
        <f t="shared" si="32"/>
        <v>4.4489923766263817E-4</v>
      </c>
      <c r="E1034" s="6"/>
      <c r="F1034" s="6"/>
      <c r="G1034" s="6"/>
      <c r="H1034" s="6"/>
    </row>
    <row r="1035" spans="1:8" x14ac:dyDescent="0.25">
      <c r="A1035" t="s">
        <v>1082</v>
      </c>
      <c r="B1035">
        <v>112.36</v>
      </c>
      <c r="C1035" s="6">
        <f t="shared" si="33"/>
        <v>-3.0961621388529537E-2</v>
      </c>
      <c r="D1035" s="6">
        <f t="shared" si="32"/>
        <v>-3.145106146549774E-2</v>
      </c>
      <c r="E1035" s="6"/>
      <c r="F1035" s="6"/>
      <c r="G1035" s="6"/>
      <c r="H1035" s="6"/>
    </row>
    <row r="1036" spans="1:8" x14ac:dyDescent="0.25">
      <c r="A1036" t="s">
        <v>1083</v>
      </c>
      <c r="B1036">
        <v>115.95</v>
      </c>
      <c r="C1036" s="6">
        <f t="shared" si="33"/>
        <v>4.1498248450552389E-2</v>
      </c>
      <c r="D1036" s="6">
        <f t="shared" si="32"/>
        <v>4.0660299960924726E-2</v>
      </c>
      <c r="E1036" s="6"/>
      <c r="F1036" s="6"/>
      <c r="G1036" s="6"/>
      <c r="H1036" s="6"/>
    </row>
    <row r="1037" spans="1:8" x14ac:dyDescent="0.25">
      <c r="A1037" t="s">
        <v>1084</v>
      </c>
      <c r="B1037">
        <v>111.33</v>
      </c>
      <c r="C1037" s="6">
        <f t="shared" si="33"/>
        <v>-4.3721010135715499E-2</v>
      </c>
      <c r="D1037" s="6">
        <f t="shared" si="32"/>
        <v>-4.4705578102973521E-2</v>
      </c>
      <c r="E1037" s="6"/>
      <c r="F1037" s="6"/>
      <c r="G1037" s="6"/>
      <c r="H1037" s="6"/>
    </row>
    <row r="1038" spans="1:8" x14ac:dyDescent="0.25">
      <c r="A1038" t="s">
        <v>1085</v>
      </c>
      <c r="B1038">
        <v>116.42</v>
      </c>
      <c r="C1038" s="6">
        <f t="shared" si="33"/>
        <v>-1.7176228100301838E-4</v>
      </c>
      <c r="D1038" s="6">
        <f t="shared" si="32"/>
        <v>-1.7177703383295005E-4</v>
      </c>
      <c r="E1038" s="6"/>
      <c r="F1038" s="6"/>
      <c r="G1038" s="6"/>
      <c r="H1038" s="6"/>
    </row>
    <row r="1039" spans="1:8" x14ac:dyDescent="0.25">
      <c r="A1039" t="s">
        <v>1086</v>
      </c>
      <c r="B1039">
        <v>116.44</v>
      </c>
      <c r="C1039" s="6">
        <f t="shared" si="33"/>
        <v>-2.8857381150959149E-2</v>
      </c>
      <c r="D1039" s="6">
        <f t="shared" si="32"/>
        <v>-2.9281943156046101E-2</v>
      </c>
      <c r="E1039" s="6"/>
      <c r="F1039" s="6"/>
      <c r="G1039" s="6"/>
      <c r="H1039" s="6"/>
    </row>
    <row r="1040" spans="1:8" x14ac:dyDescent="0.25">
      <c r="A1040" t="s">
        <v>1087</v>
      </c>
      <c r="B1040">
        <v>119.9</v>
      </c>
      <c r="C1040" s="6">
        <f t="shared" si="33"/>
        <v>1.3096746937051318E-2</v>
      </c>
      <c r="D1040" s="6">
        <f t="shared" si="32"/>
        <v>1.3011726073475815E-2</v>
      </c>
      <c r="E1040" s="6"/>
      <c r="F1040" s="6"/>
      <c r="G1040" s="6"/>
      <c r="H1040" s="6"/>
    </row>
    <row r="1041" spans="1:8" x14ac:dyDescent="0.25">
      <c r="A1041" t="s">
        <v>1088</v>
      </c>
      <c r="B1041">
        <v>118.35</v>
      </c>
      <c r="C1041" s="6">
        <f t="shared" si="33"/>
        <v>4.6689303904923207E-3</v>
      </c>
      <c r="D1041" s="6">
        <f t="shared" si="32"/>
        <v>4.6580647425065701E-3</v>
      </c>
      <c r="E1041" s="6"/>
      <c r="F1041" s="6"/>
      <c r="G1041" s="6"/>
      <c r="H1041" s="6"/>
    </row>
    <row r="1042" spans="1:8" x14ac:dyDescent="0.25">
      <c r="A1042" t="s">
        <v>1089</v>
      </c>
      <c r="B1042">
        <v>117.8</v>
      </c>
      <c r="C1042" s="6">
        <f t="shared" si="33"/>
        <v>-1.3813311008790352E-2</v>
      </c>
      <c r="D1042" s="6">
        <f t="shared" si="32"/>
        <v>-1.3909602554332273E-2</v>
      </c>
      <c r="E1042" s="6"/>
      <c r="F1042" s="6"/>
      <c r="G1042" s="6"/>
      <c r="H1042" s="6"/>
    </row>
    <row r="1043" spans="1:8" x14ac:dyDescent="0.25">
      <c r="A1043" t="s">
        <v>1090</v>
      </c>
      <c r="B1043">
        <v>119.45</v>
      </c>
      <c r="C1043" s="6">
        <f t="shared" si="33"/>
        <v>5.0756509500351932E-2</v>
      </c>
      <c r="D1043" s="6">
        <f t="shared" si="32"/>
        <v>4.9510389982973406E-2</v>
      </c>
      <c r="E1043" s="6"/>
      <c r="F1043" s="6"/>
      <c r="G1043" s="6"/>
      <c r="H1043" s="6"/>
    </row>
    <row r="1044" spans="1:8" x14ac:dyDescent="0.25">
      <c r="A1044" t="s">
        <v>1091</v>
      </c>
      <c r="B1044">
        <v>113.68</v>
      </c>
      <c r="C1044" s="6">
        <f t="shared" si="33"/>
        <v>1.3010158617002388E-2</v>
      </c>
      <c r="D1044" s="6">
        <f t="shared" si="32"/>
        <v>1.2926253466019333E-2</v>
      </c>
      <c r="E1044" s="6"/>
      <c r="F1044" s="6"/>
      <c r="G1044" s="6"/>
      <c r="H1044" s="6"/>
    </row>
    <row r="1045" spans="1:8" x14ac:dyDescent="0.25">
      <c r="A1045" t="s">
        <v>1092</v>
      </c>
      <c r="B1045">
        <v>112.22</v>
      </c>
      <c r="C1045" s="6">
        <f t="shared" si="33"/>
        <v>6.2287012495267025E-2</v>
      </c>
      <c r="D1045" s="6">
        <f t="shared" si="32"/>
        <v>6.0424142893894542E-2</v>
      </c>
      <c r="E1045" s="6"/>
      <c r="F1045" s="6"/>
      <c r="G1045" s="6"/>
      <c r="H1045" s="6"/>
    </row>
    <row r="1046" spans="1:8" x14ac:dyDescent="0.25">
      <c r="A1046" t="s">
        <v>1093</v>
      </c>
      <c r="B1046">
        <v>105.64</v>
      </c>
      <c r="C1046" s="6">
        <f t="shared" si="33"/>
        <v>-2.4110854503464174E-2</v>
      </c>
      <c r="D1046" s="6">
        <f t="shared" si="32"/>
        <v>-2.4406279453667731E-2</v>
      </c>
      <c r="E1046" s="6"/>
      <c r="F1046" s="6"/>
      <c r="G1046" s="6"/>
      <c r="H1046" s="6"/>
    </row>
    <row r="1047" spans="1:8" x14ac:dyDescent="0.25">
      <c r="A1047" t="s">
        <v>1094</v>
      </c>
      <c r="B1047">
        <v>108.25</v>
      </c>
      <c r="C1047" s="6">
        <f t="shared" si="33"/>
        <v>-4.0507002304555839E-2</v>
      </c>
      <c r="D1047" s="6">
        <f t="shared" si="32"/>
        <v>-4.135026142923072E-2</v>
      </c>
      <c r="E1047" s="6"/>
      <c r="F1047" s="6"/>
      <c r="G1047" s="6"/>
      <c r="H1047" s="6"/>
    </row>
    <row r="1048" spans="1:8" x14ac:dyDescent="0.25">
      <c r="A1048" t="s">
        <v>1095</v>
      </c>
      <c r="B1048">
        <v>112.82</v>
      </c>
      <c r="C1048" s="6">
        <f t="shared" si="33"/>
        <v>4.6567717996289337E-2</v>
      </c>
      <c r="D1048" s="6">
        <f t="shared" si="32"/>
        <v>4.5515969836933179E-2</v>
      </c>
      <c r="E1048" s="6"/>
      <c r="F1048" s="6"/>
      <c r="G1048" s="6"/>
      <c r="H1048" s="6"/>
    </row>
    <row r="1049" spans="1:8" x14ac:dyDescent="0.25">
      <c r="A1049" t="s">
        <v>1096</v>
      </c>
      <c r="B1049">
        <v>107.8</v>
      </c>
      <c r="C1049" s="6">
        <f t="shared" si="33"/>
        <v>2.335295234478818E-2</v>
      </c>
      <c r="D1049" s="6">
        <f t="shared" si="32"/>
        <v>2.3084444419653377E-2</v>
      </c>
      <c r="E1049" s="6"/>
      <c r="F1049" s="6"/>
      <c r="G1049" s="6"/>
      <c r="H1049" s="6"/>
    </row>
    <row r="1050" spans="1:8" x14ac:dyDescent="0.25">
      <c r="A1050" t="s">
        <v>1097</v>
      </c>
      <c r="B1050">
        <v>105.34</v>
      </c>
      <c r="C1050" s="6">
        <f t="shared" si="33"/>
        <v>2.6651437273939038E-3</v>
      </c>
      <c r="D1050" s="6">
        <f t="shared" si="32"/>
        <v>2.6615985294278304E-3</v>
      </c>
      <c r="E1050" s="6"/>
      <c r="F1050" s="6"/>
      <c r="G1050" s="6"/>
      <c r="H1050" s="6"/>
    </row>
    <row r="1051" spans="1:8" x14ac:dyDescent="0.25">
      <c r="A1051" t="s">
        <v>1098</v>
      </c>
      <c r="B1051">
        <v>105.06</v>
      </c>
      <c r="C1051" s="6">
        <f t="shared" si="33"/>
        <v>1.0192307692307612E-2</v>
      </c>
      <c r="D1051" s="6">
        <f t="shared" si="32"/>
        <v>1.0140716384442739E-2</v>
      </c>
      <c r="E1051" s="6"/>
      <c r="F1051" s="6"/>
      <c r="G1051" s="6"/>
      <c r="H1051" s="6"/>
    </row>
    <row r="1052" spans="1:8" x14ac:dyDescent="0.25">
      <c r="A1052" t="s">
        <v>1099</v>
      </c>
      <c r="B1052">
        <v>104</v>
      </c>
      <c r="C1052" s="6">
        <f t="shared" si="33"/>
        <v>-4.7008155410977692E-2</v>
      </c>
      <c r="D1052" s="6">
        <f t="shared" si="32"/>
        <v>-4.8148932983625749E-2</v>
      </c>
      <c r="E1052" s="6"/>
      <c r="F1052" s="6"/>
      <c r="G1052" s="6"/>
      <c r="H1052" s="6"/>
    </row>
    <row r="1053" spans="1:8" x14ac:dyDescent="0.25">
      <c r="A1053" t="s">
        <v>1100</v>
      </c>
      <c r="B1053">
        <v>109.13</v>
      </c>
      <c r="C1053" s="6">
        <f t="shared" si="33"/>
        <v>-1.0428001450852431E-2</v>
      </c>
      <c r="D1053" s="6">
        <f t="shared" si="32"/>
        <v>-1.0482754030597591E-2</v>
      </c>
      <c r="E1053" s="6"/>
      <c r="F1053" s="6"/>
      <c r="G1053" s="6"/>
      <c r="H1053" s="6"/>
    </row>
    <row r="1054" spans="1:8" x14ac:dyDescent="0.25">
      <c r="A1054" t="s">
        <v>1101</v>
      </c>
      <c r="B1054">
        <v>110.28</v>
      </c>
      <c r="C1054" s="6">
        <f t="shared" si="33"/>
        <v>3.6953455571227201E-2</v>
      </c>
      <c r="D1054" s="6">
        <f t="shared" si="32"/>
        <v>3.6287044509349914E-2</v>
      </c>
      <c r="E1054" s="6"/>
      <c r="F1054" s="6"/>
      <c r="G1054" s="6"/>
      <c r="H1054" s="6"/>
    </row>
    <row r="1055" spans="1:8" x14ac:dyDescent="0.25">
      <c r="A1055" t="s">
        <v>1102</v>
      </c>
      <c r="B1055">
        <v>106.35</v>
      </c>
      <c r="C1055" s="6">
        <f t="shared" si="33"/>
        <v>3.0180137696877996E-3</v>
      </c>
      <c r="D1055" s="6">
        <f t="shared" si="32"/>
        <v>3.0134687085393314E-3</v>
      </c>
      <c r="E1055" s="6"/>
      <c r="F1055" s="6"/>
      <c r="G1055" s="6"/>
      <c r="H1055" s="6"/>
    </row>
    <row r="1056" spans="1:8" x14ac:dyDescent="0.25">
      <c r="A1056" t="s">
        <v>1103</v>
      </c>
      <c r="B1056">
        <v>106.03</v>
      </c>
      <c r="C1056" s="6">
        <f t="shared" si="33"/>
        <v>-2.6354453627180918E-2</v>
      </c>
      <c r="D1056" s="6">
        <f t="shared" si="32"/>
        <v>-2.6707957001207965E-2</v>
      </c>
      <c r="E1056" s="6"/>
      <c r="F1056" s="6"/>
      <c r="G1056" s="6"/>
      <c r="H1056" s="6"/>
    </row>
    <row r="1057" spans="1:8" x14ac:dyDescent="0.25">
      <c r="A1057" t="s">
        <v>1104</v>
      </c>
      <c r="B1057">
        <v>108.9</v>
      </c>
      <c r="C1057" s="6">
        <f t="shared" si="33"/>
        <v>-9.8199672667758087E-3</v>
      </c>
      <c r="D1057" s="6">
        <f t="shared" si="32"/>
        <v>-9.8685011407538912E-3</v>
      </c>
      <c r="E1057" s="6"/>
      <c r="F1057" s="6"/>
      <c r="G1057" s="6"/>
      <c r="H1057" s="6"/>
    </row>
    <row r="1058" spans="1:8" x14ac:dyDescent="0.25">
      <c r="A1058" t="s">
        <v>1105</v>
      </c>
      <c r="B1058">
        <v>109.98</v>
      </c>
      <c r="C1058" s="6">
        <f t="shared" si="33"/>
        <v>2.0696055684454873E-2</v>
      </c>
      <c r="D1058" s="6">
        <f t="shared" si="32"/>
        <v>2.0484802095811591E-2</v>
      </c>
      <c r="E1058" s="6"/>
      <c r="F1058" s="6"/>
      <c r="G1058" s="6"/>
      <c r="H1058" s="6"/>
    </row>
    <row r="1059" spans="1:8" x14ac:dyDescent="0.25">
      <c r="A1059" t="s">
        <v>1106</v>
      </c>
      <c r="B1059">
        <v>107.75</v>
      </c>
      <c r="C1059" s="6">
        <f t="shared" si="33"/>
        <v>-2.2224280025927579E-3</v>
      </c>
      <c r="D1059" s="6">
        <f t="shared" si="32"/>
        <v>-2.2249012608111258E-3</v>
      </c>
      <c r="E1059" s="6"/>
      <c r="F1059" s="6"/>
      <c r="G1059" s="6"/>
      <c r="H1059" s="6"/>
    </row>
    <row r="1060" spans="1:8" x14ac:dyDescent="0.25">
      <c r="A1060" t="s">
        <v>1107</v>
      </c>
      <c r="B1060">
        <v>107.99</v>
      </c>
      <c r="C1060" s="6">
        <f t="shared" si="33"/>
        <v>-1.6753163980697483E-2</v>
      </c>
      <c r="D1060" s="6">
        <f t="shared" si="32"/>
        <v>-1.6895085555586203E-2</v>
      </c>
      <c r="E1060" s="6"/>
      <c r="F1060" s="6"/>
      <c r="G1060" s="6"/>
      <c r="H1060" s="6"/>
    </row>
    <row r="1061" spans="1:8" x14ac:dyDescent="0.25">
      <c r="A1061" t="s">
        <v>1108</v>
      </c>
      <c r="B1061">
        <v>109.83</v>
      </c>
      <c r="C1061" s="6">
        <f t="shared" si="33"/>
        <v>2.6474347270402099E-3</v>
      </c>
      <c r="D1061" s="6">
        <f t="shared" si="32"/>
        <v>2.6439364446791242E-3</v>
      </c>
      <c r="E1061" s="6"/>
      <c r="F1061" s="6"/>
      <c r="G1061" s="6"/>
      <c r="H1061" s="6"/>
    </row>
    <row r="1062" spans="1:8" x14ac:dyDescent="0.25">
      <c r="A1062" t="s">
        <v>1109</v>
      </c>
      <c r="B1062">
        <v>109.54</v>
      </c>
      <c r="C1062" s="6">
        <f t="shared" si="33"/>
        <v>-2.6397653541907373E-2</v>
      </c>
      <c r="D1062" s="6">
        <f t="shared" si="32"/>
        <v>-2.6752327227405243E-2</v>
      </c>
      <c r="E1062" s="6"/>
      <c r="F1062" s="6"/>
      <c r="G1062" s="6"/>
      <c r="H1062" s="6"/>
    </row>
    <row r="1063" spans="1:8" x14ac:dyDescent="0.25">
      <c r="A1063" t="s">
        <v>1110</v>
      </c>
      <c r="B1063">
        <v>112.51</v>
      </c>
      <c r="C1063" s="6">
        <f t="shared" si="33"/>
        <v>-1.8237347294938866E-2</v>
      </c>
      <c r="D1063" s="6">
        <f t="shared" si="32"/>
        <v>-1.8405697697658614E-2</v>
      </c>
      <c r="E1063" s="6"/>
      <c r="F1063" s="6"/>
      <c r="G1063" s="6"/>
      <c r="H1063" s="6"/>
    </row>
    <row r="1064" spans="1:8" x14ac:dyDescent="0.25">
      <c r="A1064" t="s">
        <v>1111</v>
      </c>
      <c r="B1064">
        <v>114.6</v>
      </c>
      <c r="C1064" s="6">
        <f t="shared" si="33"/>
        <v>4.1344843253066754E-2</v>
      </c>
      <c r="D1064" s="6">
        <f t="shared" si="32"/>
        <v>4.0512996308168486E-2</v>
      </c>
      <c r="E1064" s="6"/>
      <c r="F1064" s="6"/>
      <c r="G1064" s="6"/>
      <c r="H1064" s="6"/>
    </row>
    <row r="1065" spans="1:8" x14ac:dyDescent="0.25">
      <c r="A1065" t="s">
        <v>1112</v>
      </c>
      <c r="B1065">
        <v>110.05</v>
      </c>
      <c r="C1065" s="6">
        <f t="shared" si="33"/>
        <v>3.2819764791685024E-3</v>
      </c>
      <c r="D1065" s="6">
        <f t="shared" si="32"/>
        <v>3.2766025492278455E-3</v>
      </c>
      <c r="E1065" s="6"/>
      <c r="F1065" s="6"/>
      <c r="G1065" s="6"/>
      <c r="H1065" s="6"/>
    </row>
    <row r="1066" spans="1:8" x14ac:dyDescent="0.25">
      <c r="A1066" t="s">
        <v>1113</v>
      </c>
      <c r="B1066">
        <v>109.69</v>
      </c>
      <c r="C1066" s="6">
        <f t="shared" si="33"/>
        <v>1.9802900706582305E-2</v>
      </c>
      <c r="D1066" s="6">
        <f t="shared" si="32"/>
        <v>1.9609374022578778E-2</v>
      </c>
      <c r="E1066" s="6"/>
      <c r="F1066" s="6"/>
      <c r="G1066" s="6"/>
      <c r="H1066" s="6"/>
    </row>
    <row r="1067" spans="1:8" x14ac:dyDescent="0.25">
      <c r="A1067" t="s">
        <v>1114</v>
      </c>
      <c r="B1067">
        <v>107.56</v>
      </c>
      <c r="C1067" s="6">
        <f t="shared" si="33"/>
        <v>7.0218144368505708E-3</v>
      </c>
      <c r="D1067" s="6">
        <f t="shared" si="32"/>
        <v>6.9972762990599211E-3</v>
      </c>
      <c r="E1067" s="6"/>
      <c r="F1067" s="6"/>
      <c r="G1067" s="6"/>
      <c r="H1067" s="6"/>
    </row>
    <row r="1068" spans="1:8" x14ac:dyDescent="0.25">
      <c r="A1068" t="s">
        <v>1115</v>
      </c>
      <c r="B1068">
        <v>106.81</v>
      </c>
      <c r="C1068" s="6">
        <f t="shared" si="33"/>
        <v>3.3978702807357264E-2</v>
      </c>
      <c r="D1068" s="6">
        <f t="shared" si="32"/>
        <v>3.3414178976011275E-2</v>
      </c>
      <c r="E1068" s="6"/>
      <c r="F1068" s="6"/>
      <c r="G1068" s="6"/>
      <c r="H1068" s="6"/>
    </row>
    <row r="1069" spans="1:8" x14ac:dyDescent="0.25">
      <c r="A1069" t="s">
        <v>1116</v>
      </c>
      <c r="B1069">
        <v>103.3</v>
      </c>
      <c r="C1069" s="6">
        <f t="shared" si="33"/>
        <v>1.7032588362705603E-2</v>
      </c>
      <c r="D1069" s="6">
        <f t="shared" si="32"/>
        <v>1.6889160174183158E-2</v>
      </c>
      <c r="E1069" s="6"/>
      <c r="F1069" s="6"/>
      <c r="G1069" s="6"/>
      <c r="H1069" s="6"/>
    </row>
    <row r="1070" spans="1:8" x14ac:dyDescent="0.25">
      <c r="A1070" t="s">
        <v>1117</v>
      </c>
      <c r="B1070">
        <v>101.57</v>
      </c>
      <c r="C1070" s="6">
        <f t="shared" si="33"/>
        <v>-4.5843118835133922E-2</v>
      </c>
      <c r="D1070" s="6">
        <f t="shared" si="32"/>
        <v>-4.6927175388078751E-2</v>
      </c>
      <c r="E1070" s="6"/>
      <c r="F1070" s="6"/>
      <c r="G1070" s="6"/>
      <c r="H1070" s="6"/>
    </row>
    <row r="1071" spans="1:8" x14ac:dyDescent="0.25">
      <c r="A1071" t="s">
        <v>1118</v>
      </c>
      <c r="B1071">
        <v>106.45</v>
      </c>
      <c r="C1071" s="6">
        <f t="shared" si="33"/>
        <v>2.5727500481788512E-2</v>
      </c>
      <c r="D1071" s="6">
        <f t="shared" si="32"/>
        <v>2.5402117399895015E-2</v>
      </c>
      <c r="E1071" s="6"/>
      <c r="F1071" s="6"/>
      <c r="G1071" s="6"/>
      <c r="H1071" s="6"/>
    </row>
    <row r="1072" spans="1:8" x14ac:dyDescent="0.25">
      <c r="A1072" t="s">
        <v>1119</v>
      </c>
      <c r="B1072">
        <v>103.78</v>
      </c>
      <c r="C1072" s="6">
        <f t="shared" si="33"/>
        <v>-1.480918929181696E-2</v>
      </c>
      <c r="D1072" s="6">
        <f t="shared" si="32"/>
        <v>-1.4919940115649693E-2</v>
      </c>
      <c r="E1072" s="6"/>
      <c r="F1072" s="6"/>
      <c r="G1072" s="6"/>
      <c r="H1072" s="6"/>
    </row>
    <row r="1073" spans="1:8" x14ac:dyDescent="0.25">
      <c r="A1073" t="s">
        <v>1120</v>
      </c>
      <c r="B1073">
        <v>105.34</v>
      </c>
      <c r="C1073" s="6">
        <f t="shared" si="33"/>
        <v>-4.0654249787273056E-3</v>
      </c>
      <c r="D1073" s="6">
        <f t="shared" si="32"/>
        <v>-4.0737112847181031E-3</v>
      </c>
      <c r="E1073" s="6"/>
      <c r="F1073" s="6"/>
      <c r="G1073" s="6"/>
      <c r="H1073" s="6"/>
    </row>
    <row r="1074" spans="1:8" x14ac:dyDescent="0.25">
      <c r="A1074" t="s">
        <v>1121</v>
      </c>
      <c r="B1074">
        <v>105.77</v>
      </c>
      <c r="C1074" s="6">
        <f t="shared" si="33"/>
        <v>-1.8102487931674793E-2</v>
      </c>
      <c r="D1074" s="6">
        <f t="shared" si="32"/>
        <v>-1.8268342603436735E-2</v>
      </c>
      <c r="E1074" s="6"/>
      <c r="F1074" s="6"/>
      <c r="G1074" s="6"/>
      <c r="H1074" s="6"/>
    </row>
    <row r="1075" spans="1:8" x14ac:dyDescent="0.25">
      <c r="A1075" t="s">
        <v>1122</v>
      </c>
      <c r="B1075">
        <v>107.72</v>
      </c>
      <c r="C1075" s="6">
        <f t="shared" si="33"/>
        <v>-1.2196240256762914E-2</v>
      </c>
      <c r="D1075" s="6">
        <f t="shared" ref="D1075:D1138" si="34">LN(B1075/B1076)</f>
        <v>-1.2271224704239865E-2</v>
      </c>
      <c r="E1075" s="6"/>
      <c r="F1075" s="6"/>
      <c r="G1075" s="6"/>
      <c r="H1075" s="6"/>
    </row>
    <row r="1076" spans="1:8" x14ac:dyDescent="0.25">
      <c r="A1076" t="s">
        <v>1123</v>
      </c>
      <c r="B1076">
        <v>109.05</v>
      </c>
      <c r="C1076" s="6">
        <f t="shared" ref="C1076:C1139" si="35">(B1076/B1077)-1</f>
        <v>-1.4370932754880772E-2</v>
      </c>
      <c r="D1076" s="6">
        <f t="shared" si="34"/>
        <v>-1.4475194708864785E-2</v>
      </c>
      <c r="E1076" s="6"/>
      <c r="F1076" s="6"/>
      <c r="G1076" s="6"/>
      <c r="H1076" s="6"/>
    </row>
    <row r="1077" spans="1:8" x14ac:dyDescent="0.25">
      <c r="A1077" t="s">
        <v>1124</v>
      </c>
      <c r="B1077">
        <v>110.64</v>
      </c>
      <c r="C1077" s="6">
        <f t="shared" si="35"/>
        <v>-3.8331160365058681E-2</v>
      </c>
      <c r="D1077" s="6">
        <f t="shared" si="34"/>
        <v>-3.9085129124872123E-2</v>
      </c>
      <c r="E1077" s="6"/>
      <c r="F1077" s="6"/>
      <c r="G1077" s="6"/>
      <c r="H1077" s="6"/>
    </row>
    <row r="1078" spans="1:8" x14ac:dyDescent="0.25">
      <c r="A1078" t="s">
        <v>1125</v>
      </c>
      <c r="B1078">
        <v>115.05</v>
      </c>
      <c r="C1078" s="6">
        <f t="shared" si="35"/>
        <v>-2.0601004511790255E-2</v>
      </c>
      <c r="D1078" s="6">
        <f t="shared" si="34"/>
        <v>-2.0816165354419734E-2</v>
      </c>
      <c r="E1078" s="6"/>
      <c r="F1078" s="6"/>
      <c r="G1078" s="6"/>
      <c r="H1078" s="6"/>
    </row>
    <row r="1079" spans="1:8" x14ac:dyDescent="0.25">
      <c r="A1079" t="s">
        <v>1126</v>
      </c>
      <c r="B1079">
        <v>117.47</v>
      </c>
      <c r="C1079" s="6">
        <f t="shared" si="35"/>
        <v>5.5641157336072666E-3</v>
      </c>
      <c r="D1079" s="6">
        <f t="shared" si="34"/>
        <v>5.5486932236312979E-3</v>
      </c>
      <c r="E1079" s="6"/>
      <c r="F1079" s="6"/>
      <c r="G1079" s="6"/>
      <c r="H1079" s="6"/>
    </row>
    <row r="1080" spans="1:8" x14ac:dyDescent="0.25">
      <c r="A1080" t="s">
        <v>1127</v>
      </c>
      <c r="B1080">
        <v>116.82</v>
      </c>
      <c r="C1080" s="6">
        <f t="shared" si="35"/>
        <v>-1.5257523392059325E-2</v>
      </c>
      <c r="D1080" s="6">
        <f t="shared" si="34"/>
        <v>-1.537511706084858E-2</v>
      </c>
      <c r="E1080" s="6"/>
      <c r="F1080" s="6"/>
      <c r="G1080" s="6"/>
      <c r="H1080" s="6"/>
    </row>
    <row r="1081" spans="1:8" x14ac:dyDescent="0.25">
      <c r="A1081" t="s">
        <v>1128</v>
      </c>
      <c r="B1081">
        <v>118.63</v>
      </c>
      <c r="C1081" s="6">
        <f t="shared" si="35"/>
        <v>1.3758331909075272E-2</v>
      </c>
      <c r="D1081" s="6">
        <f t="shared" si="34"/>
        <v>1.3664545312921777E-2</v>
      </c>
      <c r="E1081" s="6"/>
      <c r="F1081" s="6"/>
      <c r="G1081" s="6"/>
      <c r="H1081" s="6"/>
    </row>
    <row r="1082" spans="1:8" x14ac:dyDescent="0.25">
      <c r="A1082" t="s">
        <v>1129</v>
      </c>
      <c r="B1082">
        <v>117.02</v>
      </c>
      <c r="C1082" s="6">
        <f t="shared" si="35"/>
        <v>1.2809416652241667E-2</v>
      </c>
      <c r="D1082" s="6">
        <f t="shared" si="34"/>
        <v>1.2728070006970587E-2</v>
      </c>
      <c r="E1082" s="6"/>
      <c r="F1082" s="6"/>
      <c r="G1082" s="6"/>
      <c r="H1082" s="6"/>
    </row>
    <row r="1083" spans="1:8" x14ac:dyDescent="0.25">
      <c r="A1083" t="s">
        <v>1130</v>
      </c>
      <c r="B1083">
        <v>115.54</v>
      </c>
      <c r="C1083" s="6">
        <f t="shared" si="35"/>
        <v>-2.5390130746520412E-2</v>
      </c>
      <c r="D1083" s="6">
        <f t="shared" si="34"/>
        <v>-2.5718022158294968E-2</v>
      </c>
      <c r="E1083" s="6"/>
      <c r="F1083" s="6"/>
      <c r="G1083" s="6"/>
      <c r="H1083" s="6"/>
    </row>
    <row r="1084" spans="1:8" x14ac:dyDescent="0.25">
      <c r="A1084" t="s">
        <v>1131</v>
      </c>
      <c r="B1084">
        <v>118.55</v>
      </c>
      <c r="C1084" s="6">
        <f t="shared" si="35"/>
        <v>7.8211340644394056E-3</v>
      </c>
      <c r="D1084" s="6">
        <f t="shared" si="34"/>
        <v>7.7907075390645855E-3</v>
      </c>
      <c r="E1084" s="6"/>
      <c r="F1084" s="6"/>
      <c r="G1084" s="6"/>
      <c r="H1084" s="6"/>
    </row>
    <row r="1085" spans="1:8" x14ac:dyDescent="0.25">
      <c r="A1085" t="s">
        <v>1132</v>
      </c>
      <c r="B1085">
        <v>117.63</v>
      </c>
      <c r="C1085" s="6">
        <f t="shared" si="35"/>
        <v>3.3265097236439001E-3</v>
      </c>
      <c r="D1085" s="6">
        <f t="shared" si="34"/>
        <v>3.320989129658372E-3</v>
      </c>
      <c r="E1085" s="6"/>
      <c r="F1085" s="6"/>
      <c r="G1085" s="6"/>
      <c r="H1085" s="6"/>
    </row>
    <row r="1086" spans="1:8" x14ac:dyDescent="0.25">
      <c r="A1086" t="s">
        <v>1133</v>
      </c>
      <c r="B1086">
        <v>117.24</v>
      </c>
      <c r="C1086" s="6">
        <f t="shared" si="35"/>
        <v>5.4316546762589901E-2</v>
      </c>
      <c r="D1086" s="6">
        <f t="shared" si="34"/>
        <v>5.2892734026209656E-2</v>
      </c>
      <c r="E1086" s="6"/>
      <c r="F1086" s="6"/>
      <c r="G1086" s="6"/>
      <c r="H1086" s="6"/>
    </row>
    <row r="1087" spans="1:8" x14ac:dyDescent="0.25">
      <c r="A1087" t="s">
        <v>1134</v>
      </c>
      <c r="B1087">
        <v>111.2</v>
      </c>
      <c r="C1087" s="6">
        <f t="shared" si="35"/>
        <v>1.5154281540989523E-2</v>
      </c>
      <c r="D1087" s="6">
        <f t="shared" si="34"/>
        <v>1.5040602460906667E-2</v>
      </c>
      <c r="E1087" s="6"/>
      <c r="F1087" s="6"/>
      <c r="G1087" s="6"/>
      <c r="H1087" s="6"/>
    </row>
    <row r="1088" spans="1:8" x14ac:dyDescent="0.25">
      <c r="A1088" t="s">
        <v>1135</v>
      </c>
      <c r="B1088">
        <v>109.54</v>
      </c>
      <c r="C1088" s="6">
        <f t="shared" si="35"/>
        <v>-1.6784848756844051E-2</v>
      </c>
      <c r="D1088" s="6">
        <f t="shared" si="34"/>
        <v>-1.6927310715649853E-2</v>
      </c>
      <c r="E1088" s="6"/>
      <c r="F1088" s="6"/>
      <c r="G1088" s="6"/>
      <c r="H1088" s="6"/>
    </row>
    <row r="1089" spans="1:8" x14ac:dyDescent="0.25">
      <c r="A1089" t="s">
        <v>1136</v>
      </c>
      <c r="B1089">
        <v>111.41</v>
      </c>
      <c r="C1089" s="6">
        <f t="shared" si="35"/>
        <v>1.346311289002089E-2</v>
      </c>
      <c r="D1089" s="6">
        <f t="shared" si="34"/>
        <v>1.337329048045272E-2</v>
      </c>
      <c r="E1089" s="6"/>
      <c r="F1089" s="6"/>
      <c r="G1089" s="6"/>
      <c r="H1089" s="6"/>
    </row>
    <row r="1090" spans="1:8" x14ac:dyDescent="0.25">
      <c r="A1090" t="s">
        <v>1137</v>
      </c>
      <c r="B1090">
        <v>109.93</v>
      </c>
      <c r="C1090" s="6">
        <f t="shared" si="35"/>
        <v>-9.5504099468419756E-3</v>
      </c>
      <c r="D1090" s="6">
        <f t="shared" si="34"/>
        <v>-9.5963075731156453E-3</v>
      </c>
      <c r="E1090" s="6"/>
      <c r="F1090" s="6"/>
      <c r="G1090" s="6"/>
      <c r="H1090" s="6"/>
    </row>
    <row r="1091" spans="1:8" x14ac:dyDescent="0.25">
      <c r="A1091" t="s">
        <v>1138</v>
      </c>
      <c r="B1091">
        <v>110.99</v>
      </c>
      <c r="C1091" s="6">
        <f t="shared" si="35"/>
        <v>-2.4863820066772124E-2</v>
      </c>
      <c r="D1091" s="6">
        <f t="shared" si="34"/>
        <v>-2.5178146011089735E-2</v>
      </c>
      <c r="E1091" s="6"/>
      <c r="F1091" s="6"/>
      <c r="G1091" s="6"/>
      <c r="H1091" s="6"/>
    </row>
    <row r="1092" spans="1:8" x14ac:dyDescent="0.25">
      <c r="A1092" t="s">
        <v>1139</v>
      </c>
      <c r="B1092">
        <v>113.82</v>
      </c>
      <c r="C1092" s="6">
        <f t="shared" si="35"/>
        <v>5.1649265453201476E-2</v>
      </c>
      <c r="D1092" s="6">
        <f t="shared" si="34"/>
        <v>5.0359660867922762E-2</v>
      </c>
      <c r="E1092" s="6"/>
      <c r="F1092" s="6"/>
      <c r="G1092" s="6"/>
      <c r="H1092" s="6"/>
    </row>
    <row r="1093" spans="1:8" x14ac:dyDescent="0.25">
      <c r="A1093" t="s">
        <v>1140</v>
      </c>
      <c r="B1093">
        <v>108.23</v>
      </c>
      <c r="C1093" s="6">
        <f t="shared" si="35"/>
        <v>-4.6176579239010085E-4</v>
      </c>
      <c r="D1093" s="6">
        <f t="shared" si="34"/>
        <v>-4.6187243904539352E-4</v>
      </c>
      <c r="E1093" s="6"/>
      <c r="F1093" s="6"/>
      <c r="G1093" s="6"/>
      <c r="H1093" s="6"/>
    </row>
    <row r="1094" spans="1:8" x14ac:dyDescent="0.25">
      <c r="A1094" t="s">
        <v>1141</v>
      </c>
      <c r="B1094">
        <v>108.28</v>
      </c>
      <c r="C1094" s="6">
        <f t="shared" si="35"/>
        <v>-1.8491660623640271E-2</v>
      </c>
      <c r="D1094" s="6">
        <f t="shared" si="34"/>
        <v>-1.8664768738945889E-2</v>
      </c>
      <c r="E1094" s="6"/>
      <c r="F1094" s="6"/>
      <c r="G1094" s="6"/>
      <c r="H1094" s="6"/>
    </row>
    <row r="1095" spans="1:8" x14ac:dyDescent="0.25">
      <c r="A1095" t="s">
        <v>1142</v>
      </c>
      <c r="B1095">
        <v>110.32</v>
      </c>
      <c r="C1095" s="6">
        <f t="shared" si="35"/>
        <v>5.7312631780716883E-2</v>
      </c>
      <c r="D1095" s="6">
        <f t="shared" si="34"/>
        <v>5.5730435890799707E-2</v>
      </c>
      <c r="E1095" s="6"/>
      <c r="F1095" s="6"/>
      <c r="G1095" s="6"/>
      <c r="H1095" s="6"/>
    </row>
    <row r="1096" spans="1:8" x14ac:dyDescent="0.25">
      <c r="A1096" t="s">
        <v>1143</v>
      </c>
      <c r="B1096">
        <v>104.34</v>
      </c>
      <c r="C1096" s="6">
        <f t="shared" si="35"/>
        <v>-3.0207268333488191E-2</v>
      </c>
      <c r="D1096" s="6">
        <f t="shared" si="34"/>
        <v>-3.0672909011571083E-2</v>
      </c>
      <c r="E1096" s="6"/>
      <c r="F1096" s="6"/>
      <c r="G1096" s="6"/>
      <c r="H1096" s="6"/>
    </row>
    <row r="1097" spans="1:8" x14ac:dyDescent="0.25">
      <c r="A1097" t="s">
        <v>1144</v>
      </c>
      <c r="B1097">
        <v>107.59</v>
      </c>
      <c r="C1097" s="6">
        <f t="shared" si="35"/>
        <v>-7.289167743125935E-3</v>
      </c>
      <c r="D1097" s="6">
        <f t="shared" si="34"/>
        <v>-7.3158635321502472E-3</v>
      </c>
      <c r="E1097" s="6"/>
      <c r="F1097" s="6"/>
      <c r="G1097" s="6"/>
      <c r="H1097" s="6"/>
    </row>
    <row r="1098" spans="1:8" x14ac:dyDescent="0.25">
      <c r="A1098" t="s">
        <v>1145</v>
      </c>
      <c r="B1098">
        <v>108.38</v>
      </c>
      <c r="C1098" s="6">
        <f t="shared" si="35"/>
        <v>-5.7073255611623464E-2</v>
      </c>
      <c r="D1098" s="6">
        <f t="shared" si="34"/>
        <v>-5.8766682941627325E-2</v>
      </c>
      <c r="E1098" s="6"/>
      <c r="F1098" s="6"/>
      <c r="G1098" s="6"/>
      <c r="H1098" s="6"/>
    </row>
    <row r="1099" spans="1:8" x14ac:dyDescent="0.25">
      <c r="A1099" t="s">
        <v>1146</v>
      </c>
      <c r="B1099">
        <v>114.94</v>
      </c>
      <c r="C1099" s="6">
        <f t="shared" si="35"/>
        <v>4.8053250661074021E-2</v>
      </c>
      <c r="D1099" s="6">
        <f t="shared" si="34"/>
        <v>4.6934396307477859E-2</v>
      </c>
      <c r="E1099" s="6"/>
      <c r="F1099" s="6"/>
      <c r="G1099" s="6"/>
      <c r="H1099" s="6"/>
    </row>
    <row r="1100" spans="1:8" x14ac:dyDescent="0.25">
      <c r="A1100" t="s">
        <v>1147</v>
      </c>
      <c r="B1100">
        <v>109.67</v>
      </c>
      <c r="C1100" s="6">
        <f t="shared" si="35"/>
        <v>1.3398632415450029E-2</v>
      </c>
      <c r="D1100" s="6">
        <f t="shared" si="34"/>
        <v>1.3309664557528317E-2</v>
      </c>
      <c r="E1100" s="6"/>
      <c r="F1100" s="6"/>
      <c r="G1100" s="6"/>
      <c r="H1100" s="6"/>
    </row>
    <row r="1101" spans="1:8" x14ac:dyDescent="0.25">
      <c r="A1101" t="s">
        <v>1148</v>
      </c>
      <c r="B1101">
        <v>108.22</v>
      </c>
      <c r="C1101" s="6">
        <f t="shared" si="35"/>
        <v>-2.3108864415959607E-2</v>
      </c>
      <c r="D1101" s="6">
        <f t="shared" si="34"/>
        <v>-2.3380060390368683E-2</v>
      </c>
      <c r="E1101" s="6"/>
      <c r="F1101" s="6"/>
      <c r="G1101" s="6"/>
      <c r="H1101" s="6"/>
    </row>
    <row r="1102" spans="1:8" x14ac:dyDescent="0.25">
      <c r="A1102" t="s">
        <v>1149</v>
      </c>
      <c r="B1102">
        <v>110.78</v>
      </c>
      <c r="C1102" s="6">
        <f t="shared" si="35"/>
        <v>-9.0187590187584821E-4</v>
      </c>
      <c r="D1102" s="6">
        <f t="shared" si="34"/>
        <v>-9.0228283663520645E-4</v>
      </c>
      <c r="E1102" s="6"/>
      <c r="F1102" s="6"/>
      <c r="G1102" s="6"/>
      <c r="H1102" s="6"/>
    </row>
    <row r="1103" spans="1:8" x14ac:dyDescent="0.25">
      <c r="A1103" t="s">
        <v>1150</v>
      </c>
      <c r="B1103">
        <v>110.88</v>
      </c>
      <c r="C1103" s="6">
        <f t="shared" si="35"/>
        <v>-1.6498137307078276E-2</v>
      </c>
      <c r="D1103" s="6">
        <f t="shared" si="34"/>
        <v>-1.6635747211835888E-2</v>
      </c>
      <c r="E1103" s="6"/>
      <c r="F1103" s="6"/>
      <c r="G1103" s="6"/>
      <c r="H1103" s="6"/>
    </row>
    <row r="1104" spans="1:8" x14ac:dyDescent="0.25">
      <c r="A1104" t="s">
        <v>1151</v>
      </c>
      <c r="B1104">
        <v>112.74</v>
      </c>
      <c r="C1104" s="6">
        <f t="shared" si="35"/>
        <v>4.6019669697531906E-2</v>
      </c>
      <c r="D1104" s="6">
        <f t="shared" si="34"/>
        <v>4.4992170148078214E-2</v>
      </c>
      <c r="E1104" s="6"/>
      <c r="F1104" s="6"/>
      <c r="G1104" s="6"/>
      <c r="H1104" s="6"/>
    </row>
    <row r="1105" spans="1:8" x14ac:dyDescent="0.25">
      <c r="A1105" t="s">
        <v>1152</v>
      </c>
      <c r="B1105">
        <v>107.78</v>
      </c>
      <c r="C1105" s="6">
        <f t="shared" si="35"/>
        <v>1.2874729818626029E-2</v>
      </c>
      <c r="D1105" s="6">
        <f t="shared" si="34"/>
        <v>1.2792555051710442E-2</v>
      </c>
      <c r="E1105" s="6"/>
      <c r="F1105" s="6"/>
      <c r="G1105" s="6"/>
      <c r="H1105" s="6"/>
    </row>
    <row r="1106" spans="1:8" x14ac:dyDescent="0.25">
      <c r="A1106" t="s">
        <v>1153</v>
      </c>
      <c r="B1106">
        <v>106.41</v>
      </c>
      <c r="C1106" s="6">
        <f t="shared" si="35"/>
        <v>6.145990922844069E-3</v>
      </c>
      <c r="D1106" s="6">
        <f t="shared" si="34"/>
        <v>6.1271813502638932E-3</v>
      </c>
      <c r="E1106" s="6"/>
      <c r="F1106" s="6"/>
      <c r="G1106" s="6"/>
      <c r="H1106" s="6"/>
    </row>
    <row r="1107" spans="1:8" x14ac:dyDescent="0.25">
      <c r="A1107" t="s">
        <v>1154</v>
      </c>
      <c r="B1107">
        <v>105.76</v>
      </c>
      <c r="C1107" s="6">
        <f t="shared" si="35"/>
        <v>-3.0169646950939821E-2</v>
      </c>
      <c r="D1107" s="6">
        <f t="shared" si="34"/>
        <v>-3.0634116544261791E-2</v>
      </c>
      <c r="E1107" s="6"/>
      <c r="F1107" s="6"/>
      <c r="G1107" s="6"/>
      <c r="H1107" s="6"/>
    </row>
    <row r="1108" spans="1:8" x14ac:dyDescent="0.25">
      <c r="A1108" t="s">
        <v>1155</v>
      </c>
      <c r="B1108">
        <v>109.05</v>
      </c>
      <c r="C1108" s="6">
        <f t="shared" si="35"/>
        <v>-1.490514905149054E-2</v>
      </c>
      <c r="D1108" s="6">
        <f t="shared" si="34"/>
        <v>-1.5017347066953157E-2</v>
      </c>
      <c r="E1108" s="6"/>
      <c r="F1108" s="6"/>
      <c r="G1108" s="6"/>
      <c r="H1108" s="6"/>
    </row>
    <row r="1109" spans="1:8" x14ac:dyDescent="0.25">
      <c r="A1109" t="s">
        <v>1156</v>
      </c>
      <c r="B1109">
        <v>110.7</v>
      </c>
      <c r="C1109" s="6">
        <f t="shared" si="35"/>
        <v>1.0405257393209189E-2</v>
      </c>
      <c r="D1109" s="6">
        <f t="shared" si="34"/>
        <v>1.0351495319713773E-2</v>
      </c>
      <c r="E1109" s="6"/>
      <c r="F1109" s="6"/>
      <c r="G1109" s="6"/>
      <c r="H1109" s="6"/>
    </row>
    <row r="1110" spans="1:8" x14ac:dyDescent="0.25">
      <c r="A1110" t="s">
        <v>1157</v>
      </c>
      <c r="B1110">
        <v>109.56</v>
      </c>
      <c r="C1110" s="6">
        <f t="shared" si="35"/>
        <v>2.4499719468860981E-2</v>
      </c>
      <c r="D1110" s="6">
        <f t="shared" si="34"/>
        <v>2.4204414874291841E-2</v>
      </c>
      <c r="E1110" s="6"/>
      <c r="F1110" s="6"/>
      <c r="G1110" s="6"/>
      <c r="H1110" s="6"/>
    </row>
    <row r="1111" spans="1:8" x14ac:dyDescent="0.25">
      <c r="A1111" t="s">
        <v>1158</v>
      </c>
      <c r="B1111">
        <v>106.94</v>
      </c>
      <c r="C1111" s="6">
        <f t="shared" si="35"/>
        <v>5.6823796817867311E-2</v>
      </c>
      <c r="D1111" s="6">
        <f t="shared" si="34"/>
        <v>5.5267991778916878E-2</v>
      </c>
      <c r="E1111" s="6"/>
      <c r="F1111" s="6"/>
      <c r="G1111" s="6"/>
      <c r="H1111" s="6"/>
    </row>
    <row r="1112" spans="1:8" x14ac:dyDescent="0.25">
      <c r="A1112" t="s">
        <v>1159</v>
      </c>
      <c r="B1112">
        <v>101.19</v>
      </c>
      <c r="C1112" s="6">
        <f t="shared" si="35"/>
        <v>-3.6744407425035708E-2</v>
      </c>
      <c r="D1112" s="6">
        <f t="shared" si="34"/>
        <v>-3.7436489549340868E-2</v>
      </c>
      <c r="E1112" s="6"/>
      <c r="F1112" s="6"/>
      <c r="G1112" s="6"/>
      <c r="H1112" s="6"/>
    </row>
    <row r="1113" spans="1:8" x14ac:dyDescent="0.25">
      <c r="A1113" t="s">
        <v>1160</v>
      </c>
      <c r="B1113">
        <v>105.05</v>
      </c>
      <c r="C1113" s="6">
        <f t="shared" si="35"/>
        <v>-3.0725226056467991E-2</v>
      </c>
      <c r="D1113" s="6">
        <f t="shared" si="34"/>
        <v>-3.1207142846958736E-2</v>
      </c>
      <c r="E1113" s="6"/>
      <c r="F1113" s="6"/>
      <c r="G1113" s="6"/>
      <c r="H1113" s="6"/>
    </row>
    <row r="1114" spans="1:8" x14ac:dyDescent="0.25">
      <c r="A1114" t="s">
        <v>1161</v>
      </c>
      <c r="B1114">
        <v>108.38</v>
      </c>
      <c r="C1114" s="6">
        <f t="shared" si="35"/>
        <v>-3.4939315924973346E-3</v>
      </c>
      <c r="D1114" s="6">
        <f t="shared" si="34"/>
        <v>-3.5000496263019082E-3</v>
      </c>
      <c r="E1114" s="6"/>
      <c r="F1114" s="6"/>
      <c r="G1114" s="6"/>
      <c r="H1114" s="6"/>
    </row>
    <row r="1115" spans="1:8" x14ac:dyDescent="0.25">
      <c r="A1115" t="s">
        <v>1162</v>
      </c>
      <c r="B1115">
        <v>108.76</v>
      </c>
      <c r="C1115" s="6">
        <f t="shared" si="35"/>
        <v>-5.5164625141169266E-2</v>
      </c>
      <c r="D1115" s="6">
        <f t="shared" si="34"/>
        <v>-5.6744573162700686E-2</v>
      </c>
      <c r="E1115" s="6"/>
      <c r="F1115" s="6"/>
      <c r="G1115" s="6"/>
      <c r="H1115" s="6"/>
    </row>
    <row r="1116" spans="1:8" x14ac:dyDescent="0.25">
      <c r="A1116" t="s">
        <v>1163</v>
      </c>
      <c r="B1116">
        <v>115.11</v>
      </c>
      <c r="C1116" s="6">
        <f t="shared" si="35"/>
        <v>8.1450341565947326E-3</v>
      </c>
      <c r="D1116" s="6">
        <f t="shared" si="34"/>
        <v>8.1120423908574643E-3</v>
      </c>
      <c r="E1116" s="6"/>
      <c r="F1116" s="6"/>
      <c r="G1116" s="6"/>
      <c r="H1116" s="6"/>
    </row>
    <row r="1117" spans="1:8" x14ac:dyDescent="0.25">
      <c r="A1117" t="s">
        <v>1164</v>
      </c>
      <c r="B1117">
        <v>114.18</v>
      </c>
      <c r="C1117" s="6">
        <f t="shared" si="35"/>
        <v>3.9228178756712584E-2</v>
      </c>
      <c r="D1117" s="6">
        <f t="shared" si="34"/>
        <v>3.8478301823323638E-2</v>
      </c>
      <c r="E1117" s="6"/>
      <c r="F1117" s="6"/>
      <c r="G1117" s="6"/>
      <c r="H1117" s="6"/>
    </row>
    <row r="1118" spans="1:8" x14ac:dyDescent="0.25">
      <c r="A1118" t="s">
        <v>1165</v>
      </c>
      <c r="B1118">
        <v>109.87</v>
      </c>
      <c r="C1118" s="6">
        <f t="shared" si="35"/>
        <v>1.1135652494018045E-2</v>
      </c>
      <c r="D1118" s="6">
        <f t="shared" si="34"/>
        <v>1.1074107589412577E-2</v>
      </c>
      <c r="E1118" s="6"/>
      <c r="F1118" s="6"/>
      <c r="G1118" s="6"/>
      <c r="H1118" s="6"/>
    </row>
    <row r="1119" spans="1:8" x14ac:dyDescent="0.25">
      <c r="A1119" t="s">
        <v>1166</v>
      </c>
      <c r="B1119">
        <v>108.66</v>
      </c>
      <c r="C1119" s="6">
        <f t="shared" si="35"/>
        <v>8.2583279205716842E-3</v>
      </c>
      <c r="D1119" s="6">
        <f t="shared" si="34"/>
        <v>8.2244145146367683E-3</v>
      </c>
      <c r="E1119" s="6"/>
      <c r="F1119" s="6"/>
      <c r="G1119" s="6"/>
      <c r="H1119" s="6"/>
    </row>
    <row r="1120" spans="1:8" x14ac:dyDescent="0.25">
      <c r="A1120" t="s">
        <v>1167</v>
      </c>
      <c r="B1120">
        <v>107.77</v>
      </c>
      <c r="C1120" s="6">
        <f t="shared" si="35"/>
        <v>1.765816808309717E-2</v>
      </c>
      <c r="D1120" s="6">
        <f t="shared" si="34"/>
        <v>1.7504074001379478E-2</v>
      </c>
      <c r="E1120" s="6"/>
      <c r="F1120" s="6"/>
      <c r="G1120" s="6"/>
      <c r="H1120" s="6"/>
    </row>
    <row r="1121" spans="1:8" x14ac:dyDescent="0.25">
      <c r="A1121" t="s">
        <v>1168</v>
      </c>
      <c r="B1121">
        <v>105.9</v>
      </c>
      <c r="C1121" s="6">
        <f t="shared" si="35"/>
        <v>4.4275712454393101E-2</v>
      </c>
      <c r="D1121" s="6">
        <f t="shared" si="34"/>
        <v>4.3323546983455842E-2</v>
      </c>
      <c r="E1121" s="6"/>
      <c r="F1121" s="6"/>
      <c r="G1121" s="6"/>
      <c r="H1121" s="6"/>
    </row>
    <row r="1122" spans="1:8" x14ac:dyDescent="0.25">
      <c r="A1122" t="s">
        <v>1169</v>
      </c>
      <c r="B1122">
        <v>101.41</v>
      </c>
      <c r="C1122" s="6">
        <f t="shared" si="35"/>
        <v>-4.124521260925107E-3</v>
      </c>
      <c r="D1122" s="6">
        <f t="shared" si="34"/>
        <v>-4.1330505596691193E-3</v>
      </c>
      <c r="E1122" s="6"/>
      <c r="F1122" s="6"/>
      <c r="G1122" s="6"/>
      <c r="H1122" s="6"/>
    </row>
    <row r="1123" spans="1:8" x14ac:dyDescent="0.25">
      <c r="A1123" t="s">
        <v>1170</v>
      </c>
      <c r="B1123">
        <v>101.83</v>
      </c>
      <c r="C1123" s="6">
        <f t="shared" si="35"/>
        <v>-6.1561146438116388E-2</v>
      </c>
      <c r="D1123" s="6">
        <f t="shared" si="34"/>
        <v>-6.3537578448542298E-2</v>
      </c>
      <c r="E1123" s="6"/>
      <c r="F1123" s="6"/>
      <c r="G1123" s="6"/>
      <c r="H1123" s="6"/>
    </row>
    <row r="1124" spans="1:8" x14ac:dyDescent="0.25">
      <c r="A1124" t="s">
        <v>1171</v>
      </c>
      <c r="B1124">
        <v>108.51</v>
      </c>
      <c r="C1124" s="6">
        <f t="shared" si="35"/>
        <v>2.4742657474738028E-2</v>
      </c>
      <c r="D1124" s="6">
        <f t="shared" si="34"/>
        <v>2.4441515189753286E-2</v>
      </c>
      <c r="E1124" s="6"/>
      <c r="F1124" s="6"/>
      <c r="G1124" s="6"/>
      <c r="H1124" s="6"/>
    </row>
    <row r="1125" spans="1:8" x14ac:dyDescent="0.25">
      <c r="A1125" t="s">
        <v>1172</v>
      </c>
      <c r="B1125">
        <v>105.89</v>
      </c>
      <c r="C1125" s="6">
        <f t="shared" si="35"/>
        <v>2.8357774108963785E-2</v>
      </c>
      <c r="D1125" s="6">
        <f t="shared" si="34"/>
        <v>2.7963135773703629E-2</v>
      </c>
      <c r="E1125" s="6"/>
      <c r="F1125" s="6"/>
      <c r="G1125" s="6"/>
      <c r="H1125" s="6"/>
    </row>
    <row r="1126" spans="1:8" x14ac:dyDescent="0.25">
      <c r="A1126" t="s">
        <v>1173</v>
      </c>
      <c r="B1126">
        <v>102.97</v>
      </c>
      <c r="C1126" s="6">
        <f t="shared" si="35"/>
        <v>5.8926367749897235E-2</v>
      </c>
      <c r="D1126" s="6">
        <f t="shared" si="34"/>
        <v>5.7255534220736912E-2</v>
      </c>
      <c r="E1126" s="6"/>
      <c r="F1126" s="6"/>
      <c r="G1126" s="6"/>
      <c r="H1126" s="6"/>
    </row>
    <row r="1127" spans="1:8" x14ac:dyDescent="0.25">
      <c r="A1127" t="s">
        <v>1174</v>
      </c>
      <c r="B1127">
        <v>97.24</v>
      </c>
      <c r="C1127" s="6">
        <f t="shared" si="35"/>
        <v>1.8966781934402155E-2</v>
      </c>
      <c r="D1127" s="6">
        <f t="shared" si="34"/>
        <v>1.8789155018760155E-2</v>
      </c>
      <c r="E1127" s="6"/>
      <c r="F1127" s="6"/>
      <c r="G1127" s="6"/>
      <c r="H1127" s="6"/>
    </row>
    <row r="1128" spans="1:8" x14ac:dyDescent="0.25">
      <c r="A1128" t="s">
        <v>1175</v>
      </c>
      <c r="B1128">
        <v>95.43</v>
      </c>
      <c r="C1128" s="6">
        <f t="shared" si="35"/>
        <v>2.7565414019597334E-2</v>
      </c>
      <c r="D1128" s="6">
        <f t="shared" si="34"/>
        <v>2.7192328641245517E-2</v>
      </c>
      <c r="E1128" s="6"/>
      <c r="F1128" s="6"/>
      <c r="G1128" s="6"/>
      <c r="H1128" s="6"/>
    </row>
    <row r="1129" spans="1:8" x14ac:dyDescent="0.25">
      <c r="A1129" t="s">
        <v>1176</v>
      </c>
      <c r="B1129">
        <v>92.87</v>
      </c>
      <c r="C1129" s="6">
        <f t="shared" si="35"/>
        <v>1.1858559724018392E-3</v>
      </c>
      <c r="D1129" s="6">
        <f t="shared" si="34"/>
        <v>1.1851534005860006E-3</v>
      </c>
      <c r="E1129" s="6"/>
      <c r="F1129" s="6"/>
      <c r="G1129" s="6"/>
      <c r="H1129" s="6"/>
    </row>
    <row r="1130" spans="1:8" x14ac:dyDescent="0.25">
      <c r="A1130" t="s">
        <v>1177</v>
      </c>
      <c r="B1130">
        <v>92.76</v>
      </c>
      <c r="C1130" s="6">
        <f t="shared" si="35"/>
        <v>-1.8412698412698325E-2</v>
      </c>
      <c r="D1130" s="6">
        <f t="shared" si="34"/>
        <v>-1.8584322112366075E-2</v>
      </c>
      <c r="E1130" s="6"/>
      <c r="F1130" s="6"/>
      <c r="G1130" s="6"/>
      <c r="H1130" s="6"/>
    </row>
    <row r="1131" spans="1:8" x14ac:dyDescent="0.25">
      <c r="A1131" t="s">
        <v>1178</v>
      </c>
      <c r="B1131">
        <v>94.5</v>
      </c>
      <c r="C1131" s="6">
        <f t="shared" si="35"/>
        <v>5.7756883814640725E-2</v>
      </c>
      <c r="D1131" s="6">
        <f t="shared" si="34"/>
        <v>5.6150518575724478E-2</v>
      </c>
      <c r="E1131" s="6"/>
      <c r="F1131" s="6"/>
      <c r="G1131" s="6"/>
      <c r="H1131" s="6"/>
    </row>
    <row r="1132" spans="1:8" x14ac:dyDescent="0.25">
      <c r="A1132" t="s">
        <v>1179</v>
      </c>
      <c r="B1132">
        <v>89.34</v>
      </c>
      <c r="C1132" s="6">
        <f t="shared" si="35"/>
        <v>-4.6791443850268122E-3</v>
      </c>
      <c r="D1132" s="6">
        <f t="shared" si="34"/>
        <v>-4.6901258504136421E-3</v>
      </c>
      <c r="E1132" s="6"/>
      <c r="F1132" s="6"/>
      <c r="G1132" s="6"/>
      <c r="H1132" s="6"/>
    </row>
    <row r="1133" spans="1:8" x14ac:dyDescent="0.25">
      <c r="A1133" t="s">
        <v>1180</v>
      </c>
      <c r="B1133">
        <v>89.76</v>
      </c>
      <c r="C1133" s="6">
        <f t="shared" si="35"/>
        <v>-2.7097333622371544E-2</v>
      </c>
      <c r="D1133" s="6">
        <f t="shared" si="34"/>
        <v>-2.7471236355288267E-2</v>
      </c>
      <c r="E1133" s="6"/>
      <c r="F1133" s="6"/>
      <c r="G1133" s="6"/>
      <c r="H1133" s="6"/>
    </row>
    <row r="1134" spans="1:8" x14ac:dyDescent="0.25">
      <c r="A1134" t="s">
        <v>1181</v>
      </c>
      <c r="B1134">
        <v>92.26</v>
      </c>
      <c r="C1134" s="6">
        <f t="shared" si="35"/>
        <v>-1.5263101718433036E-2</v>
      </c>
      <c r="D1134" s="6">
        <f t="shared" si="34"/>
        <v>-1.5380781833422338E-2</v>
      </c>
      <c r="E1134" s="6"/>
      <c r="F1134" s="6"/>
      <c r="G1134" s="6"/>
      <c r="H1134" s="6"/>
    </row>
    <row r="1135" spans="1:8" x14ac:dyDescent="0.25">
      <c r="A1135" t="s">
        <v>1182</v>
      </c>
      <c r="B1135">
        <v>93.69</v>
      </c>
      <c r="C1135" s="6">
        <f t="shared" si="35"/>
        <v>4.3953687821611798E-3</v>
      </c>
      <c r="D1135" s="6">
        <f t="shared" si="34"/>
        <v>4.3857373609145957E-3</v>
      </c>
      <c r="E1135" s="6"/>
      <c r="F1135" s="6"/>
      <c r="G1135" s="6"/>
      <c r="H1135" s="6"/>
    </row>
    <row r="1136" spans="1:8" x14ac:dyDescent="0.25">
      <c r="A1136" t="s">
        <v>1183</v>
      </c>
      <c r="B1136">
        <v>93.28</v>
      </c>
      <c r="C1136" s="6">
        <f t="shared" si="35"/>
        <v>4.0904198062432506E-3</v>
      </c>
      <c r="D1136" s="6">
        <f t="shared" si="34"/>
        <v>4.0820767823893933E-3</v>
      </c>
      <c r="E1136" s="6"/>
      <c r="F1136" s="6"/>
      <c r="G1136" s="6"/>
      <c r="H1136" s="6"/>
    </row>
    <row r="1137" spans="1:8" x14ac:dyDescent="0.25">
      <c r="A1137" t="s">
        <v>1184</v>
      </c>
      <c r="B1137">
        <v>92.9</v>
      </c>
      <c r="C1137" s="6">
        <f t="shared" si="35"/>
        <v>6.0645440762399083E-3</v>
      </c>
      <c r="D1137" s="6">
        <f t="shared" si="34"/>
        <v>6.0462287409499011E-3</v>
      </c>
      <c r="E1137" s="6"/>
      <c r="F1137" s="6"/>
      <c r="G1137" s="6"/>
      <c r="H1137" s="6"/>
    </row>
    <row r="1138" spans="1:8" x14ac:dyDescent="0.25">
      <c r="A1138" t="s">
        <v>1185</v>
      </c>
      <c r="B1138">
        <v>92.34</v>
      </c>
      <c r="C1138" s="6">
        <f t="shared" si="35"/>
        <v>2.874331550802145E-2</v>
      </c>
      <c r="D1138" s="6">
        <f t="shared" si="34"/>
        <v>2.8337975304456732E-2</v>
      </c>
      <c r="E1138" s="6"/>
      <c r="F1138" s="6"/>
      <c r="G1138" s="6"/>
      <c r="H1138" s="6"/>
    </row>
    <row r="1139" spans="1:8" x14ac:dyDescent="0.25">
      <c r="A1139" t="s">
        <v>1186</v>
      </c>
      <c r="B1139">
        <v>89.76</v>
      </c>
      <c r="C1139" s="6">
        <f t="shared" si="35"/>
        <v>-2.001334222815121E-3</v>
      </c>
      <c r="D1139" s="6">
        <f t="shared" ref="D1139:D1202" si="36">LN(B1139/B1140)</f>
        <v>-2.0033395681750619E-3</v>
      </c>
      <c r="E1139" s="6"/>
      <c r="F1139" s="6"/>
      <c r="G1139" s="6"/>
      <c r="H1139" s="6"/>
    </row>
    <row r="1140" spans="1:8" x14ac:dyDescent="0.25">
      <c r="A1140" t="s">
        <v>1187</v>
      </c>
      <c r="B1140">
        <v>89.94</v>
      </c>
      <c r="C1140" s="6">
        <f t="shared" ref="C1140:C1203" si="37">(B1140/B1141)-1</f>
        <v>5.4779206260480162E-3</v>
      </c>
      <c r="D1140" s="6">
        <f t="shared" si="36"/>
        <v>5.4629713878331151E-3</v>
      </c>
      <c r="E1140" s="6"/>
      <c r="F1140" s="6"/>
      <c r="G1140" s="6"/>
      <c r="H1140" s="6"/>
    </row>
    <row r="1141" spans="1:8" x14ac:dyDescent="0.25">
      <c r="A1141" t="s">
        <v>1188</v>
      </c>
      <c r="B1141">
        <v>89.45</v>
      </c>
      <c r="C1141" s="6">
        <f t="shared" si="37"/>
        <v>7.3198198198198838E-3</v>
      </c>
      <c r="D1141" s="6">
        <f t="shared" si="36"/>
        <v>7.2931599566038504E-3</v>
      </c>
      <c r="E1141" s="6"/>
      <c r="F1141" s="6"/>
      <c r="G1141" s="6"/>
      <c r="H1141" s="6"/>
    </row>
    <row r="1142" spans="1:8" x14ac:dyDescent="0.25">
      <c r="A1142" t="s">
        <v>1189</v>
      </c>
      <c r="B1142">
        <v>88.8</v>
      </c>
      <c r="C1142" s="6">
        <f t="shared" si="37"/>
        <v>2.1511561026112958E-2</v>
      </c>
      <c r="D1142" s="6">
        <f t="shared" si="36"/>
        <v>2.1283452907151407E-2</v>
      </c>
      <c r="E1142" s="6"/>
      <c r="F1142" s="6"/>
      <c r="G1142" s="6"/>
      <c r="H1142" s="6"/>
    </row>
    <row r="1143" spans="1:8" x14ac:dyDescent="0.25">
      <c r="A1143" t="s">
        <v>1190</v>
      </c>
      <c r="B1143">
        <v>86.93</v>
      </c>
      <c r="C1143" s="6">
        <f t="shared" si="37"/>
        <v>7.5336114974502433E-3</v>
      </c>
      <c r="D1143" s="6">
        <f t="shared" si="36"/>
        <v>7.5053755700174151E-3</v>
      </c>
      <c r="E1143" s="6"/>
      <c r="F1143" s="6"/>
      <c r="G1143" s="6"/>
      <c r="H1143" s="6"/>
    </row>
    <row r="1144" spans="1:8" x14ac:dyDescent="0.25">
      <c r="A1144" t="s">
        <v>1191</v>
      </c>
      <c r="B1144">
        <v>86.28</v>
      </c>
      <c r="C1144" s="6">
        <f t="shared" si="37"/>
        <v>-8.8454910970705569E-3</v>
      </c>
      <c r="D1144" s="6">
        <f t="shared" si="36"/>
        <v>-8.8848446932423258E-3</v>
      </c>
      <c r="E1144" s="6"/>
      <c r="F1144" s="6"/>
      <c r="G1144" s="6"/>
      <c r="H1144" s="6"/>
    </row>
    <row r="1145" spans="1:8" x14ac:dyDescent="0.25">
      <c r="A1145" t="s">
        <v>1192</v>
      </c>
      <c r="B1145">
        <v>87.05</v>
      </c>
      <c r="C1145" s="6">
        <f t="shared" si="37"/>
        <v>1.3977868375072866E-2</v>
      </c>
      <c r="D1145" s="6">
        <f t="shared" si="36"/>
        <v>1.3881078870713574E-2</v>
      </c>
      <c r="E1145" s="6"/>
      <c r="F1145" s="6"/>
      <c r="G1145" s="6"/>
      <c r="H1145" s="6"/>
    </row>
    <row r="1146" spans="1:8" x14ac:dyDescent="0.25">
      <c r="A1146" t="s">
        <v>1193</v>
      </c>
      <c r="B1146">
        <v>85.85</v>
      </c>
      <c r="C1146" s="6">
        <f t="shared" si="37"/>
        <v>1.9596199524940516E-2</v>
      </c>
      <c r="D1146" s="6">
        <f t="shared" si="36"/>
        <v>1.9406666095203397E-2</v>
      </c>
      <c r="E1146" s="6"/>
      <c r="F1146" s="6"/>
      <c r="G1146" s="6"/>
      <c r="H1146" s="6"/>
    </row>
    <row r="1147" spans="1:8" x14ac:dyDescent="0.25">
      <c r="A1147" t="s">
        <v>1194</v>
      </c>
      <c r="B1147">
        <v>84.2</v>
      </c>
      <c r="C1147" s="6">
        <f t="shared" si="37"/>
        <v>5.2368453943256954E-2</v>
      </c>
      <c r="D1147" s="6">
        <f t="shared" si="36"/>
        <v>5.1043294386248321E-2</v>
      </c>
      <c r="E1147" s="6"/>
      <c r="F1147" s="6"/>
      <c r="G1147" s="6"/>
      <c r="H1147" s="6"/>
    </row>
    <row r="1148" spans="1:8" x14ac:dyDescent="0.25">
      <c r="A1148" t="s">
        <v>1195</v>
      </c>
      <c r="B1148">
        <v>80.010000000000005</v>
      </c>
      <c r="C1148" s="6">
        <f t="shared" si="37"/>
        <v>2.4062460002560071E-2</v>
      </c>
      <c r="D1148" s="6">
        <f t="shared" si="36"/>
        <v>2.3777520853379874E-2</v>
      </c>
      <c r="E1148" s="6"/>
      <c r="F1148" s="6"/>
      <c r="G1148" s="6"/>
      <c r="H1148" s="6"/>
    </row>
    <row r="1149" spans="1:8" x14ac:dyDescent="0.25">
      <c r="A1149" t="s">
        <v>1196</v>
      </c>
      <c r="B1149">
        <v>78.13</v>
      </c>
      <c r="C1149" s="6">
        <f t="shared" si="37"/>
        <v>2.8161600210554028E-2</v>
      </c>
      <c r="D1149" s="6">
        <f t="shared" si="36"/>
        <v>2.7772353326959411E-2</v>
      </c>
      <c r="E1149" s="6"/>
      <c r="F1149" s="6"/>
      <c r="G1149" s="6"/>
      <c r="H1149" s="6"/>
    </row>
    <row r="1150" spans="1:8" x14ac:dyDescent="0.25">
      <c r="A1150" t="s">
        <v>1197</v>
      </c>
      <c r="B1150">
        <v>75.989999999999995</v>
      </c>
      <c r="C1150" s="6">
        <f t="shared" si="37"/>
        <v>-5.4966627404789969E-3</v>
      </c>
      <c r="D1150" s="6">
        <f t="shared" si="36"/>
        <v>-5.5118249777817881E-3</v>
      </c>
      <c r="E1150" s="6"/>
      <c r="F1150" s="6"/>
      <c r="G1150" s="6"/>
      <c r="H1150" s="6"/>
    </row>
    <row r="1151" spans="1:8" x14ac:dyDescent="0.25">
      <c r="A1151" t="s">
        <v>1198</v>
      </c>
      <c r="B1151">
        <v>76.41</v>
      </c>
      <c r="C1151" s="6">
        <f t="shared" si="37"/>
        <v>8.3135391923989665E-3</v>
      </c>
      <c r="D1151" s="6">
        <f t="shared" si="36"/>
        <v>8.2791720690205059E-3</v>
      </c>
      <c r="E1151" s="6"/>
      <c r="F1151" s="6"/>
      <c r="G1151" s="6"/>
      <c r="H1151" s="6"/>
    </row>
    <row r="1152" spans="1:8" x14ac:dyDescent="0.25">
      <c r="A1152" t="s">
        <v>1199</v>
      </c>
      <c r="B1152">
        <v>75.78</v>
      </c>
      <c r="C1152" s="6">
        <f t="shared" si="37"/>
        <v>-1.0963194988253711E-2</v>
      </c>
      <c r="D1152" s="6">
        <f t="shared" si="36"/>
        <v>-1.1023733682048172E-2</v>
      </c>
      <c r="E1152" s="6"/>
      <c r="F1152" s="6"/>
      <c r="G1152" s="6"/>
      <c r="H1152" s="6"/>
    </row>
    <row r="1153" spans="1:8" x14ac:dyDescent="0.25">
      <c r="A1153" t="s">
        <v>1200</v>
      </c>
      <c r="B1153">
        <v>76.62</v>
      </c>
      <c r="C1153" s="6">
        <f t="shared" si="37"/>
        <v>1.1218160221723839E-2</v>
      </c>
      <c r="D1153" s="6">
        <f t="shared" si="36"/>
        <v>1.1155703329221106E-2</v>
      </c>
      <c r="E1153" s="6"/>
      <c r="F1153" s="6"/>
      <c r="G1153" s="6"/>
      <c r="H1153" s="6"/>
    </row>
    <row r="1154" spans="1:8" x14ac:dyDescent="0.25">
      <c r="A1154" t="s">
        <v>1201</v>
      </c>
      <c r="B1154">
        <v>75.77</v>
      </c>
      <c r="C1154" s="6">
        <f t="shared" si="37"/>
        <v>-1.5846213793999198E-2</v>
      </c>
      <c r="D1154" s="6">
        <f t="shared" si="36"/>
        <v>-1.5973107346676153E-2</v>
      </c>
      <c r="E1154" s="6"/>
      <c r="F1154" s="6"/>
      <c r="G1154" s="6"/>
      <c r="H1154" s="6"/>
    </row>
    <row r="1155" spans="1:8" x14ac:dyDescent="0.25">
      <c r="A1155" t="s">
        <v>1202</v>
      </c>
      <c r="B1155">
        <v>76.989999999999995</v>
      </c>
      <c r="C1155" s="6">
        <f t="shared" si="37"/>
        <v>3.6483575659665979E-2</v>
      </c>
      <c r="D1155" s="6">
        <f t="shared" si="36"/>
        <v>3.5833806805453006E-2</v>
      </c>
      <c r="E1155" s="6"/>
      <c r="F1155" s="6"/>
      <c r="G1155" s="6"/>
      <c r="H1155" s="6"/>
    </row>
    <row r="1156" spans="1:8" x14ac:dyDescent="0.25">
      <c r="A1156" t="s">
        <v>1203</v>
      </c>
      <c r="B1156">
        <v>74.28</v>
      </c>
      <c r="C1156" s="6">
        <f t="shared" si="37"/>
        <v>-1.0758472296933386E-3</v>
      </c>
      <c r="D1156" s="6">
        <f t="shared" si="36"/>
        <v>-1.0764263687381775E-3</v>
      </c>
      <c r="E1156" s="6"/>
      <c r="F1156" s="6"/>
      <c r="G1156" s="6"/>
      <c r="H1156" s="6"/>
    </row>
    <row r="1157" spans="1:8" x14ac:dyDescent="0.25">
      <c r="A1157" t="s">
        <v>1204</v>
      </c>
      <c r="B1157">
        <v>74.36</v>
      </c>
      <c r="C1157" s="6">
        <f t="shared" si="37"/>
        <v>1.3907826561221581E-2</v>
      </c>
      <c r="D1157" s="6">
        <f t="shared" si="36"/>
        <v>1.381200021006319E-2</v>
      </c>
      <c r="E1157" s="6"/>
      <c r="F1157" s="6"/>
      <c r="G1157" s="6"/>
      <c r="H1157" s="6"/>
    </row>
    <row r="1158" spans="1:8" x14ac:dyDescent="0.25">
      <c r="A1158" t="s">
        <v>1205</v>
      </c>
      <c r="B1158">
        <v>73.34</v>
      </c>
      <c r="C1158" s="6">
        <f t="shared" si="37"/>
        <v>-1.5834675254964958E-2</v>
      </c>
      <c r="D1158" s="6">
        <f t="shared" si="36"/>
        <v>-1.5961383090207601E-2</v>
      </c>
      <c r="E1158" s="6"/>
      <c r="F1158" s="6"/>
      <c r="G1158" s="6"/>
      <c r="H1158" s="6"/>
    </row>
    <row r="1159" spans="1:8" x14ac:dyDescent="0.25">
      <c r="A1159" t="s">
        <v>1206</v>
      </c>
      <c r="B1159">
        <v>74.52</v>
      </c>
      <c r="C1159" s="6">
        <f t="shared" si="37"/>
        <v>1.7475467132679334E-3</v>
      </c>
      <c r="D1159" s="6">
        <f t="shared" si="36"/>
        <v>1.7460215301377258E-3</v>
      </c>
      <c r="E1159" s="6"/>
      <c r="F1159" s="6"/>
      <c r="G1159" s="6"/>
      <c r="H1159" s="6"/>
    </row>
    <row r="1160" spans="1:8" x14ac:dyDescent="0.25">
      <c r="A1160" t="s">
        <v>1207</v>
      </c>
      <c r="B1160">
        <v>74.39</v>
      </c>
      <c r="C1160" s="6">
        <f t="shared" si="37"/>
        <v>-3.9385330578512345E-2</v>
      </c>
      <c r="D1160" s="6">
        <f t="shared" si="36"/>
        <v>-4.0181918765071524E-2</v>
      </c>
      <c r="E1160" s="6"/>
      <c r="F1160" s="6"/>
      <c r="G1160" s="6"/>
      <c r="H1160" s="6"/>
    </row>
    <row r="1161" spans="1:8" x14ac:dyDescent="0.25">
      <c r="A1161" t="s">
        <v>1208</v>
      </c>
      <c r="B1161">
        <v>77.44</v>
      </c>
      <c r="C1161" s="6">
        <f t="shared" si="37"/>
        <v>3.4326165353278926E-2</v>
      </c>
      <c r="D1161" s="6">
        <f t="shared" si="36"/>
        <v>3.3750166725727643E-2</v>
      </c>
      <c r="E1161" s="6"/>
      <c r="F1161" s="6"/>
      <c r="G1161" s="6"/>
      <c r="H1161" s="6"/>
    </row>
    <row r="1162" spans="1:8" x14ac:dyDescent="0.25">
      <c r="A1162" t="s">
        <v>1209</v>
      </c>
      <c r="B1162">
        <v>74.87</v>
      </c>
      <c r="C1162" s="6">
        <f t="shared" si="37"/>
        <v>-3.6670097786927314E-2</v>
      </c>
      <c r="D1162" s="6">
        <f t="shared" si="36"/>
        <v>-3.7359348266645373E-2</v>
      </c>
      <c r="E1162" s="6"/>
      <c r="F1162" s="6"/>
      <c r="G1162" s="6"/>
      <c r="H1162" s="6"/>
    </row>
    <row r="1163" spans="1:8" x14ac:dyDescent="0.25">
      <c r="A1163" t="s">
        <v>1210</v>
      </c>
      <c r="B1163">
        <v>77.72</v>
      </c>
      <c r="C1163" s="6">
        <f t="shared" si="37"/>
        <v>2.0629190304279899E-3</v>
      </c>
      <c r="D1163" s="6">
        <f t="shared" si="36"/>
        <v>2.0607941347882161E-3</v>
      </c>
      <c r="E1163" s="6"/>
      <c r="F1163" s="6"/>
      <c r="G1163" s="6"/>
      <c r="H1163" s="6"/>
    </row>
    <row r="1164" spans="1:8" x14ac:dyDescent="0.25">
      <c r="A1164" t="s">
        <v>1211</v>
      </c>
      <c r="B1164">
        <v>77.56</v>
      </c>
      <c r="C1164" s="6">
        <f t="shared" si="37"/>
        <v>3.0971686827063749E-2</v>
      </c>
      <c r="D1164" s="6">
        <f t="shared" si="36"/>
        <v>3.0501742802320934E-2</v>
      </c>
      <c r="E1164" s="6"/>
      <c r="F1164" s="6"/>
      <c r="G1164" s="6"/>
      <c r="H1164" s="6"/>
    </row>
    <row r="1165" spans="1:8" x14ac:dyDescent="0.25">
      <c r="A1165" t="s">
        <v>1212</v>
      </c>
      <c r="B1165">
        <v>75.23</v>
      </c>
      <c r="C1165" s="6">
        <f t="shared" si="37"/>
        <v>2.2648547828403309E-3</v>
      </c>
      <c r="D1165" s="6">
        <f t="shared" si="36"/>
        <v>2.2622938652553611E-3</v>
      </c>
      <c r="E1165" s="6"/>
      <c r="F1165" s="6"/>
      <c r="G1165" s="6"/>
      <c r="H1165" s="6"/>
    </row>
    <row r="1166" spans="1:8" x14ac:dyDescent="0.25">
      <c r="A1166" t="s">
        <v>1213</v>
      </c>
      <c r="B1166">
        <v>75.06</v>
      </c>
      <c r="C1166" s="6">
        <f t="shared" si="37"/>
        <v>1.2272420768711934E-2</v>
      </c>
      <c r="D1166" s="6">
        <f t="shared" si="36"/>
        <v>1.2197725122933536E-2</v>
      </c>
      <c r="E1166" s="6"/>
      <c r="F1166" s="6"/>
      <c r="G1166" s="6"/>
      <c r="H1166" s="6"/>
    </row>
    <row r="1167" spans="1:8" x14ac:dyDescent="0.25">
      <c r="A1167" t="s">
        <v>1214</v>
      </c>
      <c r="B1167">
        <v>74.150000000000006</v>
      </c>
      <c r="C1167" s="6">
        <f t="shared" si="37"/>
        <v>1.2152308938699896E-3</v>
      </c>
      <c r="D1167" s="6">
        <f t="shared" si="36"/>
        <v>1.2144930984746278E-3</v>
      </c>
      <c r="E1167" s="6"/>
      <c r="F1167" s="6"/>
      <c r="G1167" s="6"/>
      <c r="H1167" s="6"/>
    </row>
    <row r="1168" spans="1:8" x14ac:dyDescent="0.25">
      <c r="A1168" t="s">
        <v>1215</v>
      </c>
      <c r="B1168">
        <v>74.06</v>
      </c>
      <c r="C1168" s="6">
        <f t="shared" si="37"/>
        <v>-1.5028594227955772E-2</v>
      </c>
      <c r="D1168" s="6">
        <f t="shared" si="36"/>
        <v>-1.5142667904468828E-2</v>
      </c>
      <c r="E1168" s="6"/>
      <c r="F1168" s="6"/>
      <c r="G1168" s="6"/>
      <c r="H1168" s="6"/>
    </row>
    <row r="1169" spans="1:8" x14ac:dyDescent="0.25">
      <c r="A1169" t="s">
        <v>1216</v>
      </c>
      <c r="B1169">
        <v>75.19</v>
      </c>
      <c r="C1169" s="6">
        <f t="shared" si="37"/>
        <v>6.2901498929335276E-3</v>
      </c>
      <c r="D1169" s="6">
        <f t="shared" si="36"/>
        <v>6.2704494693482599E-3</v>
      </c>
      <c r="E1169" s="6"/>
      <c r="F1169" s="6"/>
      <c r="G1169" s="6"/>
      <c r="H1169" s="6"/>
    </row>
    <row r="1170" spans="1:8" x14ac:dyDescent="0.25">
      <c r="A1170" t="s">
        <v>1217</v>
      </c>
      <c r="B1170">
        <v>74.72</v>
      </c>
      <c r="C1170" s="6">
        <f t="shared" si="37"/>
        <v>1.0959274793667984E-2</v>
      </c>
      <c r="D1170" s="6">
        <f t="shared" si="36"/>
        <v>1.0899657123791805E-2</v>
      </c>
      <c r="E1170" s="6"/>
      <c r="F1170" s="6"/>
      <c r="G1170" s="6"/>
      <c r="H1170" s="6"/>
    </row>
    <row r="1171" spans="1:8" x14ac:dyDescent="0.25">
      <c r="A1171" t="s">
        <v>1218</v>
      </c>
      <c r="B1171">
        <v>73.91</v>
      </c>
      <c r="C1171" s="6">
        <f t="shared" si="37"/>
        <v>-1.1634126771864151E-2</v>
      </c>
      <c r="D1171" s="6">
        <f t="shared" si="36"/>
        <v>-1.1702332752172291E-2</v>
      </c>
      <c r="E1171" s="6"/>
      <c r="F1171" s="6"/>
      <c r="G1171" s="6"/>
      <c r="H1171" s="6"/>
    </row>
    <row r="1172" spans="1:8" x14ac:dyDescent="0.25">
      <c r="A1172" t="s">
        <v>1219</v>
      </c>
      <c r="B1172">
        <v>74.78</v>
      </c>
      <c r="C1172" s="6">
        <f t="shared" si="37"/>
        <v>-2.8831168831168763E-2</v>
      </c>
      <c r="D1172" s="6">
        <f t="shared" si="36"/>
        <v>-2.9254952304716118E-2</v>
      </c>
      <c r="E1172" s="6"/>
      <c r="F1172" s="6"/>
      <c r="G1172" s="6"/>
      <c r="H1172" s="6"/>
    </row>
    <row r="1173" spans="1:8" x14ac:dyDescent="0.25">
      <c r="A1173" t="s">
        <v>1220</v>
      </c>
      <c r="B1173">
        <v>77</v>
      </c>
      <c r="C1173" s="6">
        <f t="shared" si="37"/>
        <v>1.7576318223866849E-2</v>
      </c>
      <c r="D1173" s="6">
        <f t="shared" si="36"/>
        <v>1.7423641147253692E-2</v>
      </c>
      <c r="E1173" s="6"/>
      <c r="F1173" s="6"/>
      <c r="G1173" s="6"/>
      <c r="H1173" s="6"/>
    </row>
    <row r="1174" spans="1:8" x14ac:dyDescent="0.25">
      <c r="A1174" t="s">
        <v>1221</v>
      </c>
      <c r="B1174">
        <v>75.67</v>
      </c>
      <c r="C1174" s="6">
        <f t="shared" si="37"/>
        <v>-3.3712169582428841E-2</v>
      </c>
      <c r="D1174" s="6">
        <f t="shared" si="36"/>
        <v>-3.4293528056416125E-2</v>
      </c>
      <c r="E1174" s="6"/>
      <c r="F1174" s="6"/>
      <c r="G1174" s="6"/>
      <c r="H1174" s="6"/>
    </row>
    <row r="1175" spans="1:8" x14ac:dyDescent="0.25">
      <c r="A1175" t="s">
        <v>1222</v>
      </c>
      <c r="B1175">
        <v>78.31</v>
      </c>
      <c r="C1175" s="6">
        <f t="shared" si="37"/>
        <v>-7.6559908128115417E-4</v>
      </c>
      <c r="D1175" s="6">
        <f t="shared" si="36"/>
        <v>-7.6589230192697366E-4</v>
      </c>
      <c r="E1175" s="6"/>
      <c r="F1175" s="6"/>
      <c r="G1175" s="6"/>
      <c r="H1175" s="6"/>
    </row>
    <row r="1176" spans="1:8" x14ac:dyDescent="0.25">
      <c r="A1176" t="s">
        <v>1223</v>
      </c>
      <c r="B1176">
        <v>78.37</v>
      </c>
      <c r="C1176" s="6">
        <f t="shared" si="37"/>
        <v>3.5856063516455094E-3</v>
      </c>
      <c r="D1176" s="6">
        <f t="shared" si="36"/>
        <v>3.5791933901895044E-3</v>
      </c>
      <c r="E1176" s="6"/>
      <c r="F1176" s="6"/>
      <c r="G1176" s="6"/>
      <c r="H1176" s="6"/>
    </row>
    <row r="1177" spans="1:8" x14ac:dyDescent="0.25">
      <c r="A1177" t="s">
        <v>1224</v>
      </c>
      <c r="B1177">
        <v>78.09</v>
      </c>
      <c r="C1177" s="6">
        <f t="shared" si="37"/>
        <v>-1.114347220463463E-2</v>
      </c>
      <c r="D1177" s="6">
        <f t="shared" si="36"/>
        <v>-1.1206025834905866E-2</v>
      </c>
      <c r="E1177" s="6"/>
      <c r="F1177" s="6"/>
      <c r="G1177" s="6"/>
      <c r="H1177" s="6"/>
    </row>
    <row r="1178" spans="1:8" x14ac:dyDescent="0.25">
      <c r="A1178" t="s">
        <v>1225</v>
      </c>
      <c r="B1178">
        <v>78.97</v>
      </c>
      <c r="C1178" s="6">
        <f t="shared" si="37"/>
        <v>9.3302658486709156E-3</v>
      </c>
      <c r="D1178" s="6">
        <f t="shared" si="36"/>
        <v>9.28700778292787E-3</v>
      </c>
      <c r="E1178" s="6"/>
      <c r="F1178" s="6"/>
      <c r="G1178" s="6"/>
      <c r="H1178" s="6"/>
    </row>
    <row r="1179" spans="1:8" x14ac:dyDescent="0.25">
      <c r="A1179" t="s">
        <v>1226</v>
      </c>
      <c r="B1179">
        <v>78.239999999999995</v>
      </c>
      <c r="C1179" s="6">
        <f t="shared" si="37"/>
        <v>-2.915994540265554E-2</v>
      </c>
      <c r="D1179" s="6">
        <f t="shared" si="36"/>
        <v>-2.9593546609858183E-2</v>
      </c>
      <c r="E1179" s="6"/>
      <c r="F1179" s="6"/>
      <c r="G1179" s="6"/>
      <c r="H1179" s="6"/>
    </row>
    <row r="1180" spans="1:8" x14ac:dyDescent="0.25">
      <c r="A1180" t="s">
        <v>1227</v>
      </c>
      <c r="B1180">
        <v>80.59</v>
      </c>
      <c r="C1180" s="6">
        <f t="shared" si="37"/>
        <v>-3.658099222952782E-2</v>
      </c>
      <c r="D1180" s="6">
        <f t="shared" si="36"/>
        <v>-3.7266855096413053E-2</v>
      </c>
      <c r="E1180" s="6"/>
      <c r="F1180" s="6"/>
      <c r="G1180" s="6"/>
      <c r="H1180" s="6"/>
    </row>
    <row r="1181" spans="1:8" x14ac:dyDescent="0.25">
      <c r="A1181" t="s">
        <v>1228</v>
      </c>
      <c r="B1181">
        <v>83.65</v>
      </c>
      <c r="C1181" s="6">
        <f t="shared" si="37"/>
        <v>-3.6922343973319061E-3</v>
      </c>
      <c r="D1181" s="6">
        <f t="shared" si="36"/>
        <v>-3.6990675195991028E-3</v>
      </c>
      <c r="E1181" s="6"/>
      <c r="F1181" s="6"/>
      <c r="G1181" s="6"/>
      <c r="H1181" s="6"/>
    </row>
    <row r="1182" spans="1:8" x14ac:dyDescent="0.25">
      <c r="A1182" t="s">
        <v>1229</v>
      </c>
      <c r="B1182">
        <v>83.96</v>
      </c>
      <c r="C1182" s="6">
        <f t="shared" si="37"/>
        <v>-4.2694497153700217E-3</v>
      </c>
      <c r="D1182" s="6">
        <f t="shared" si="36"/>
        <v>-4.2785898406199592E-3</v>
      </c>
      <c r="E1182" s="6"/>
      <c r="F1182" s="6"/>
      <c r="G1182" s="6"/>
      <c r="H1182" s="6"/>
    </row>
    <row r="1183" spans="1:8" x14ac:dyDescent="0.25">
      <c r="A1183" t="s">
        <v>1230</v>
      </c>
      <c r="B1183">
        <v>84.32</v>
      </c>
      <c r="C1183" s="6">
        <f t="shared" si="37"/>
        <v>1.8480492813141458E-2</v>
      </c>
      <c r="D1183" s="6">
        <f t="shared" si="36"/>
        <v>1.8311803642337473E-2</v>
      </c>
      <c r="E1183" s="6"/>
      <c r="F1183" s="6"/>
      <c r="G1183" s="6"/>
      <c r="H1183" s="6"/>
    </row>
    <row r="1184" spans="1:8" x14ac:dyDescent="0.25">
      <c r="A1184" t="s">
        <v>1231</v>
      </c>
      <c r="B1184">
        <v>82.79</v>
      </c>
      <c r="C1184" s="6">
        <f t="shared" si="37"/>
        <v>7.7906269020084906E-3</v>
      </c>
      <c r="D1184" s="6">
        <f t="shared" si="36"/>
        <v>7.7604366674373865E-3</v>
      </c>
      <c r="E1184" s="6"/>
      <c r="F1184" s="6"/>
      <c r="G1184" s="6"/>
      <c r="H1184" s="6"/>
    </row>
    <row r="1185" spans="1:8" x14ac:dyDescent="0.25">
      <c r="A1185" t="s">
        <v>1232</v>
      </c>
      <c r="B1185">
        <v>82.15</v>
      </c>
      <c r="C1185" s="6">
        <f t="shared" si="37"/>
        <v>2.8076171875E-3</v>
      </c>
      <c r="D1185" s="6">
        <f t="shared" si="36"/>
        <v>2.8036831920794322E-3</v>
      </c>
      <c r="E1185" s="6"/>
      <c r="F1185" s="6"/>
      <c r="G1185" s="6"/>
      <c r="H1185" s="6"/>
    </row>
    <row r="1186" spans="1:8" x14ac:dyDescent="0.25">
      <c r="A1186" t="s">
        <v>1233</v>
      </c>
      <c r="B1186">
        <v>81.92</v>
      </c>
      <c r="C1186" s="6">
        <f t="shared" si="37"/>
        <v>-5.4631540609445528E-3</v>
      </c>
      <c r="D1186" s="6">
        <f t="shared" si="36"/>
        <v>-5.4781316619597533E-3</v>
      </c>
      <c r="E1186" s="6"/>
      <c r="F1186" s="6"/>
      <c r="G1186" s="6"/>
      <c r="H1186" s="6"/>
    </row>
    <row r="1187" spans="1:8" x14ac:dyDescent="0.25">
      <c r="A1187" t="s">
        <v>1234</v>
      </c>
      <c r="B1187">
        <v>82.37</v>
      </c>
      <c r="C1187" s="6">
        <f t="shared" si="37"/>
        <v>2.2975658221559891E-2</v>
      </c>
      <c r="D1187" s="6">
        <f t="shared" si="36"/>
        <v>2.2715692181566667E-2</v>
      </c>
      <c r="E1187" s="6"/>
      <c r="F1187" s="6"/>
      <c r="G1187" s="6"/>
      <c r="H1187" s="6"/>
    </row>
    <row r="1188" spans="1:8" x14ac:dyDescent="0.25">
      <c r="A1188" t="s">
        <v>1235</v>
      </c>
      <c r="B1188">
        <v>80.52</v>
      </c>
      <c r="C1188" s="6">
        <f t="shared" si="37"/>
        <v>2.6124633617943038E-2</v>
      </c>
      <c r="D1188" s="6">
        <f t="shared" si="36"/>
        <v>2.5789214632208766E-2</v>
      </c>
      <c r="E1188" s="6"/>
      <c r="F1188" s="6"/>
      <c r="G1188" s="6"/>
      <c r="H1188" s="6"/>
    </row>
    <row r="1189" spans="1:8" x14ac:dyDescent="0.25">
      <c r="A1189" t="s">
        <v>1236</v>
      </c>
      <c r="B1189">
        <v>78.47</v>
      </c>
      <c r="C1189" s="6">
        <f t="shared" si="37"/>
        <v>-9.4673062357990556E-3</v>
      </c>
      <c r="D1189" s="6">
        <f t="shared" si="36"/>
        <v>-9.5124060543887549E-3</v>
      </c>
      <c r="E1189" s="6"/>
      <c r="F1189" s="6"/>
      <c r="G1189" s="6"/>
      <c r="H1189" s="6"/>
    </row>
    <row r="1190" spans="1:8" x14ac:dyDescent="0.25">
      <c r="A1190" t="s">
        <v>1237</v>
      </c>
      <c r="B1190">
        <v>79.22</v>
      </c>
      <c r="C1190" s="6">
        <f t="shared" si="37"/>
        <v>1.4210728459864264E-2</v>
      </c>
      <c r="D1190" s="6">
        <f t="shared" si="36"/>
        <v>1.4110702571564623E-2</v>
      </c>
      <c r="E1190" s="6"/>
      <c r="F1190" s="6"/>
      <c r="G1190" s="6"/>
      <c r="H1190" s="6"/>
    </row>
    <row r="1191" spans="1:8" x14ac:dyDescent="0.25">
      <c r="A1191" t="s">
        <v>1238</v>
      </c>
      <c r="B1191">
        <v>78.11</v>
      </c>
      <c r="C1191" s="6">
        <f t="shared" si="37"/>
        <v>-2.044205953749767E-3</v>
      </c>
      <c r="D1191" s="6">
        <f t="shared" si="36"/>
        <v>-2.0462981945407474E-3</v>
      </c>
      <c r="E1191" s="6"/>
      <c r="F1191" s="6"/>
      <c r="G1191" s="6"/>
      <c r="H1191" s="6"/>
    </row>
    <row r="1192" spans="1:8" x14ac:dyDescent="0.25">
      <c r="A1192" t="s">
        <v>1239</v>
      </c>
      <c r="B1192">
        <v>78.27</v>
      </c>
      <c r="C1192" s="6">
        <f t="shared" si="37"/>
        <v>9.1542031975244686E-3</v>
      </c>
      <c r="D1192" s="6">
        <f t="shared" si="36"/>
        <v>9.1125574422956709E-3</v>
      </c>
      <c r="E1192" s="6"/>
      <c r="F1192" s="6"/>
      <c r="G1192" s="6"/>
      <c r="H1192" s="6"/>
    </row>
    <row r="1193" spans="1:8" x14ac:dyDescent="0.25">
      <c r="A1193" t="s">
        <v>1240</v>
      </c>
      <c r="B1193">
        <v>77.56</v>
      </c>
      <c r="C1193" s="6">
        <f t="shared" si="37"/>
        <v>-3.3640667829553994E-2</v>
      </c>
      <c r="D1193" s="6">
        <f t="shared" si="36"/>
        <v>-3.4219534464319655E-2</v>
      </c>
      <c r="E1193" s="6"/>
      <c r="F1193" s="6"/>
      <c r="G1193" s="6"/>
      <c r="H1193" s="6"/>
    </row>
    <row r="1194" spans="1:8" x14ac:dyDescent="0.25">
      <c r="A1194" t="s">
        <v>1241</v>
      </c>
      <c r="B1194">
        <v>80.260000000000005</v>
      </c>
      <c r="C1194" s="6">
        <f t="shared" si="37"/>
        <v>4.505632040050056E-3</v>
      </c>
      <c r="D1194" s="6">
        <f t="shared" si="36"/>
        <v>4.4955120665416768E-3</v>
      </c>
      <c r="E1194" s="6"/>
      <c r="F1194" s="6"/>
      <c r="G1194" s="6"/>
      <c r="H1194" s="6"/>
    </row>
    <row r="1195" spans="1:8" x14ac:dyDescent="0.25">
      <c r="A1195" t="s">
        <v>1242</v>
      </c>
      <c r="B1195">
        <v>79.900000000000006</v>
      </c>
      <c r="C1195" s="6">
        <f t="shared" si="37"/>
        <v>-2.857142857142847E-2</v>
      </c>
      <c r="D1195" s="6">
        <f t="shared" si="36"/>
        <v>-2.8987536873252187E-2</v>
      </c>
      <c r="E1195" s="6"/>
      <c r="F1195" s="6"/>
      <c r="G1195" s="6"/>
      <c r="H1195" s="6"/>
    </row>
    <row r="1196" spans="1:8" x14ac:dyDescent="0.25">
      <c r="A1196" t="s">
        <v>1243</v>
      </c>
      <c r="B1196">
        <v>82.25</v>
      </c>
      <c r="C1196" s="6">
        <f t="shared" si="37"/>
        <v>-2.3622981956315181E-2</v>
      </c>
      <c r="D1196" s="6">
        <f t="shared" si="36"/>
        <v>-2.3906478180238677E-2</v>
      </c>
      <c r="E1196" s="6"/>
      <c r="F1196" s="6"/>
      <c r="G1196" s="6"/>
      <c r="H1196" s="6"/>
    </row>
    <row r="1197" spans="1:8" x14ac:dyDescent="0.25">
      <c r="A1197" t="s">
        <v>1244</v>
      </c>
      <c r="B1197">
        <v>84.24</v>
      </c>
      <c r="C1197" s="6">
        <f t="shared" si="37"/>
        <v>1.6164053075995E-2</v>
      </c>
      <c r="D1197" s="6">
        <f t="shared" si="36"/>
        <v>1.6034805684470597E-2</v>
      </c>
      <c r="E1197" s="6"/>
      <c r="F1197" s="6"/>
      <c r="G1197" s="6"/>
      <c r="H1197" s="6"/>
    </row>
    <row r="1198" spans="1:8" x14ac:dyDescent="0.25">
      <c r="A1198" t="s">
        <v>1245</v>
      </c>
      <c r="B1198">
        <v>82.9</v>
      </c>
      <c r="C1198" s="6">
        <f t="shared" si="37"/>
        <v>4.5792859846095713E-2</v>
      </c>
      <c r="D1198" s="6">
        <f t="shared" si="36"/>
        <v>4.4775315292184883E-2</v>
      </c>
      <c r="E1198" s="6"/>
      <c r="F1198" s="6"/>
      <c r="G1198" s="6"/>
      <c r="H1198" s="6"/>
    </row>
    <row r="1199" spans="1:8" x14ac:dyDescent="0.25">
      <c r="A1199" t="s">
        <v>1246</v>
      </c>
      <c r="B1199">
        <v>79.27</v>
      </c>
      <c r="C1199" s="6">
        <f t="shared" si="37"/>
        <v>-6.3925795938832852E-3</v>
      </c>
      <c r="D1199" s="6">
        <f t="shared" si="36"/>
        <v>-6.4130996281961793E-3</v>
      </c>
      <c r="E1199" s="6"/>
      <c r="F1199" s="6"/>
      <c r="G1199" s="6"/>
      <c r="H1199" s="6"/>
    </row>
    <row r="1200" spans="1:8" x14ac:dyDescent="0.25">
      <c r="A1200" t="s">
        <v>1247</v>
      </c>
      <c r="B1200">
        <v>79.78</v>
      </c>
      <c r="C1200" s="6">
        <f t="shared" si="37"/>
        <v>2.3739253175927066E-2</v>
      </c>
      <c r="D1200" s="6">
        <f t="shared" si="36"/>
        <v>2.3461858621790954E-2</v>
      </c>
      <c r="E1200" s="6"/>
      <c r="F1200" s="6"/>
      <c r="G1200" s="6"/>
      <c r="H1200" s="6"/>
    </row>
    <row r="1201" spans="1:8" x14ac:dyDescent="0.25">
      <c r="A1201" t="s">
        <v>1248</v>
      </c>
      <c r="B1201">
        <v>77.930000000000007</v>
      </c>
      <c r="C1201" s="6">
        <f t="shared" si="37"/>
        <v>-1.4542235710672591E-2</v>
      </c>
      <c r="D1201" s="6">
        <f t="shared" si="36"/>
        <v>-1.4649010446946446E-2</v>
      </c>
      <c r="E1201" s="6"/>
      <c r="F1201" s="6"/>
      <c r="G1201" s="6"/>
      <c r="H1201" s="6"/>
    </row>
    <row r="1202" spans="1:8" x14ac:dyDescent="0.25">
      <c r="A1202" t="s">
        <v>1249</v>
      </c>
      <c r="B1202">
        <v>79.08</v>
      </c>
      <c r="C1202" s="6">
        <f t="shared" si="37"/>
        <v>3.3320266562132383E-2</v>
      </c>
      <c r="D1202" s="6">
        <f t="shared" si="36"/>
        <v>3.2777177480586332E-2</v>
      </c>
      <c r="E1202" s="6"/>
      <c r="F1202" s="6"/>
      <c r="G1202" s="6"/>
      <c r="H1202" s="6"/>
    </row>
    <row r="1203" spans="1:8" x14ac:dyDescent="0.25">
      <c r="A1203" t="s">
        <v>1250</v>
      </c>
      <c r="B1203">
        <v>76.53</v>
      </c>
      <c r="C1203" s="6">
        <f t="shared" si="37"/>
        <v>1.6739736946990824E-2</v>
      </c>
      <c r="D1203" s="6">
        <f t="shared" ref="D1203:D1260" si="38">LN(B1203/B1204)</f>
        <v>1.6601171775389098E-2</v>
      </c>
      <c r="E1203" s="6"/>
      <c r="F1203" s="6"/>
      <c r="G1203" s="6"/>
      <c r="H1203" s="6"/>
    </row>
    <row r="1204" spans="1:8" x14ac:dyDescent="0.25">
      <c r="A1204" t="s">
        <v>1251</v>
      </c>
      <c r="B1204">
        <v>75.27</v>
      </c>
      <c r="C1204" s="6">
        <f t="shared" ref="C1204:C1260" si="39">(B1204/B1205)-1</f>
        <v>-4.8915917503966622E-3</v>
      </c>
      <c r="D1204" s="6">
        <f t="shared" si="38"/>
        <v>-4.9035947438161812E-3</v>
      </c>
      <c r="E1204" s="6"/>
      <c r="F1204" s="6"/>
      <c r="G1204" s="6"/>
      <c r="H1204" s="6"/>
    </row>
    <row r="1205" spans="1:8" x14ac:dyDescent="0.25">
      <c r="A1205" t="s">
        <v>1252</v>
      </c>
      <c r="B1205">
        <v>75.64</v>
      </c>
      <c r="C1205" s="6">
        <f t="shared" si="39"/>
        <v>-3.397190293742014E-2</v>
      </c>
      <c r="D1205" s="6">
        <f t="shared" si="38"/>
        <v>-3.456235920650063E-2</v>
      </c>
      <c r="E1205" s="6"/>
      <c r="F1205" s="6"/>
      <c r="G1205" s="6"/>
      <c r="H1205" s="6"/>
    </row>
    <row r="1206" spans="1:8" x14ac:dyDescent="0.25">
      <c r="A1206" t="s">
        <v>1253</v>
      </c>
      <c r="B1206">
        <v>78.3</v>
      </c>
      <c r="C1206" s="6">
        <f t="shared" si="39"/>
        <v>-2.0270270270270285E-2</v>
      </c>
      <c r="D1206" s="6">
        <f t="shared" si="38"/>
        <v>-2.0478531343540676E-2</v>
      </c>
      <c r="E1206" s="6"/>
      <c r="F1206" s="6"/>
      <c r="G1206" s="6"/>
      <c r="H1206" s="6"/>
    </row>
    <row r="1207" spans="1:8" x14ac:dyDescent="0.25">
      <c r="A1207" t="s">
        <v>1254</v>
      </c>
      <c r="B1207">
        <v>79.92</v>
      </c>
      <c r="C1207" s="6">
        <f t="shared" si="39"/>
        <v>1.7548257708699389E-3</v>
      </c>
      <c r="D1207" s="6">
        <f t="shared" si="38"/>
        <v>1.7532878630375588E-3</v>
      </c>
      <c r="E1207" s="6"/>
      <c r="F1207" s="6"/>
      <c r="G1207" s="6"/>
      <c r="H1207" s="6"/>
    </row>
    <row r="1208" spans="1:8" x14ac:dyDescent="0.25">
      <c r="A1208" t="s">
        <v>1255</v>
      </c>
      <c r="B1208">
        <v>79.78</v>
      </c>
      <c r="C1208" s="6">
        <f t="shared" si="39"/>
        <v>-3.9950062421971744E-3</v>
      </c>
      <c r="D1208" s="6">
        <f t="shared" si="38"/>
        <v>-4.0030075970528909E-3</v>
      </c>
      <c r="E1208" s="6"/>
      <c r="F1208" s="6"/>
      <c r="G1208" s="6"/>
      <c r="H1208" s="6"/>
    </row>
    <row r="1209" spans="1:8" x14ac:dyDescent="0.25">
      <c r="A1209" t="s">
        <v>1256</v>
      </c>
      <c r="B1209">
        <v>80.099999999999994</v>
      </c>
      <c r="C1209" s="6">
        <f t="shared" si="39"/>
        <v>8.9431918377629316E-3</v>
      </c>
      <c r="D1209" s="6">
        <f t="shared" si="38"/>
        <v>8.9034383372915034E-3</v>
      </c>
      <c r="E1209" s="6"/>
      <c r="F1209" s="6"/>
      <c r="G1209" s="6"/>
      <c r="H1209" s="6"/>
    </row>
    <row r="1210" spans="1:8" x14ac:dyDescent="0.25">
      <c r="A1210" t="s">
        <v>1257</v>
      </c>
      <c r="B1210">
        <v>79.39</v>
      </c>
      <c r="C1210" s="6">
        <f t="shared" si="39"/>
        <v>-2.3132767318813752E-2</v>
      </c>
      <c r="D1210" s="6">
        <f t="shared" si="38"/>
        <v>-2.3404529028091332E-2</v>
      </c>
      <c r="E1210" s="6"/>
      <c r="F1210" s="6"/>
      <c r="G1210" s="6"/>
      <c r="H1210" s="6"/>
    </row>
    <row r="1211" spans="1:8" x14ac:dyDescent="0.25">
      <c r="A1211" t="s">
        <v>1258</v>
      </c>
      <c r="B1211">
        <v>81.27</v>
      </c>
      <c r="C1211" s="6">
        <f t="shared" si="39"/>
        <v>-5.9931506849316696E-3</v>
      </c>
      <c r="D1211" s="6">
        <f t="shared" si="38"/>
        <v>-6.0111816902810328E-3</v>
      </c>
      <c r="E1211" s="6"/>
      <c r="F1211" s="6"/>
      <c r="G1211" s="6"/>
      <c r="H1211" s="6"/>
    </row>
    <row r="1212" spans="1:8" x14ac:dyDescent="0.25">
      <c r="A1212" t="s">
        <v>1259</v>
      </c>
      <c r="B1212">
        <v>81.760000000000005</v>
      </c>
      <c r="C1212" s="6">
        <f t="shared" si="39"/>
        <v>-4.1412911084042214E-3</v>
      </c>
      <c r="D1212" s="6">
        <f t="shared" si="38"/>
        <v>-4.1498900029880697E-3</v>
      </c>
      <c r="E1212" s="6"/>
      <c r="F1212" s="6"/>
      <c r="G1212" s="6"/>
      <c r="H1212" s="6"/>
    </row>
    <row r="1213" spans="1:8" x14ac:dyDescent="0.25">
      <c r="A1213" t="s">
        <v>1260</v>
      </c>
      <c r="B1213">
        <v>82.1</v>
      </c>
      <c r="C1213" s="6">
        <f t="shared" si="39"/>
        <v>7.6092292587137678E-3</v>
      </c>
      <c r="D1213" s="6">
        <f t="shared" si="38"/>
        <v>7.5804250997774415E-3</v>
      </c>
      <c r="E1213" s="6"/>
      <c r="F1213" s="6"/>
      <c r="G1213" s="6"/>
      <c r="H1213" s="6"/>
    </row>
    <row r="1214" spans="1:8" x14ac:dyDescent="0.25">
      <c r="A1214" t="s">
        <v>1261</v>
      </c>
      <c r="B1214">
        <v>81.48</v>
      </c>
      <c r="C1214" s="6">
        <f t="shared" si="39"/>
        <v>7.1693448702101481E-3</v>
      </c>
      <c r="D1214" s="6">
        <f t="shared" si="38"/>
        <v>7.1437672941590761E-3</v>
      </c>
      <c r="E1214" s="6"/>
      <c r="F1214" s="6"/>
      <c r="G1214" s="6"/>
      <c r="H1214" s="6"/>
    </row>
    <row r="1215" spans="1:8" x14ac:dyDescent="0.25">
      <c r="A1215" t="s">
        <v>1262</v>
      </c>
      <c r="B1215">
        <v>80.900000000000006</v>
      </c>
      <c r="C1215" s="6">
        <f t="shared" si="39"/>
        <v>2.9754525167371426E-3</v>
      </c>
      <c r="D1215" s="6">
        <f t="shared" si="38"/>
        <v>2.9710346192241407E-3</v>
      </c>
      <c r="E1215" s="6"/>
      <c r="F1215" s="6"/>
      <c r="G1215" s="6"/>
      <c r="H1215" s="6"/>
    </row>
    <row r="1216" spans="1:8" x14ac:dyDescent="0.25">
      <c r="A1216" t="s">
        <v>1263</v>
      </c>
      <c r="B1216">
        <v>80.66</v>
      </c>
      <c r="C1216" s="6">
        <f t="shared" si="39"/>
        <v>9.8910729936145803E-3</v>
      </c>
      <c r="D1216" s="6">
        <f t="shared" si="38"/>
        <v>9.8424765159244674E-3</v>
      </c>
      <c r="E1216" s="6"/>
      <c r="F1216" s="6"/>
      <c r="G1216" s="6"/>
      <c r="H1216" s="6"/>
    </row>
    <row r="1217" spans="1:8" x14ac:dyDescent="0.25">
      <c r="A1217" t="s">
        <v>1264</v>
      </c>
      <c r="B1217">
        <v>79.87</v>
      </c>
      <c r="C1217" s="6">
        <f t="shared" si="39"/>
        <v>1.8815855494229705E-3</v>
      </c>
      <c r="D1217" s="6">
        <f t="shared" si="38"/>
        <v>1.8798175847035967E-3</v>
      </c>
      <c r="E1217" s="6"/>
      <c r="F1217" s="6"/>
      <c r="G1217" s="6"/>
      <c r="H1217" s="6"/>
    </row>
    <row r="1218" spans="1:8" x14ac:dyDescent="0.25">
      <c r="A1218" t="s">
        <v>1265</v>
      </c>
      <c r="B1218">
        <v>79.72</v>
      </c>
      <c r="C1218" s="6">
        <f t="shared" si="39"/>
        <v>1.6966449802270578E-2</v>
      </c>
      <c r="D1218" s="6">
        <f t="shared" si="38"/>
        <v>1.6824127143963041E-2</v>
      </c>
      <c r="E1218" s="6"/>
      <c r="F1218" s="6"/>
      <c r="G1218" s="6"/>
      <c r="H1218" s="6"/>
    </row>
    <row r="1219" spans="1:8" x14ac:dyDescent="0.25">
      <c r="A1219" t="s">
        <v>1266</v>
      </c>
      <c r="B1219">
        <v>78.39</v>
      </c>
      <c r="C1219" s="6">
        <f t="shared" si="39"/>
        <v>-8.9759797724399126E-3</v>
      </c>
      <c r="D1219" s="6">
        <f t="shared" si="38"/>
        <v>-9.0165065729773414E-3</v>
      </c>
      <c r="E1219" s="6"/>
      <c r="F1219" s="6"/>
      <c r="G1219" s="6"/>
      <c r="H1219" s="6"/>
    </row>
    <row r="1220" spans="1:8" x14ac:dyDescent="0.25">
      <c r="A1220" t="s">
        <v>1267</v>
      </c>
      <c r="B1220">
        <v>79.099999999999994</v>
      </c>
      <c r="C1220" s="6">
        <f t="shared" si="39"/>
        <v>-2.7538726333907193E-2</v>
      </c>
      <c r="D1220" s="6">
        <f t="shared" si="38"/>
        <v>-2.7925025705470424E-2</v>
      </c>
      <c r="E1220" s="6"/>
      <c r="F1220" s="6"/>
      <c r="G1220" s="6"/>
      <c r="H1220" s="6"/>
    </row>
    <row r="1221" spans="1:8" x14ac:dyDescent="0.25">
      <c r="A1221" t="s">
        <v>1268</v>
      </c>
      <c r="B1221">
        <v>81.34</v>
      </c>
      <c r="C1221" s="6">
        <f t="shared" si="39"/>
        <v>-7.3224310471076137E-3</v>
      </c>
      <c r="D1221" s="6">
        <f t="shared" si="38"/>
        <v>-7.3493716396465158E-3</v>
      </c>
      <c r="E1221" s="6"/>
      <c r="F1221" s="6"/>
      <c r="G1221" s="6"/>
      <c r="H1221" s="6"/>
    </row>
    <row r="1222" spans="1:8" x14ac:dyDescent="0.25">
      <c r="A1222" t="s">
        <v>1269</v>
      </c>
      <c r="B1222">
        <v>81.94</v>
      </c>
      <c r="C1222" s="6">
        <f t="shared" si="39"/>
        <v>-4.495201069128929E-3</v>
      </c>
      <c r="D1222" s="6">
        <f t="shared" si="38"/>
        <v>-4.5053348658276194E-3</v>
      </c>
      <c r="E1222" s="6"/>
      <c r="F1222" s="6"/>
      <c r="G1222" s="6"/>
      <c r="H1222" s="6"/>
    </row>
    <row r="1223" spans="1:8" x14ac:dyDescent="0.25">
      <c r="A1223" t="s">
        <v>1270</v>
      </c>
      <c r="B1223">
        <v>82.31</v>
      </c>
      <c r="C1223" s="6">
        <f t="shared" si="39"/>
        <v>-2.7865277441241343E-3</v>
      </c>
      <c r="D1223" s="6">
        <f t="shared" si="38"/>
        <v>-2.7904173398832213E-3</v>
      </c>
      <c r="E1223" s="6"/>
      <c r="F1223" s="6"/>
      <c r="G1223" s="6"/>
      <c r="H1223" s="6"/>
    </row>
    <row r="1224" spans="1:8" x14ac:dyDescent="0.25">
      <c r="A1224" t="s">
        <v>1271</v>
      </c>
      <c r="B1224">
        <v>82.54</v>
      </c>
      <c r="C1224" s="6">
        <f t="shared" si="39"/>
        <v>-3.9003376411689272E-2</v>
      </c>
      <c r="D1224" s="6">
        <f t="shared" si="38"/>
        <v>-3.9784383453697517E-2</v>
      </c>
      <c r="E1224" s="6"/>
      <c r="F1224" s="6"/>
      <c r="G1224" s="6"/>
      <c r="H1224" s="6"/>
    </row>
    <row r="1225" spans="1:8" x14ac:dyDescent="0.25">
      <c r="A1225" t="s">
        <v>1272</v>
      </c>
      <c r="B1225">
        <v>85.89</v>
      </c>
      <c r="C1225" s="6">
        <f t="shared" si="39"/>
        <v>5.515970515970503E-2</v>
      </c>
      <c r="D1225" s="6">
        <f t="shared" si="38"/>
        <v>5.369213476963864E-2</v>
      </c>
      <c r="E1225" s="6"/>
      <c r="F1225" s="6"/>
      <c r="G1225" s="6"/>
      <c r="H1225" s="6"/>
    </row>
    <row r="1226" spans="1:8" x14ac:dyDescent="0.25">
      <c r="A1226" t="s">
        <v>1273</v>
      </c>
      <c r="B1226">
        <v>81.400000000000006</v>
      </c>
      <c r="C1226" s="6">
        <f t="shared" si="39"/>
        <v>-2.4799329100275491E-2</v>
      </c>
      <c r="D1226" s="6">
        <f t="shared" si="38"/>
        <v>-2.5112012854150618E-2</v>
      </c>
      <c r="E1226" s="6"/>
      <c r="F1226" s="6"/>
      <c r="G1226" s="6"/>
      <c r="H1226" s="6"/>
    </row>
    <row r="1227" spans="1:8" x14ac:dyDescent="0.25">
      <c r="A1227" t="s">
        <v>1274</v>
      </c>
      <c r="B1227">
        <v>83.47</v>
      </c>
      <c r="C1227" s="6">
        <f t="shared" si="39"/>
        <v>4.9541053690431269E-2</v>
      </c>
      <c r="D1227" s="6">
        <f t="shared" si="38"/>
        <v>4.8352976893601414E-2</v>
      </c>
      <c r="E1227" s="6"/>
      <c r="F1227" s="6"/>
      <c r="G1227" s="6"/>
      <c r="H1227" s="6"/>
    </row>
    <row r="1228" spans="1:8" x14ac:dyDescent="0.25">
      <c r="A1228" t="s">
        <v>1275</v>
      </c>
      <c r="B1228">
        <v>79.53</v>
      </c>
      <c r="C1228" s="6">
        <f t="shared" si="39"/>
        <v>2.0924261874197603E-2</v>
      </c>
      <c r="D1228" s="6">
        <f t="shared" si="38"/>
        <v>2.0708356092341198E-2</v>
      </c>
      <c r="E1228" s="6"/>
      <c r="F1228" s="6"/>
      <c r="G1228" s="6"/>
      <c r="H1228" s="6"/>
    </row>
    <row r="1229" spans="1:8" x14ac:dyDescent="0.25">
      <c r="A1229" t="s">
        <v>1276</v>
      </c>
      <c r="B1229">
        <v>77.900000000000006</v>
      </c>
      <c r="C1229" s="6">
        <f t="shared" si="39"/>
        <v>-5.2356020942407877E-3</v>
      </c>
      <c r="D1229" s="6">
        <f t="shared" si="38"/>
        <v>-5.2493558861436782E-3</v>
      </c>
      <c r="E1229" s="6"/>
      <c r="F1229" s="6"/>
      <c r="G1229" s="6"/>
      <c r="H1229" s="6"/>
    </row>
    <row r="1230" spans="1:8" x14ac:dyDescent="0.25">
      <c r="A1230" t="s">
        <v>1277</v>
      </c>
      <c r="B1230">
        <v>78.31</v>
      </c>
      <c r="C1230" s="6">
        <f t="shared" si="39"/>
        <v>4.8607391537225375E-2</v>
      </c>
      <c r="D1230" s="6">
        <f t="shared" si="38"/>
        <v>4.7462990089324329E-2</v>
      </c>
      <c r="E1230" s="6"/>
      <c r="F1230" s="6"/>
      <c r="G1230" s="6"/>
      <c r="H1230" s="6"/>
    </row>
    <row r="1231" spans="1:8" x14ac:dyDescent="0.25">
      <c r="A1231" t="s">
        <v>1278</v>
      </c>
      <c r="B1231">
        <v>74.680000000000007</v>
      </c>
      <c r="C1231" s="6">
        <f t="shared" si="39"/>
        <v>-8.5140267058679275E-2</v>
      </c>
      <c r="D1231" s="6">
        <f t="shared" si="38"/>
        <v>-8.8984522789742615E-2</v>
      </c>
      <c r="E1231" s="6"/>
      <c r="F1231" s="6"/>
      <c r="G1231" s="6"/>
      <c r="H1231" s="6"/>
    </row>
    <row r="1232" spans="1:8" x14ac:dyDescent="0.25">
      <c r="A1232" t="s">
        <v>1279</v>
      </c>
      <c r="B1232">
        <v>81.63</v>
      </c>
      <c r="C1232" s="6">
        <f t="shared" si="39"/>
        <v>-3.8062691491869027E-2</v>
      </c>
      <c r="D1232" s="6">
        <f t="shared" si="38"/>
        <v>-3.8805998310914247E-2</v>
      </c>
      <c r="E1232" s="6"/>
      <c r="F1232" s="6"/>
      <c r="G1232" s="6"/>
      <c r="H1232" s="6"/>
    </row>
    <row r="1233" spans="1:8" x14ac:dyDescent="0.25">
      <c r="A1233" t="s">
        <v>1280</v>
      </c>
      <c r="B1233">
        <v>84.86</v>
      </c>
      <c r="C1233" s="6">
        <f t="shared" si="39"/>
        <v>-2.4685553073938715E-3</v>
      </c>
      <c r="D1233" s="6">
        <f t="shared" si="38"/>
        <v>-2.4716072136141305E-3</v>
      </c>
      <c r="E1233" s="6"/>
      <c r="F1233" s="6"/>
      <c r="G1233" s="6"/>
      <c r="H1233" s="6"/>
    </row>
    <row r="1234" spans="1:8" x14ac:dyDescent="0.25">
      <c r="A1234" t="s">
        <v>1281</v>
      </c>
      <c r="B1234">
        <v>85.07</v>
      </c>
      <c r="C1234" s="6">
        <f t="shared" si="39"/>
        <v>5.7558428642466408E-2</v>
      </c>
      <c r="D1234" s="6">
        <f t="shared" si="38"/>
        <v>5.5962882083341645E-2</v>
      </c>
      <c r="E1234" s="6"/>
      <c r="F1234" s="6"/>
      <c r="G1234" s="6"/>
      <c r="H1234" s="6"/>
    </row>
    <row r="1235" spans="1:8" x14ac:dyDescent="0.25">
      <c r="A1235" t="s">
        <v>1282</v>
      </c>
      <c r="B1235">
        <v>80.44</v>
      </c>
      <c r="C1235" s="6">
        <f t="shared" si="39"/>
        <v>2.851297788006657E-2</v>
      </c>
      <c r="D1235" s="6">
        <f t="shared" si="38"/>
        <v>2.8114048290931323E-2</v>
      </c>
      <c r="E1235" s="6"/>
      <c r="F1235" s="6"/>
      <c r="G1235" s="6"/>
      <c r="H1235" s="6"/>
    </row>
    <row r="1236" spans="1:8" x14ac:dyDescent="0.25">
      <c r="A1236" t="s">
        <v>1283</v>
      </c>
      <c r="B1236">
        <v>78.209999999999994</v>
      </c>
      <c r="C1236" s="6">
        <f t="shared" si="39"/>
        <v>9.4217862674237374E-3</v>
      </c>
      <c r="D1236" s="6">
        <f t="shared" si="38"/>
        <v>9.3776780747248118E-3</v>
      </c>
      <c r="E1236" s="6"/>
      <c r="F1236" s="6"/>
      <c r="G1236" s="6"/>
      <c r="H1236" s="6"/>
    </row>
    <row r="1237" spans="1:8" x14ac:dyDescent="0.25">
      <c r="A1237" t="s">
        <v>1284</v>
      </c>
      <c r="B1237">
        <v>77.48</v>
      </c>
      <c r="C1237" s="6">
        <f t="shared" si="39"/>
        <v>7.4469560393842782E-2</v>
      </c>
      <c r="D1237" s="6">
        <f t="shared" si="38"/>
        <v>7.1827107610127006E-2</v>
      </c>
      <c r="E1237" s="6"/>
      <c r="F1237" s="6"/>
      <c r="G1237" s="6"/>
      <c r="H1237" s="6"/>
    </row>
    <row r="1238" spans="1:8" x14ac:dyDescent="0.25">
      <c r="A1238" t="s">
        <v>1285</v>
      </c>
      <c r="B1238">
        <v>72.11</v>
      </c>
      <c r="C1238" s="6">
        <f t="shared" si="39"/>
        <v>3.3983366790937941E-2</v>
      </c>
      <c r="D1238" s="6">
        <f t="shared" si="38"/>
        <v>3.3418689681163224E-2</v>
      </c>
      <c r="E1238" s="6"/>
      <c r="F1238" s="6"/>
      <c r="G1238" s="6"/>
      <c r="H1238" s="6"/>
    </row>
    <row r="1239" spans="1:8" x14ac:dyDescent="0.25">
      <c r="A1239" t="s">
        <v>1286</v>
      </c>
      <c r="B1239">
        <v>69.739999999999995</v>
      </c>
      <c r="C1239" s="6">
        <f t="shared" si="39"/>
        <v>3.7026022304832651E-2</v>
      </c>
      <c r="D1239" s="6">
        <f t="shared" si="38"/>
        <v>3.6357022765556551E-2</v>
      </c>
      <c r="E1239" s="6"/>
      <c r="F1239" s="6"/>
      <c r="G1239" s="6"/>
      <c r="H1239" s="6"/>
    </row>
    <row r="1240" spans="1:8" x14ac:dyDescent="0.25">
      <c r="A1240" t="s">
        <v>1287</v>
      </c>
      <c r="B1240">
        <v>67.25</v>
      </c>
      <c r="C1240" s="6">
        <f t="shared" si="39"/>
        <v>-3.9560125678377522E-2</v>
      </c>
      <c r="D1240" s="6">
        <f t="shared" si="38"/>
        <v>-4.0363897044571044E-2</v>
      </c>
      <c r="E1240" s="6"/>
      <c r="F1240" s="6"/>
      <c r="G1240" s="6"/>
      <c r="H1240" s="6"/>
    </row>
    <row r="1241" spans="1:8" x14ac:dyDescent="0.25">
      <c r="A1241" t="s">
        <v>1288</v>
      </c>
      <c r="B1241">
        <v>70.02</v>
      </c>
      <c r="C1241" s="6">
        <f t="shared" si="39"/>
        <v>-1.4496833216045002E-2</v>
      </c>
      <c r="D1241" s="6">
        <f t="shared" si="38"/>
        <v>-1.460293901658999E-2</v>
      </c>
      <c r="E1241" s="6"/>
      <c r="F1241" s="6"/>
      <c r="G1241" s="6"/>
      <c r="H1241" s="6"/>
    </row>
    <row r="1242" spans="1:8" x14ac:dyDescent="0.25">
      <c r="A1242" t="s">
        <v>1289</v>
      </c>
      <c r="B1242">
        <v>71.05</v>
      </c>
      <c r="C1242" s="6">
        <f t="shared" si="39"/>
        <v>3.9502560351133864E-2</v>
      </c>
      <c r="D1242" s="6">
        <f t="shared" si="38"/>
        <v>3.8742291373151071E-2</v>
      </c>
      <c r="E1242" s="6"/>
      <c r="F1242" s="6"/>
      <c r="G1242" s="6"/>
      <c r="H1242" s="6"/>
    </row>
    <row r="1243" spans="1:8" x14ac:dyDescent="0.25">
      <c r="A1243" t="s">
        <v>1290</v>
      </c>
      <c r="B1243">
        <v>68.349999999999994</v>
      </c>
      <c r="C1243" s="6">
        <f t="shared" si="39"/>
        <v>2.7201683198076143E-2</v>
      </c>
      <c r="D1243" s="6">
        <f t="shared" si="38"/>
        <v>2.6838292579627703E-2</v>
      </c>
      <c r="E1243" s="6"/>
      <c r="F1243" s="6"/>
      <c r="G1243" s="6"/>
      <c r="H1243" s="6"/>
    </row>
    <row r="1244" spans="1:8" x14ac:dyDescent="0.25">
      <c r="A1244" t="s">
        <v>1291</v>
      </c>
      <c r="B1244">
        <v>66.540000000000006</v>
      </c>
      <c r="C1244" s="6">
        <f t="shared" si="39"/>
        <v>-1.6262566528681188E-2</v>
      </c>
      <c r="D1244" s="6">
        <f t="shared" si="38"/>
        <v>-1.6396253440048816E-2</v>
      </c>
      <c r="E1244" s="6"/>
      <c r="F1244" s="6"/>
      <c r="G1244" s="6"/>
      <c r="H1244" s="6"/>
    </row>
    <row r="1245" spans="1:8" x14ac:dyDescent="0.25">
      <c r="A1245" t="s">
        <v>1292</v>
      </c>
      <c r="B1245">
        <v>67.64</v>
      </c>
      <c r="C1245" s="6">
        <f t="shared" si="39"/>
        <v>2.3298033282904695E-2</v>
      </c>
      <c r="D1245" s="6">
        <f t="shared" si="38"/>
        <v>2.3030777172738954E-2</v>
      </c>
      <c r="E1245" s="6"/>
      <c r="F1245" s="6"/>
      <c r="G1245" s="6"/>
      <c r="H1245" s="6"/>
    </row>
    <row r="1246" spans="1:8" x14ac:dyDescent="0.25">
      <c r="A1246" t="s">
        <v>1293</v>
      </c>
      <c r="B1246">
        <v>66.099999999999994</v>
      </c>
      <c r="C1246" s="6">
        <f t="shared" si="39"/>
        <v>-3.7678975131876236E-3</v>
      </c>
      <c r="D1246" s="6">
        <f t="shared" si="38"/>
        <v>-3.7750139205758961E-3</v>
      </c>
      <c r="E1246" s="6"/>
      <c r="F1246" s="6"/>
      <c r="G1246" s="6"/>
      <c r="H1246" s="6"/>
    </row>
    <row r="1247" spans="1:8" x14ac:dyDescent="0.25">
      <c r="A1247" t="s">
        <v>1294</v>
      </c>
      <c r="B1247">
        <v>66.349999999999994</v>
      </c>
      <c r="C1247" s="6">
        <f t="shared" si="39"/>
        <v>-1.0587533552043116E-2</v>
      </c>
      <c r="D1247" s="6">
        <f t="shared" si="38"/>
        <v>-1.0643980259866136E-2</v>
      </c>
      <c r="E1247" s="6"/>
      <c r="F1247" s="6"/>
      <c r="G1247" s="6"/>
      <c r="H1247" s="6"/>
    </row>
    <row r="1248" spans="1:8" x14ac:dyDescent="0.25">
      <c r="A1248" t="s">
        <v>1295</v>
      </c>
      <c r="B1248">
        <v>67.06</v>
      </c>
      <c r="C1248" s="6">
        <f t="shared" si="39"/>
        <v>-2.8538316673909825E-2</v>
      </c>
      <c r="D1248" s="6">
        <f t="shared" si="38"/>
        <v>-2.8953451677301647E-2</v>
      </c>
      <c r="E1248" s="6"/>
      <c r="F1248" s="6"/>
      <c r="G1248" s="6"/>
      <c r="H1248" s="6"/>
    </row>
    <row r="1249" spans="1:8" x14ac:dyDescent="0.25">
      <c r="A1249" t="s">
        <v>1296</v>
      </c>
      <c r="B1249">
        <v>69.03</v>
      </c>
      <c r="C1249" s="6">
        <f t="shared" si="39"/>
        <v>2.2969768820391145E-2</v>
      </c>
      <c r="D1249" s="6">
        <f t="shared" si="38"/>
        <v>2.270993503761657E-2</v>
      </c>
      <c r="E1249" s="6"/>
      <c r="F1249" s="6"/>
      <c r="G1249" s="6"/>
      <c r="H1249" s="6"/>
    </row>
    <row r="1250" spans="1:8" x14ac:dyDescent="0.25">
      <c r="A1250" t="s">
        <v>1297</v>
      </c>
      <c r="B1250">
        <v>67.48</v>
      </c>
      <c r="C1250" s="6">
        <f t="shared" si="39"/>
        <v>-3.7100456621004474E-2</v>
      </c>
      <c r="D1250" s="6">
        <f t="shared" si="38"/>
        <v>-3.7806188950368351E-2</v>
      </c>
      <c r="E1250" s="6"/>
      <c r="F1250" s="6"/>
      <c r="G1250" s="6"/>
      <c r="H1250" s="6"/>
    </row>
    <row r="1251" spans="1:8" x14ac:dyDescent="0.25">
      <c r="A1251" t="s">
        <v>1298</v>
      </c>
      <c r="B1251">
        <v>70.08</v>
      </c>
      <c r="C1251" s="6">
        <f t="shared" si="39"/>
        <v>8.9260005758711181E-3</v>
      </c>
      <c r="D1251" s="6">
        <f t="shared" si="38"/>
        <v>8.8863993122081514E-3</v>
      </c>
      <c r="E1251" s="6"/>
      <c r="F1251" s="6"/>
      <c r="G1251" s="6"/>
      <c r="H1251" s="6"/>
    </row>
    <row r="1252" spans="1:8" x14ac:dyDescent="0.25">
      <c r="A1252" t="s">
        <v>1299</v>
      </c>
      <c r="B1252">
        <v>69.459999999999994</v>
      </c>
      <c r="C1252" s="6">
        <f t="shared" si="39"/>
        <v>-4.6533973919011706E-2</v>
      </c>
      <c r="D1252" s="6">
        <f t="shared" si="38"/>
        <v>-4.7651485325285917E-2</v>
      </c>
      <c r="E1252" s="6"/>
      <c r="F1252" s="6"/>
      <c r="G1252" s="6"/>
      <c r="H1252" s="6"/>
    </row>
    <row r="1253" spans="1:8" x14ac:dyDescent="0.25">
      <c r="A1253" t="s">
        <v>1300</v>
      </c>
      <c r="B1253">
        <v>72.849999999999994</v>
      </c>
      <c r="C1253" s="6">
        <f t="shared" si="39"/>
        <v>-4.4715447154471732E-2</v>
      </c>
      <c r="D1253" s="6">
        <f t="shared" si="38"/>
        <v>-4.5746021788204042E-2</v>
      </c>
      <c r="E1253" s="6"/>
      <c r="F1253" s="6"/>
      <c r="G1253" s="6"/>
      <c r="H1253" s="6"/>
    </row>
    <row r="1254" spans="1:8" x14ac:dyDescent="0.25">
      <c r="A1254" t="s">
        <v>1301</v>
      </c>
      <c r="B1254">
        <v>76.260000000000005</v>
      </c>
      <c r="C1254" s="6">
        <f t="shared" si="39"/>
        <v>8.19672131147553E-3</v>
      </c>
      <c r="D1254" s="6">
        <f t="shared" si="38"/>
        <v>8.1633106391610557E-3</v>
      </c>
      <c r="E1254" s="6"/>
      <c r="F1254" s="6"/>
      <c r="G1254" s="6"/>
      <c r="H1254" s="6"/>
    </row>
    <row r="1255" spans="1:8" x14ac:dyDescent="0.25">
      <c r="A1255" t="s">
        <v>1302</v>
      </c>
      <c r="B1255">
        <v>75.64</v>
      </c>
      <c r="C1255" s="6">
        <f t="shared" si="39"/>
        <v>7.51954513148545E-2</v>
      </c>
      <c r="D1255" s="6">
        <f t="shared" si="38"/>
        <v>7.2502460229858873E-2</v>
      </c>
      <c r="E1255" s="6"/>
      <c r="F1255" s="6"/>
      <c r="G1255" s="6"/>
      <c r="H1255" s="6"/>
    </row>
    <row r="1256" spans="1:8" x14ac:dyDescent="0.25">
      <c r="A1256" t="s">
        <v>1303</v>
      </c>
      <c r="B1256">
        <v>70.349999999999994</v>
      </c>
      <c r="C1256" s="6">
        <f>(B1256/B1257)-1</f>
        <v>2.4912587412587284E-2</v>
      </c>
      <c r="D1256" s="6">
        <f t="shared" si="38"/>
        <v>2.4607328380691094E-2</v>
      </c>
      <c r="E1256" s="6"/>
      <c r="F1256" s="6"/>
      <c r="G1256" s="6"/>
      <c r="H1256" s="6"/>
    </row>
    <row r="1257" spans="1:8" x14ac:dyDescent="0.25">
      <c r="A1257" t="s">
        <v>1304</v>
      </c>
      <c r="B1257">
        <v>68.64</v>
      </c>
      <c r="C1257" s="6">
        <f t="shared" si="39"/>
        <v>1.166861143523823E-3</v>
      </c>
      <c r="D1257" s="6">
        <f t="shared" si="38"/>
        <v>1.1661808901823939E-3</v>
      </c>
      <c r="E1257" s="6"/>
      <c r="F1257" s="6"/>
      <c r="G1257" s="6"/>
      <c r="H1257" s="6"/>
    </row>
    <row r="1258" spans="1:8" x14ac:dyDescent="0.25">
      <c r="A1258" t="s">
        <v>1305</v>
      </c>
      <c r="B1258">
        <v>68.56</v>
      </c>
      <c r="C1258" s="6">
        <f t="shared" si="39"/>
        <v>1.2404016538688722E-2</v>
      </c>
      <c r="D1258" s="6">
        <f t="shared" si="38"/>
        <v>1.2327717024589787E-2</v>
      </c>
    </row>
    <row r="1259" spans="1:8" x14ac:dyDescent="0.25">
      <c r="A1259" t="s">
        <v>1306</v>
      </c>
      <c r="B1259">
        <v>67.72</v>
      </c>
      <c r="C1259" s="6">
        <f t="shared" si="39"/>
        <v>2.7461690183583798E-2</v>
      </c>
      <c r="D1259" s="6">
        <f t="shared" si="38"/>
        <v>2.7091382200306154E-2</v>
      </c>
    </row>
    <row r="1260" spans="1:8" x14ac:dyDescent="0.25">
      <c r="A1260" t="s">
        <v>1307</v>
      </c>
      <c r="B1260">
        <v>65.91</v>
      </c>
      <c r="C1260" s="6" t="e">
        <f t="shared" si="39"/>
        <v>#DIV/0!</v>
      </c>
      <c r="D1260" s="6" t="e">
        <f t="shared" si="38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0"/>
  <sheetViews>
    <sheetView zoomScale="84" workbookViewId="0">
      <selection activeCell="K263" sqref="K263"/>
    </sheetView>
  </sheetViews>
  <sheetFormatPr baseColWidth="10" defaultRowHeight="15" x14ac:dyDescent="0.25"/>
  <cols>
    <col min="3" max="5" width="11.42578125" style="6"/>
    <col min="6" max="6" width="28.140625" style="6" customWidth="1"/>
    <col min="7" max="7" width="17.42578125" style="6" customWidth="1"/>
    <col min="8" max="8" width="13" style="6" customWidth="1"/>
    <col min="9" max="16384" width="11.42578125" style="6"/>
  </cols>
  <sheetData>
    <row r="1" spans="1:8" x14ac:dyDescent="0.25">
      <c r="A1" s="21" t="s">
        <v>48</v>
      </c>
      <c r="B1" s="21" t="s">
        <v>1308</v>
      </c>
      <c r="C1" s="20" t="s">
        <v>1</v>
      </c>
      <c r="D1" s="20" t="s">
        <v>2</v>
      </c>
      <c r="F1" s="18" t="s">
        <v>3</v>
      </c>
      <c r="G1" s="8">
        <f>B2</f>
        <v>184.71</v>
      </c>
    </row>
    <row r="2" spans="1:8" x14ac:dyDescent="0.25">
      <c r="A2" t="s">
        <v>49</v>
      </c>
      <c r="B2">
        <v>184.71</v>
      </c>
      <c r="C2" s="6">
        <f>(B2/B3)-1</f>
        <v>1.7798104474322285E-2</v>
      </c>
      <c r="D2" s="6">
        <f>LN(B2/B3)</f>
        <v>1.7641572795465348E-2</v>
      </c>
      <c r="F2" s="18" t="s">
        <v>4</v>
      </c>
      <c r="G2" s="8">
        <f>MIN(B2:B1260)</f>
        <v>77.3</v>
      </c>
    </row>
    <row r="3" spans="1:8" x14ac:dyDescent="0.25">
      <c r="A3" t="s">
        <v>50</v>
      </c>
      <c r="B3">
        <v>181.48</v>
      </c>
      <c r="C3" s="6">
        <f t="shared" ref="C3:C66" si="0">(B3/B4)-1</f>
        <v>-3.5860383573288024E-2</v>
      </c>
      <c r="D3" s="6">
        <f t="shared" ref="D3:D66" si="1">LN(B3/B4)</f>
        <v>-3.651916454032348E-2</v>
      </c>
      <c r="F3" s="18" t="s">
        <v>5</v>
      </c>
      <c r="G3" s="8">
        <f>MAX(B2:B1260)</f>
        <v>194.88</v>
      </c>
    </row>
    <row r="4" spans="1:8" x14ac:dyDescent="0.25">
      <c r="A4" t="s">
        <v>51</v>
      </c>
      <c r="B4">
        <v>188.23</v>
      </c>
      <c r="C4" s="6">
        <f t="shared" si="0"/>
        <v>-1.8049976524597056E-2</v>
      </c>
      <c r="D4" s="6">
        <f t="shared" si="1"/>
        <v>-1.8214864513982389E-2</v>
      </c>
      <c r="F4" s="18" t="s">
        <v>6</v>
      </c>
      <c r="G4" s="12">
        <f>AVERAGE(B2:B1260)</f>
        <v>129.43798252581414</v>
      </c>
    </row>
    <row r="5" spans="1:8" x14ac:dyDescent="0.25">
      <c r="A5" t="s">
        <v>52</v>
      </c>
      <c r="B5">
        <v>191.69</v>
      </c>
      <c r="C5" s="6">
        <f t="shared" si="0"/>
        <v>-7.9184349446227431E-3</v>
      </c>
      <c r="D5" s="6">
        <f t="shared" si="1"/>
        <v>-7.9499522392946168E-3</v>
      </c>
      <c r="F5" s="18" t="s">
        <v>7</v>
      </c>
      <c r="G5" s="13">
        <f>STDEVA(B2:B1260)</f>
        <v>28.506701140556974</v>
      </c>
    </row>
    <row r="6" spans="1:8" x14ac:dyDescent="0.25">
      <c r="A6" t="s">
        <v>53</v>
      </c>
      <c r="B6">
        <v>193.22</v>
      </c>
      <c r="C6" s="6">
        <f t="shared" si="0"/>
        <v>3.9488724929854779E-3</v>
      </c>
      <c r="D6" s="6">
        <f t="shared" si="1"/>
        <v>3.9410961611086774E-3</v>
      </c>
    </row>
    <row r="7" spans="1:8" x14ac:dyDescent="0.25">
      <c r="A7" t="s">
        <v>54</v>
      </c>
      <c r="B7">
        <v>192.46</v>
      </c>
      <c r="C7" s="6">
        <f t="shared" si="0"/>
        <v>1.3267347583447497E-2</v>
      </c>
      <c r="D7" s="6">
        <f t="shared" si="1"/>
        <v>1.3180107113448421E-2</v>
      </c>
    </row>
    <row r="8" spans="1:8" x14ac:dyDescent="0.25">
      <c r="A8" t="s">
        <v>55</v>
      </c>
      <c r="B8">
        <v>189.94</v>
      </c>
      <c r="C8" s="6">
        <f t="shared" si="0"/>
        <v>-3.5673066834540634E-3</v>
      </c>
      <c r="D8" s="6">
        <f t="shared" si="1"/>
        <v>-3.5736846946734097E-3</v>
      </c>
      <c r="F8" s="20" t="s">
        <v>8</v>
      </c>
      <c r="G8" s="20" t="s">
        <v>9</v>
      </c>
      <c r="H8" s="20" t="s">
        <v>0</v>
      </c>
    </row>
    <row r="9" spans="1:8" x14ac:dyDescent="0.25">
      <c r="A9" t="s">
        <v>56</v>
      </c>
      <c r="B9">
        <v>190.62</v>
      </c>
      <c r="C9" s="6">
        <f t="shared" si="0"/>
        <v>7.9847707683358138E-3</v>
      </c>
      <c r="D9" s="6">
        <f t="shared" si="1"/>
        <v>7.9530611702981653E-3</v>
      </c>
      <c r="F9" s="18" t="s">
        <v>4</v>
      </c>
      <c r="G9" s="9">
        <f>MIN(C2:C1259)</f>
        <v>-6.6650567495773916E-2</v>
      </c>
      <c r="H9" s="8">
        <f>MIN(D2:D1259)</f>
        <v>-6.8975622524044863E-2</v>
      </c>
    </row>
    <row r="10" spans="1:8" x14ac:dyDescent="0.25">
      <c r="A10" t="s">
        <v>57</v>
      </c>
      <c r="B10">
        <v>189.11</v>
      </c>
      <c r="C10" s="6">
        <f t="shared" si="0"/>
        <v>-9.4804106432011537E-3</v>
      </c>
      <c r="D10" s="6">
        <f t="shared" si="1"/>
        <v>-9.5256357985140771E-3</v>
      </c>
      <c r="F10" s="18" t="s">
        <v>5</v>
      </c>
      <c r="G10" s="9">
        <f>MAX(C2:C1259)</f>
        <v>5.3220785440613039E-2</v>
      </c>
      <c r="H10" s="8">
        <f>MAX(D2:D1256)</f>
        <v>5.1852883956680869E-2</v>
      </c>
    </row>
    <row r="11" spans="1:8" x14ac:dyDescent="0.25">
      <c r="A11" t="s">
        <v>58</v>
      </c>
      <c r="B11">
        <v>190.92</v>
      </c>
      <c r="C11" s="6">
        <f t="shared" si="0"/>
        <v>7.8657023702686235E-3</v>
      </c>
      <c r="D11" s="6">
        <f t="shared" si="1"/>
        <v>7.8349289975083117E-3</v>
      </c>
      <c r="F11" s="19" t="s">
        <v>47</v>
      </c>
      <c r="G11" s="16">
        <f>AVERAGE(C2:C1259)</f>
        <v>6.1998579404112797E-4</v>
      </c>
      <c r="H11" s="16">
        <f>AVERAGE(D2:D1259)</f>
        <v>5.1116506541649411E-4</v>
      </c>
    </row>
    <row r="12" spans="1:8" x14ac:dyDescent="0.25">
      <c r="A12" t="s">
        <v>59</v>
      </c>
      <c r="B12">
        <v>189.43</v>
      </c>
      <c r="C12" s="6">
        <f t="shared" si="0"/>
        <v>-5.2787162162060142E-5</v>
      </c>
      <c r="D12" s="6">
        <f t="shared" si="1"/>
        <v>-5.2788555453336846E-5</v>
      </c>
      <c r="F12" s="18" t="s">
        <v>10</v>
      </c>
      <c r="G12" s="10">
        <f>G11*252</f>
        <v>0.15623642009836425</v>
      </c>
      <c r="H12" s="8">
        <f>H11*252</f>
        <v>0.12881359648495652</v>
      </c>
    </row>
    <row r="13" spans="1:8" x14ac:dyDescent="0.25">
      <c r="A13" t="s">
        <v>60</v>
      </c>
      <c r="B13">
        <v>189.44</v>
      </c>
      <c r="C13" s="6">
        <f t="shared" si="0"/>
        <v>-1.8750647467108639E-2</v>
      </c>
      <c r="D13" s="6">
        <f t="shared" si="1"/>
        <v>-1.8928669724828165E-2</v>
      </c>
      <c r="F13" s="18" t="s">
        <v>7</v>
      </c>
      <c r="G13" s="10">
        <f>STDEVA(C2:C1259)</f>
        <v>1.4761337383376422E-2</v>
      </c>
      <c r="H13" s="8">
        <f>STDEVA(D2:D1259)</f>
        <v>1.474274192046594E-2</v>
      </c>
    </row>
    <row r="14" spans="1:8" x14ac:dyDescent="0.25">
      <c r="A14" t="s">
        <v>61</v>
      </c>
      <c r="B14">
        <v>193.06</v>
      </c>
      <c r="C14" s="6">
        <f t="shared" si="0"/>
        <v>2.5905393502934082E-4</v>
      </c>
      <c r="D14" s="6">
        <f t="shared" si="1"/>
        <v>2.5902038635253319E-4</v>
      </c>
      <c r="F14" s="18" t="s">
        <v>12</v>
      </c>
      <c r="G14" s="11">
        <f>G13*SQRT(252)</f>
        <v>0.23432896641080955</v>
      </c>
      <c r="H14" s="11">
        <f>H13*SQRT(252)</f>
        <v>0.23403377258855798</v>
      </c>
    </row>
    <row r="15" spans="1:8" x14ac:dyDescent="0.25">
      <c r="A15" t="s">
        <v>62</v>
      </c>
      <c r="B15">
        <v>193.01</v>
      </c>
      <c r="C15" s="6">
        <f t="shared" si="0"/>
        <v>3.7911378791137818E-2</v>
      </c>
      <c r="D15" s="6">
        <f t="shared" si="1"/>
        <v>3.7210404211732544E-2</v>
      </c>
      <c r="F15" s="19" t="s">
        <v>14</v>
      </c>
      <c r="G15" s="14">
        <f>VARA(C2:C1259)</f>
        <v>2.1789708134586626E-4</v>
      </c>
      <c r="H15" s="14">
        <f>VARA(D2:D1259)</f>
        <v>2.1734843933346375E-4</v>
      </c>
    </row>
    <row r="16" spans="1:8" x14ac:dyDescent="0.25">
      <c r="A16" t="s">
        <v>63</v>
      </c>
      <c r="B16">
        <v>185.96</v>
      </c>
      <c r="C16" s="6">
        <f t="shared" si="0"/>
        <v>-1.6106517770857476E-3</v>
      </c>
      <c r="D16" s="6">
        <f t="shared" si="1"/>
        <v>-1.6119502711277225E-3</v>
      </c>
      <c r="F16" s="19" t="s">
        <v>34</v>
      </c>
      <c r="G16" s="15">
        <f>SQRT(G15)</f>
        <v>1.4761337383376422E-2</v>
      </c>
      <c r="H16" s="15">
        <f>SQRT(H15)</f>
        <v>1.474274192046594E-2</v>
      </c>
    </row>
    <row r="17" spans="1:4" x14ac:dyDescent="0.25">
      <c r="A17" t="s">
        <v>64</v>
      </c>
      <c r="B17">
        <v>186.26</v>
      </c>
      <c r="C17" s="6">
        <f t="shared" si="0"/>
        <v>-2.4254806433024245E-2</v>
      </c>
      <c r="D17" s="6">
        <f t="shared" si="1"/>
        <v>-2.4553798819298693E-2</v>
      </c>
    </row>
    <row r="18" spans="1:4" x14ac:dyDescent="0.25">
      <c r="A18" t="s">
        <v>65</v>
      </c>
      <c r="B18">
        <v>190.89</v>
      </c>
      <c r="C18" s="6">
        <f t="shared" si="0"/>
        <v>-1.2007660059003222E-2</v>
      </c>
      <c r="D18" s="6">
        <f t="shared" si="1"/>
        <v>-1.208033436048175E-2</v>
      </c>
    </row>
    <row r="19" spans="1:4" x14ac:dyDescent="0.25">
      <c r="A19" t="s">
        <v>66</v>
      </c>
      <c r="B19">
        <v>193.21</v>
      </c>
      <c r="C19" s="6">
        <f t="shared" si="0"/>
        <v>-8.5693760262725016E-3</v>
      </c>
      <c r="D19" s="6">
        <f t="shared" si="1"/>
        <v>-8.6063042482399793E-3</v>
      </c>
    </row>
    <row r="20" spans="1:4" x14ac:dyDescent="0.25">
      <c r="A20" t="s">
        <v>67</v>
      </c>
      <c r="B20">
        <v>194.88</v>
      </c>
      <c r="C20" s="6">
        <f t="shared" si="0"/>
        <v>2.0474420065978993E-2</v>
      </c>
      <c r="D20" s="6">
        <f t="shared" si="1"/>
        <v>2.0267636874209571E-2</v>
      </c>
    </row>
    <row r="21" spans="1:4" x14ac:dyDescent="0.25">
      <c r="A21" t="s">
        <v>68</v>
      </c>
      <c r="B21">
        <v>190.97</v>
      </c>
      <c r="C21" s="6">
        <f t="shared" si="0"/>
        <v>2.0902384261734186E-2</v>
      </c>
      <c r="D21" s="6">
        <f t="shared" si="1"/>
        <v>2.0686926640917733E-2</v>
      </c>
    </row>
    <row r="22" spans="1:4" x14ac:dyDescent="0.25">
      <c r="A22" t="s">
        <v>69</v>
      </c>
      <c r="B22">
        <v>187.06</v>
      </c>
      <c r="C22" s="6">
        <f t="shared" si="0"/>
        <v>-8.7435747973080291E-3</v>
      </c>
      <c r="D22" s="6">
        <f t="shared" si="1"/>
        <v>-8.7820241345993744E-3</v>
      </c>
    </row>
    <row r="23" spans="1:4" x14ac:dyDescent="0.25">
      <c r="A23" t="s">
        <v>70</v>
      </c>
      <c r="B23">
        <v>188.71</v>
      </c>
      <c r="C23" s="6">
        <f t="shared" si="0"/>
        <v>1.5388754371805202E-2</v>
      </c>
      <c r="D23" s="6">
        <f t="shared" si="1"/>
        <v>1.5271548397743145E-2</v>
      </c>
    </row>
    <row r="24" spans="1:4" x14ac:dyDescent="0.25">
      <c r="A24" t="s">
        <v>71</v>
      </c>
      <c r="B24">
        <v>185.85</v>
      </c>
      <c r="C24" s="6">
        <f t="shared" si="0"/>
        <v>1.4742014742014753E-2</v>
      </c>
      <c r="D24" s="6">
        <f t="shared" si="1"/>
        <v>1.4634407518437777E-2</v>
      </c>
    </row>
    <row r="25" spans="1:4" x14ac:dyDescent="0.25">
      <c r="A25" t="s">
        <v>72</v>
      </c>
      <c r="B25">
        <v>183.15</v>
      </c>
      <c r="C25" s="6">
        <f t="shared" si="0"/>
        <v>1.670922615743331E-2</v>
      </c>
      <c r="D25" s="6">
        <f t="shared" si="1"/>
        <v>1.6571162869226809E-2</v>
      </c>
    </row>
    <row r="26" spans="1:4" x14ac:dyDescent="0.25">
      <c r="A26" t="s">
        <v>73</v>
      </c>
      <c r="B26">
        <v>180.14</v>
      </c>
      <c r="C26" s="6">
        <f t="shared" si="0"/>
        <v>2.0045300113250342E-2</v>
      </c>
      <c r="D26" s="6">
        <f t="shared" si="1"/>
        <v>1.9847038185737187E-2</v>
      </c>
    </row>
    <row r="27" spans="1:4" x14ac:dyDescent="0.25">
      <c r="A27" t="s">
        <v>74</v>
      </c>
      <c r="B27">
        <v>176.6</v>
      </c>
      <c r="C27" s="6">
        <f t="shared" si="0"/>
        <v>-1.1972697773302121E-2</v>
      </c>
      <c r="D27" s="6">
        <f t="shared" si="1"/>
        <v>-1.2044947783386398E-2</v>
      </c>
    </row>
    <row r="28" spans="1:4" x14ac:dyDescent="0.25">
      <c r="A28" t="s">
        <v>75</v>
      </c>
      <c r="B28">
        <v>178.74</v>
      </c>
      <c r="C28" s="6">
        <f t="shared" si="0"/>
        <v>-2.3865436076675239E-2</v>
      </c>
      <c r="D28" s="6">
        <f t="shared" si="1"/>
        <v>-2.4154829200376527E-2</v>
      </c>
    </row>
    <row r="29" spans="1:4" x14ac:dyDescent="0.25">
      <c r="A29" t="s">
        <v>76</v>
      </c>
      <c r="B29">
        <v>183.11</v>
      </c>
      <c r="C29" s="6">
        <f t="shared" si="0"/>
        <v>2.3361090929413741E-2</v>
      </c>
      <c r="D29" s="6">
        <f t="shared" si="1"/>
        <v>2.3092397249851956E-2</v>
      </c>
    </row>
    <row r="30" spans="1:4" x14ac:dyDescent="0.25">
      <c r="A30" t="s">
        <v>77</v>
      </c>
      <c r="B30">
        <v>178.93</v>
      </c>
      <c r="C30" s="6">
        <f t="shared" si="0"/>
        <v>3.1395414027022284E-3</v>
      </c>
      <c r="D30" s="6">
        <f t="shared" si="1"/>
        <v>3.1346233335584404E-3</v>
      </c>
    </row>
    <row r="31" spans="1:4" x14ac:dyDescent="0.25">
      <c r="A31" t="s">
        <v>78</v>
      </c>
      <c r="B31">
        <v>178.37</v>
      </c>
      <c r="C31" s="6">
        <f t="shared" si="0"/>
        <v>3.3187085161434648E-3</v>
      </c>
      <c r="D31" s="6">
        <f t="shared" si="1"/>
        <v>3.3132137566830558E-3</v>
      </c>
    </row>
    <row r="32" spans="1:4" x14ac:dyDescent="0.25">
      <c r="A32" t="s">
        <v>79</v>
      </c>
      <c r="B32">
        <v>177.78</v>
      </c>
      <c r="C32" s="6">
        <f t="shared" si="0"/>
        <v>7.3091959884412638E-3</v>
      </c>
      <c r="D32" s="6">
        <f t="shared" si="1"/>
        <v>7.2826132690545732E-3</v>
      </c>
    </row>
    <row r="33" spans="1:4" x14ac:dyDescent="0.25">
      <c r="A33" t="s">
        <v>80</v>
      </c>
      <c r="B33">
        <v>176.49</v>
      </c>
      <c r="C33" s="6">
        <f t="shared" si="0"/>
        <v>-9.9293167283741601E-3</v>
      </c>
      <c r="D33" s="6">
        <f t="shared" si="1"/>
        <v>-9.9789411580968549E-3</v>
      </c>
    </row>
    <row r="34" spans="1:4" x14ac:dyDescent="0.25">
      <c r="A34" t="s">
        <v>81</v>
      </c>
      <c r="B34">
        <v>178.26</v>
      </c>
      <c r="C34" s="6">
        <f t="shared" si="0"/>
        <v>2.2015823873408946E-2</v>
      </c>
      <c r="D34" s="6">
        <f t="shared" si="1"/>
        <v>2.1776974903731653E-2</v>
      </c>
    </row>
    <row r="35" spans="1:4" x14ac:dyDescent="0.25">
      <c r="A35" t="s">
        <v>82</v>
      </c>
      <c r="B35">
        <v>174.42</v>
      </c>
      <c r="C35" s="6">
        <f t="shared" si="0"/>
        <v>8.033289025024537E-3</v>
      </c>
      <c r="D35" s="6">
        <f t="shared" si="1"/>
        <v>8.00119393028253E-3</v>
      </c>
    </row>
    <row r="36" spans="1:4" x14ac:dyDescent="0.25">
      <c r="A36" t="s">
        <v>83</v>
      </c>
      <c r="B36">
        <v>173.03</v>
      </c>
      <c r="C36" s="6">
        <f t="shared" si="0"/>
        <v>-1.0918029038527455E-2</v>
      </c>
      <c r="D36" s="6">
        <f t="shared" si="1"/>
        <v>-1.0978068123151809E-2</v>
      </c>
    </row>
    <row r="37" spans="1:4" x14ac:dyDescent="0.25">
      <c r="A37" t="s">
        <v>84</v>
      </c>
      <c r="B37">
        <v>174.94</v>
      </c>
      <c r="C37" s="6">
        <f t="shared" si="0"/>
        <v>-1.1694254561889106E-2</v>
      </c>
      <c r="D37" s="6">
        <f t="shared" si="1"/>
        <v>-1.1763170161356192E-2</v>
      </c>
    </row>
    <row r="38" spans="1:4" x14ac:dyDescent="0.25">
      <c r="A38" t="s">
        <v>85</v>
      </c>
      <c r="B38">
        <v>177.01</v>
      </c>
      <c r="C38" s="6">
        <f t="shared" si="0"/>
        <v>-7.791479820627889E-3</v>
      </c>
      <c r="D38" s="6">
        <f t="shared" si="1"/>
        <v>-7.8219919928439949E-3</v>
      </c>
    </row>
    <row r="39" spans="1:4" x14ac:dyDescent="0.25">
      <c r="A39" t="s">
        <v>86</v>
      </c>
      <c r="B39">
        <v>178.4</v>
      </c>
      <c r="C39" s="6">
        <f t="shared" si="0"/>
        <v>-2.0372302454560454E-2</v>
      </c>
      <c r="D39" s="6">
        <f t="shared" si="1"/>
        <v>-2.0582679961819363E-2</v>
      </c>
    </row>
    <row r="40" spans="1:4" x14ac:dyDescent="0.25">
      <c r="A40" t="s">
        <v>87</v>
      </c>
      <c r="B40">
        <v>182.11</v>
      </c>
      <c r="C40" s="6">
        <f t="shared" si="0"/>
        <v>1.4766521787584974E-2</v>
      </c>
      <c r="D40" s="6">
        <f t="shared" si="1"/>
        <v>1.4658558237816687E-2</v>
      </c>
    </row>
    <row r="41" spans="1:4" x14ac:dyDescent="0.25">
      <c r="A41" t="s">
        <v>88</v>
      </c>
      <c r="B41">
        <v>179.46</v>
      </c>
      <c r="C41" s="6">
        <f t="shared" si="0"/>
        <v>-1.9397847112179623E-2</v>
      </c>
      <c r="D41" s="6">
        <f t="shared" si="1"/>
        <v>-1.958845428727924E-2</v>
      </c>
    </row>
    <row r="42" spans="1:4" x14ac:dyDescent="0.25">
      <c r="A42" t="s">
        <v>89</v>
      </c>
      <c r="B42">
        <v>183.01</v>
      </c>
      <c r="C42" s="6">
        <f t="shared" si="0"/>
        <v>4.8317136111568626E-3</v>
      </c>
      <c r="D42" s="6">
        <f t="shared" si="1"/>
        <v>4.8200783467385626E-3</v>
      </c>
    </row>
    <row r="43" spans="1:4" x14ac:dyDescent="0.25">
      <c r="A43" t="s">
        <v>90</v>
      </c>
      <c r="B43">
        <v>182.13</v>
      </c>
      <c r="C43" s="6">
        <f t="shared" si="0"/>
        <v>2.8169809190470962E-2</v>
      </c>
      <c r="D43" s="6">
        <f t="shared" si="1"/>
        <v>2.7780337429015575E-2</v>
      </c>
    </row>
    <row r="44" spans="1:4" x14ac:dyDescent="0.25">
      <c r="A44" t="s">
        <v>91</v>
      </c>
      <c r="B44">
        <v>177.14</v>
      </c>
      <c r="C44" s="6">
        <f t="shared" si="0"/>
        <v>-1.1991745217245886E-2</v>
      </c>
      <c r="D44" s="6">
        <f t="shared" si="1"/>
        <v>-1.2064226225899023E-2</v>
      </c>
    </row>
    <row r="45" spans="1:4" x14ac:dyDescent="0.25">
      <c r="A45" t="s">
        <v>92</v>
      </c>
      <c r="B45">
        <v>179.29</v>
      </c>
      <c r="C45" s="6">
        <f t="shared" si="0"/>
        <v>-1.2176308539945002E-2</v>
      </c>
      <c r="D45" s="6">
        <f t="shared" si="1"/>
        <v>-1.2251047097569693E-2</v>
      </c>
    </row>
    <row r="46" spans="1:4" x14ac:dyDescent="0.25">
      <c r="A46" t="s">
        <v>93</v>
      </c>
      <c r="B46">
        <v>181.5</v>
      </c>
      <c r="C46" s="6">
        <f t="shared" si="0"/>
        <v>3.982741453700589E-3</v>
      </c>
      <c r="D46" s="6">
        <f t="shared" si="1"/>
        <v>3.9748313346405608E-3</v>
      </c>
    </row>
    <row r="47" spans="1:4" x14ac:dyDescent="0.25">
      <c r="A47" t="s">
        <v>94</v>
      </c>
      <c r="B47">
        <v>180.78</v>
      </c>
      <c r="C47" s="6">
        <f t="shared" si="0"/>
        <v>5.0435793143521312E-2</v>
      </c>
      <c r="D47" s="6">
        <f t="shared" si="1"/>
        <v>4.9205119152771232E-2</v>
      </c>
    </row>
    <row r="48" spans="1:4" x14ac:dyDescent="0.25">
      <c r="A48" t="s">
        <v>95</v>
      </c>
      <c r="B48">
        <v>172.1</v>
      </c>
      <c r="C48" s="6">
        <f t="shared" si="0"/>
        <v>-3.7626628075253521E-3</v>
      </c>
      <c r="D48" s="6">
        <f t="shared" si="1"/>
        <v>-3.7697594302855699E-3</v>
      </c>
    </row>
    <row r="49" spans="1:4" x14ac:dyDescent="0.25">
      <c r="A49" t="s">
        <v>96</v>
      </c>
      <c r="B49">
        <v>172.75</v>
      </c>
      <c r="C49" s="6">
        <f t="shared" si="0"/>
        <v>2.4371844716530866E-3</v>
      </c>
      <c r="D49" s="6">
        <f t="shared" si="1"/>
        <v>2.4342193542934462E-3</v>
      </c>
    </row>
    <row r="50" spans="1:4" x14ac:dyDescent="0.25">
      <c r="A50" t="s">
        <v>97</v>
      </c>
      <c r="B50">
        <v>172.33</v>
      </c>
      <c r="C50" s="6">
        <f t="shared" si="0"/>
        <v>-5.7693417181099438E-3</v>
      </c>
      <c r="D50" s="6">
        <f t="shared" si="1"/>
        <v>-5.78604865973325E-3</v>
      </c>
    </row>
    <row r="51" spans="1:4" x14ac:dyDescent="0.25">
      <c r="A51" t="s">
        <v>98</v>
      </c>
      <c r="B51">
        <v>173.33</v>
      </c>
      <c r="C51" s="6">
        <f t="shared" si="0"/>
        <v>1.5526130771033486E-2</v>
      </c>
      <c r="D51" s="6">
        <f t="shared" si="1"/>
        <v>1.5406833633419721E-2</v>
      </c>
    </row>
    <row r="52" spans="1:4" x14ac:dyDescent="0.25">
      <c r="A52" t="s">
        <v>99</v>
      </c>
      <c r="B52">
        <v>170.68</v>
      </c>
      <c r="C52" s="6">
        <f t="shared" si="0"/>
        <v>-1.3524448040688974E-2</v>
      </c>
      <c r="D52" s="6">
        <f t="shared" si="1"/>
        <v>-1.361673643242906E-2</v>
      </c>
    </row>
    <row r="53" spans="1:4" x14ac:dyDescent="0.25">
      <c r="A53" t="s">
        <v>100</v>
      </c>
      <c r="B53">
        <v>173.02</v>
      </c>
      <c r="C53" s="6">
        <f t="shared" si="0"/>
        <v>1.3531720461601449E-2</v>
      </c>
      <c r="D53" s="6">
        <f t="shared" si="1"/>
        <v>1.3440984359566676E-2</v>
      </c>
    </row>
    <row r="54" spans="1:4" x14ac:dyDescent="0.25">
      <c r="A54" t="s">
        <v>101</v>
      </c>
      <c r="B54">
        <v>170.71</v>
      </c>
      <c r="C54" s="6">
        <f t="shared" si="0"/>
        <v>5.0652387986213743E-2</v>
      </c>
      <c r="D54" s="6">
        <f t="shared" si="1"/>
        <v>4.9411293120532274E-2</v>
      </c>
    </row>
    <row r="55" spans="1:4" x14ac:dyDescent="0.25">
      <c r="A55" t="s">
        <v>102</v>
      </c>
      <c r="B55">
        <v>162.47999999999999</v>
      </c>
      <c r="C55" s="6">
        <f t="shared" si="0"/>
        <v>1.7880263888032655E-3</v>
      </c>
      <c r="D55" s="6">
        <f t="shared" si="1"/>
        <v>1.786429772531112E-3</v>
      </c>
    </row>
    <row r="56" spans="1:4" x14ac:dyDescent="0.25">
      <c r="A56" t="s">
        <v>103</v>
      </c>
      <c r="B56">
        <v>162.19</v>
      </c>
      <c r="C56" s="6">
        <f t="shared" si="0"/>
        <v>1.4384889611608109E-2</v>
      </c>
      <c r="D56" s="6">
        <f t="shared" si="1"/>
        <v>1.4282408702269288E-2</v>
      </c>
    </row>
    <row r="57" spans="1:4" x14ac:dyDescent="0.25">
      <c r="A57" t="s">
        <v>104</v>
      </c>
      <c r="B57">
        <v>159.88999999999999</v>
      </c>
      <c r="C57" s="6">
        <f t="shared" si="0"/>
        <v>-4.4829089097816466E-3</v>
      </c>
      <c r="D57" s="6">
        <f t="shared" si="1"/>
        <v>-4.4929872774770877E-3</v>
      </c>
    </row>
    <row r="58" spans="1:4" x14ac:dyDescent="0.25">
      <c r="A58" t="s">
        <v>105</v>
      </c>
      <c r="B58">
        <v>160.61000000000001</v>
      </c>
      <c r="C58" s="6">
        <f t="shared" si="0"/>
        <v>5.5092969385839297E-3</v>
      </c>
      <c r="D58" s="6">
        <f t="shared" si="1"/>
        <v>5.4941762729406969E-3</v>
      </c>
    </row>
    <row r="59" spans="1:4" x14ac:dyDescent="0.25">
      <c r="A59" t="s">
        <v>106</v>
      </c>
      <c r="B59">
        <v>159.72999999999999</v>
      </c>
      <c r="C59" s="6">
        <f t="shared" si="0"/>
        <v>2.9511490644229532E-3</v>
      </c>
      <c r="D59" s="6">
        <f t="shared" si="1"/>
        <v>2.9468029725664602E-3</v>
      </c>
    </row>
    <row r="60" spans="1:4" x14ac:dyDescent="0.25">
      <c r="A60" t="s">
        <v>107</v>
      </c>
      <c r="B60">
        <v>159.26</v>
      </c>
      <c r="C60" s="6">
        <f t="shared" si="0"/>
        <v>-2.1684378647337077E-2</v>
      </c>
      <c r="D60" s="6">
        <f t="shared" si="1"/>
        <v>-2.1922939791119745E-2</v>
      </c>
    </row>
    <row r="61" spans="1:4" x14ac:dyDescent="0.25">
      <c r="A61" t="s">
        <v>108</v>
      </c>
      <c r="B61">
        <v>162.79</v>
      </c>
      <c r="C61" s="6">
        <f t="shared" si="0"/>
        <v>-7.9829372333942716E-3</v>
      </c>
      <c r="D61" s="6">
        <f t="shared" si="1"/>
        <v>-8.0149714756266935E-3</v>
      </c>
    </row>
    <row r="62" spans="1:4" x14ac:dyDescent="0.25">
      <c r="A62" t="s">
        <v>109</v>
      </c>
      <c r="B62">
        <v>164.1</v>
      </c>
      <c r="C62" s="6">
        <f t="shared" si="0"/>
        <v>4.4683846483442036E-3</v>
      </c>
      <c r="D62" s="6">
        <f t="shared" si="1"/>
        <v>4.4584310576279637E-3</v>
      </c>
    </row>
    <row r="63" spans="1:4" x14ac:dyDescent="0.25">
      <c r="A63" t="s">
        <v>110</v>
      </c>
      <c r="B63">
        <v>163.37</v>
      </c>
      <c r="C63" s="6">
        <f t="shared" si="0"/>
        <v>2.1126320395024711E-2</v>
      </c>
      <c r="D63" s="6">
        <f t="shared" si="1"/>
        <v>2.090625375779669E-2</v>
      </c>
    </row>
    <row r="64" spans="1:4" x14ac:dyDescent="0.25">
      <c r="A64" t="s">
        <v>111</v>
      </c>
      <c r="B64">
        <v>159.99</v>
      </c>
      <c r="C64" s="6">
        <f t="shared" si="0"/>
        <v>-6.5201192250371465E-3</v>
      </c>
      <c r="D64" s="6">
        <f t="shared" si="1"/>
        <v>-6.5414680509153951E-3</v>
      </c>
    </row>
    <row r="65" spans="1:4" x14ac:dyDescent="0.25">
      <c r="A65" t="s">
        <v>112</v>
      </c>
      <c r="B65">
        <v>161.04</v>
      </c>
      <c r="C65" s="6">
        <f t="shared" si="0"/>
        <v>3.9437165171367639E-2</v>
      </c>
      <c r="D65" s="6">
        <f t="shared" si="1"/>
        <v>3.8679379323335525E-2</v>
      </c>
    </row>
    <row r="66" spans="1:4" x14ac:dyDescent="0.25">
      <c r="A66" t="s">
        <v>113</v>
      </c>
      <c r="B66">
        <v>154.93</v>
      </c>
      <c r="C66" s="6">
        <f t="shared" si="0"/>
        <v>1.2548199464087473E-2</v>
      </c>
      <c r="D66" s="6">
        <f t="shared" si="1"/>
        <v>1.2470123274478518E-2</v>
      </c>
    </row>
    <row r="67" spans="1:4" x14ac:dyDescent="0.25">
      <c r="A67" t="s">
        <v>114</v>
      </c>
      <c r="B67">
        <v>153.01</v>
      </c>
      <c r="C67" s="6">
        <f t="shared" ref="C67:C130" si="2">(B67/B68)-1</f>
        <v>-7.5241616397483391E-3</v>
      </c>
      <c r="D67" s="6">
        <f t="shared" ref="D67:D130" si="3">LN(B67/B68)</f>
        <v>-7.5526109385258468E-3</v>
      </c>
    </row>
    <row r="68" spans="1:4" x14ac:dyDescent="0.25">
      <c r="A68" t="s">
        <v>115</v>
      </c>
      <c r="B68">
        <v>154.16999999999999</v>
      </c>
      <c r="C68" s="6">
        <f t="shared" si="2"/>
        <v>-1.0969976905311873E-2</v>
      </c>
      <c r="D68" s="6">
        <f t="shared" si="3"/>
        <v>-1.1030590798260654E-2</v>
      </c>
    </row>
    <row r="69" spans="1:4" x14ac:dyDescent="0.25">
      <c r="A69" t="s">
        <v>116</v>
      </c>
      <c r="B69">
        <v>155.88</v>
      </c>
      <c r="C69" s="6">
        <f t="shared" si="2"/>
        <v>-1.9930839358692332E-2</v>
      </c>
      <c r="D69" s="6">
        <f t="shared" si="3"/>
        <v>-2.0132137724644734E-2</v>
      </c>
    </row>
    <row r="70" spans="1:4" x14ac:dyDescent="0.25">
      <c r="A70" t="s">
        <v>117</v>
      </c>
      <c r="B70">
        <v>159.05000000000001</v>
      </c>
      <c r="C70" s="6">
        <f t="shared" si="2"/>
        <v>9.0084374801751022E-3</v>
      </c>
      <c r="D70" s="6">
        <f t="shared" si="3"/>
        <v>8.9681035567020975E-3</v>
      </c>
    </row>
    <row r="71" spans="1:4" x14ac:dyDescent="0.25">
      <c r="A71" t="s">
        <v>118</v>
      </c>
      <c r="B71">
        <v>157.63</v>
      </c>
      <c r="C71" s="6">
        <f t="shared" si="2"/>
        <v>-8.4292633830282959E-3</v>
      </c>
      <c r="D71" s="6">
        <f t="shared" si="3"/>
        <v>-8.46499053432943E-3</v>
      </c>
    </row>
    <row r="72" spans="1:4" x14ac:dyDescent="0.25">
      <c r="A72" t="s">
        <v>119</v>
      </c>
      <c r="B72">
        <v>158.97</v>
      </c>
      <c r="C72" s="6">
        <f t="shared" si="2"/>
        <v>2.0543108429094126E-2</v>
      </c>
      <c r="D72" s="6">
        <f t="shared" si="3"/>
        <v>2.0334944834265862E-2</v>
      </c>
    </row>
    <row r="73" spans="1:4" x14ac:dyDescent="0.25">
      <c r="A73" t="s">
        <v>120</v>
      </c>
      <c r="B73">
        <v>155.77000000000001</v>
      </c>
      <c r="C73" s="6">
        <f t="shared" si="2"/>
        <v>-7.7079882787615128E-3</v>
      </c>
      <c r="D73" s="6">
        <f t="shared" si="3"/>
        <v>-7.7378483601530275E-3</v>
      </c>
    </row>
    <row r="74" spans="1:4" x14ac:dyDescent="0.25">
      <c r="A74" t="s">
        <v>121</v>
      </c>
      <c r="B74">
        <v>156.97999999999999</v>
      </c>
      <c r="C74" s="6">
        <f t="shared" si="2"/>
        <v>6.3706440721178481E-5</v>
      </c>
      <c r="D74" s="6">
        <f t="shared" si="3"/>
        <v>6.3704411552064101E-5</v>
      </c>
    </row>
    <row r="75" spans="1:4" x14ac:dyDescent="0.25">
      <c r="A75" t="s">
        <v>122</v>
      </c>
      <c r="B75">
        <v>156.97</v>
      </c>
      <c r="C75" s="6">
        <f t="shared" si="2"/>
        <v>1.6842650774114176E-2</v>
      </c>
      <c r="D75" s="6">
        <f t="shared" si="3"/>
        <v>1.67023860933657E-2</v>
      </c>
    </row>
    <row r="76" spans="1:4" x14ac:dyDescent="0.25">
      <c r="A76" t="s">
        <v>123</v>
      </c>
      <c r="B76">
        <v>154.37</v>
      </c>
      <c r="C76" s="6">
        <f t="shared" si="2"/>
        <v>2.5714285714285801E-2</v>
      </c>
      <c r="D76" s="6">
        <f t="shared" si="3"/>
        <v>2.5389234004819593E-2</v>
      </c>
    </row>
    <row r="77" spans="1:4" x14ac:dyDescent="0.25">
      <c r="A77" t="s">
        <v>124</v>
      </c>
      <c r="B77">
        <v>150.5</v>
      </c>
      <c r="C77" s="6">
        <f t="shared" si="2"/>
        <v>-2.7337943514509133E-2</v>
      </c>
      <c r="D77" s="6">
        <f t="shared" si="3"/>
        <v>-2.7718578312650829E-2</v>
      </c>
    </row>
    <row r="78" spans="1:4" x14ac:dyDescent="0.25">
      <c r="A78" t="s">
        <v>125</v>
      </c>
      <c r="B78">
        <v>154.72999999999999</v>
      </c>
      <c r="C78" s="6">
        <f t="shared" si="2"/>
        <v>-1.2264394526206868E-3</v>
      </c>
      <c r="D78" s="6">
        <f t="shared" si="3"/>
        <v>-1.2271921449701602E-3</v>
      </c>
    </row>
    <row r="79" spans="1:4" x14ac:dyDescent="0.25">
      <c r="A79" t="s">
        <v>126</v>
      </c>
      <c r="B79">
        <v>154.91999999999999</v>
      </c>
      <c r="C79" s="6">
        <f t="shared" si="2"/>
        <v>7.1054841418494163E-4</v>
      </c>
      <c r="D79" s="6">
        <f t="shared" si="3"/>
        <v>7.1029609417713757E-4</v>
      </c>
    </row>
    <row r="80" spans="1:4" x14ac:dyDescent="0.25">
      <c r="A80" t="s">
        <v>127</v>
      </c>
      <c r="B80">
        <v>154.81</v>
      </c>
      <c r="C80" s="6">
        <f t="shared" si="2"/>
        <v>-1.4827542318951115E-2</v>
      </c>
      <c r="D80" s="6">
        <f t="shared" si="3"/>
        <v>-1.4938569195301272E-2</v>
      </c>
    </row>
    <row r="81" spans="1:4" x14ac:dyDescent="0.25">
      <c r="A81" t="s">
        <v>128</v>
      </c>
      <c r="B81">
        <v>157.13999999999999</v>
      </c>
      <c r="C81" s="6">
        <f t="shared" si="2"/>
        <v>-1.7445132245357486E-2</v>
      </c>
      <c r="D81" s="6">
        <f t="shared" si="3"/>
        <v>-1.7599091755103963E-2</v>
      </c>
    </row>
    <row r="82" spans="1:4" x14ac:dyDescent="0.25">
      <c r="A82" t="s">
        <v>129</v>
      </c>
      <c r="B82">
        <v>159.93</v>
      </c>
      <c r="C82" s="6">
        <f t="shared" si="2"/>
        <v>-1.2716834372492158E-2</v>
      </c>
      <c r="D82" s="6">
        <f t="shared" si="3"/>
        <v>-1.2798385429267242E-2</v>
      </c>
    </row>
    <row r="83" spans="1:4" x14ac:dyDescent="0.25">
      <c r="A83" t="s">
        <v>130</v>
      </c>
      <c r="B83">
        <v>161.99</v>
      </c>
      <c r="C83" s="6">
        <f t="shared" si="2"/>
        <v>1.1299787738793921E-2</v>
      </c>
      <c r="D83" s="6">
        <f t="shared" si="3"/>
        <v>1.1236422036510419E-2</v>
      </c>
    </row>
    <row r="84" spans="1:4" x14ac:dyDescent="0.25">
      <c r="A84" t="s">
        <v>131</v>
      </c>
      <c r="B84">
        <v>160.18</v>
      </c>
      <c r="C84" s="6">
        <f t="shared" si="2"/>
        <v>3.9486054528361514E-3</v>
      </c>
      <c r="D84" s="6">
        <f t="shared" si="3"/>
        <v>3.9408301712837391E-3</v>
      </c>
    </row>
    <row r="85" spans="1:4" x14ac:dyDescent="0.25">
      <c r="A85" t="s">
        <v>132</v>
      </c>
      <c r="B85">
        <v>159.55000000000001</v>
      </c>
      <c r="C85" s="6">
        <f t="shared" si="2"/>
        <v>3.9010885295414077E-3</v>
      </c>
      <c r="D85" s="6">
        <f t="shared" si="3"/>
        <v>3.8934990155243964E-3</v>
      </c>
    </row>
    <row r="86" spans="1:4" x14ac:dyDescent="0.25">
      <c r="A86" t="s">
        <v>133</v>
      </c>
      <c r="B86">
        <v>158.93</v>
      </c>
      <c r="C86" s="6">
        <f t="shared" si="2"/>
        <v>3.282621046651224E-3</v>
      </c>
      <c r="D86" s="6">
        <f t="shared" si="3"/>
        <v>3.2772450079690354E-3</v>
      </c>
    </row>
    <row r="87" spans="1:4" x14ac:dyDescent="0.25">
      <c r="A87" t="s">
        <v>134</v>
      </c>
      <c r="B87">
        <v>158.41</v>
      </c>
      <c r="C87" s="6">
        <f t="shared" si="2"/>
        <v>-5.0873005903780966E-3</v>
      </c>
      <c r="D87" s="6">
        <f t="shared" si="3"/>
        <v>-5.1002849596728239E-3</v>
      </c>
    </row>
    <row r="88" spans="1:4" x14ac:dyDescent="0.25">
      <c r="A88" t="s">
        <v>135</v>
      </c>
      <c r="B88">
        <v>159.22</v>
      </c>
      <c r="C88" s="6">
        <f t="shared" si="2"/>
        <v>-1.1918951132300348E-3</v>
      </c>
      <c r="D88" s="6">
        <f t="shared" si="3"/>
        <v>-1.1926059851231359E-3</v>
      </c>
    </row>
    <row r="89" spans="1:4" x14ac:dyDescent="0.25">
      <c r="A89" t="s">
        <v>136</v>
      </c>
      <c r="B89">
        <v>159.41</v>
      </c>
      <c r="C89" s="6">
        <f t="shared" si="2"/>
        <v>-3.0644152595372676E-3</v>
      </c>
      <c r="D89" s="6">
        <f t="shared" si="3"/>
        <v>-3.0691201943533349E-3</v>
      </c>
    </row>
    <row r="90" spans="1:4" x14ac:dyDescent="0.25">
      <c r="A90" t="s">
        <v>137</v>
      </c>
      <c r="B90">
        <v>159.9</v>
      </c>
      <c r="C90" s="6">
        <f t="shared" si="2"/>
        <v>-5.5970149253731227E-3</v>
      </c>
      <c r="D90" s="6">
        <f t="shared" si="3"/>
        <v>-5.6127369049574364E-3</v>
      </c>
    </row>
    <row r="91" spans="1:4" x14ac:dyDescent="0.25">
      <c r="A91" t="s">
        <v>138</v>
      </c>
      <c r="B91">
        <v>160.80000000000001</v>
      </c>
      <c r="C91" s="6">
        <f t="shared" si="2"/>
        <v>-2.8398791540785395E-2</v>
      </c>
      <c r="D91" s="6">
        <f t="shared" si="3"/>
        <v>-2.880983807225149E-2</v>
      </c>
    </row>
    <row r="92" spans="1:4" x14ac:dyDescent="0.25">
      <c r="A92" t="s">
        <v>139</v>
      </c>
      <c r="B92">
        <v>165.5</v>
      </c>
      <c r="C92" s="6">
        <f t="shared" si="2"/>
        <v>1.4652688369811706E-2</v>
      </c>
      <c r="D92" s="6">
        <f t="shared" si="3"/>
        <v>1.4546374991178527E-2</v>
      </c>
    </row>
    <row r="93" spans="1:4" x14ac:dyDescent="0.25">
      <c r="A93" t="s">
        <v>140</v>
      </c>
      <c r="B93">
        <v>163.11000000000001</v>
      </c>
      <c r="C93" s="6">
        <f t="shared" si="2"/>
        <v>-1.7136911683699463E-3</v>
      </c>
      <c r="D93" s="6">
        <f t="shared" si="3"/>
        <v>-1.7151612167929482E-3</v>
      </c>
    </row>
    <row r="94" spans="1:4" x14ac:dyDescent="0.25">
      <c r="A94" t="s">
        <v>141</v>
      </c>
      <c r="B94">
        <v>163.38999999999999</v>
      </c>
      <c r="C94" s="6">
        <f t="shared" si="2"/>
        <v>-1.5277438279149846E-3</v>
      </c>
      <c r="D94" s="6">
        <f t="shared" si="3"/>
        <v>-1.5289120184657189E-3</v>
      </c>
    </row>
    <row r="95" spans="1:4" x14ac:dyDescent="0.25">
      <c r="A95" t="s">
        <v>142</v>
      </c>
      <c r="B95">
        <v>163.63999999999999</v>
      </c>
      <c r="C95" s="6">
        <f t="shared" si="2"/>
        <v>-3.9564185282123798E-3</v>
      </c>
      <c r="D95" s="6">
        <f t="shared" si="3"/>
        <v>-3.9642658570477069E-3</v>
      </c>
    </row>
    <row r="96" spans="1:4" x14ac:dyDescent="0.25">
      <c r="A96" t="s">
        <v>143</v>
      </c>
      <c r="B96">
        <v>164.29</v>
      </c>
      <c r="C96" s="6">
        <f t="shared" si="2"/>
        <v>-1.6227544910179637E-2</v>
      </c>
      <c r="D96" s="6">
        <f t="shared" si="3"/>
        <v>-1.6360653498509653E-2</v>
      </c>
    </row>
    <row r="97" spans="1:4" x14ac:dyDescent="0.25">
      <c r="A97" t="s">
        <v>144</v>
      </c>
      <c r="B97">
        <v>167</v>
      </c>
      <c r="C97" s="6">
        <f t="shared" si="2"/>
        <v>7.7846840866573341E-3</v>
      </c>
      <c r="D97" s="6">
        <f t="shared" si="3"/>
        <v>7.7545397750525928E-3</v>
      </c>
    </row>
    <row r="98" spans="1:4" x14ac:dyDescent="0.25">
      <c r="A98" t="s">
        <v>145</v>
      </c>
      <c r="B98">
        <v>165.71</v>
      </c>
      <c r="C98" s="6">
        <f t="shared" si="2"/>
        <v>-1.5038040893960991E-2</v>
      </c>
      <c r="D98" s="6">
        <f t="shared" si="3"/>
        <v>-1.5152258752741888E-2</v>
      </c>
    </row>
    <row r="99" spans="1:4" x14ac:dyDescent="0.25">
      <c r="A99" t="s">
        <v>146</v>
      </c>
      <c r="B99">
        <v>168.24</v>
      </c>
      <c r="C99" s="6">
        <f t="shared" si="2"/>
        <v>6.7017711823840198E-3</v>
      </c>
      <c r="D99" s="6">
        <f t="shared" si="3"/>
        <v>6.6794141461340986E-3</v>
      </c>
    </row>
    <row r="100" spans="1:4" x14ac:dyDescent="0.25">
      <c r="A100" t="s">
        <v>147</v>
      </c>
      <c r="B100">
        <v>167.12</v>
      </c>
      <c r="C100" s="6">
        <f t="shared" si="2"/>
        <v>7.6575218570997805E-3</v>
      </c>
      <c r="D100" s="6">
        <f t="shared" si="3"/>
        <v>7.6283518552489127E-3</v>
      </c>
    </row>
    <row r="101" spans="1:4" x14ac:dyDescent="0.25">
      <c r="A101" t="s">
        <v>148</v>
      </c>
      <c r="B101">
        <v>165.85</v>
      </c>
      <c r="C101" s="6">
        <f t="shared" si="2"/>
        <v>6.9212555400399722E-3</v>
      </c>
      <c r="D101" s="6">
        <f t="shared" si="3"/>
        <v>6.8974135984769085E-3</v>
      </c>
    </row>
    <row r="102" spans="1:4" x14ac:dyDescent="0.25">
      <c r="A102" t="s">
        <v>149</v>
      </c>
      <c r="B102">
        <v>164.71</v>
      </c>
      <c r="C102" s="6">
        <f t="shared" si="2"/>
        <v>2.2662361852725743E-2</v>
      </c>
      <c r="D102" s="6">
        <f t="shared" si="3"/>
        <v>2.2409385427185631E-2</v>
      </c>
    </row>
    <row r="103" spans="1:4" x14ac:dyDescent="0.25">
      <c r="A103" t="s">
        <v>150</v>
      </c>
      <c r="B103">
        <v>161.06</v>
      </c>
      <c r="C103" s="6">
        <f t="shared" si="2"/>
        <v>3.7267080745340131E-4</v>
      </c>
      <c r="D103" s="6">
        <f t="shared" si="3"/>
        <v>3.7260138293582912E-4</v>
      </c>
    </row>
    <row r="104" spans="1:4" x14ac:dyDescent="0.25">
      <c r="A104" t="s">
        <v>151</v>
      </c>
      <c r="B104">
        <v>161</v>
      </c>
      <c r="C104" s="6">
        <f t="shared" si="2"/>
        <v>-1.6132974822781643E-2</v>
      </c>
      <c r="D104" s="6">
        <f t="shared" si="3"/>
        <v>-1.6264528076734747E-2</v>
      </c>
    </row>
    <row r="105" spans="1:4" x14ac:dyDescent="0.25">
      <c r="A105" t="s">
        <v>152</v>
      </c>
      <c r="B105">
        <v>163.63999999999999</v>
      </c>
      <c r="C105" s="6">
        <f t="shared" si="2"/>
        <v>9.1748730809215751E-4</v>
      </c>
      <c r="D105" s="6">
        <f t="shared" si="3"/>
        <v>9.1706667387661013E-4</v>
      </c>
    </row>
    <row r="106" spans="1:4" x14ac:dyDescent="0.25">
      <c r="A106" t="s">
        <v>153</v>
      </c>
      <c r="B106">
        <v>163.49</v>
      </c>
      <c r="C106" s="6">
        <f t="shared" si="2"/>
        <v>5.3498954618127481E-3</v>
      </c>
      <c r="D106" s="6">
        <f t="shared" si="3"/>
        <v>5.3356356076295838E-3</v>
      </c>
    </row>
    <row r="107" spans="1:4" x14ac:dyDescent="0.25">
      <c r="A107" t="s">
        <v>154</v>
      </c>
      <c r="B107">
        <v>162.62</v>
      </c>
      <c r="C107" s="6">
        <f t="shared" si="2"/>
        <v>2.7130348994943709E-3</v>
      </c>
      <c r="D107" s="6">
        <f t="shared" si="3"/>
        <v>2.7093612632802188E-3</v>
      </c>
    </row>
    <row r="108" spans="1:4" x14ac:dyDescent="0.25">
      <c r="A108" t="s">
        <v>155</v>
      </c>
      <c r="B108">
        <v>162.18</v>
      </c>
      <c r="C108" s="6">
        <f t="shared" si="2"/>
        <v>2.1992564118722191E-2</v>
      </c>
      <c r="D108" s="6">
        <f t="shared" si="3"/>
        <v>2.1754215941660458E-2</v>
      </c>
    </row>
    <row r="109" spans="1:4" x14ac:dyDescent="0.25">
      <c r="A109" t="s">
        <v>156</v>
      </c>
      <c r="B109">
        <v>158.69</v>
      </c>
      <c r="C109" s="6">
        <f t="shared" si="2"/>
        <v>-4.4091710758376035E-4</v>
      </c>
      <c r="D109" s="6">
        <f t="shared" si="3"/>
        <v>-4.4101434011368135E-4</v>
      </c>
    </row>
    <row r="110" spans="1:4" x14ac:dyDescent="0.25">
      <c r="A110" t="s">
        <v>157</v>
      </c>
      <c r="B110">
        <v>158.76</v>
      </c>
      <c r="C110" s="6">
        <f t="shared" si="2"/>
        <v>5.5101653049591803E-3</v>
      </c>
      <c r="D110" s="6">
        <f t="shared" si="3"/>
        <v>5.4950398810673746E-3</v>
      </c>
    </row>
    <row r="111" spans="1:4" x14ac:dyDescent="0.25">
      <c r="A111" t="s">
        <v>158</v>
      </c>
      <c r="B111">
        <v>157.88999999999999</v>
      </c>
      <c r="C111" s="6">
        <f t="shared" si="2"/>
        <v>-3.282621046651113E-3</v>
      </c>
      <c r="D111" s="6">
        <f t="shared" si="3"/>
        <v>-3.2880206669620468E-3</v>
      </c>
    </row>
    <row r="112" spans="1:4" x14ac:dyDescent="0.25">
      <c r="A112" t="s">
        <v>159</v>
      </c>
      <c r="B112">
        <v>158.41</v>
      </c>
      <c r="C112" s="6">
        <f t="shared" si="2"/>
        <v>1.8974131933462424E-3</v>
      </c>
      <c r="D112" s="6">
        <f t="shared" si="3"/>
        <v>1.8956153787053622E-3</v>
      </c>
    </row>
    <row r="113" spans="1:4" x14ac:dyDescent="0.25">
      <c r="A113" t="s">
        <v>160</v>
      </c>
      <c r="B113">
        <v>158.11000000000001</v>
      </c>
      <c r="C113" s="6">
        <f t="shared" si="2"/>
        <v>-1.7278886195537191E-2</v>
      </c>
      <c r="D113" s="6">
        <f t="shared" si="3"/>
        <v>-1.7429908340889592E-2</v>
      </c>
    </row>
    <row r="114" spans="1:4" x14ac:dyDescent="0.25">
      <c r="A114" t="s">
        <v>161</v>
      </c>
      <c r="B114">
        <v>160.88999999999999</v>
      </c>
      <c r="C114" s="6">
        <f t="shared" si="2"/>
        <v>-2.8324676893344725E-2</v>
      </c>
      <c r="D114" s="6">
        <f t="shared" si="3"/>
        <v>-2.8733560047716416E-2</v>
      </c>
    </row>
    <row r="115" spans="1:4" x14ac:dyDescent="0.25">
      <c r="A115" t="s">
        <v>162</v>
      </c>
      <c r="B115">
        <v>165.58</v>
      </c>
      <c r="C115" s="6">
        <f t="shared" si="2"/>
        <v>-6.0031216232441231E-3</v>
      </c>
      <c r="D115" s="6">
        <f t="shared" si="3"/>
        <v>-6.0212127965346557E-3</v>
      </c>
    </row>
    <row r="116" spans="1:4" x14ac:dyDescent="0.25">
      <c r="A116" t="s">
        <v>163</v>
      </c>
      <c r="B116">
        <v>166.58</v>
      </c>
      <c r="C116" s="6">
        <f t="shared" si="2"/>
        <v>-5.9995200383966552E-4</v>
      </c>
      <c r="D116" s="6">
        <f t="shared" si="3"/>
        <v>-6.0013204705824908E-4</v>
      </c>
    </row>
    <row r="117" spans="1:4" x14ac:dyDescent="0.25">
      <c r="A117" t="s">
        <v>164</v>
      </c>
      <c r="B117">
        <v>166.68</v>
      </c>
      <c r="C117" s="6">
        <f t="shared" si="2"/>
        <v>1.0733127160269307E-2</v>
      </c>
      <c r="D117" s="6">
        <f t="shared" si="3"/>
        <v>1.0675936013574095E-2</v>
      </c>
    </row>
    <row r="118" spans="1:4" x14ac:dyDescent="0.25">
      <c r="A118" t="s">
        <v>165</v>
      </c>
      <c r="B118">
        <v>164.91</v>
      </c>
      <c r="C118" s="6">
        <f t="shared" si="2"/>
        <v>-5.7876650388859474E-3</v>
      </c>
      <c r="D118" s="6">
        <f t="shared" si="3"/>
        <v>-5.8044784772726893E-3</v>
      </c>
    </row>
    <row r="119" spans="1:4" x14ac:dyDescent="0.25">
      <c r="A119" t="s">
        <v>166</v>
      </c>
      <c r="B119">
        <v>165.87</v>
      </c>
      <c r="C119" s="6">
        <f t="shared" si="2"/>
        <v>1.239013671875E-2</v>
      </c>
      <c r="D119" s="6">
        <f t="shared" si="3"/>
        <v>1.2314007166808333E-2</v>
      </c>
    </row>
    <row r="120" spans="1:4" x14ac:dyDescent="0.25">
      <c r="A120" t="s">
        <v>167</v>
      </c>
      <c r="B120">
        <v>163.84</v>
      </c>
      <c r="C120" s="6">
        <f t="shared" si="2"/>
        <v>9.675232636963127E-3</v>
      </c>
      <c r="D120" s="6">
        <f t="shared" si="3"/>
        <v>9.6287272996977182E-3</v>
      </c>
    </row>
    <row r="121" spans="1:4" x14ac:dyDescent="0.25">
      <c r="A121" t="s">
        <v>168</v>
      </c>
      <c r="B121">
        <v>162.27000000000001</v>
      </c>
      <c r="C121" s="6">
        <f t="shared" si="2"/>
        <v>-1.9575856443719286E-2</v>
      </c>
      <c r="D121" s="6">
        <f t="shared" si="3"/>
        <v>-1.9770001401003691E-2</v>
      </c>
    </row>
    <row r="122" spans="1:4" x14ac:dyDescent="0.25">
      <c r="A122" t="s">
        <v>169</v>
      </c>
      <c r="B122">
        <v>165.51</v>
      </c>
      <c r="C122" s="6">
        <f t="shared" si="2"/>
        <v>-6.0653374969974472E-3</v>
      </c>
      <c r="D122" s="6">
        <f t="shared" si="3"/>
        <v>-6.0838063743256727E-3</v>
      </c>
    </row>
    <row r="123" spans="1:4" x14ac:dyDescent="0.25">
      <c r="A123" t="s">
        <v>170</v>
      </c>
      <c r="B123">
        <v>166.52</v>
      </c>
      <c r="C123" s="6">
        <f t="shared" si="2"/>
        <v>-2.739325973950113E-2</v>
      </c>
      <c r="D123" s="6">
        <f t="shared" si="3"/>
        <v>-2.7775450889951651E-2</v>
      </c>
    </row>
    <row r="124" spans="1:4" x14ac:dyDescent="0.25">
      <c r="A124" t="s">
        <v>171</v>
      </c>
      <c r="B124">
        <v>171.21</v>
      </c>
      <c r="C124" s="6">
        <f t="shared" si="2"/>
        <v>7.4732258444156763E-3</v>
      </c>
      <c r="D124" s="6">
        <f t="shared" si="3"/>
        <v>7.4454396413311348E-3</v>
      </c>
    </row>
    <row r="125" spans="1:4" x14ac:dyDescent="0.25">
      <c r="A125" t="s">
        <v>172</v>
      </c>
      <c r="B125">
        <v>169.94</v>
      </c>
      <c r="C125" s="6">
        <f t="shared" si="2"/>
        <v>2.3543260741609728E-4</v>
      </c>
      <c r="D125" s="6">
        <f t="shared" si="3"/>
        <v>2.3540489750890507E-4</v>
      </c>
    </row>
    <row r="126" spans="1:4" x14ac:dyDescent="0.25">
      <c r="A126" t="s">
        <v>173</v>
      </c>
      <c r="B126">
        <v>169.9</v>
      </c>
      <c r="C126" s="6">
        <f t="shared" si="2"/>
        <v>-1.5471982383960081E-2</v>
      </c>
      <c r="D126" s="6">
        <f t="shared" si="3"/>
        <v>-1.559292258160116E-2</v>
      </c>
    </row>
    <row r="127" spans="1:4" x14ac:dyDescent="0.25">
      <c r="A127" t="s">
        <v>174</v>
      </c>
      <c r="B127">
        <v>172.57</v>
      </c>
      <c r="C127" s="6">
        <f t="shared" si="2"/>
        <v>2.4215086948780273E-2</v>
      </c>
      <c r="D127" s="6">
        <f t="shared" si="3"/>
        <v>2.3926550409193593E-2</v>
      </c>
    </row>
    <row r="128" spans="1:4" x14ac:dyDescent="0.25">
      <c r="A128" t="s">
        <v>175</v>
      </c>
      <c r="B128">
        <v>168.49</v>
      </c>
      <c r="C128" s="6">
        <f t="shared" si="2"/>
        <v>-2.9587549559145776E-3</v>
      </c>
      <c r="D128" s="6">
        <f t="shared" si="3"/>
        <v>-2.9631407244384298E-3</v>
      </c>
    </row>
    <row r="129" spans="1:4" x14ac:dyDescent="0.25">
      <c r="A129" t="s">
        <v>176</v>
      </c>
      <c r="B129">
        <v>168.99</v>
      </c>
      <c r="C129" s="6">
        <f t="shared" si="2"/>
        <v>4.1439734785719828E-4</v>
      </c>
      <c r="D129" s="6">
        <f t="shared" si="3"/>
        <v>4.1431150898969002E-4</v>
      </c>
    </row>
    <row r="130" spans="1:4" x14ac:dyDescent="0.25">
      <c r="A130" t="s">
        <v>177</v>
      </c>
      <c r="B130">
        <v>168.92</v>
      </c>
      <c r="C130" s="6">
        <f t="shared" si="2"/>
        <v>-1.842059387529793E-2</v>
      </c>
      <c r="D130" s="6">
        <f t="shared" si="3"/>
        <v>-1.8592365711076905E-2</v>
      </c>
    </row>
    <row r="131" spans="1:4" x14ac:dyDescent="0.25">
      <c r="A131" t="s">
        <v>178</v>
      </c>
      <c r="B131">
        <v>172.09</v>
      </c>
      <c r="C131" s="6">
        <f t="shared" ref="C131:C194" si="4">(B131/B132)-1</f>
        <v>-6.1218596592550467E-3</v>
      </c>
      <c r="D131" s="6">
        <f t="shared" ref="D131:D194" si="5">LN(B131/B132)</f>
        <v>-6.1406750716114259E-3</v>
      </c>
    </row>
    <row r="132" spans="1:4" x14ac:dyDescent="0.25">
      <c r="A132" t="s">
        <v>179</v>
      </c>
      <c r="B132">
        <v>173.15</v>
      </c>
      <c r="C132" s="6">
        <f t="shared" si="4"/>
        <v>2.7798691144960141E-3</v>
      </c>
      <c r="D132" s="6">
        <f t="shared" si="5"/>
        <v>2.7760124240922232E-3</v>
      </c>
    </row>
    <row r="133" spans="1:4" x14ac:dyDescent="0.25">
      <c r="A133" t="s">
        <v>180</v>
      </c>
      <c r="B133">
        <v>172.67</v>
      </c>
      <c r="C133" s="6">
        <f t="shared" si="4"/>
        <v>-9.2380078035346758E-3</v>
      </c>
      <c r="D133" s="6">
        <f t="shared" si="5"/>
        <v>-9.2809428249025997E-3</v>
      </c>
    </row>
    <row r="134" spans="1:4" x14ac:dyDescent="0.25">
      <c r="A134" t="s">
        <v>181</v>
      </c>
      <c r="B134">
        <v>174.28</v>
      </c>
      <c r="C134" s="6">
        <f t="shared" si="4"/>
        <v>1.4435389988358471E-2</v>
      </c>
      <c r="D134" s="6">
        <f t="shared" si="5"/>
        <v>1.4332191699086285E-2</v>
      </c>
    </row>
    <row r="135" spans="1:4" x14ac:dyDescent="0.25">
      <c r="A135" t="s">
        <v>182</v>
      </c>
      <c r="B135">
        <v>171.8</v>
      </c>
      <c r="C135" s="6">
        <f t="shared" si="4"/>
        <v>1.9584569732937762E-2</v>
      </c>
      <c r="D135" s="6">
        <f t="shared" si="5"/>
        <v>1.9395259757738658E-2</v>
      </c>
    </row>
    <row r="136" spans="1:4" x14ac:dyDescent="0.25">
      <c r="A136" t="s">
        <v>183</v>
      </c>
      <c r="B136">
        <v>168.5</v>
      </c>
      <c r="C136" s="6">
        <f t="shared" si="4"/>
        <v>-1.3061559187020344E-2</v>
      </c>
      <c r="D136" s="6">
        <f t="shared" si="5"/>
        <v>-1.3147611490725707E-2</v>
      </c>
    </row>
    <row r="137" spans="1:4" x14ac:dyDescent="0.25">
      <c r="A137" t="s">
        <v>184</v>
      </c>
      <c r="B137">
        <v>170.73</v>
      </c>
      <c r="C137" s="6">
        <f t="shared" si="4"/>
        <v>-9.6867749419954352E-3</v>
      </c>
      <c r="D137" s="6">
        <f t="shared" si="5"/>
        <v>-9.7339969464505793E-3</v>
      </c>
    </row>
    <row r="138" spans="1:4" x14ac:dyDescent="0.25">
      <c r="A138" t="s">
        <v>185</v>
      </c>
      <c r="B138">
        <v>172.4</v>
      </c>
      <c r="C138" s="6">
        <f t="shared" si="4"/>
        <v>2.1387522957521332E-2</v>
      </c>
      <c r="D138" s="6">
        <f t="shared" si="5"/>
        <v>2.1162019528756452E-2</v>
      </c>
    </row>
    <row r="139" spans="1:4" x14ac:dyDescent="0.25">
      <c r="A139" t="s">
        <v>186</v>
      </c>
      <c r="B139">
        <v>168.79</v>
      </c>
      <c r="C139" s="6">
        <f t="shared" si="4"/>
        <v>2.7923003802281521E-3</v>
      </c>
      <c r="D139" s="6">
        <f t="shared" si="5"/>
        <v>2.7884091514913962E-3</v>
      </c>
    </row>
    <row r="140" spans="1:4" x14ac:dyDescent="0.25">
      <c r="A140" t="s">
        <v>187</v>
      </c>
      <c r="B140">
        <v>168.32</v>
      </c>
      <c r="C140" s="6">
        <f t="shared" si="4"/>
        <v>-1.7199454362138988E-3</v>
      </c>
      <c r="D140" s="6">
        <f t="shared" si="5"/>
        <v>-1.7214262405443618E-3</v>
      </c>
    </row>
    <row r="141" spans="1:4" x14ac:dyDescent="0.25">
      <c r="A141" t="s">
        <v>188</v>
      </c>
      <c r="B141">
        <v>168.61</v>
      </c>
      <c r="C141" s="6">
        <f t="shared" si="4"/>
        <v>-9.6328928046989226E-3</v>
      </c>
      <c r="D141" s="6">
        <f t="shared" si="5"/>
        <v>-9.679589239732448E-3</v>
      </c>
    </row>
    <row r="142" spans="1:4" x14ac:dyDescent="0.25">
      <c r="A142" t="s">
        <v>189</v>
      </c>
      <c r="B142">
        <v>170.25</v>
      </c>
      <c r="C142" s="6">
        <f t="shared" si="4"/>
        <v>7.0534297302060622E-4</v>
      </c>
      <c r="D142" s="6">
        <f t="shared" si="5"/>
        <v>7.0509433557539177E-4</v>
      </c>
    </row>
    <row r="143" spans="1:4" x14ac:dyDescent="0.25">
      <c r="A143" t="s">
        <v>190</v>
      </c>
      <c r="B143">
        <v>170.13</v>
      </c>
      <c r="C143" s="6">
        <f t="shared" si="4"/>
        <v>-1.8065335334179866E-2</v>
      </c>
      <c r="D143" s="6">
        <f t="shared" si="5"/>
        <v>-1.8230505767947928E-2</v>
      </c>
    </row>
    <row r="144" spans="1:4" x14ac:dyDescent="0.25">
      <c r="A144" t="s">
        <v>191</v>
      </c>
      <c r="B144">
        <v>173.26</v>
      </c>
      <c r="C144" s="6">
        <f t="shared" si="4"/>
        <v>-5.9667240390133269E-3</v>
      </c>
      <c r="D144" s="6">
        <f t="shared" si="5"/>
        <v>-5.9845960639811312E-3</v>
      </c>
    </row>
    <row r="145" spans="1:4" x14ac:dyDescent="0.25">
      <c r="A145" t="s">
        <v>192</v>
      </c>
      <c r="B145">
        <v>174.3</v>
      </c>
      <c r="C145" s="6">
        <f t="shared" si="4"/>
        <v>-1.9464446444644401E-2</v>
      </c>
      <c r="D145" s="6">
        <f t="shared" si="5"/>
        <v>-1.9656373365344565E-2</v>
      </c>
    </row>
    <row r="146" spans="1:4" x14ac:dyDescent="0.25">
      <c r="A146" t="s">
        <v>193</v>
      </c>
      <c r="B146">
        <v>177.76</v>
      </c>
      <c r="C146" s="6">
        <f t="shared" si="4"/>
        <v>-1.2883163038649559E-2</v>
      </c>
      <c r="D146" s="6">
        <f t="shared" si="5"/>
        <v>-1.2966870707157008E-2</v>
      </c>
    </row>
    <row r="147" spans="1:4" x14ac:dyDescent="0.25">
      <c r="A147" t="s">
        <v>194</v>
      </c>
      <c r="B147">
        <v>180.08</v>
      </c>
      <c r="C147" s="6">
        <f t="shared" si="4"/>
        <v>1.3678581480439211E-2</v>
      </c>
      <c r="D147" s="6">
        <f t="shared" si="5"/>
        <v>1.3585874131440856E-2</v>
      </c>
    </row>
    <row r="148" spans="1:4" x14ac:dyDescent="0.25">
      <c r="A148" t="s">
        <v>195</v>
      </c>
      <c r="B148">
        <v>177.65</v>
      </c>
      <c r="C148" s="6">
        <f t="shared" si="4"/>
        <v>-1.8541409147094789E-3</v>
      </c>
      <c r="D148" s="6">
        <f t="shared" si="5"/>
        <v>-1.8558619616800449E-3</v>
      </c>
    </row>
    <row r="149" spans="1:4" x14ac:dyDescent="0.25">
      <c r="A149" t="s">
        <v>196</v>
      </c>
      <c r="B149">
        <v>177.98</v>
      </c>
      <c r="C149" s="6">
        <f t="shared" si="4"/>
        <v>1.7901058049756946E-2</v>
      </c>
      <c r="D149" s="6">
        <f t="shared" si="5"/>
        <v>1.7742720919331337E-2</v>
      </c>
    </row>
    <row r="150" spans="1:4" x14ac:dyDescent="0.25">
      <c r="A150" t="s">
        <v>197</v>
      </c>
      <c r="B150">
        <v>174.85</v>
      </c>
      <c r="C150" s="6">
        <f t="shared" si="4"/>
        <v>-4.1009284046249483E-3</v>
      </c>
      <c r="D150" s="6">
        <f t="shared" si="5"/>
        <v>-4.1093602717323643E-3</v>
      </c>
    </row>
    <row r="151" spans="1:4" x14ac:dyDescent="0.25">
      <c r="A151" t="s">
        <v>198</v>
      </c>
      <c r="B151">
        <v>175.57</v>
      </c>
      <c r="C151" s="6">
        <f t="shared" si="4"/>
        <v>-6.9570135746607198E-3</v>
      </c>
      <c r="D151" s="6">
        <f t="shared" si="5"/>
        <v>-6.9813264224259462E-3</v>
      </c>
    </row>
    <row r="152" spans="1:4" x14ac:dyDescent="0.25">
      <c r="A152" t="s">
        <v>199</v>
      </c>
      <c r="B152">
        <v>176.8</v>
      </c>
      <c r="C152" s="6">
        <f t="shared" si="4"/>
        <v>8.7293889427739746E-3</v>
      </c>
      <c r="D152" s="6">
        <f t="shared" si="5"/>
        <v>8.6915081184583912E-3</v>
      </c>
    </row>
    <row r="153" spans="1:4" x14ac:dyDescent="0.25">
      <c r="A153" t="s">
        <v>200</v>
      </c>
      <c r="B153">
        <v>175.27</v>
      </c>
      <c r="C153" s="6">
        <f t="shared" si="4"/>
        <v>9.4453723434890779E-3</v>
      </c>
      <c r="D153" s="6">
        <f t="shared" si="5"/>
        <v>9.4010437290382356E-3</v>
      </c>
    </row>
    <row r="154" spans="1:4" x14ac:dyDescent="0.25">
      <c r="A154" t="s">
        <v>201</v>
      </c>
      <c r="B154">
        <v>173.63</v>
      </c>
      <c r="C154" s="6">
        <f t="shared" si="4"/>
        <v>3.641138900495422E-2</v>
      </c>
      <c r="D154" s="6">
        <f t="shared" si="5"/>
        <v>3.5764158650605352E-2</v>
      </c>
    </row>
    <row r="155" spans="1:4" x14ac:dyDescent="0.25">
      <c r="A155" t="s">
        <v>202</v>
      </c>
      <c r="B155">
        <v>167.53</v>
      </c>
      <c r="C155" s="6">
        <f t="shared" si="4"/>
        <v>6.5489065128574442E-3</v>
      </c>
      <c r="D155" s="6">
        <f t="shared" si="5"/>
        <v>6.5275555907004139E-3</v>
      </c>
    </row>
    <row r="156" spans="1:4" x14ac:dyDescent="0.25">
      <c r="A156" t="s">
        <v>203</v>
      </c>
      <c r="B156">
        <v>166.44</v>
      </c>
      <c r="C156" s="6">
        <f t="shared" si="4"/>
        <v>-8.5184964555906628E-3</v>
      </c>
      <c r="D156" s="6">
        <f t="shared" si="5"/>
        <v>-8.5549862195821117E-3</v>
      </c>
    </row>
    <row r="157" spans="1:4" x14ac:dyDescent="0.25">
      <c r="A157" t="s">
        <v>204</v>
      </c>
      <c r="B157">
        <v>167.87</v>
      </c>
      <c r="C157" s="6">
        <f t="shared" si="4"/>
        <v>-1.7867778439550897E-4</v>
      </c>
      <c r="D157" s="6">
        <f t="shared" si="5"/>
        <v>-1.7869374917255619E-4</v>
      </c>
    </row>
    <row r="158" spans="1:4" x14ac:dyDescent="0.25">
      <c r="A158" t="s">
        <v>205</v>
      </c>
      <c r="B158">
        <v>167.9</v>
      </c>
      <c r="C158" s="6">
        <f t="shared" si="4"/>
        <v>-8.7962689651099879E-3</v>
      </c>
      <c r="D158" s="6">
        <f t="shared" si="5"/>
        <v>-8.8351845147952354E-3</v>
      </c>
    </row>
    <row r="159" spans="1:4" x14ac:dyDescent="0.25">
      <c r="A159" t="s">
        <v>206</v>
      </c>
      <c r="B159">
        <v>169.39</v>
      </c>
      <c r="C159" s="6">
        <f t="shared" si="4"/>
        <v>-1.1207752028486451E-2</v>
      </c>
      <c r="D159" s="6">
        <f t="shared" si="5"/>
        <v>-1.1271032144076746E-2</v>
      </c>
    </row>
    <row r="160" spans="1:4" x14ac:dyDescent="0.25">
      <c r="A160" t="s">
        <v>207</v>
      </c>
      <c r="B160">
        <v>171.31</v>
      </c>
      <c r="C160" s="6">
        <f t="shared" si="4"/>
        <v>-6.4377682403432557E-3</v>
      </c>
      <c r="D160" s="6">
        <f t="shared" si="5"/>
        <v>-6.4585800394117085E-3</v>
      </c>
    </row>
    <row r="161" spans="1:4" x14ac:dyDescent="0.25">
      <c r="A161" t="s">
        <v>208</v>
      </c>
      <c r="B161">
        <v>172.42</v>
      </c>
      <c r="C161" s="6">
        <f t="shared" si="4"/>
        <v>-5.7663475954330412E-3</v>
      </c>
      <c r="D161" s="6">
        <f t="shared" si="5"/>
        <v>-5.7830371672354325E-3</v>
      </c>
    </row>
    <row r="162" spans="1:4" x14ac:dyDescent="0.25">
      <c r="A162" t="s">
        <v>209</v>
      </c>
      <c r="B162">
        <v>173.42</v>
      </c>
      <c r="C162" s="6">
        <f t="shared" si="4"/>
        <v>1.7484158648204629E-2</v>
      </c>
      <c r="D162" s="6">
        <f t="shared" si="5"/>
        <v>1.7333069317303093E-2</v>
      </c>
    </row>
    <row r="163" spans="1:4" x14ac:dyDescent="0.25">
      <c r="A163" t="s">
        <v>210</v>
      </c>
      <c r="B163">
        <v>170.44</v>
      </c>
      <c r="C163" s="6">
        <f t="shared" si="4"/>
        <v>2.4894768490679509E-2</v>
      </c>
      <c r="D163" s="6">
        <f t="shared" si="5"/>
        <v>2.4589942432829307E-2</v>
      </c>
    </row>
    <row r="164" spans="1:4" x14ac:dyDescent="0.25">
      <c r="A164" t="s">
        <v>211</v>
      </c>
      <c r="B164">
        <v>166.3</v>
      </c>
      <c r="C164" s="6">
        <f t="shared" si="4"/>
        <v>5.1375037775764909E-3</v>
      </c>
      <c r="D164" s="6">
        <f t="shared" si="5"/>
        <v>5.1243518312610063E-3</v>
      </c>
    </row>
    <row r="165" spans="1:4" x14ac:dyDescent="0.25">
      <c r="A165" t="s">
        <v>212</v>
      </c>
      <c r="B165">
        <v>165.45</v>
      </c>
      <c r="C165" s="6">
        <f t="shared" si="4"/>
        <v>-1.8683274021352392E-2</v>
      </c>
      <c r="D165" s="6">
        <f t="shared" si="5"/>
        <v>-1.8860011200133992E-2</v>
      </c>
    </row>
    <row r="166" spans="1:4" x14ac:dyDescent="0.25">
      <c r="A166" t="s">
        <v>213</v>
      </c>
      <c r="B166">
        <v>168.6</v>
      </c>
      <c r="C166" s="6">
        <f t="shared" si="4"/>
        <v>-1.2302284710017597E-2</v>
      </c>
      <c r="D166" s="6">
        <f t="shared" si="5"/>
        <v>-1.2378584232639869E-2</v>
      </c>
    </row>
    <row r="167" spans="1:4" x14ac:dyDescent="0.25">
      <c r="A167" t="s">
        <v>214</v>
      </c>
      <c r="B167">
        <v>170.7</v>
      </c>
      <c r="C167" s="6">
        <f t="shared" si="4"/>
        <v>0</v>
      </c>
      <c r="D167" s="6">
        <f t="shared" si="5"/>
        <v>0</v>
      </c>
    </row>
    <row r="168" spans="1:4" x14ac:dyDescent="0.25">
      <c r="A168" t="s">
        <v>215</v>
      </c>
      <c r="B168">
        <v>170.7</v>
      </c>
      <c r="C168" s="6">
        <f t="shared" si="4"/>
        <v>8.2097926879687311E-3</v>
      </c>
      <c r="D168" s="6">
        <f t="shared" si="5"/>
        <v>8.1762756602544052E-3</v>
      </c>
    </row>
    <row r="169" spans="1:4" x14ac:dyDescent="0.25">
      <c r="A169" t="s">
        <v>216</v>
      </c>
      <c r="B169">
        <v>169.31</v>
      </c>
      <c r="C169" s="6">
        <f t="shared" si="4"/>
        <v>-2.2981732469061766E-3</v>
      </c>
      <c r="D169" s="6">
        <f t="shared" si="5"/>
        <v>-2.3008181000400618E-3</v>
      </c>
    </row>
    <row r="170" spans="1:4" x14ac:dyDescent="0.25">
      <c r="A170" t="s">
        <v>217</v>
      </c>
      <c r="B170">
        <v>169.7</v>
      </c>
      <c r="C170" s="6">
        <f t="shared" si="4"/>
        <v>-6.6147632148921831E-3</v>
      </c>
      <c r="D170" s="6">
        <f t="shared" si="5"/>
        <v>-6.636737718785801E-3</v>
      </c>
    </row>
    <row r="171" spans="1:4" x14ac:dyDescent="0.25">
      <c r="A171" t="s">
        <v>218</v>
      </c>
      <c r="B171">
        <v>170.83</v>
      </c>
      <c r="C171" s="6">
        <f t="shared" si="4"/>
        <v>2.8177282066335074E-3</v>
      </c>
      <c r="D171" s="6">
        <f t="shared" si="5"/>
        <v>2.8137658519907789E-3</v>
      </c>
    </row>
    <row r="172" spans="1:4" x14ac:dyDescent="0.25">
      <c r="A172" t="s">
        <v>219</v>
      </c>
      <c r="B172">
        <v>170.35</v>
      </c>
      <c r="C172" s="6">
        <f t="shared" si="4"/>
        <v>4.9554598548757767E-3</v>
      </c>
      <c r="D172" s="6">
        <f t="shared" si="5"/>
        <v>4.943221976580604E-3</v>
      </c>
    </row>
    <row r="173" spans="1:4" x14ac:dyDescent="0.25">
      <c r="A173" t="s">
        <v>220</v>
      </c>
      <c r="B173">
        <v>169.51</v>
      </c>
      <c r="C173" s="6">
        <f t="shared" si="4"/>
        <v>1.2786042898966343E-2</v>
      </c>
      <c r="D173" s="6">
        <f t="shared" si="5"/>
        <v>1.270499160484824E-2</v>
      </c>
    </row>
    <row r="174" spans="1:4" x14ac:dyDescent="0.25">
      <c r="A174" t="s">
        <v>221</v>
      </c>
      <c r="B174">
        <v>167.37</v>
      </c>
      <c r="C174" s="6">
        <f t="shared" si="4"/>
        <v>4.4409770149433925E-3</v>
      </c>
      <c r="D174" s="6">
        <f t="shared" si="5"/>
        <v>4.4311449750146399E-3</v>
      </c>
    </row>
    <row r="175" spans="1:4" x14ac:dyDescent="0.25">
      <c r="A175" t="s">
        <v>222</v>
      </c>
      <c r="B175">
        <v>166.63</v>
      </c>
      <c r="C175" s="6">
        <f t="shared" si="4"/>
        <v>-1.5887077722655296E-2</v>
      </c>
      <c r="D175" s="6">
        <f t="shared" si="5"/>
        <v>-1.6014630102190782E-2</v>
      </c>
    </row>
    <row r="176" spans="1:4" x14ac:dyDescent="0.25">
      <c r="A176" t="s">
        <v>223</v>
      </c>
      <c r="B176">
        <v>169.32</v>
      </c>
      <c r="C176" s="6">
        <f t="shared" si="4"/>
        <v>6.000831798466999E-3</v>
      </c>
      <c r="D176" s="6">
        <f t="shared" si="5"/>
        <v>5.9828985146479791E-3</v>
      </c>
    </row>
    <row r="177" spans="1:4" x14ac:dyDescent="0.25">
      <c r="A177" t="s">
        <v>224</v>
      </c>
      <c r="B177">
        <v>168.31</v>
      </c>
      <c r="C177" s="6">
        <f t="shared" si="4"/>
        <v>1.5471585837547597E-3</v>
      </c>
      <c r="D177" s="6">
        <f t="shared" si="5"/>
        <v>1.5459629669601085E-3</v>
      </c>
    </row>
    <row r="178" spans="1:4" x14ac:dyDescent="0.25">
      <c r="A178" t="s">
        <v>225</v>
      </c>
      <c r="B178">
        <v>168.05</v>
      </c>
      <c r="C178" s="6">
        <f t="shared" si="4"/>
        <v>1.4304683727667911E-2</v>
      </c>
      <c r="D178" s="6">
        <f t="shared" si="5"/>
        <v>1.4203337083786065E-2</v>
      </c>
    </row>
    <row r="179" spans="1:4" x14ac:dyDescent="0.25">
      <c r="A179" t="s">
        <v>226</v>
      </c>
      <c r="B179">
        <v>165.68</v>
      </c>
      <c r="C179" s="6">
        <f t="shared" si="4"/>
        <v>-4.1473823405662191E-3</v>
      </c>
      <c r="D179" s="6">
        <f t="shared" si="5"/>
        <v>-4.1560065843227398E-3</v>
      </c>
    </row>
    <row r="180" spans="1:4" x14ac:dyDescent="0.25">
      <c r="A180" t="s">
        <v>227</v>
      </c>
      <c r="B180">
        <v>166.37</v>
      </c>
      <c r="C180" s="6">
        <f t="shared" si="4"/>
        <v>1.562786154691409E-2</v>
      </c>
      <c r="D180" s="6">
        <f t="shared" si="5"/>
        <v>1.5507004055111455E-2</v>
      </c>
    </row>
    <row r="181" spans="1:4" x14ac:dyDescent="0.25">
      <c r="A181" t="s">
        <v>228</v>
      </c>
      <c r="B181">
        <v>163.81</v>
      </c>
      <c r="C181" s="6">
        <f t="shared" si="4"/>
        <v>-1.627432140283458E-2</v>
      </c>
      <c r="D181" s="6">
        <f t="shared" si="5"/>
        <v>-1.6408202710234798E-2</v>
      </c>
    </row>
    <row r="182" spans="1:4" x14ac:dyDescent="0.25">
      <c r="A182" t="s">
        <v>229</v>
      </c>
      <c r="B182">
        <v>166.52</v>
      </c>
      <c r="C182" s="6">
        <f t="shared" si="4"/>
        <v>7.8129695294193446E-4</v>
      </c>
      <c r="D182" s="6">
        <f t="shared" si="5"/>
        <v>7.809918993588788E-4</v>
      </c>
    </row>
    <row r="183" spans="1:4" x14ac:dyDescent="0.25">
      <c r="A183" t="s">
        <v>230</v>
      </c>
      <c r="B183">
        <v>166.39</v>
      </c>
      <c r="C183" s="6">
        <f t="shared" si="4"/>
        <v>7.6913759689920536E-3</v>
      </c>
      <c r="D183" s="6">
        <f t="shared" si="5"/>
        <v>7.661948134217755E-3</v>
      </c>
    </row>
    <row r="184" spans="1:4" x14ac:dyDescent="0.25">
      <c r="A184" t="s">
        <v>231</v>
      </c>
      <c r="B184">
        <v>165.12</v>
      </c>
      <c r="C184" s="6">
        <f t="shared" si="4"/>
        <v>-1.4855915518167229E-2</v>
      </c>
      <c r="D184" s="6">
        <f t="shared" si="5"/>
        <v>-1.496736984596924E-2</v>
      </c>
    </row>
    <row r="185" spans="1:4" x14ac:dyDescent="0.25">
      <c r="A185" t="s">
        <v>232</v>
      </c>
      <c r="B185">
        <v>167.61</v>
      </c>
      <c r="C185" s="6">
        <f t="shared" si="4"/>
        <v>1.3116537717601684E-2</v>
      </c>
      <c r="D185" s="6">
        <f t="shared" si="5"/>
        <v>1.3031260819102922E-2</v>
      </c>
    </row>
    <row r="186" spans="1:4" x14ac:dyDescent="0.25">
      <c r="A186" t="s">
        <v>233</v>
      </c>
      <c r="B186">
        <v>165.44</v>
      </c>
      <c r="C186" s="6">
        <f t="shared" si="4"/>
        <v>-2.1412516266414272E-2</v>
      </c>
      <c r="D186" s="6">
        <f t="shared" si="5"/>
        <v>-2.164509018071728E-2</v>
      </c>
    </row>
    <row r="187" spans="1:4" x14ac:dyDescent="0.25">
      <c r="A187" t="s">
        <v>234</v>
      </c>
      <c r="B187">
        <v>169.06</v>
      </c>
      <c r="C187" s="6">
        <f t="shared" si="4"/>
        <v>1.8679199807182467E-2</v>
      </c>
      <c r="D187" s="6">
        <f t="shared" si="5"/>
        <v>1.8506886036114469E-2</v>
      </c>
    </row>
    <row r="188" spans="1:4" x14ac:dyDescent="0.25">
      <c r="A188" t="s">
        <v>235</v>
      </c>
      <c r="B188">
        <v>165.96</v>
      </c>
      <c r="C188" s="6">
        <f t="shared" si="4"/>
        <v>1.6475776321430713E-2</v>
      </c>
      <c r="D188" s="6">
        <f t="shared" si="5"/>
        <v>1.6341523326594064E-2</v>
      </c>
    </row>
    <row r="189" spans="1:4" x14ac:dyDescent="0.25">
      <c r="A189" t="s">
        <v>236</v>
      </c>
      <c r="B189">
        <v>163.27000000000001</v>
      </c>
      <c r="C189" s="6">
        <f t="shared" si="4"/>
        <v>4.5530055989664309E-3</v>
      </c>
      <c r="D189" s="6">
        <f t="shared" si="5"/>
        <v>4.5426720229885696E-3</v>
      </c>
    </row>
    <row r="190" spans="1:4" x14ac:dyDescent="0.25">
      <c r="A190" t="s">
        <v>237</v>
      </c>
      <c r="B190">
        <v>162.53</v>
      </c>
      <c r="C190" s="6">
        <f t="shared" si="4"/>
        <v>3.6675596377088837E-2</v>
      </c>
      <c r="D190" s="6">
        <f t="shared" si="5"/>
        <v>3.6019051354508363E-2</v>
      </c>
    </row>
    <row r="191" spans="1:4" x14ac:dyDescent="0.25">
      <c r="A191" t="s">
        <v>238</v>
      </c>
      <c r="B191">
        <v>156.78</v>
      </c>
      <c r="C191" s="6">
        <f t="shared" si="4"/>
        <v>-4.5714285714285596E-3</v>
      </c>
      <c r="D191" s="6">
        <f t="shared" si="5"/>
        <v>-4.5819095051116213E-3</v>
      </c>
    </row>
    <row r="192" spans="1:4" x14ac:dyDescent="0.25">
      <c r="A192" t="s">
        <v>239</v>
      </c>
      <c r="B192">
        <v>157.5</v>
      </c>
      <c r="C192" s="6">
        <f t="shared" si="4"/>
        <v>-1.5809535712054013E-2</v>
      </c>
      <c r="D192" s="6">
        <f t="shared" si="5"/>
        <v>-1.5935839392211149E-2</v>
      </c>
    </row>
    <row r="193" spans="1:4" x14ac:dyDescent="0.25">
      <c r="A193" t="s">
        <v>240</v>
      </c>
      <c r="B193">
        <v>160.03</v>
      </c>
      <c r="C193" s="6">
        <f t="shared" si="4"/>
        <v>-3.363526570048303E-2</v>
      </c>
      <c r="D193" s="6">
        <f t="shared" si="5"/>
        <v>-3.4213944293260377E-2</v>
      </c>
    </row>
    <row r="194" spans="1:4" x14ac:dyDescent="0.25">
      <c r="A194" t="s">
        <v>241</v>
      </c>
      <c r="B194">
        <v>165.6</v>
      </c>
      <c r="C194" s="6">
        <f t="shared" si="4"/>
        <v>3.3578829109973674E-2</v>
      </c>
      <c r="D194" s="6">
        <f t="shared" si="5"/>
        <v>3.3027371164188461E-2</v>
      </c>
    </row>
    <row r="195" spans="1:4" x14ac:dyDescent="0.25">
      <c r="A195" t="s">
        <v>242</v>
      </c>
      <c r="B195">
        <v>160.22</v>
      </c>
      <c r="C195" s="6">
        <f t="shared" ref="C195:C258" si="6">(B195/B196)-1</f>
        <v>3.5815877941556717E-2</v>
      </c>
      <c r="D195" s="6">
        <f t="shared" ref="D195:D258" si="7">LN(B195/B196)</f>
        <v>3.5189404047874372E-2</v>
      </c>
    </row>
    <row r="196" spans="1:4" x14ac:dyDescent="0.25">
      <c r="A196" t="s">
        <v>243</v>
      </c>
      <c r="B196">
        <v>154.68</v>
      </c>
      <c r="C196" s="6">
        <f t="shared" si="6"/>
        <v>-7.5708969588091923E-3</v>
      </c>
      <c r="D196" s="6">
        <f t="shared" si="7"/>
        <v>-7.5997016763185519E-3</v>
      </c>
    </row>
    <row r="197" spans="1:4" x14ac:dyDescent="0.25">
      <c r="A197" t="s">
        <v>244</v>
      </c>
      <c r="B197">
        <v>155.86000000000001</v>
      </c>
      <c r="C197" s="6">
        <f t="shared" si="6"/>
        <v>3.2183316168898912E-3</v>
      </c>
      <c r="D197" s="6">
        <f t="shared" si="7"/>
        <v>3.2131638724001827E-3</v>
      </c>
    </row>
    <row r="198" spans="1:4" x14ac:dyDescent="0.25">
      <c r="A198" t="s">
        <v>245</v>
      </c>
      <c r="B198">
        <v>155.36000000000001</v>
      </c>
      <c r="C198" s="6">
        <f t="shared" si="6"/>
        <v>1.3239418248222723E-2</v>
      </c>
      <c r="D198" s="6">
        <f t="shared" si="7"/>
        <v>1.3152543094716827E-2</v>
      </c>
    </row>
    <row r="199" spans="1:4" x14ac:dyDescent="0.25">
      <c r="A199" t="s">
        <v>246</v>
      </c>
      <c r="B199">
        <v>153.33000000000001</v>
      </c>
      <c r="C199" s="6">
        <f t="shared" si="6"/>
        <v>-2.7032172092137818E-2</v>
      </c>
      <c r="D199" s="6">
        <f t="shared" si="7"/>
        <v>-2.7404262185681968E-2</v>
      </c>
    </row>
    <row r="200" spans="1:4" x14ac:dyDescent="0.25">
      <c r="A200" t="s">
        <v>247</v>
      </c>
      <c r="B200">
        <v>157.59</v>
      </c>
      <c r="C200" s="6">
        <f t="shared" si="6"/>
        <v>2.8453958102199417E-2</v>
      </c>
      <c r="D200" s="6">
        <f t="shared" si="7"/>
        <v>2.8056663043895095E-2</v>
      </c>
    </row>
    <row r="201" spans="1:4" x14ac:dyDescent="0.25">
      <c r="A201" t="s">
        <v>248</v>
      </c>
      <c r="B201">
        <v>153.22999999999999</v>
      </c>
      <c r="C201" s="6">
        <f t="shared" si="6"/>
        <v>6.9658934086875846E-3</v>
      </c>
      <c r="D201" s="6">
        <f t="shared" si="7"/>
        <v>6.9417436580616514E-3</v>
      </c>
    </row>
    <row r="202" spans="1:4" x14ac:dyDescent="0.25">
      <c r="A202" t="s">
        <v>249</v>
      </c>
      <c r="B202">
        <v>152.16999999999999</v>
      </c>
      <c r="C202" s="6">
        <f t="shared" si="6"/>
        <v>1.9086525582641345E-2</v>
      </c>
      <c r="D202" s="6">
        <f t="shared" si="7"/>
        <v>1.8906662885640104E-2</v>
      </c>
    </row>
    <row r="203" spans="1:4" x14ac:dyDescent="0.25">
      <c r="A203" t="s">
        <v>250</v>
      </c>
      <c r="B203">
        <v>149.32</v>
      </c>
      <c r="C203" s="6">
        <f t="shared" si="6"/>
        <v>-1.1191311833653406E-2</v>
      </c>
      <c r="D203" s="6">
        <f t="shared" si="7"/>
        <v>-1.1254405741314691E-2</v>
      </c>
    </row>
    <row r="204" spans="1:4" x14ac:dyDescent="0.25">
      <c r="A204" t="s">
        <v>251</v>
      </c>
      <c r="B204">
        <v>151.01</v>
      </c>
      <c r="C204" s="6">
        <f t="shared" si="6"/>
        <v>1.3966292889276755E-2</v>
      </c>
      <c r="D204" s="6">
        <f t="shared" si="7"/>
        <v>1.3869662889921461E-2</v>
      </c>
    </row>
    <row r="205" spans="1:4" x14ac:dyDescent="0.25">
      <c r="A205" t="s">
        <v>252</v>
      </c>
      <c r="B205">
        <v>148.93</v>
      </c>
      <c r="C205" s="6">
        <f t="shared" si="6"/>
        <v>-3.0782246518287093E-2</v>
      </c>
      <c r="D205" s="6">
        <f t="shared" si="7"/>
        <v>-3.1265972541712608E-2</v>
      </c>
    </row>
    <row r="206" spans="1:4" x14ac:dyDescent="0.25">
      <c r="A206" t="s">
        <v>253</v>
      </c>
      <c r="B206">
        <v>153.66</v>
      </c>
      <c r="C206" s="6">
        <f t="shared" si="6"/>
        <v>1.3387852008177825E-2</v>
      </c>
      <c r="D206" s="6">
        <f t="shared" si="7"/>
        <v>1.3299026626641019E-2</v>
      </c>
    </row>
    <row r="207" spans="1:4" x14ac:dyDescent="0.25">
      <c r="A207" t="s">
        <v>254</v>
      </c>
      <c r="B207">
        <v>151.63</v>
      </c>
      <c r="C207" s="6">
        <f t="shared" si="6"/>
        <v>2.4319394717287057E-2</v>
      </c>
      <c r="D207" s="6">
        <f t="shared" si="7"/>
        <v>2.4028386887447156E-2</v>
      </c>
    </row>
    <row r="208" spans="1:4" x14ac:dyDescent="0.25">
      <c r="A208" t="s">
        <v>255</v>
      </c>
      <c r="B208">
        <v>148.03</v>
      </c>
      <c r="C208" s="6">
        <f t="shared" si="6"/>
        <v>-3.1090456866081917E-2</v>
      </c>
      <c r="D208" s="6">
        <f t="shared" si="7"/>
        <v>-3.1584022187812866E-2</v>
      </c>
    </row>
    <row r="209" spans="1:4" x14ac:dyDescent="0.25">
      <c r="A209" t="s">
        <v>256</v>
      </c>
      <c r="B209">
        <v>152.78</v>
      </c>
      <c r="C209" s="6">
        <f t="shared" si="6"/>
        <v>-2.6072544144833287E-2</v>
      </c>
      <c r="D209" s="6">
        <f t="shared" si="7"/>
        <v>-2.641845875493528E-2</v>
      </c>
    </row>
    <row r="210" spans="1:4" x14ac:dyDescent="0.25">
      <c r="A210" t="s">
        <v>257</v>
      </c>
      <c r="B210">
        <v>156.87</v>
      </c>
      <c r="C210" s="6">
        <f t="shared" si="6"/>
        <v>5.7058597256058885E-3</v>
      </c>
      <c r="D210" s="6">
        <f t="shared" si="7"/>
        <v>5.6896429657969918E-3</v>
      </c>
    </row>
    <row r="211" spans="1:4" x14ac:dyDescent="0.25">
      <c r="A211" t="s">
        <v>258</v>
      </c>
      <c r="B211">
        <v>155.97999999999999</v>
      </c>
      <c r="C211" s="6">
        <f t="shared" si="6"/>
        <v>1.8279148713931104E-2</v>
      </c>
      <c r="D211" s="6">
        <f t="shared" si="7"/>
        <v>1.8114093420904309E-2</v>
      </c>
    </row>
    <row r="212" spans="1:4" x14ac:dyDescent="0.25">
      <c r="A212" t="s">
        <v>259</v>
      </c>
      <c r="B212">
        <v>153.18</v>
      </c>
      <c r="C212" s="6">
        <f t="shared" si="6"/>
        <v>-5.5184055054209313E-3</v>
      </c>
      <c r="D212" s="6">
        <f t="shared" si="7"/>
        <v>-5.5336881549187065E-3</v>
      </c>
    </row>
    <row r="213" spans="1:4" x14ac:dyDescent="0.25">
      <c r="A213" t="s">
        <v>260</v>
      </c>
      <c r="B213">
        <v>154.03</v>
      </c>
      <c r="C213" s="6">
        <f t="shared" si="6"/>
        <v>1.4022383146807149E-2</v>
      </c>
      <c r="D213" s="6">
        <f t="shared" si="7"/>
        <v>1.3924979034639124E-2</v>
      </c>
    </row>
    <row r="214" spans="1:4" x14ac:dyDescent="0.25">
      <c r="A214" t="s">
        <v>261</v>
      </c>
      <c r="B214">
        <v>151.9</v>
      </c>
      <c r="C214" s="6">
        <f t="shared" si="6"/>
        <v>7.4948597201034417E-3</v>
      </c>
      <c r="D214" s="6">
        <f t="shared" si="7"/>
        <v>7.4669128109000078E-3</v>
      </c>
    </row>
    <row r="215" spans="1:4" x14ac:dyDescent="0.25">
      <c r="A215" t="s">
        <v>262</v>
      </c>
      <c r="B215">
        <v>150.77000000000001</v>
      </c>
      <c r="C215" s="6">
        <f t="shared" si="6"/>
        <v>-2.8042805569881368E-2</v>
      </c>
      <c r="D215" s="6">
        <f t="shared" si="7"/>
        <v>-2.8443514143569212E-2</v>
      </c>
    </row>
    <row r="216" spans="1:4" x14ac:dyDescent="0.25">
      <c r="A216" t="s">
        <v>263</v>
      </c>
      <c r="B216">
        <v>155.12</v>
      </c>
      <c r="C216" s="6">
        <f t="shared" si="6"/>
        <v>-1.5985790408525657E-2</v>
      </c>
      <c r="D216" s="6">
        <f t="shared" si="7"/>
        <v>-1.6114941392406473E-2</v>
      </c>
    </row>
    <row r="217" spans="1:4" x14ac:dyDescent="0.25">
      <c r="A217" t="s">
        <v>264</v>
      </c>
      <c r="B217">
        <v>157.63999999999999</v>
      </c>
      <c r="C217" s="6">
        <f t="shared" si="6"/>
        <v>2.1614748887475166E-3</v>
      </c>
      <c r="D217" s="6">
        <f t="shared" si="7"/>
        <v>2.1591422625706984E-3</v>
      </c>
    </row>
    <row r="218" spans="1:4" x14ac:dyDescent="0.25">
      <c r="A218" t="s">
        <v>265</v>
      </c>
      <c r="B218">
        <v>157.30000000000001</v>
      </c>
      <c r="C218" s="6">
        <f t="shared" si="6"/>
        <v>4.2134831460676203E-3</v>
      </c>
      <c r="D218" s="6">
        <f t="shared" si="7"/>
        <v>4.2046312820320916E-3</v>
      </c>
    </row>
    <row r="219" spans="1:4" x14ac:dyDescent="0.25">
      <c r="A219" t="s">
        <v>266</v>
      </c>
      <c r="B219">
        <v>156.63999999999999</v>
      </c>
      <c r="C219" s="6">
        <f t="shared" si="6"/>
        <v>-2.5529742149621448E-4</v>
      </c>
      <c r="D219" s="6">
        <f t="shared" si="7"/>
        <v>-2.5533001543047543E-4</v>
      </c>
    </row>
    <row r="220" spans="1:4" x14ac:dyDescent="0.25">
      <c r="A220" t="s">
        <v>267</v>
      </c>
      <c r="B220">
        <v>156.68</v>
      </c>
      <c r="C220" s="6">
        <f t="shared" si="6"/>
        <v>-1.1108305983337452E-2</v>
      </c>
      <c r="D220" s="6">
        <f t="shared" si="7"/>
        <v>-1.1170463956085251E-2</v>
      </c>
    </row>
    <row r="221" spans="1:4" x14ac:dyDescent="0.25">
      <c r="A221" t="s">
        <v>268</v>
      </c>
      <c r="B221">
        <v>158.44</v>
      </c>
      <c r="C221" s="6">
        <f t="shared" si="6"/>
        <v>-2.161294306533279E-2</v>
      </c>
      <c r="D221" s="6">
        <f t="shared" si="7"/>
        <v>-2.1849923504252342E-2</v>
      </c>
    </row>
    <row r="222" spans="1:4" x14ac:dyDescent="0.25">
      <c r="A222" t="s">
        <v>269</v>
      </c>
      <c r="B222">
        <v>161.94</v>
      </c>
      <c r="C222" s="6">
        <f t="shared" si="6"/>
        <v>-1.8491124260355818E-3</v>
      </c>
      <c r="D222" s="6">
        <f t="shared" si="7"/>
        <v>-1.8508241448501345E-3</v>
      </c>
    </row>
    <row r="223" spans="1:4" x14ac:dyDescent="0.25">
      <c r="A223" t="s">
        <v>270</v>
      </c>
      <c r="B223">
        <v>162.24</v>
      </c>
      <c r="C223" s="6">
        <f t="shared" si="6"/>
        <v>4.5820433436531971E-3</v>
      </c>
      <c r="D223" s="6">
        <f t="shared" si="7"/>
        <v>4.5715777401070584E-3</v>
      </c>
    </row>
    <row r="224" spans="1:4" x14ac:dyDescent="0.25">
      <c r="A224" t="s">
        <v>271</v>
      </c>
      <c r="B224">
        <v>161.5</v>
      </c>
      <c r="C224" s="6">
        <f t="shared" si="6"/>
        <v>-2.298850574712652E-2</v>
      </c>
      <c r="D224" s="6">
        <f t="shared" si="7"/>
        <v>-2.3256862164267349E-2</v>
      </c>
    </row>
    <row r="225" spans="1:4" x14ac:dyDescent="0.25">
      <c r="A225" t="s">
        <v>272</v>
      </c>
      <c r="B225">
        <v>165.3</v>
      </c>
      <c r="C225" s="6">
        <f t="shared" si="6"/>
        <v>-1.6910254861698393E-3</v>
      </c>
      <c r="D225" s="6">
        <f t="shared" si="7"/>
        <v>-1.6924568836813299E-3</v>
      </c>
    </row>
    <row r="226" spans="1:4" x14ac:dyDescent="0.25">
      <c r="A226" t="s">
        <v>273</v>
      </c>
      <c r="B226">
        <v>165.58</v>
      </c>
      <c r="C226" s="6">
        <f t="shared" si="6"/>
        <v>1.4832066683010625E-2</v>
      </c>
      <c r="D226" s="6">
        <f t="shared" si="7"/>
        <v>1.4723147261302191E-2</v>
      </c>
    </row>
    <row r="227" spans="1:4" x14ac:dyDescent="0.25">
      <c r="A227" t="s">
        <v>274</v>
      </c>
      <c r="B227">
        <v>163.16</v>
      </c>
      <c r="C227" s="6">
        <f t="shared" si="6"/>
        <v>1.0153541357107443E-2</v>
      </c>
      <c r="D227" s="6">
        <f t="shared" si="7"/>
        <v>1.0102340444775612E-2</v>
      </c>
    </row>
    <row r="228" spans="1:4" x14ac:dyDescent="0.25">
      <c r="A228" t="s">
        <v>275</v>
      </c>
      <c r="B228">
        <v>161.52000000000001</v>
      </c>
      <c r="C228" s="6">
        <f t="shared" si="6"/>
        <v>3.227455742314822E-2</v>
      </c>
      <c r="D228" s="6">
        <f t="shared" si="7"/>
        <v>3.1764675690616188E-2</v>
      </c>
    </row>
    <row r="229" spans="1:4" x14ac:dyDescent="0.25">
      <c r="A229" t="s">
        <v>276</v>
      </c>
      <c r="B229">
        <v>156.47</v>
      </c>
      <c r="C229" s="6">
        <f t="shared" si="6"/>
        <v>-1.1622765460173046E-2</v>
      </c>
      <c r="D229" s="6">
        <f t="shared" si="7"/>
        <v>-1.169083777172027E-2</v>
      </c>
    </row>
    <row r="230" spans="1:4" x14ac:dyDescent="0.25">
      <c r="A230" t="s">
        <v>277</v>
      </c>
      <c r="B230">
        <v>158.31</v>
      </c>
      <c r="C230" s="6">
        <f t="shared" si="6"/>
        <v>-1.4933731566175168E-2</v>
      </c>
      <c r="D230" s="6">
        <f t="shared" si="7"/>
        <v>-1.5046362475292546E-2</v>
      </c>
    </row>
    <row r="231" spans="1:4" x14ac:dyDescent="0.25">
      <c r="A231" t="s">
        <v>278</v>
      </c>
      <c r="B231">
        <v>160.71</v>
      </c>
      <c r="C231" s="6">
        <f t="shared" si="6"/>
        <v>2.4895749050868332E-4</v>
      </c>
      <c r="D231" s="6">
        <f t="shared" si="7"/>
        <v>2.4892650573513076E-4</v>
      </c>
    </row>
    <row r="232" spans="1:4" x14ac:dyDescent="0.25">
      <c r="A232" t="s">
        <v>279</v>
      </c>
      <c r="B232">
        <v>160.66999999999999</v>
      </c>
      <c r="C232" s="6">
        <f t="shared" si="6"/>
        <v>1.484335522991409E-2</v>
      </c>
      <c r="D232" s="6">
        <f t="shared" si="7"/>
        <v>1.4734270760933419E-2</v>
      </c>
    </row>
    <row r="233" spans="1:4" x14ac:dyDescent="0.25">
      <c r="A233" t="s">
        <v>280</v>
      </c>
      <c r="B233">
        <v>158.32</v>
      </c>
      <c r="C233" s="6">
        <f t="shared" si="6"/>
        <v>1.695786228160312E-2</v>
      </c>
      <c r="D233" s="6">
        <f t="shared" si="7"/>
        <v>1.681568285661519E-2</v>
      </c>
    </row>
    <row r="234" spans="1:4" x14ac:dyDescent="0.25">
      <c r="A234" t="s">
        <v>281</v>
      </c>
      <c r="B234">
        <v>155.68</v>
      </c>
      <c r="C234" s="6">
        <f t="shared" si="6"/>
        <v>-1.6115780825380677E-2</v>
      </c>
      <c r="D234" s="6">
        <f t="shared" si="7"/>
        <v>-1.6247052293196805E-2</v>
      </c>
    </row>
    <row r="235" spans="1:4" x14ac:dyDescent="0.25">
      <c r="A235" t="s">
        <v>282</v>
      </c>
      <c r="B235">
        <v>158.22999999999999</v>
      </c>
      <c r="C235" s="6">
        <f t="shared" si="6"/>
        <v>-1.6960735586481257E-2</v>
      </c>
      <c r="D235" s="6">
        <f t="shared" si="7"/>
        <v>-1.7106216180482695E-2</v>
      </c>
    </row>
    <row r="236" spans="1:4" x14ac:dyDescent="0.25">
      <c r="A236" t="s">
        <v>283</v>
      </c>
      <c r="B236">
        <v>160.96</v>
      </c>
      <c r="C236" s="6">
        <f t="shared" si="6"/>
        <v>1.0864786786409786E-2</v>
      </c>
      <c r="D236" s="6">
        <f t="shared" si="7"/>
        <v>1.0806189043039869E-2</v>
      </c>
    </row>
    <row r="237" spans="1:4" x14ac:dyDescent="0.25">
      <c r="A237" t="s">
        <v>284</v>
      </c>
      <c r="B237">
        <v>159.22999999999999</v>
      </c>
      <c r="C237" s="6">
        <f t="shared" si="6"/>
        <v>-1.4116772955234946E-2</v>
      </c>
      <c r="D237" s="6">
        <f t="shared" si="7"/>
        <v>-1.4217362382087068E-2</v>
      </c>
    </row>
    <row r="238" spans="1:4" x14ac:dyDescent="0.25">
      <c r="A238" t="s">
        <v>285</v>
      </c>
      <c r="B238">
        <v>161.51</v>
      </c>
      <c r="C238" s="6">
        <f t="shared" si="6"/>
        <v>-5.5693069306927967E-4</v>
      </c>
      <c r="D238" s="6">
        <f t="shared" si="7"/>
        <v>-5.570858365731813E-4</v>
      </c>
    </row>
    <row r="239" spans="1:4" x14ac:dyDescent="0.25">
      <c r="A239" t="s">
        <v>286</v>
      </c>
      <c r="B239">
        <v>161.6</v>
      </c>
      <c r="C239" s="6">
        <f t="shared" si="6"/>
        <v>-4.4356826022671214E-3</v>
      </c>
      <c r="D239" s="6">
        <f t="shared" si="7"/>
        <v>-4.4455494305642934E-3</v>
      </c>
    </row>
    <row r="240" spans="1:4" x14ac:dyDescent="0.25">
      <c r="A240" t="s">
        <v>287</v>
      </c>
      <c r="B240">
        <v>162.32</v>
      </c>
      <c r="C240" s="6">
        <f t="shared" si="6"/>
        <v>-8.7933561309232466E-3</v>
      </c>
      <c r="D240" s="6">
        <f t="shared" si="7"/>
        <v>-8.8322458354747301E-3</v>
      </c>
    </row>
    <row r="241" spans="1:4" x14ac:dyDescent="0.25">
      <c r="A241" t="s">
        <v>288</v>
      </c>
      <c r="B241">
        <v>163.76</v>
      </c>
      <c r="C241" s="6">
        <f t="shared" si="6"/>
        <v>-2.4889841610098884E-2</v>
      </c>
      <c r="D241" s="6">
        <f t="shared" si="7"/>
        <v>-2.52048314023831E-2</v>
      </c>
    </row>
    <row r="242" spans="1:4" x14ac:dyDescent="0.25">
      <c r="A242" t="s">
        <v>289</v>
      </c>
      <c r="B242">
        <v>167.94</v>
      </c>
      <c r="C242" s="6">
        <f t="shared" si="6"/>
        <v>-6.8011118339346144E-3</v>
      </c>
      <c r="D242" s="6">
        <f t="shared" si="7"/>
        <v>-6.8243447949206497E-3</v>
      </c>
    </row>
    <row r="243" spans="1:4" x14ac:dyDescent="0.25">
      <c r="A243" t="s">
        <v>290</v>
      </c>
      <c r="B243">
        <v>169.09</v>
      </c>
      <c r="C243" s="6">
        <f t="shared" si="6"/>
        <v>-2.7718801604151855E-3</v>
      </c>
      <c r="D243" s="6">
        <f t="shared" si="7"/>
        <v>-2.7757289340986E-3</v>
      </c>
    </row>
    <row r="244" spans="1:4" x14ac:dyDescent="0.25">
      <c r="A244" t="s">
        <v>291</v>
      </c>
      <c r="B244">
        <v>169.56</v>
      </c>
      <c r="C244" s="6">
        <f t="shared" si="6"/>
        <v>7.7860326894503284E-3</v>
      </c>
      <c r="D244" s="6">
        <f t="shared" si="7"/>
        <v>7.7558779595993015E-3</v>
      </c>
    </row>
    <row r="245" spans="1:4" x14ac:dyDescent="0.25">
      <c r="A245" t="s">
        <v>292</v>
      </c>
      <c r="B245">
        <v>168.25</v>
      </c>
      <c r="C245" s="6">
        <f t="shared" si="6"/>
        <v>-8.0183951417959198E-3</v>
      </c>
      <c r="D245" s="6">
        <f t="shared" si="7"/>
        <v>-8.0507153589105193E-3</v>
      </c>
    </row>
    <row r="246" spans="1:4" x14ac:dyDescent="0.25">
      <c r="A246" t="s">
        <v>293</v>
      </c>
      <c r="B246">
        <v>169.61</v>
      </c>
      <c r="C246" s="6">
        <f t="shared" si="6"/>
        <v>7.7837195484253829E-3</v>
      </c>
      <c r="D246" s="6">
        <f t="shared" si="7"/>
        <v>7.7535826869872988E-3</v>
      </c>
    </row>
    <row r="247" spans="1:4" x14ac:dyDescent="0.25">
      <c r="A247" t="s">
        <v>294</v>
      </c>
      <c r="B247">
        <v>168.3</v>
      </c>
      <c r="C247" s="6">
        <f t="shared" si="6"/>
        <v>3.0395136778116338E-3</v>
      </c>
      <c r="D247" s="6">
        <f t="shared" si="7"/>
        <v>3.0349036951541112E-3</v>
      </c>
    </row>
    <row r="248" spans="1:4" x14ac:dyDescent="0.25">
      <c r="A248" t="s">
        <v>295</v>
      </c>
      <c r="B248">
        <v>167.79</v>
      </c>
      <c r="C248" s="6">
        <f t="shared" si="6"/>
        <v>2.6301302831977402E-2</v>
      </c>
      <c r="D248" s="6">
        <f t="shared" si="7"/>
        <v>2.5961371114285085E-2</v>
      </c>
    </row>
    <row r="249" spans="1:4" x14ac:dyDescent="0.25">
      <c r="A249" t="s">
        <v>296</v>
      </c>
      <c r="B249">
        <v>163.49</v>
      </c>
      <c r="C249" s="6">
        <f t="shared" si="6"/>
        <v>-2.0900706671457492E-2</v>
      </c>
      <c r="D249" s="6">
        <f t="shared" si="7"/>
        <v>-2.1122218378533116E-2</v>
      </c>
    </row>
    <row r="250" spans="1:4" x14ac:dyDescent="0.25">
      <c r="A250" t="s">
        <v>297</v>
      </c>
      <c r="B250">
        <v>166.98</v>
      </c>
      <c r="C250" s="6">
        <f t="shared" si="6"/>
        <v>3.6062026685899085E-3</v>
      </c>
      <c r="D250" s="6">
        <f t="shared" si="7"/>
        <v>3.5997159101126756E-3</v>
      </c>
    </row>
    <row r="251" spans="1:4" x14ac:dyDescent="0.25">
      <c r="A251" t="s">
        <v>298</v>
      </c>
      <c r="B251">
        <v>166.38</v>
      </c>
      <c r="C251" s="6">
        <f t="shared" si="6"/>
        <v>-2.1006178287731658E-2</v>
      </c>
      <c r="D251" s="6">
        <f t="shared" si="7"/>
        <v>-2.1229947286383315E-2</v>
      </c>
    </row>
    <row r="252" spans="1:4" x14ac:dyDescent="0.25">
      <c r="A252" t="s">
        <v>299</v>
      </c>
      <c r="B252">
        <v>169.95</v>
      </c>
      <c r="C252" s="6">
        <f t="shared" si="6"/>
        <v>-8.4597432905485492E-3</v>
      </c>
      <c r="D252" s="6">
        <f t="shared" si="7"/>
        <v>-8.4957300215545272E-3</v>
      </c>
    </row>
    <row r="253" spans="1:4" x14ac:dyDescent="0.25">
      <c r="A253" t="s">
        <v>300</v>
      </c>
      <c r="B253">
        <v>171.4</v>
      </c>
      <c r="C253" s="6">
        <f t="shared" si="6"/>
        <v>1.3436934042181381E-3</v>
      </c>
      <c r="D253" s="6">
        <f t="shared" si="7"/>
        <v>1.3427914561066146E-3</v>
      </c>
    </row>
    <row r="254" spans="1:4" x14ac:dyDescent="0.25">
      <c r="A254" t="s">
        <v>301</v>
      </c>
      <c r="B254">
        <v>171.17</v>
      </c>
      <c r="C254" s="6">
        <f t="shared" si="6"/>
        <v>6.8231280512911496E-3</v>
      </c>
      <c r="D254" s="6">
        <f t="shared" si="7"/>
        <v>6.799955857935391E-3</v>
      </c>
    </row>
    <row r="255" spans="1:4" x14ac:dyDescent="0.25">
      <c r="A255" t="s">
        <v>302</v>
      </c>
      <c r="B255">
        <v>170.01</v>
      </c>
      <c r="C255" s="6">
        <f t="shared" si="6"/>
        <v>4.0898793852935711E-2</v>
      </c>
      <c r="D255" s="6">
        <f t="shared" si="7"/>
        <v>4.0084564784589605E-2</v>
      </c>
    </row>
    <row r="256" spans="1:4" x14ac:dyDescent="0.25">
      <c r="A256" t="s">
        <v>303</v>
      </c>
      <c r="B256">
        <v>163.33000000000001</v>
      </c>
      <c r="C256" s="6">
        <f t="shared" si="6"/>
        <v>1.9219968798751985E-2</v>
      </c>
      <c r="D256" s="6">
        <f t="shared" si="7"/>
        <v>1.9037598264268513E-2</v>
      </c>
    </row>
    <row r="257" spans="1:4" x14ac:dyDescent="0.25">
      <c r="A257" t="s">
        <v>304</v>
      </c>
      <c r="B257">
        <v>160.25</v>
      </c>
      <c r="C257" s="6">
        <f t="shared" si="6"/>
        <v>-1.6267648864333961E-2</v>
      </c>
      <c r="D257" s="6">
        <f t="shared" si="7"/>
        <v>-1.6401419807220038E-2</v>
      </c>
    </row>
    <row r="258" spans="1:4" x14ac:dyDescent="0.25">
      <c r="A258" t="s">
        <v>305</v>
      </c>
      <c r="B258">
        <v>162.9</v>
      </c>
      <c r="C258" s="6">
        <f t="shared" si="6"/>
        <v>1.8634317158579439E-2</v>
      </c>
      <c r="D258" s="6">
        <f t="shared" si="7"/>
        <v>1.8462825415854967E-2</v>
      </c>
    </row>
    <row r="259" spans="1:4" x14ac:dyDescent="0.25">
      <c r="A259" t="s">
        <v>306</v>
      </c>
      <c r="B259">
        <v>159.91999999999999</v>
      </c>
      <c r="C259" s="6">
        <f t="shared" ref="C259:C322" si="8">(B259/B260)-1</f>
        <v>4.0811201105039885E-3</v>
      </c>
      <c r="D259" s="6">
        <f t="shared" ref="D259:D322" si="9">LN(B259/B260)</f>
        <v>4.0728149284546301E-3</v>
      </c>
    </row>
    <row r="260" spans="1:4" x14ac:dyDescent="0.25">
      <c r="A260" t="s">
        <v>307</v>
      </c>
      <c r="B260">
        <v>159.27000000000001</v>
      </c>
      <c r="C260" s="6">
        <f t="shared" si="8"/>
        <v>2.319157137350647E-2</v>
      </c>
      <c r="D260" s="6">
        <f t="shared" si="9"/>
        <v>2.2926733732447805E-2</v>
      </c>
    </row>
    <row r="261" spans="1:4" x14ac:dyDescent="0.25">
      <c r="A261" t="s">
        <v>308</v>
      </c>
      <c r="B261">
        <v>155.66</v>
      </c>
      <c r="C261" s="6">
        <f t="shared" si="8"/>
        <v>-1.723593661215983E-2</v>
      </c>
      <c r="D261" s="6">
        <f t="shared" si="9"/>
        <v>-1.7386204543086804E-2</v>
      </c>
    </row>
    <row r="262" spans="1:4" x14ac:dyDescent="0.25">
      <c r="A262" t="s">
        <v>309</v>
      </c>
      <c r="B262">
        <v>158.38999999999999</v>
      </c>
      <c r="C262" s="6">
        <f t="shared" si="8"/>
        <v>-3.5858077503775343E-3</v>
      </c>
      <c r="D262" s="6">
        <f t="shared" si="9"/>
        <v>-3.5922521692325466E-3</v>
      </c>
    </row>
    <row r="263" spans="1:4" x14ac:dyDescent="0.25">
      <c r="A263" t="s">
        <v>310</v>
      </c>
      <c r="B263">
        <v>158.96</v>
      </c>
      <c r="C263" s="6">
        <f t="shared" si="8"/>
        <v>-2.226596137286263E-2</v>
      </c>
      <c r="D263" s="6">
        <f t="shared" si="9"/>
        <v>-2.2517590074864893E-2</v>
      </c>
    </row>
    <row r="264" spans="1:4" x14ac:dyDescent="0.25">
      <c r="A264" t="s">
        <v>311</v>
      </c>
      <c r="B264">
        <v>162.58000000000001</v>
      </c>
      <c r="C264" s="6">
        <f t="shared" si="8"/>
        <v>3.7788842078386509E-2</v>
      </c>
      <c r="D264" s="6">
        <f t="shared" si="9"/>
        <v>3.7092336379333971E-2</v>
      </c>
    </row>
    <row r="265" spans="1:4" x14ac:dyDescent="0.25">
      <c r="A265" t="s">
        <v>312</v>
      </c>
      <c r="B265">
        <v>156.66</v>
      </c>
      <c r="C265" s="6">
        <f t="shared" si="8"/>
        <v>1.6348773841961872E-2</v>
      </c>
      <c r="D265" s="6">
        <f t="shared" si="9"/>
        <v>1.6216571589245287E-2</v>
      </c>
    </row>
    <row r="266" spans="1:4" x14ac:dyDescent="0.25">
      <c r="A266" t="s">
        <v>313</v>
      </c>
      <c r="B266">
        <v>154.13999999999999</v>
      </c>
      <c r="C266" s="6">
        <f t="shared" si="8"/>
        <v>-7.0218385621336754E-3</v>
      </c>
      <c r="D266" s="6">
        <f t="shared" si="9"/>
        <v>-7.0466076885048337E-3</v>
      </c>
    </row>
    <row r="267" spans="1:4" x14ac:dyDescent="0.25">
      <c r="A267" t="s">
        <v>314</v>
      </c>
      <c r="B267">
        <v>155.22999999999999</v>
      </c>
      <c r="C267" s="6">
        <f t="shared" si="8"/>
        <v>-1.0895883777239712E-2</v>
      </c>
      <c r="D267" s="6">
        <f t="shared" si="9"/>
        <v>-1.0955678660975184E-2</v>
      </c>
    </row>
    <row r="268" spans="1:4" x14ac:dyDescent="0.25">
      <c r="A268" t="s">
        <v>315</v>
      </c>
      <c r="B268">
        <v>156.94</v>
      </c>
      <c r="C268" s="6">
        <f t="shared" si="8"/>
        <v>-2.4154589371980784E-3</v>
      </c>
      <c r="D268" s="6">
        <f t="shared" si="9"/>
        <v>-2.4183808642816379E-3</v>
      </c>
    </row>
    <row r="269" spans="1:4" x14ac:dyDescent="0.25">
      <c r="A269" t="s">
        <v>316</v>
      </c>
      <c r="B269">
        <v>157.32</v>
      </c>
      <c r="C269" s="6">
        <f t="shared" si="8"/>
        <v>-1.4285714285714346E-2</v>
      </c>
      <c r="D269" s="6">
        <f t="shared" si="9"/>
        <v>-1.4388737452099669E-2</v>
      </c>
    </row>
    <row r="270" spans="1:4" x14ac:dyDescent="0.25">
      <c r="A270" t="s">
        <v>317</v>
      </c>
      <c r="B270">
        <v>159.6</v>
      </c>
      <c r="C270" s="6">
        <f t="shared" si="8"/>
        <v>2.7820710973724738E-2</v>
      </c>
      <c r="D270" s="6">
        <f t="shared" si="9"/>
        <v>2.7440746154953434E-2</v>
      </c>
    </row>
    <row r="271" spans="1:4" x14ac:dyDescent="0.25">
      <c r="A271" t="s">
        <v>318</v>
      </c>
      <c r="B271">
        <v>155.28</v>
      </c>
      <c r="C271" s="6">
        <f t="shared" si="8"/>
        <v>-1.6904083570750128E-2</v>
      </c>
      <c r="D271" s="6">
        <f t="shared" si="9"/>
        <v>-1.7048588387339272E-2</v>
      </c>
    </row>
    <row r="272" spans="1:4" x14ac:dyDescent="0.25">
      <c r="A272" t="s">
        <v>319</v>
      </c>
      <c r="B272">
        <v>157.94999999999999</v>
      </c>
      <c r="C272" s="6">
        <f t="shared" si="8"/>
        <v>-1.3675533907830606E-2</v>
      </c>
      <c r="D272" s="6">
        <f t="shared" si="9"/>
        <v>-1.3769905396393528E-2</v>
      </c>
    </row>
    <row r="273" spans="1:4" x14ac:dyDescent="0.25">
      <c r="A273" t="s">
        <v>320</v>
      </c>
      <c r="B273">
        <v>160.13999999999999</v>
      </c>
      <c r="C273" s="6">
        <f t="shared" si="8"/>
        <v>-1.4964459408904895E-3</v>
      </c>
      <c r="D273" s="6">
        <f t="shared" si="9"/>
        <v>-1.4975667343949677E-3</v>
      </c>
    </row>
    <row r="274" spans="1:4" x14ac:dyDescent="0.25">
      <c r="A274" t="s">
        <v>321</v>
      </c>
      <c r="B274">
        <v>160.38</v>
      </c>
      <c r="C274" s="6">
        <f t="shared" si="8"/>
        <v>4.3837675350699712E-3</v>
      </c>
      <c r="D274" s="6">
        <f t="shared" si="9"/>
        <v>4.3741868157286213E-3</v>
      </c>
    </row>
    <row r="275" spans="1:4" x14ac:dyDescent="0.25">
      <c r="A275" t="s">
        <v>322</v>
      </c>
      <c r="B275">
        <v>159.68</v>
      </c>
      <c r="C275" s="6">
        <f t="shared" si="8"/>
        <v>8.5264952946377814E-3</v>
      </c>
      <c r="D275" s="6">
        <f t="shared" si="9"/>
        <v>8.4903500498110327E-3</v>
      </c>
    </row>
    <row r="276" spans="1:4" x14ac:dyDescent="0.25">
      <c r="A276" t="s">
        <v>323</v>
      </c>
      <c r="B276">
        <v>158.33000000000001</v>
      </c>
      <c r="C276" s="6">
        <f t="shared" si="8"/>
        <v>-2.4039943290390053E-2</v>
      </c>
      <c r="D276" s="6">
        <f t="shared" si="9"/>
        <v>-2.4333618908964617E-2</v>
      </c>
    </row>
    <row r="277" spans="1:4" x14ac:dyDescent="0.25">
      <c r="A277" t="s">
        <v>324</v>
      </c>
      <c r="B277">
        <v>162.22999999999999</v>
      </c>
      <c r="C277" s="6">
        <f t="shared" si="8"/>
        <v>-9.2375908363107051E-4</v>
      </c>
      <c r="D277" s="6">
        <f t="shared" si="9"/>
        <v>-9.2418601199291699E-4</v>
      </c>
    </row>
    <row r="278" spans="1:4" x14ac:dyDescent="0.25">
      <c r="A278" t="s">
        <v>325</v>
      </c>
      <c r="B278">
        <v>162.38</v>
      </c>
      <c r="C278" s="6">
        <f t="shared" si="8"/>
        <v>-8.1241219229125639E-3</v>
      </c>
      <c r="D278" s="6">
        <f t="shared" si="9"/>
        <v>-8.1573024319499671E-3</v>
      </c>
    </row>
    <row r="279" spans="1:4" x14ac:dyDescent="0.25">
      <c r="A279" t="s">
        <v>326</v>
      </c>
      <c r="B279">
        <v>163.71</v>
      </c>
      <c r="C279" s="6">
        <f t="shared" si="8"/>
        <v>9.1228502743019302E-3</v>
      </c>
      <c r="D279" s="6">
        <f t="shared" si="9"/>
        <v>9.0814884439427181E-3</v>
      </c>
    </row>
    <row r="280" spans="1:4" x14ac:dyDescent="0.25">
      <c r="A280" t="s">
        <v>327</v>
      </c>
      <c r="B280">
        <v>162.22999999999999</v>
      </c>
      <c r="C280" s="6">
        <f t="shared" si="8"/>
        <v>-1.2358456106173143E-2</v>
      </c>
      <c r="D280" s="6">
        <f t="shared" si="9"/>
        <v>-1.2435456889738678E-2</v>
      </c>
    </row>
    <row r="281" spans="1:4" x14ac:dyDescent="0.25">
      <c r="A281" t="s">
        <v>328</v>
      </c>
      <c r="B281">
        <v>164.26</v>
      </c>
      <c r="C281" s="6">
        <f t="shared" si="8"/>
        <v>-1.4045618247298886E-2</v>
      </c>
      <c r="D281" s="6">
        <f t="shared" si="9"/>
        <v>-1.4145191420696044E-2</v>
      </c>
    </row>
    <row r="282" spans="1:4" x14ac:dyDescent="0.25">
      <c r="A282" t="s">
        <v>329</v>
      </c>
      <c r="B282">
        <v>166.6</v>
      </c>
      <c r="C282" s="6">
        <f t="shared" si="8"/>
        <v>1.3222743118164182E-3</v>
      </c>
      <c r="D282" s="6">
        <f t="shared" si="9"/>
        <v>1.3214008770007397E-3</v>
      </c>
    </row>
    <row r="283" spans="1:4" x14ac:dyDescent="0.25">
      <c r="A283" t="s">
        <v>330</v>
      </c>
      <c r="B283">
        <v>166.38</v>
      </c>
      <c r="C283" s="6">
        <f t="shared" si="8"/>
        <v>7.5087804287272686E-3</v>
      </c>
      <c r="D283" s="6">
        <f t="shared" si="9"/>
        <v>7.4807298664592917E-3</v>
      </c>
    </row>
    <row r="284" spans="1:4" x14ac:dyDescent="0.25">
      <c r="A284" t="s">
        <v>331</v>
      </c>
      <c r="B284">
        <v>165.14</v>
      </c>
      <c r="C284" s="6">
        <f t="shared" si="8"/>
        <v>2.1021392358105517E-2</v>
      </c>
      <c r="D284" s="6">
        <f t="shared" si="9"/>
        <v>2.0803491321606339E-2</v>
      </c>
    </row>
    <row r="285" spans="1:4" x14ac:dyDescent="0.25">
      <c r="A285" t="s">
        <v>332</v>
      </c>
      <c r="B285">
        <v>161.74</v>
      </c>
      <c r="C285" s="6">
        <f t="shared" si="8"/>
        <v>4.6586744518293255E-3</v>
      </c>
      <c r="D285" s="6">
        <f t="shared" si="9"/>
        <v>4.6478564134731478E-3</v>
      </c>
    </row>
    <row r="286" spans="1:4" x14ac:dyDescent="0.25">
      <c r="A286" t="s">
        <v>333</v>
      </c>
      <c r="B286">
        <v>160.99</v>
      </c>
      <c r="C286" s="6">
        <f t="shared" si="8"/>
        <v>-9.9624869319230314E-3</v>
      </c>
      <c r="D286" s="6">
        <f t="shared" si="9"/>
        <v>-1.0012444583428148E-2</v>
      </c>
    </row>
    <row r="287" spans="1:4" x14ac:dyDescent="0.25">
      <c r="A287" t="s">
        <v>334</v>
      </c>
      <c r="B287">
        <v>162.61000000000001</v>
      </c>
      <c r="C287" s="6">
        <f t="shared" si="8"/>
        <v>0</v>
      </c>
      <c r="D287" s="6">
        <f t="shared" si="9"/>
        <v>0</v>
      </c>
    </row>
    <row r="288" spans="1:4" x14ac:dyDescent="0.25">
      <c r="A288" t="s">
        <v>335</v>
      </c>
      <c r="B288">
        <v>162.61000000000001</v>
      </c>
      <c r="C288" s="6">
        <f t="shared" si="8"/>
        <v>-1.1969862680763166E-2</v>
      </c>
      <c r="D288" s="6">
        <f t="shared" si="9"/>
        <v>-1.2042078339935798E-2</v>
      </c>
    </row>
    <row r="289" spans="1:4" x14ac:dyDescent="0.25">
      <c r="A289" t="s">
        <v>336</v>
      </c>
      <c r="B289">
        <v>164.58</v>
      </c>
      <c r="C289" s="6">
        <f t="shared" si="8"/>
        <v>1.5048723325521207E-2</v>
      </c>
      <c r="D289" s="6">
        <f t="shared" si="9"/>
        <v>1.4936614618005828E-2</v>
      </c>
    </row>
    <row r="290" spans="1:4" x14ac:dyDescent="0.25">
      <c r="A290" t="s">
        <v>337</v>
      </c>
      <c r="B290">
        <v>162.13999999999999</v>
      </c>
      <c r="C290" s="6">
        <f t="shared" si="8"/>
        <v>-1.5005163720308801E-2</v>
      </c>
      <c r="D290" s="6">
        <f t="shared" si="9"/>
        <v>-1.5118880179432817E-2</v>
      </c>
    </row>
    <row r="291" spans="1:4" x14ac:dyDescent="0.25">
      <c r="A291" t="s">
        <v>338</v>
      </c>
      <c r="B291">
        <v>164.61</v>
      </c>
      <c r="C291" s="6">
        <f t="shared" si="8"/>
        <v>-1.0519355614330372E-2</v>
      </c>
      <c r="D291" s="6">
        <f t="shared" si="9"/>
        <v>-1.0575075135717215E-2</v>
      </c>
    </row>
    <row r="292" spans="1:4" x14ac:dyDescent="0.25">
      <c r="A292" t="s">
        <v>339</v>
      </c>
      <c r="B292">
        <v>166.36</v>
      </c>
      <c r="C292" s="6">
        <f t="shared" si="8"/>
        <v>9.3435262710837019E-3</v>
      </c>
      <c r="D292" s="6">
        <f t="shared" si="9"/>
        <v>9.3001455394735207E-3</v>
      </c>
    </row>
    <row r="293" spans="1:4" x14ac:dyDescent="0.25">
      <c r="A293" t="s">
        <v>340</v>
      </c>
      <c r="B293">
        <v>164.82</v>
      </c>
      <c r="C293" s="6">
        <f t="shared" si="8"/>
        <v>-3.8221392309038982E-2</v>
      </c>
      <c r="D293" s="6">
        <f t="shared" si="9"/>
        <v>-3.8970992337520362E-2</v>
      </c>
    </row>
    <row r="294" spans="1:4" x14ac:dyDescent="0.25">
      <c r="A294" t="s">
        <v>341</v>
      </c>
      <c r="B294">
        <v>171.37</v>
      </c>
      <c r="C294" s="6">
        <f t="shared" si="8"/>
        <v>1.6791266168268759E-2</v>
      </c>
      <c r="D294" s="6">
        <f t="shared" si="9"/>
        <v>1.6651851328550592E-2</v>
      </c>
    </row>
    <row r="295" spans="1:4" x14ac:dyDescent="0.25">
      <c r="A295" t="s">
        <v>342</v>
      </c>
      <c r="B295">
        <v>168.54</v>
      </c>
      <c r="C295" s="6">
        <f t="shared" si="8"/>
        <v>-6.6599870336535583E-3</v>
      </c>
      <c r="D295" s="6">
        <f t="shared" si="9"/>
        <v>-6.6822637106408334E-3</v>
      </c>
    </row>
    <row r="296" spans="1:4" x14ac:dyDescent="0.25">
      <c r="A296" t="s">
        <v>343</v>
      </c>
      <c r="B296">
        <v>169.67</v>
      </c>
      <c r="C296" s="6">
        <f t="shared" si="8"/>
        <v>-1.6120614670919076E-2</v>
      </c>
      <c r="D296" s="6">
        <f t="shared" si="9"/>
        <v>-1.6251965328001744E-2</v>
      </c>
    </row>
    <row r="297" spans="1:4" x14ac:dyDescent="0.25">
      <c r="A297" t="s">
        <v>344</v>
      </c>
      <c r="B297">
        <v>172.45</v>
      </c>
      <c r="C297" s="6">
        <f t="shared" si="8"/>
        <v>6.4783471460254649E-3</v>
      </c>
      <c r="D297" s="6">
        <f t="shared" si="9"/>
        <v>6.4574528469520352E-3</v>
      </c>
    </row>
    <row r="298" spans="1:4" x14ac:dyDescent="0.25">
      <c r="A298" t="s">
        <v>345</v>
      </c>
      <c r="B298">
        <v>171.34</v>
      </c>
      <c r="C298" s="6">
        <f t="shared" si="8"/>
        <v>-3.605489648755511E-3</v>
      </c>
      <c r="D298" s="6">
        <f t="shared" si="9"/>
        <v>-3.6120050921828822E-3</v>
      </c>
    </row>
    <row r="299" spans="1:4" x14ac:dyDescent="0.25">
      <c r="A299" t="s">
        <v>346</v>
      </c>
      <c r="B299">
        <v>171.96</v>
      </c>
      <c r="C299" s="6">
        <f t="shared" si="8"/>
        <v>-3.8308819417258499E-2</v>
      </c>
      <c r="D299" s="6">
        <f t="shared" si="9"/>
        <v>-3.9061897959030735E-2</v>
      </c>
    </row>
    <row r="300" spans="1:4" x14ac:dyDescent="0.25">
      <c r="A300" t="s">
        <v>347</v>
      </c>
      <c r="B300">
        <v>178.81</v>
      </c>
      <c r="C300" s="6">
        <f t="shared" si="8"/>
        <v>3.8687191402846377E-2</v>
      </c>
      <c r="D300" s="6">
        <f t="shared" si="9"/>
        <v>3.7957599802578831E-2</v>
      </c>
    </row>
    <row r="301" spans="1:4" x14ac:dyDescent="0.25">
      <c r="A301" t="s">
        <v>348</v>
      </c>
      <c r="B301">
        <v>172.15</v>
      </c>
      <c r="C301" s="6">
        <f t="shared" si="8"/>
        <v>7.2552805570182954E-3</v>
      </c>
      <c r="D301" s="6">
        <f t="shared" si="9"/>
        <v>7.2290876241188559E-3</v>
      </c>
    </row>
    <row r="302" spans="1:4" x14ac:dyDescent="0.25">
      <c r="A302" t="s">
        <v>349</v>
      </c>
      <c r="B302">
        <v>170.91</v>
      </c>
      <c r="C302" s="6">
        <f t="shared" si="8"/>
        <v>1.9202099111455651E-2</v>
      </c>
      <c r="D302" s="6">
        <f t="shared" si="9"/>
        <v>1.9020065401395701E-2</v>
      </c>
    </row>
    <row r="303" spans="1:4" x14ac:dyDescent="0.25">
      <c r="A303" t="s">
        <v>350</v>
      </c>
      <c r="B303">
        <v>167.69</v>
      </c>
      <c r="C303" s="6">
        <f t="shared" si="8"/>
        <v>3.1706149796602023E-3</v>
      </c>
      <c r="D303" s="6">
        <f t="shared" si="9"/>
        <v>3.1655991793035354E-3</v>
      </c>
    </row>
    <row r="304" spans="1:4" x14ac:dyDescent="0.25">
      <c r="A304" t="s">
        <v>351</v>
      </c>
      <c r="B304">
        <v>167.16</v>
      </c>
      <c r="C304" s="6">
        <f t="shared" si="8"/>
        <v>-1.6126142268411137E-3</v>
      </c>
      <c r="D304" s="6">
        <f t="shared" si="9"/>
        <v>-1.613915888737298E-3</v>
      </c>
    </row>
    <row r="305" spans="1:4" x14ac:dyDescent="0.25">
      <c r="A305" t="s">
        <v>352</v>
      </c>
      <c r="B305">
        <v>167.43</v>
      </c>
      <c r="C305" s="6">
        <f t="shared" si="8"/>
        <v>2.9952674773856547E-3</v>
      </c>
      <c r="D305" s="6">
        <f t="shared" si="9"/>
        <v>2.9907906011551379E-3</v>
      </c>
    </row>
    <row r="306" spans="1:4" x14ac:dyDescent="0.25">
      <c r="A306" t="s">
        <v>353</v>
      </c>
      <c r="B306">
        <v>166.93</v>
      </c>
      <c r="C306" s="6">
        <f t="shared" si="8"/>
        <v>-4.7695701424907977E-3</v>
      </c>
      <c r="D306" s="6">
        <f t="shared" si="9"/>
        <v>-4.7809808393668397E-3</v>
      </c>
    </row>
    <row r="307" spans="1:4" x14ac:dyDescent="0.25">
      <c r="A307" t="s">
        <v>354</v>
      </c>
      <c r="B307">
        <v>167.73</v>
      </c>
      <c r="C307" s="6">
        <f t="shared" si="8"/>
        <v>5.8167426241304554E-3</v>
      </c>
      <c r="D307" s="6">
        <f t="shared" si="9"/>
        <v>5.7998906940674583E-3</v>
      </c>
    </row>
    <row r="308" spans="1:4" x14ac:dyDescent="0.25">
      <c r="A308" t="s">
        <v>355</v>
      </c>
      <c r="B308">
        <v>166.76</v>
      </c>
      <c r="C308" s="6">
        <f t="shared" si="8"/>
        <v>-4.0016723406798294E-3</v>
      </c>
      <c r="D308" s="6">
        <f t="shared" si="9"/>
        <v>-4.0097004558558953E-3</v>
      </c>
    </row>
    <row r="309" spans="1:4" x14ac:dyDescent="0.25">
      <c r="A309" t="s">
        <v>356</v>
      </c>
      <c r="B309">
        <v>167.43</v>
      </c>
      <c r="C309" s="6">
        <f t="shared" si="8"/>
        <v>-4.8314670607628063E-2</v>
      </c>
      <c r="D309" s="6">
        <f t="shared" si="9"/>
        <v>-4.9520835182502894E-2</v>
      </c>
    </row>
    <row r="310" spans="1:4" x14ac:dyDescent="0.25">
      <c r="A310" t="s">
        <v>357</v>
      </c>
      <c r="B310">
        <v>175.93</v>
      </c>
      <c r="C310" s="6">
        <f t="shared" si="8"/>
        <v>5.3220785440613039E-2</v>
      </c>
      <c r="D310" s="6">
        <f t="shared" si="9"/>
        <v>5.1852883956680869E-2</v>
      </c>
    </row>
    <row r="311" spans="1:4" x14ac:dyDescent="0.25">
      <c r="A311" t="s">
        <v>358</v>
      </c>
      <c r="B311">
        <v>167.04</v>
      </c>
      <c r="C311" s="6">
        <f t="shared" si="8"/>
        <v>1.9406810692053966E-2</v>
      </c>
      <c r="D311" s="6">
        <f t="shared" si="9"/>
        <v>1.9220899980605034E-2</v>
      </c>
    </row>
    <row r="312" spans="1:4" x14ac:dyDescent="0.25">
      <c r="A312" t="s">
        <v>359</v>
      </c>
      <c r="B312">
        <v>163.86</v>
      </c>
      <c r="C312" s="6">
        <f t="shared" si="8"/>
        <v>2.4253031628953758E-2</v>
      </c>
      <c r="D312" s="6">
        <f t="shared" si="9"/>
        <v>2.3963597292992959E-2</v>
      </c>
    </row>
    <row r="313" spans="1:4" x14ac:dyDescent="0.25">
      <c r="A313" t="s">
        <v>360</v>
      </c>
      <c r="B313">
        <v>159.97999999999999</v>
      </c>
      <c r="C313" s="6">
        <f t="shared" si="8"/>
        <v>-1.3732833957552648E-3</v>
      </c>
      <c r="D313" s="6">
        <f t="shared" si="9"/>
        <v>-1.3742272135829864E-3</v>
      </c>
    </row>
    <row r="314" spans="1:4" x14ac:dyDescent="0.25">
      <c r="A314" t="s">
        <v>361</v>
      </c>
      <c r="B314">
        <v>160.19999999999999</v>
      </c>
      <c r="C314" s="6">
        <f t="shared" si="8"/>
        <v>1.4823261117445696E-2</v>
      </c>
      <c r="D314" s="6">
        <f t="shared" si="9"/>
        <v>1.4714470354002342E-2</v>
      </c>
    </row>
    <row r="315" spans="1:4" x14ac:dyDescent="0.25">
      <c r="A315" t="s">
        <v>362</v>
      </c>
      <c r="B315">
        <v>157.86000000000001</v>
      </c>
      <c r="C315" s="6">
        <f t="shared" si="8"/>
        <v>7.6599004212947186E-3</v>
      </c>
      <c r="D315" s="6">
        <f t="shared" si="9"/>
        <v>7.6307123411640792E-3</v>
      </c>
    </row>
    <row r="316" spans="1:4" x14ac:dyDescent="0.25">
      <c r="A316" t="s">
        <v>363</v>
      </c>
      <c r="B316">
        <v>156.66</v>
      </c>
      <c r="C316" s="6">
        <f t="shared" si="8"/>
        <v>9.9929082586549534E-3</v>
      </c>
      <c r="D316" s="6">
        <f t="shared" si="9"/>
        <v>9.9433093024328487E-3</v>
      </c>
    </row>
    <row r="317" spans="1:4" x14ac:dyDescent="0.25">
      <c r="A317" t="s">
        <v>364</v>
      </c>
      <c r="B317">
        <v>155.11000000000001</v>
      </c>
      <c r="C317" s="6">
        <f t="shared" si="8"/>
        <v>-1.2729934440837587E-2</v>
      </c>
      <c r="D317" s="6">
        <f t="shared" si="9"/>
        <v>-1.2811654322846524E-2</v>
      </c>
    </row>
    <row r="318" spans="1:4" x14ac:dyDescent="0.25">
      <c r="A318" t="s">
        <v>365</v>
      </c>
      <c r="B318">
        <v>157.11000000000001</v>
      </c>
      <c r="C318" s="6">
        <f t="shared" si="8"/>
        <v>1.8013348020475606E-2</v>
      </c>
      <c r="D318" s="6">
        <f t="shared" si="9"/>
        <v>1.7853030046765892E-2</v>
      </c>
    </row>
    <row r="319" spans="1:4" x14ac:dyDescent="0.25">
      <c r="A319" t="s">
        <v>366</v>
      </c>
      <c r="B319">
        <v>154.33000000000001</v>
      </c>
      <c r="C319" s="6">
        <f t="shared" si="8"/>
        <v>-1.1402216385881792E-2</v>
      </c>
      <c r="D319" s="6">
        <f t="shared" si="9"/>
        <v>-1.1467720055835183E-2</v>
      </c>
    </row>
    <row r="320" spans="1:4" x14ac:dyDescent="0.25">
      <c r="A320" t="s">
        <v>367</v>
      </c>
      <c r="B320">
        <v>156.11000000000001</v>
      </c>
      <c r="C320" s="6">
        <f t="shared" si="8"/>
        <v>8.9760851445808143E-4</v>
      </c>
      <c r="D320" s="6">
        <f t="shared" si="9"/>
        <v>8.9720590484133498E-4</v>
      </c>
    </row>
    <row r="321" spans="1:4" x14ac:dyDescent="0.25">
      <c r="A321" t="s">
        <v>368</v>
      </c>
      <c r="B321">
        <v>155.97</v>
      </c>
      <c r="C321" s="6">
        <f t="shared" si="8"/>
        <v>-2.1113243761996525E-3</v>
      </c>
      <c r="D321" s="6">
        <f t="shared" si="9"/>
        <v>-2.1135563636968673E-3</v>
      </c>
    </row>
    <row r="322" spans="1:4" x14ac:dyDescent="0.25">
      <c r="A322" t="s">
        <v>369</v>
      </c>
      <c r="B322">
        <v>156.30000000000001</v>
      </c>
      <c r="C322" s="6">
        <f t="shared" si="8"/>
        <v>-2.7435717475912114E-3</v>
      </c>
      <c r="D322" s="6">
        <f t="shared" si="9"/>
        <v>-2.7473422385456501E-3</v>
      </c>
    </row>
    <row r="323" spans="1:4" x14ac:dyDescent="0.25">
      <c r="A323" t="s">
        <v>370</v>
      </c>
      <c r="B323">
        <v>156.72999999999999</v>
      </c>
      <c r="C323" s="6">
        <f t="shared" ref="C323:C386" si="10">(B323/B324)-1</f>
        <v>1.0770024506642439E-2</v>
      </c>
      <c r="D323" s="6">
        <f t="shared" ref="D323:D386" si="11">LN(B323/B324)</f>
        <v>1.0712440875163655E-2</v>
      </c>
    </row>
    <row r="324" spans="1:4" x14ac:dyDescent="0.25">
      <c r="A324" t="s">
        <v>371</v>
      </c>
      <c r="B324">
        <v>155.06</v>
      </c>
      <c r="C324" s="6">
        <f t="shared" si="10"/>
        <v>-1.1979100293105671E-2</v>
      </c>
      <c r="D324" s="6">
        <f t="shared" si="11"/>
        <v>-1.2051427908514222E-2</v>
      </c>
    </row>
    <row r="325" spans="1:4" x14ac:dyDescent="0.25">
      <c r="A325" t="s">
        <v>372</v>
      </c>
      <c r="B325">
        <v>156.94</v>
      </c>
      <c r="C325" s="6">
        <f t="shared" si="10"/>
        <v>3.222836095764281E-2</v>
      </c>
      <c r="D325" s="6">
        <f t="shared" si="11"/>
        <v>3.1719922578279242E-2</v>
      </c>
    </row>
    <row r="326" spans="1:4" x14ac:dyDescent="0.25">
      <c r="A326" t="s">
        <v>373</v>
      </c>
      <c r="B326">
        <v>152.04</v>
      </c>
      <c r="C326" s="6">
        <f t="shared" si="10"/>
        <v>-8.1544784395589653E-3</v>
      </c>
      <c r="D326" s="6">
        <f t="shared" si="11"/>
        <v>-8.1879080569679935E-3</v>
      </c>
    </row>
    <row r="327" spans="1:4" x14ac:dyDescent="0.25">
      <c r="A327" t="s">
        <v>374</v>
      </c>
      <c r="B327">
        <v>153.29</v>
      </c>
      <c r="C327" s="6">
        <f t="shared" si="10"/>
        <v>1.3718317219753029E-3</v>
      </c>
      <c r="D327" s="6">
        <f t="shared" si="11"/>
        <v>1.3708916205143811E-3</v>
      </c>
    </row>
    <row r="328" spans="1:4" x14ac:dyDescent="0.25">
      <c r="A328" t="s">
        <v>375</v>
      </c>
      <c r="B328">
        <v>153.08000000000001</v>
      </c>
      <c r="C328" s="6">
        <f t="shared" si="10"/>
        <v>1.0362352319978951E-2</v>
      </c>
      <c r="D328" s="6">
        <f t="shared" si="11"/>
        <v>1.0309031185757494E-2</v>
      </c>
    </row>
    <row r="329" spans="1:4" x14ac:dyDescent="0.25">
      <c r="A329" t="s">
        <v>376</v>
      </c>
      <c r="B329">
        <v>151.51</v>
      </c>
      <c r="C329" s="6">
        <f t="shared" si="10"/>
        <v>-1.2706894304704952E-2</v>
      </c>
      <c r="D329" s="6">
        <f t="shared" si="11"/>
        <v>-1.2788317377775232E-2</v>
      </c>
    </row>
    <row r="330" spans="1:4" x14ac:dyDescent="0.25">
      <c r="A330" t="s">
        <v>377</v>
      </c>
      <c r="B330">
        <v>153.46</v>
      </c>
      <c r="C330" s="6">
        <f t="shared" si="10"/>
        <v>-5.443940375891132E-3</v>
      </c>
      <c r="D330" s="6">
        <f t="shared" si="11"/>
        <v>-5.4588126195959895E-3</v>
      </c>
    </row>
    <row r="331" spans="1:4" x14ac:dyDescent="0.25">
      <c r="A331" t="s">
        <v>378</v>
      </c>
      <c r="B331">
        <v>154.30000000000001</v>
      </c>
      <c r="C331" s="6">
        <f t="shared" si="10"/>
        <v>-1.1594388572160663E-2</v>
      </c>
      <c r="D331" s="6">
        <f t="shared" si="11"/>
        <v>-1.166212759946011E-2</v>
      </c>
    </row>
    <row r="332" spans="1:4" x14ac:dyDescent="0.25">
      <c r="A332" t="s">
        <v>379</v>
      </c>
      <c r="B332">
        <v>156.11000000000001</v>
      </c>
      <c r="C332" s="6">
        <f t="shared" si="10"/>
        <v>-1.6382080524226517E-2</v>
      </c>
      <c r="D332" s="6">
        <f t="shared" si="11"/>
        <v>-1.6517750550891871E-2</v>
      </c>
    </row>
    <row r="333" spans="1:4" x14ac:dyDescent="0.25">
      <c r="A333" t="s">
        <v>380</v>
      </c>
      <c r="B333">
        <v>158.71</v>
      </c>
      <c r="C333" s="6">
        <f t="shared" si="10"/>
        <v>-1.4039883208051163E-2</v>
      </c>
      <c r="D333" s="6">
        <f t="shared" si="11"/>
        <v>-1.4139374698670852E-2</v>
      </c>
    </row>
    <row r="334" spans="1:4" x14ac:dyDescent="0.25">
      <c r="A334" t="s">
        <v>381</v>
      </c>
      <c r="B334">
        <v>160.97</v>
      </c>
      <c r="C334" s="6">
        <f t="shared" si="10"/>
        <v>6.8382444361536621E-4</v>
      </c>
      <c r="D334" s="6">
        <f t="shared" si="11"/>
        <v>6.8359074221494096E-4</v>
      </c>
    </row>
    <row r="335" spans="1:4" x14ac:dyDescent="0.25">
      <c r="A335" t="s">
        <v>382</v>
      </c>
      <c r="B335">
        <v>160.86000000000001</v>
      </c>
      <c r="C335" s="6">
        <f t="shared" si="10"/>
        <v>-8.4448005917523439E-3</v>
      </c>
      <c r="D335" s="6">
        <f t="shared" si="11"/>
        <v>-8.4806599463845295E-3</v>
      </c>
    </row>
    <row r="336" spans="1:4" x14ac:dyDescent="0.25">
      <c r="A336" t="s">
        <v>383</v>
      </c>
      <c r="B336">
        <v>162.22999999999999</v>
      </c>
      <c r="C336" s="6">
        <f t="shared" si="10"/>
        <v>-2.4595708048945619E-3</v>
      </c>
      <c r="D336" s="6">
        <f t="shared" si="11"/>
        <v>-2.4626005180489598E-3</v>
      </c>
    </row>
    <row r="337" spans="1:4" x14ac:dyDescent="0.25">
      <c r="A337" t="s">
        <v>384</v>
      </c>
      <c r="B337">
        <v>162.63</v>
      </c>
      <c r="C337" s="6">
        <f t="shared" si="10"/>
        <v>3.9508611642693481E-3</v>
      </c>
      <c r="D337" s="6">
        <f t="shared" si="11"/>
        <v>3.9430770083098959E-3</v>
      </c>
    </row>
    <row r="338" spans="1:4" x14ac:dyDescent="0.25">
      <c r="A338" t="s">
        <v>385</v>
      </c>
      <c r="B338">
        <v>161.99</v>
      </c>
      <c r="C338" s="6">
        <f t="shared" si="10"/>
        <v>-9.2354740061161289E-3</v>
      </c>
      <c r="D338" s="6">
        <f t="shared" si="11"/>
        <v>-9.2783854052614408E-3</v>
      </c>
    </row>
    <row r="339" spans="1:4" x14ac:dyDescent="0.25">
      <c r="A339" t="s">
        <v>386</v>
      </c>
      <c r="B339">
        <v>163.5</v>
      </c>
      <c r="C339" s="6">
        <f t="shared" si="10"/>
        <v>-1.1008952334865652E-2</v>
      </c>
      <c r="D339" s="6">
        <f t="shared" si="11"/>
        <v>-1.1069999306223464E-2</v>
      </c>
    </row>
    <row r="340" spans="1:4" x14ac:dyDescent="0.25">
      <c r="A340" t="s">
        <v>387</v>
      </c>
      <c r="B340">
        <v>165.32</v>
      </c>
      <c r="C340" s="6">
        <f t="shared" si="10"/>
        <v>-1.7764838690511597E-2</v>
      </c>
      <c r="D340" s="6">
        <f t="shared" si="11"/>
        <v>-1.7924527494543284E-2</v>
      </c>
    </row>
    <row r="341" spans="1:4" x14ac:dyDescent="0.25">
      <c r="A341" t="s">
        <v>388</v>
      </c>
      <c r="B341">
        <v>168.31</v>
      </c>
      <c r="C341" s="6">
        <f t="shared" si="10"/>
        <v>2.8002859866540497E-3</v>
      </c>
      <c r="D341" s="6">
        <f t="shared" si="11"/>
        <v>2.7963724900879009E-3</v>
      </c>
    </row>
    <row r="342" spans="1:4" x14ac:dyDescent="0.25">
      <c r="A342" t="s">
        <v>389</v>
      </c>
      <c r="B342">
        <v>167.84</v>
      </c>
      <c r="C342" s="6">
        <f t="shared" si="10"/>
        <v>4.0078961536160751E-3</v>
      </c>
      <c r="D342" s="6">
        <f t="shared" si="11"/>
        <v>3.9998859334476307E-3</v>
      </c>
    </row>
    <row r="343" spans="1:4" x14ac:dyDescent="0.25">
      <c r="A343" t="s">
        <v>390</v>
      </c>
      <c r="B343">
        <v>167.17</v>
      </c>
      <c r="C343" s="6">
        <f t="shared" si="10"/>
        <v>1.4073400060661267E-2</v>
      </c>
      <c r="D343" s="6">
        <f t="shared" si="11"/>
        <v>1.3975289196799408E-2</v>
      </c>
    </row>
    <row r="344" spans="1:4" x14ac:dyDescent="0.25">
      <c r="A344" t="s">
        <v>391</v>
      </c>
      <c r="B344">
        <v>164.85</v>
      </c>
      <c r="C344" s="6">
        <f t="shared" si="10"/>
        <v>2.4804177545691752E-2</v>
      </c>
      <c r="D344" s="6">
        <f t="shared" si="11"/>
        <v>2.4501548041816982E-2</v>
      </c>
    </row>
    <row r="345" spans="1:4" x14ac:dyDescent="0.25">
      <c r="A345" t="s">
        <v>392</v>
      </c>
      <c r="B345">
        <v>160.86000000000001</v>
      </c>
      <c r="C345" s="6">
        <f t="shared" si="10"/>
        <v>2.517366643298713E-2</v>
      </c>
      <c r="D345" s="6">
        <f t="shared" si="11"/>
        <v>2.4862028904946123E-2</v>
      </c>
    </row>
    <row r="346" spans="1:4" x14ac:dyDescent="0.25">
      <c r="A346" t="s">
        <v>393</v>
      </c>
      <c r="B346">
        <v>156.91</v>
      </c>
      <c r="C346" s="6">
        <f t="shared" si="10"/>
        <v>1.9558154645873849E-2</v>
      </c>
      <c r="D346" s="6">
        <f t="shared" si="11"/>
        <v>1.9369351726143236E-2</v>
      </c>
    </row>
    <row r="347" spans="1:4" x14ac:dyDescent="0.25">
      <c r="A347" t="s">
        <v>394</v>
      </c>
      <c r="B347">
        <v>153.9</v>
      </c>
      <c r="C347" s="6">
        <f t="shared" si="10"/>
        <v>-2.5984149668700773E-4</v>
      </c>
      <c r="D347" s="6">
        <f t="shared" si="11"/>
        <v>-2.5987526133780628E-4</v>
      </c>
    </row>
    <row r="348" spans="1:4" x14ac:dyDescent="0.25">
      <c r="A348" t="s">
        <v>395</v>
      </c>
      <c r="B348">
        <v>153.94</v>
      </c>
      <c r="C348" s="6">
        <f t="shared" si="10"/>
        <v>5.2896231959773665E-3</v>
      </c>
      <c r="D348" s="6">
        <f t="shared" si="11"/>
        <v>5.2756822790551309E-3</v>
      </c>
    </row>
    <row r="349" spans="1:4" x14ac:dyDescent="0.25">
      <c r="A349" t="s">
        <v>396</v>
      </c>
      <c r="B349">
        <v>153.13</v>
      </c>
      <c r="C349" s="6">
        <f t="shared" si="10"/>
        <v>9.3599630874694473E-3</v>
      </c>
      <c r="D349" s="6">
        <f t="shared" si="11"/>
        <v>9.3164300671149027E-3</v>
      </c>
    </row>
    <row r="350" spans="1:4" x14ac:dyDescent="0.25">
      <c r="A350" t="s">
        <v>397</v>
      </c>
      <c r="B350">
        <v>151.71</v>
      </c>
      <c r="C350" s="6">
        <f t="shared" si="10"/>
        <v>7.3705179282870237E-3</v>
      </c>
      <c r="D350" s="6">
        <f t="shared" si="11"/>
        <v>7.3434883942083192E-3</v>
      </c>
    </row>
    <row r="351" spans="1:4" x14ac:dyDescent="0.25">
      <c r="A351" t="s">
        <v>398</v>
      </c>
      <c r="B351">
        <v>150.6</v>
      </c>
      <c r="C351" s="6">
        <f t="shared" si="10"/>
        <v>1.7980262268487257E-2</v>
      </c>
      <c r="D351" s="6">
        <f t="shared" si="11"/>
        <v>1.7820529206071637E-2</v>
      </c>
    </row>
    <row r="352" spans="1:4" x14ac:dyDescent="0.25">
      <c r="A352" t="s">
        <v>399</v>
      </c>
      <c r="B352">
        <v>147.94</v>
      </c>
      <c r="C352" s="6">
        <f t="shared" si="10"/>
        <v>1.3426496780380992E-2</v>
      </c>
      <c r="D352" s="6">
        <f t="shared" si="11"/>
        <v>1.333716013623547E-2</v>
      </c>
    </row>
    <row r="353" spans="1:4" x14ac:dyDescent="0.25">
      <c r="A353" t="s">
        <v>400</v>
      </c>
      <c r="B353">
        <v>145.97999999999999</v>
      </c>
      <c r="C353" s="6">
        <f t="shared" si="10"/>
        <v>6.4115822130297317E-3</v>
      </c>
      <c r="D353" s="6">
        <f t="shared" si="11"/>
        <v>6.3911154560729651E-3</v>
      </c>
    </row>
    <row r="354" spans="1:4" x14ac:dyDescent="0.25">
      <c r="A354" t="s">
        <v>401</v>
      </c>
      <c r="B354">
        <v>145.05000000000001</v>
      </c>
      <c r="C354" s="6">
        <f t="shared" si="10"/>
        <v>-4.324546952224062E-3</v>
      </c>
      <c r="D354" s="6">
        <f t="shared" si="11"/>
        <v>-4.3339248519394993E-3</v>
      </c>
    </row>
    <row r="355" spans="1:4" x14ac:dyDescent="0.25">
      <c r="A355" t="s">
        <v>402</v>
      </c>
      <c r="B355">
        <v>145.68</v>
      </c>
      <c r="C355" s="6">
        <f t="shared" si="10"/>
        <v>-6.4111308143499635E-3</v>
      </c>
      <c r="D355" s="6">
        <f t="shared" si="11"/>
        <v>-6.4317703760879514E-3</v>
      </c>
    </row>
    <row r="356" spans="1:4" x14ac:dyDescent="0.25">
      <c r="A356" t="s">
        <v>403</v>
      </c>
      <c r="B356">
        <v>146.62</v>
      </c>
      <c r="C356" s="6">
        <f t="shared" si="10"/>
        <v>-1.7489780875159067E-2</v>
      </c>
      <c r="D356" s="6">
        <f t="shared" si="11"/>
        <v>-1.7644534147936014E-2</v>
      </c>
    </row>
    <row r="357" spans="1:4" x14ac:dyDescent="0.25">
      <c r="A357" t="s">
        <v>404</v>
      </c>
      <c r="B357">
        <v>149.22999999999999</v>
      </c>
      <c r="C357" s="6">
        <f t="shared" si="10"/>
        <v>8.7879402420061314E-3</v>
      </c>
      <c r="D357" s="6">
        <f t="shared" si="11"/>
        <v>8.7495510392319679E-3</v>
      </c>
    </row>
    <row r="358" spans="1:4" x14ac:dyDescent="0.25">
      <c r="A358" t="s">
        <v>405</v>
      </c>
      <c r="B358">
        <v>147.93</v>
      </c>
      <c r="C358" s="6">
        <f t="shared" si="10"/>
        <v>7.2172669707906145E-3</v>
      </c>
      <c r="D358" s="6">
        <f t="shared" si="11"/>
        <v>7.1913471383734991E-3</v>
      </c>
    </row>
    <row r="359" spans="1:4" x14ac:dyDescent="0.25">
      <c r="A359" t="s">
        <v>406</v>
      </c>
      <c r="B359">
        <v>146.87</v>
      </c>
      <c r="C359" s="6">
        <f t="shared" si="10"/>
        <v>8.583985716247744E-3</v>
      </c>
      <c r="D359" s="6">
        <f t="shared" si="11"/>
        <v>8.5473527992060167E-3</v>
      </c>
    </row>
    <row r="360" spans="1:4" x14ac:dyDescent="0.25">
      <c r="A360" t="s">
        <v>407</v>
      </c>
      <c r="B360">
        <v>145.62</v>
      </c>
      <c r="C360" s="6">
        <f t="shared" si="10"/>
        <v>8.2474226804118977E-4</v>
      </c>
      <c r="D360" s="6">
        <f t="shared" si="11"/>
        <v>8.2440235501776216E-4</v>
      </c>
    </row>
    <row r="361" spans="1:4" x14ac:dyDescent="0.25">
      <c r="A361" t="s">
        <v>408</v>
      </c>
      <c r="B361">
        <v>145.5</v>
      </c>
      <c r="C361" s="6">
        <f t="shared" si="10"/>
        <v>-5.4682159945318443E-3</v>
      </c>
      <c r="D361" s="6">
        <f t="shared" si="11"/>
        <v>-5.483221414531482E-3</v>
      </c>
    </row>
    <row r="362" spans="1:4" x14ac:dyDescent="0.25">
      <c r="A362" t="s">
        <v>409</v>
      </c>
      <c r="B362">
        <v>146.30000000000001</v>
      </c>
      <c r="C362" s="6">
        <f t="shared" si="10"/>
        <v>3.7047200878157494E-3</v>
      </c>
      <c r="D362" s="6">
        <f t="shared" si="11"/>
        <v>3.6978745144305961E-3</v>
      </c>
    </row>
    <row r="363" spans="1:4" x14ac:dyDescent="0.25">
      <c r="A363" t="s">
        <v>410</v>
      </c>
      <c r="B363">
        <v>145.76</v>
      </c>
      <c r="C363" s="6">
        <f t="shared" si="10"/>
        <v>-1.3668967383949182E-2</v>
      </c>
      <c r="D363" s="6">
        <f t="shared" si="11"/>
        <v>-1.3763247848853424E-2</v>
      </c>
    </row>
    <row r="364" spans="1:4" x14ac:dyDescent="0.25">
      <c r="A364" t="s">
        <v>411</v>
      </c>
      <c r="B364">
        <v>147.78</v>
      </c>
      <c r="C364" s="6">
        <f t="shared" si="10"/>
        <v>9.0126997132322639E-3</v>
      </c>
      <c r="D364" s="6">
        <f t="shared" si="11"/>
        <v>8.9723277275778265E-3</v>
      </c>
    </row>
    <row r="365" spans="1:4" x14ac:dyDescent="0.25">
      <c r="A365" t="s">
        <v>412</v>
      </c>
      <c r="B365">
        <v>146.46</v>
      </c>
      <c r="C365" s="6">
        <f t="shared" si="10"/>
        <v>5.5612770339856787E-3</v>
      </c>
      <c r="D365" s="6">
        <f t="shared" si="11"/>
        <v>5.5458702274801888E-3</v>
      </c>
    </row>
    <row r="366" spans="1:4" x14ac:dyDescent="0.25">
      <c r="A366" t="s">
        <v>413</v>
      </c>
      <c r="B366">
        <v>145.65</v>
      </c>
      <c r="C366" s="6">
        <f t="shared" si="10"/>
        <v>-1.0059131380411812E-2</v>
      </c>
      <c r="D366" s="6">
        <f t="shared" si="11"/>
        <v>-1.0110066304411946E-2</v>
      </c>
    </row>
    <row r="367" spans="1:4" x14ac:dyDescent="0.25">
      <c r="A367" t="s">
        <v>414</v>
      </c>
      <c r="B367">
        <v>147.13</v>
      </c>
      <c r="C367" s="6">
        <f t="shared" si="10"/>
        <v>8.4995544588388761E-3</v>
      </c>
      <c r="D367" s="6">
        <f t="shared" si="11"/>
        <v>8.4636366260515319E-3</v>
      </c>
    </row>
    <row r="368" spans="1:4" x14ac:dyDescent="0.25">
      <c r="A368" t="s">
        <v>415</v>
      </c>
      <c r="B368">
        <v>145.88999999999999</v>
      </c>
      <c r="C368" s="6">
        <f t="shared" si="10"/>
        <v>1.0878603104212736E-2</v>
      </c>
      <c r="D368" s="6">
        <f t="shared" si="11"/>
        <v>1.0819856769490467E-2</v>
      </c>
    </row>
    <row r="369" spans="1:4" x14ac:dyDescent="0.25">
      <c r="A369" t="s">
        <v>416</v>
      </c>
      <c r="B369">
        <v>144.32</v>
      </c>
      <c r="C369" s="6">
        <f t="shared" si="10"/>
        <v>4.2446593834806201E-3</v>
      </c>
      <c r="D369" s="6">
        <f t="shared" si="11"/>
        <v>4.2356762281580184E-3</v>
      </c>
    </row>
    <row r="370" spans="1:4" x14ac:dyDescent="0.25">
      <c r="A370" t="s">
        <v>417</v>
      </c>
      <c r="B370">
        <v>143.71</v>
      </c>
      <c r="C370" s="6">
        <f t="shared" si="10"/>
        <v>8.7035867200113692E-3</v>
      </c>
      <c r="D370" s="6">
        <f t="shared" si="11"/>
        <v>8.6659288570154827E-3</v>
      </c>
    </row>
    <row r="371" spans="1:4" x14ac:dyDescent="0.25">
      <c r="A371" t="s">
        <v>418</v>
      </c>
      <c r="B371">
        <v>142.47</v>
      </c>
      <c r="C371" s="6">
        <f t="shared" si="10"/>
        <v>4.3124908478547219E-2</v>
      </c>
      <c r="D371" s="6">
        <f t="shared" si="11"/>
        <v>4.2220927696196821E-2</v>
      </c>
    </row>
    <row r="372" spans="1:4" x14ac:dyDescent="0.25">
      <c r="A372" t="s">
        <v>419</v>
      </c>
      <c r="B372">
        <v>136.58000000000001</v>
      </c>
      <c r="C372" s="6">
        <f t="shared" si="10"/>
        <v>-1.5351999415160744E-3</v>
      </c>
      <c r="D372" s="6">
        <f t="shared" si="11"/>
        <v>-1.5363795684096302E-3</v>
      </c>
    </row>
    <row r="373" spans="1:4" x14ac:dyDescent="0.25">
      <c r="A373" t="s">
        <v>420</v>
      </c>
      <c r="B373">
        <v>136.79</v>
      </c>
      <c r="C373" s="6">
        <f t="shared" si="10"/>
        <v>-2.2300050032163621E-2</v>
      </c>
      <c r="D373" s="6">
        <f t="shared" si="11"/>
        <v>-2.2552455643841667E-2</v>
      </c>
    </row>
    <row r="374" spans="1:4" x14ac:dyDescent="0.25">
      <c r="A374" t="s">
        <v>421</v>
      </c>
      <c r="B374">
        <v>139.91</v>
      </c>
      <c r="C374" s="6">
        <f t="shared" si="10"/>
        <v>3.0492745083597228E-2</v>
      </c>
      <c r="D374" s="6">
        <f t="shared" si="11"/>
        <v>3.0037081133004628E-2</v>
      </c>
    </row>
    <row r="375" spans="1:4" x14ac:dyDescent="0.25">
      <c r="A375" t="s">
        <v>422</v>
      </c>
      <c r="B375">
        <v>135.77000000000001</v>
      </c>
      <c r="C375" s="6">
        <f t="shared" si="10"/>
        <v>-1.8293564714389032E-2</v>
      </c>
      <c r="D375" s="6">
        <f t="shared" si="11"/>
        <v>-1.8462961058522683E-2</v>
      </c>
    </row>
    <row r="376" spans="1:4" x14ac:dyDescent="0.25">
      <c r="A376" t="s">
        <v>423</v>
      </c>
      <c r="B376">
        <v>138.30000000000001</v>
      </c>
      <c r="C376" s="6">
        <f t="shared" si="10"/>
        <v>2.7488855869242323E-2</v>
      </c>
      <c r="D376" s="6">
        <f t="shared" si="11"/>
        <v>2.7117821460085217E-2</v>
      </c>
    </row>
    <row r="377" spans="1:4" x14ac:dyDescent="0.25">
      <c r="A377" t="s">
        <v>424</v>
      </c>
      <c r="B377">
        <v>134.6</v>
      </c>
      <c r="C377" s="6">
        <f t="shared" si="10"/>
        <v>7.7113124204537531E-3</v>
      </c>
      <c r="D377" s="6">
        <f t="shared" si="11"/>
        <v>7.6817322216134916E-3</v>
      </c>
    </row>
    <row r="378" spans="1:4" x14ac:dyDescent="0.25">
      <c r="A378" t="s">
        <v>425</v>
      </c>
      <c r="B378">
        <v>133.57</v>
      </c>
      <c r="C378" s="6">
        <f t="shared" si="10"/>
        <v>2.8015085045793864E-2</v>
      </c>
      <c r="D378" s="6">
        <f t="shared" si="11"/>
        <v>2.762984109436898E-2</v>
      </c>
    </row>
    <row r="379" spans="1:4" x14ac:dyDescent="0.25">
      <c r="A379" t="s">
        <v>426</v>
      </c>
      <c r="B379">
        <v>129.93</v>
      </c>
      <c r="C379" s="6">
        <f t="shared" si="10"/>
        <v>2.4846190250828348E-2</v>
      </c>
      <c r="D379" s="6">
        <f t="shared" si="11"/>
        <v>2.4542543038624801E-2</v>
      </c>
    </row>
    <row r="380" spans="1:4" x14ac:dyDescent="0.25">
      <c r="A380" t="s">
        <v>427</v>
      </c>
      <c r="B380">
        <v>126.78</v>
      </c>
      <c r="C380" s="6">
        <f t="shared" si="10"/>
        <v>-2.3266563944530083E-2</v>
      </c>
      <c r="D380" s="6">
        <f t="shared" si="11"/>
        <v>-2.3541503413969326E-2</v>
      </c>
    </row>
    <row r="381" spans="1:4" x14ac:dyDescent="0.25">
      <c r="A381" t="s">
        <v>428</v>
      </c>
      <c r="B381">
        <v>129.80000000000001</v>
      </c>
      <c r="C381" s="6">
        <f t="shared" si="10"/>
        <v>-2.1337555605820624E-2</v>
      </c>
      <c r="D381" s="6">
        <f t="shared" si="11"/>
        <v>-2.1568492236271827E-2</v>
      </c>
    </row>
    <row r="382" spans="1:4" x14ac:dyDescent="0.25">
      <c r="A382" t="s">
        <v>429</v>
      </c>
      <c r="B382">
        <v>132.63</v>
      </c>
      <c r="C382" s="6">
        <f t="shared" si="10"/>
        <v>-1.8210082167444019E-2</v>
      </c>
      <c r="D382" s="6">
        <f t="shared" si="11"/>
        <v>-1.8377926475328536E-2</v>
      </c>
    </row>
    <row r="383" spans="1:4" x14ac:dyDescent="0.25">
      <c r="A383" t="s">
        <v>430</v>
      </c>
      <c r="B383">
        <v>135.09</v>
      </c>
      <c r="C383" s="6">
        <f t="shared" si="10"/>
        <v>5.957256683297496E-3</v>
      </c>
      <c r="D383" s="6">
        <f t="shared" si="11"/>
        <v>5.9395823885062078E-3</v>
      </c>
    </row>
    <row r="384" spans="1:4" x14ac:dyDescent="0.25">
      <c r="A384" t="s">
        <v>431</v>
      </c>
      <c r="B384">
        <v>134.29</v>
      </c>
      <c r="C384" s="6">
        <f t="shared" si="10"/>
        <v>1.2439686369119407E-2</v>
      </c>
      <c r="D384" s="6">
        <f t="shared" si="11"/>
        <v>1.2362949206099056E-2</v>
      </c>
    </row>
    <row r="385" spans="1:4" x14ac:dyDescent="0.25">
      <c r="A385" t="s">
        <v>432</v>
      </c>
      <c r="B385">
        <v>132.63999999999999</v>
      </c>
      <c r="C385" s="6">
        <f t="shared" si="10"/>
        <v>-2.7565982404692213E-2</v>
      </c>
      <c r="D385" s="6">
        <f t="shared" si="11"/>
        <v>-2.7953054022377015E-2</v>
      </c>
    </row>
    <row r="386" spans="1:4" x14ac:dyDescent="0.25">
      <c r="A386" t="s">
        <v>433</v>
      </c>
      <c r="B386">
        <v>136.4</v>
      </c>
      <c r="C386" s="6">
        <f t="shared" si="10"/>
        <v>4.8622366288493257E-3</v>
      </c>
      <c r="D386" s="6">
        <f t="shared" si="11"/>
        <v>4.8504541337494799E-3</v>
      </c>
    </row>
    <row r="387" spans="1:4" x14ac:dyDescent="0.25">
      <c r="A387" t="s">
        <v>434</v>
      </c>
      <c r="B387">
        <v>135.74</v>
      </c>
      <c r="C387" s="6">
        <f t="shared" ref="C387:C450" si="12">(B387/B388)-1</f>
        <v>-1.0857684179843896E-2</v>
      </c>
      <c r="D387" s="6">
        <f t="shared" ref="D387:D450" si="13">LN(B387/B388)</f>
        <v>-1.0917059005929361E-2</v>
      </c>
    </row>
    <row r="388" spans="1:4" x14ac:dyDescent="0.25">
      <c r="A388" t="s">
        <v>435</v>
      </c>
      <c r="B388">
        <v>137.22999999999999</v>
      </c>
      <c r="C388" s="6">
        <f t="shared" si="12"/>
        <v>1.4114691102571575E-2</v>
      </c>
      <c r="D388" s="6">
        <f t="shared" si="13"/>
        <v>1.4016006369033992E-2</v>
      </c>
    </row>
    <row r="389" spans="1:4" x14ac:dyDescent="0.25">
      <c r="A389" t="s">
        <v>436</v>
      </c>
      <c r="B389">
        <v>135.32</v>
      </c>
      <c r="C389" s="6">
        <f t="shared" si="12"/>
        <v>-6.4610866372980524E-3</v>
      </c>
      <c r="D389" s="6">
        <f t="shared" si="13"/>
        <v>-6.4820498029042268E-3</v>
      </c>
    </row>
    <row r="390" spans="1:4" x14ac:dyDescent="0.25">
      <c r="A390" t="s">
        <v>437</v>
      </c>
      <c r="B390">
        <v>136.19999999999999</v>
      </c>
      <c r="C390" s="6">
        <f t="shared" si="12"/>
        <v>-1.1754462342185468E-2</v>
      </c>
      <c r="D390" s="6">
        <f t="shared" si="13"/>
        <v>-1.1824092213649901E-2</v>
      </c>
    </row>
    <row r="391" spans="1:4" x14ac:dyDescent="0.25">
      <c r="A391" t="s">
        <v>438</v>
      </c>
      <c r="B391">
        <v>137.82</v>
      </c>
      <c r="C391" s="6">
        <f t="shared" si="12"/>
        <v>5.4716568176844671E-3</v>
      </c>
      <c r="D391" s="6">
        <f t="shared" si="13"/>
        <v>5.4567416857721303E-3</v>
      </c>
    </row>
    <row r="392" spans="1:4" x14ac:dyDescent="0.25">
      <c r="A392" t="s">
        <v>439</v>
      </c>
      <c r="B392">
        <v>137.07</v>
      </c>
      <c r="C392" s="6">
        <f t="shared" si="12"/>
        <v>-4.3754101947057755E-4</v>
      </c>
      <c r="D392" s="6">
        <f t="shared" si="13"/>
        <v>-4.3763676847286654E-4</v>
      </c>
    </row>
    <row r="393" spans="1:4" x14ac:dyDescent="0.25">
      <c r="A393" t="s">
        <v>440</v>
      </c>
      <c r="B393">
        <v>137.13</v>
      </c>
      <c r="C393" s="6">
        <f t="shared" si="12"/>
        <v>-3.3432662257432133E-3</v>
      </c>
      <c r="D393" s="6">
        <f t="shared" si="13"/>
        <v>-3.3488674279624972E-3</v>
      </c>
    </row>
    <row r="394" spans="1:4" x14ac:dyDescent="0.25">
      <c r="A394" t="s">
        <v>441</v>
      </c>
      <c r="B394">
        <v>137.59</v>
      </c>
      <c r="C394" s="6">
        <f t="shared" si="12"/>
        <v>5.9219184091241495E-3</v>
      </c>
      <c r="D394" s="6">
        <f t="shared" si="13"/>
        <v>5.9044527697751448E-3</v>
      </c>
    </row>
    <row r="395" spans="1:4" x14ac:dyDescent="0.25">
      <c r="A395" t="s">
        <v>442</v>
      </c>
      <c r="B395">
        <v>136.78</v>
      </c>
      <c r="C395" s="6">
        <f t="shared" si="12"/>
        <v>-9.1995653748642159E-3</v>
      </c>
      <c r="D395" s="6">
        <f t="shared" si="13"/>
        <v>-9.2421427062134871E-3</v>
      </c>
    </row>
    <row r="396" spans="1:4" x14ac:dyDescent="0.25">
      <c r="A396" t="s">
        <v>443</v>
      </c>
      <c r="B396">
        <v>138.05000000000001</v>
      </c>
      <c r="C396" s="6">
        <f t="shared" si="12"/>
        <v>3.168671997608552E-2</v>
      </c>
      <c r="D396" s="6">
        <f t="shared" si="13"/>
        <v>3.1195055059266025E-2</v>
      </c>
    </row>
    <row r="397" spans="1:4" x14ac:dyDescent="0.25">
      <c r="A397" t="s">
        <v>444</v>
      </c>
      <c r="B397">
        <v>133.81</v>
      </c>
      <c r="C397" s="6">
        <f t="shared" si="12"/>
        <v>-7.5650819550545645E-3</v>
      </c>
      <c r="D397" s="6">
        <f t="shared" si="13"/>
        <v>-7.5938423290858254E-3</v>
      </c>
    </row>
    <row r="398" spans="1:4" x14ac:dyDescent="0.25">
      <c r="A398" t="s">
        <v>445</v>
      </c>
      <c r="B398">
        <v>134.83000000000001</v>
      </c>
      <c r="C398" s="6">
        <f t="shared" si="12"/>
        <v>-8.6029411764705355E-3</v>
      </c>
      <c r="D398" s="6">
        <f t="shared" si="13"/>
        <v>-8.6401600900687433E-3</v>
      </c>
    </row>
    <row r="399" spans="1:4" x14ac:dyDescent="0.25">
      <c r="A399" t="s">
        <v>446</v>
      </c>
      <c r="B399">
        <v>136</v>
      </c>
      <c r="C399" s="6">
        <f t="shared" si="12"/>
        <v>-7.3524005587799479E-5</v>
      </c>
      <c r="D399" s="6">
        <f t="shared" si="13"/>
        <v>-7.3526708609990469E-5</v>
      </c>
    </row>
    <row r="400" spans="1:4" x14ac:dyDescent="0.25">
      <c r="A400" t="s">
        <v>447</v>
      </c>
      <c r="B400">
        <v>136.01</v>
      </c>
      <c r="C400" s="6">
        <f t="shared" si="12"/>
        <v>-5.3385988006436902E-3</v>
      </c>
      <c r="D400" s="6">
        <f t="shared" si="13"/>
        <v>-5.352900040986E-3</v>
      </c>
    </row>
    <row r="401" spans="1:4" x14ac:dyDescent="0.25">
      <c r="A401" t="s">
        <v>448</v>
      </c>
      <c r="B401">
        <v>136.74</v>
      </c>
      <c r="C401" s="6">
        <f t="shared" si="12"/>
        <v>-1.7601839212587067E-2</v>
      </c>
      <c r="D401" s="6">
        <f t="shared" si="13"/>
        <v>-1.7758593753661237E-2</v>
      </c>
    </row>
    <row r="402" spans="1:4" x14ac:dyDescent="0.25">
      <c r="A402" t="s">
        <v>449</v>
      </c>
      <c r="B402">
        <v>139.19</v>
      </c>
      <c r="C402" s="6">
        <f t="shared" si="12"/>
        <v>-1.7928858290303662E-3</v>
      </c>
      <c r="D402" s="6">
        <f t="shared" si="13"/>
        <v>-1.7944949724562678E-3</v>
      </c>
    </row>
    <row r="403" spans="1:4" x14ac:dyDescent="0.25">
      <c r="A403" t="s">
        <v>450</v>
      </c>
      <c r="B403">
        <v>139.44</v>
      </c>
      <c r="C403" s="6">
        <f t="shared" si="12"/>
        <v>2.416452442159378E-2</v>
      </c>
      <c r="D403" s="6">
        <f t="shared" si="13"/>
        <v>2.3877182091996827E-2</v>
      </c>
    </row>
    <row r="404" spans="1:4" x14ac:dyDescent="0.25">
      <c r="A404" t="s">
        <v>451</v>
      </c>
      <c r="B404">
        <v>136.15</v>
      </c>
      <c r="C404" s="6">
        <f t="shared" si="12"/>
        <v>4.5746329226001858E-3</v>
      </c>
      <c r="D404" s="6">
        <f t="shared" si="13"/>
        <v>4.564201091844051E-3</v>
      </c>
    </row>
    <row r="405" spans="1:4" x14ac:dyDescent="0.25">
      <c r="A405" t="s">
        <v>452</v>
      </c>
      <c r="B405">
        <v>135.53</v>
      </c>
      <c r="C405" s="6">
        <f t="shared" si="12"/>
        <v>-1.9745407203818788E-2</v>
      </c>
      <c r="D405" s="6">
        <f t="shared" si="13"/>
        <v>-1.9942952489194261E-2</v>
      </c>
    </row>
    <row r="406" spans="1:4" x14ac:dyDescent="0.25">
      <c r="A406" t="s">
        <v>453</v>
      </c>
      <c r="B406">
        <v>138.26</v>
      </c>
      <c r="C406" s="6">
        <f t="shared" si="12"/>
        <v>2.2471910112360494E-3</v>
      </c>
      <c r="D406" s="6">
        <f t="shared" si="13"/>
        <v>2.2446698538239494E-3</v>
      </c>
    </row>
    <row r="407" spans="1:4" x14ac:dyDescent="0.25">
      <c r="A407" t="s">
        <v>454</v>
      </c>
      <c r="B407">
        <v>137.94999999999999</v>
      </c>
      <c r="C407" s="6">
        <f t="shared" si="12"/>
        <v>3.345697868935682E-3</v>
      </c>
      <c r="D407" s="6">
        <f t="shared" si="13"/>
        <v>3.3401134741524703E-3</v>
      </c>
    </row>
    <row r="408" spans="1:4" x14ac:dyDescent="0.25">
      <c r="A408" t="s">
        <v>455</v>
      </c>
      <c r="B408">
        <v>137.49</v>
      </c>
      <c r="C408" s="6">
        <f t="shared" si="12"/>
        <v>-3.3394263217097819E-2</v>
      </c>
      <c r="D408" s="6">
        <f t="shared" si="13"/>
        <v>-3.3964584576452024E-2</v>
      </c>
    </row>
    <row r="409" spans="1:4" x14ac:dyDescent="0.25">
      <c r="A409" t="s">
        <v>456</v>
      </c>
      <c r="B409">
        <v>142.24</v>
      </c>
      <c r="C409" s="6">
        <f t="shared" si="12"/>
        <v>-9.3327761526674768E-3</v>
      </c>
      <c r="D409" s="6">
        <f t="shared" si="13"/>
        <v>-9.3765993827424829E-3</v>
      </c>
    </row>
    <row r="410" spans="1:4" x14ac:dyDescent="0.25">
      <c r="A410" t="s">
        <v>457</v>
      </c>
      <c r="B410">
        <v>143.58000000000001</v>
      </c>
      <c r="C410" s="6">
        <f t="shared" si="12"/>
        <v>-4.0923909273772319E-3</v>
      </c>
      <c r="D410" s="6">
        <f t="shared" si="13"/>
        <v>-4.1007876754752762E-3</v>
      </c>
    </row>
    <row r="411" spans="1:4" x14ac:dyDescent="0.25">
      <c r="A411" t="s">
        <v>458</v>
      </c>
      <c r="B411">
        <v>144.16999999999999</v>
      </c>
      <c r="C411" s="6">
        <f t="shared" si="12"/>
        <v>-1.8249914879128415E-2</v>
      </c>
      <c r="D411" s="6">
        <f t="shared" si="13"/>
        <v>-1.8418498820816732E-2</v>
      </c>
    </row>
    <row r="412" spans="1:4" x14ac:dyDescent="0.25">
      <c r="A412" t="s">
        <v>459</v>
      </c>
      <c r="B412">
        <v>146.85</v>
      </c>
      <c r="C412" s="6">
        <f t="shared" si="12"/>
        <v>9.4171020071487366E-3</v>
      </c>
      <c r="D412" s="6">
        <f t="shared" si="13"/>
        <v>9.3730375258407831E-3</v>
      </c>
    </row>
    <row r="413" spans="1:4" x14ac:dyDescent="0.25">
      <c r="A413" t="s">
        <v>460</v>
      </c>
      <c r="B413">
        <v>145.47999999999999</v>
      </c>
      <c r="C413" s="6">
        <f t="shared" si="12"/>
        <v>2.3858118094165492E-2</v>
      </c>
      <c r="D413" s="6">
        <f t="shared" si="13"/>
        <v>2.3577960468804185E-2</v>
      </c>
    </row>
    <row r="414" spans="1:4" x14ac:dyDescent="0.25">
      <c r="A414" t="s">
        <v>461</v>
      </c>
      <c r="B414">
        <v>142.09</v>
      </c>
      <c r="C414" s="6">
        <f t="shared" si="12"/>
        <v>-2.1014193192779307E-2</v>
      </c>
      <c r="D414" s="6">
        <f t="shared" si="13"/>
        <v>-2.1238134200006878E-2</v>
      </c>
    </row>
    <row r="415" spans="1:4" x14ac:dyDescent="0.25">
      <c r="A415" t="s">
        <v>462</v>
      </c>
      <c r="B415">
        <v>145.13999999999999</v>
      </c>
      <c r="C415" s="6">
        <f t="shared" si="12"/>
        <v>4.6376410327402251E-3</v>
      </c>
      <c r="D415" s="6">
        <f t="shared" si="13"/>
        <v>4.6269203087007703E-3</v>
      </c>
    </row>
    <row r="416" spans="1:4" x14ac:dyDescent="0.25">
      <c r="A416" t="s">
        <v>463</v>
      </c>
      <c r="B416">
        <v>144.47</v>
      </c>
      <c r="C416" s="6">
        <f t="shared" si="12"/>
        <v>-3.2286154464465144E-2</v>
      </c>
      <c r="D416" s="6">
        <f t="shared" si="13"/>
        <v>-3.2818849524208805E-2</v>
      </c>
    </row>
    <row r="417" spans="1:4" x14ac:dyDescent="0.25">
      <c r="A417" t="s">
        <v>464</v>
      </c>
      <c r="B417">
        <v>149.29</v>
      </c>
      <c r="C417" s="6">
        <f t="shared" si="12"/>
        <v>9.9445271275875324E-3</v>
      </c>
      <c r="D417" s="6">
        <f t="shared" si="13"/>
        <v>9.8954057087580066E-3</v>
      </c>
    </row>
    <row r="418" spans="1:4" x14ac:dyDescent="0.25">
      <c r="A418" t="s">
        <v>465</v>
      </c>
      <c r="B418">
        <v>147.82</v>
      </c>
      <c r="C418" s="6">
        <f t="shared" si="12"/>
        <v>1.6154533580807096E-2</v>
      </c>
      <c r="D418" s="6">
        <f t="shared" si="13"/>
        <v>1.6025437571370149E-2</v>
      </c>
    </row>
    <row r="419" spans="1:4" x14ac:dyDescent="0.25">
      <c r="A419" t="s">
        <v>466</v>
      </c>
      <c r="B419">
        <v>145.47</v>
      </c>
      <c r="C419" s="6">
        <f t="shared" si="12"/>
        <v>-2.8105292020839112E-3</v>
      </c>
      <c r="D419" s="6">
        <f t="shared" si="13"/>
        <v>-2.8144861551088799E-3</v>
      </c>
    </row>
    <row r="420" spans="1:4" x14ac:dyDescent="0.25">
      <c r="A420" t="s">
        <v>467</v>
      </c>
      <c r="B420">
        <v>145.88</v>
      </c>
      <c r="C420" s="6">
        <f t="shared" si="12"/>
        <v>5.791505791505891E-3</v>
      </c>
      <c r="D420" s="6">
        <f t="shared" si="13"/>
        <v>5.7747994938839578E-3</v>
      </c>
    </row>
    <row r="421" spans="1:4" x14ac:dyDescent="0.25">
      <c r="A421" t="s">
        <v>468</v>
      </c>
      <c r="B421">
        <v>145.04</v>
      </c>
      <c r="C421" s="6">
        <f t="shared" si="12"/>
        <v>-7.6628352490422103E-3</v>
      </c>
      <c r="D421" s="6">
        <f t="shared" si="13"/>
        <v>-7.6923456231557255E-3</v>
      </c>
    </row>
    <row r="422" spans="1:4" x14ac:dyDescent="0.25">
      <c r="A422" t="s">
        <v>469</v>
      </c>
      <c r="B422">
        <v>146.16</v>
      </c>
      <c r="C422" s="6">
        <f t="shared" si="12"/>
        <v>3.7772131034954359E-3</v>
      </c>
      <c r="D422" s="6">
        <f t="shared" si="13"/>
        <v>3.7700973469379402E-3</v>
      </c>
    </row>
    <row r="423" spans="1:4" x14ac:dyDescent="0.25">
      <c r="A423" t="s">
        <v>470</v>
      </c>
      <c r="B423">
        <v>145.61000000000001</v>
      </c>
      <c r="C423" s="6">
        <f t="shared" si="12"/>
        <v>-1.9876627827278837E-3</v>
      </c>
      <c r="D423" s="6">
        <f t="shared" si="13"/>
        <v>-1.989640805926817E-3</v>
      </c>
    </row>
    <row r="424" spans="1:4" x14ac:dyDescent="0.25">
      <c r="A424" t="s">
        <v>471</v>
      </c>
      <c r="B424">
        <v>145.9</v>
      </c>
      <c r="C424" s="6">
        <f t="shared" si="12"/>
        <v>-1.3122294372294396E-2</v>
      </c>
      <c r="D424" s="6">
        <f t="shared" si="13"/>
        <v>-1.3209152364634092E-2</v>
      </c>
    </row>
    <row r="425" spans="1:4" x14ac:dyDescent="0.25">
      <c r="A425" t="s">
        <v>472</v>
      </c>
      <c r="B425">
        <v>147.84</v>
      </c>
      <c r="C425" s="6">
        <f t="shared" si="12"/>
        <v>2.3468328141225347E-2</v>
      </c>
      <c r="D425" s="6">
        <f t="shared" si="13"/>
        <v>2.3197180981129786E-2</v>
      </c>
    </row>
    <row r="426" spans="1:4" x14ac:dyDescent="0.25">
      <c r="A426" t="s">
        <v>473</v>
      </c>
      <c r="B426">
        <v>144.44999999999999</v>
      </c>
      <c r="C426" s="6">
        <f t="shared" si="12"/>
        <v>6.129414223027041E-3</v>
      </c>
      <c r="D426" s="6">
        <f t="shared" si="13"/>
        <v>6.1107057726416522E-3</v>
      </c>
    </row>
    <row r="427" spans="1:4" x14ac:dyDescent="0.25">
      <c r="A427" t="s">
        <v>474</v>
      </c>
      <c r="B427">
        <v>143.57</v>
      </c>
      <c r="C427" s="6">
        <f t="shared" si="12"/>
        <v>7.5087719298245759E-3</v>
      </c>
      <c r="D427" s="6">
        <f t="shared" si="13"/>
        <v>7.4807214308973457E-3</v>
      </c>
    </row>
    <row r="428" spans="1:4" x14ac:dyDescent="0.25">
      <c r="A428" t="s">
        <v>475</v>
      </c>
      <c r="B428">
        <v>142.5</v>
      </c>
      <c r="C428" s="6">
        <f t="shared" si="12"/>
        <v>1.1068539804172106E-2</v>
      </c>
      <c r="D428" s="6">
        <f t="shared" si="13"/>
        <v>1.1007731809828909E-2</v>
      </c>
    </row>
    <row r="429" spans="1:4" x14ac:dyDescent="0.25">
      <c r="A429" t="s">
        <v>476</v>
      </c>
      <c r="B429">
        <v>140.94</v>
      </c>
      <c r="C429" s="6">
        <f t="shared" si="12"/>
        <v>7.1459196798628888E-3</v>
      </c>
      <c r="D429" s="6">
        <f t="shared" si="13"/>
        <v>7.120508581125843E-3</v>
      </c>
    </row>
    <row r="430" spans="1:4" x14ac:dyDescent="0.25">
      <c r="A430" t="s">
        <v>477</v>
      </c>
      <c r="B430">
        <v>139.94</v>
      </c>
      <c r="C430" s="6">
        <f t="shared" si="12"/>
        <v>-4.5525679328497493E-3</v>
      </c>
      <c r="D430" s="6">
        <f t="shared" si="13"/>
        <v>-4.5629624300087442E-3</v>
      </c>
    </row>
    <row r="431" spans="1:4" x14ac:dyDescent="0.25">
      <c r="A431" t="s">
        <v>478</v>
      </c>
      <c r="B431">
        <v>140.58000000000001</v>
      </c>
      <c r="C431" s="6">
        <f t="shared" si="12"/>
        <v>3.6410366245449577E-3</v>
      </c>
      <c r="D431" s="6">
        <f t="shared" si="13"/>
        <v>3.6344240968040299E-3</v>
      </c>
    </row>
    <row r="432" spans="1:4" x14ac:dyDescent="0.25">
      <c r="A432" t="s">
        <v>479</v>
      </c>
      <c r="B432">
        <v>140.07</v>
      </c>
      <c r="C432" s="6">
        <f t="shared" si="12"/>
        <v>1.0095911155981963E-2</v>
      </c>
      <c r="D432" s="6">
        <f t="shared" si="13"/>
        <v>1.0045287885182613E-2</v>
      </c>
    </row>
    <row r="433" spans="1:4" x14ac:dyDescent="0.25">
      <c r="A433" t="s">
        <v>480</v>
      </c>
      <c r="B433">
        <v>138.66999999999999</v>
      </c>
      <c r="C433" s="6">
        <f t="shared" si="12"/>
        <v>-9.0045022511257011E-3</v>
      </c>
      <c r="D433" s="6">
        <f t="shared" si="13"/>
        <v>-9.0452878018492736E-3</v>
      </c>
    </row>
    <row r="434" spans="1:4" x14ac:dyDescent="0.25">
      <c r="A434" t="s">
        <v>481</v>
      </c>
      <c r="B434">
        <v>139.93</v>
      </c>
      <c r="C434" s="6">
        <f t="shared" si="12"/>
        <v>7.8507634687410288E-3</v>
      </c>
      <c r="D434" s="6">
        <f t="shared" si="13"/>
        <v>7.8201065740365165E-3</v>
      </c>
    </row>
    <row r="435" spans="1:4" x14ac:dyDescent="0.25">
      <c r="A435" t="s">
        <v>482</v>
      </c>
      <c r="B435">
        <v>138.84</v>
      </c>
      <c r="C435" s="6">
        <f t="shared" si="12"/>
        <v>-6.8669527896996208E-3</v>
      </c>
      <c r="D435" s="6">
        <f t="shared" si="13"/>
        <v>-6.8906388061244156E-3</v>
      </c>
    </row>
    <row r="436" spans="1:4" x14ac:dyDescent="0.25">
      <c r="A436" t="s">
        <v>483</v>
      </c>
      <c r="B436">
        <v>139.80000000000001</v>
      </c>
      <c r="C436" s="6">
        <f t="shared" si="12"/>
        <v>-3.9897406668566449E-3</v>
      </c>
      <c r="D436" s="6">
        <f t="shared" si="13"/>
        <v>-3.9977209153044743E-3</v>
      </c>
    </row>
    <row r="437" spans="1:4" x14ac:dyDescent="0.25">
      <c r="A437" t="s">
        <v>484</v>
      </c>
      <c r="B437">
        <v>140.36000000000001</v>
      </c>
      <c r="C437" s="6">
        <f t="shared" si="12"/>
        <v>-6.0194037249485799E-3</v>
      </c>
      <c r="D437" s="6">
        <f t="shared" si="13"/>
        <v>-6.037593366146162E-3</v>
      </c>
    </row>
    <row r="438" spans="1:4" x14ac:dyDescent="0.25">
      <c r="A438" t="s">
        <v>485</v>
      </c>
      <c r="B438">
        <v>141.21</v>
      </c>
      <c r="C438" s="6">
        <f t="shared" si="12"/>
        <v>-1.0611205432937698E-3</v>
      </c>
      <c r="D438" s="6">
        <f t="shared" si="13"/>
        <v>-1.0616839302804023E-3</v>
      </c>
    </row>
    <row r="439" spans="1:4" x14ac:dyDescent="0.25">
      <c r="A439" t="s">
        <v>486</v>
      </c>
      <c r="B439">
        <v>141.36000000000001</v>
      </c>
      <c r="C439" s="6">
        <f t="shared" si="12"/>
        <v>-1.9768426998021393E-3</v>
      </c>
      <c r="D439" s="6">
        <f t="shared" si="13"/>
        <v>-1.9787992322618498E-3</v>
      </c>
    </row>
    <row r="440" spans="1:4" x14ac:dyDescent="0.25">
      <c r="A440" t="s">
        <v>487</v>
      </c>
      <c r="B440">
        <v>141.63999999999999</v>
      </c>
      <c r="C440" s="6">
        <f t="shared" si="12"/>
        <v>-4.9396655140798718E-4</v>
      </c>
      <c r="D440" s="6">
        <f t="shared" si="13"/>
        <v>-4.9408859307626491E-4</v>
      </c>
    </row>
    <row r="441" spans="1:4" x14ac:dyDescent="0.25">
      <c r="A441" t="s">
        <v>488</v>
      </c>
      <c r="B441">
        <v>141.71</v>
      </c>
      <c r="C441" s="6">
        <f t="shared" si="12"/>
        <v>-1.3916916011411873E-2</v>
      </c>
      <c r="D441" s="6">
        <f t="shared" si="13"/>
        <v>-1.4014664249376444E-2</v>
      </c>
    </row>
    <row r="442" spans="1:4" x14ac:dyDescent="0.25">
      <c r="A442" t="s">
        <v>489</v>
      </c>
      <c r="B442">
        <v>143.71</v>
      </c>
      <c r="C442" s="6">
        <f t="shared" si="12"/>
        <v>3.5001800504141256E-2</v>
      </c>
      <c r="D442" s="6">
        <f t="shared" si="13"/>
        <v>3.440316633334705E-2</v>
      </c>
    </row>
    <row r="443" spans="1:4" x14ac:dyDescent="0.25">
      <c r="A443" t="s">
        <v>490</v>
      </c>
      <c r="B443">
        <v>138.85</v>
      </c>
      <c r="C443" s="6">
        <f t="shared" si="12"/>
        <v>7.1811983171332638E-3</v>
      </c>
      <c r="D443" s="6">
        <f t="shared" si="13"/>
        <v>7.1555362953027368E-3</v>
      </c>
    </row>
    <row r="444" spans="1:4" x14ac:dyDescent="0.25">
      <c r="A444" t="s">
        <v>491</v>
      </c>
      <c r="B444">
        <v>137.86000000000001</v>
      </c>
      <c r="C444" s="6">
        <f t="shared" si="12"/>
        <v>-2.7099505998588347E-2</v>
      </c>
      <c r="D444" s="6">
        <f t="shared" si="13"/>
        <v>-2.7473469239128766E-2</v>
      </c>
    </row>
    <row r="445" spans="1:4" x14ac:dyDescent="0.25">
      <c r="A445" t="s">
        <v>492</v>
      </c>
      <c r="B445">
        <v>141.69999999999999</v>
      </c>
      <c r="C445" s="6">
        <f t="shared" si="12"/>
        <v>1.5552210994051352E-2</v>
      </c>
      <c r="D445" s="6">
        <f t="shared" si="13"/>
        <v>1.543251479251931E-2</v>
      </c>
    </row>
    <row r="446" spans="1:4" x14ac:dyDescent="0.25">
      <c r="A446" t="s">
        <v>493</v>
      </c>
      <c r="B446">
        <v>139.53</v>
      </c>
      <c r="C446" s="6">
        <f t="shared" si="12"/>
        <v>-2.0740952653410805E-3</v>
      </c>
      <c r="D446" s="6">
        <f t="shared" si="13"/>
        <v>-2.0762491797236913E-3</v>
      </c>
    </row>
    <row r="447" spans="1:4" x14ac:dyDescent="0.25">
      <c r="A447" t="s">
        <v>494</v>
      </c>
      <c r="B447">
        <v>139.82</v>
      </c>
      <c r="C447" s="6">
        <f t="shared" si="12"/>
        <v>-2.7104136947218027E-3</v>
      </c>
      <c r="D447" s="6">
        <f t="shared" si="13"/>
        <v>-2.7140935166505916E-3</v>
      </c>
    </row>
    <row r="448" spans="1:4" x14ac:dyDescent="0.25">
      <c r="A448" t="s">
        <v>495</v>
      </c>
      <c r="B448">
        <v>140.19999999999999</v>
      </c>
      <c r="C448" s="6">
        <f t="shared" si="12"/>
        <v>-1.1399259048163746E-3</v>
      </c>
      <c r="D448" s="6">
        <f t="shared" si="13"/>
        <v>-1.1405761145248381E-3</v>
      </c>
    </row>
    <row r="449" spans="1:4" x14ac:dyDescent="0.25">
      <c r="A449" t="s">
        <v>496</v>
      </c>
      <c r="B449">
        <v>140.36000000000001</v>
      </c>
      <c r="C449" s="6">
        <f t="shared" si="12"/>
        <v>-8.8270602358589967E-3</v>
      </c>
      <c r="D449" s="6">
        <f t="shared" si="13"/>
        <v>-8.8662495199529831E-3</v>
      </c>
    </row>
    <row r="450" spans="1:4" x14ac:dyDescent="0.25">
      <c r="A450" t="s">
        <v>497</v>
      </c>
      <c r="B450">
        <v>141.61000000000001</v>
      </c>
      <c r="C450" s="6">
        <f t="shared" si="12"/>
        <v>-1.4063914224047736E-2</v>
      </c>
      <c r="D450" s="6">
        <f t="shared" si="13"/>
        <v>-1.4163748208763796E-2</v>
      </c>
    </row>
    <row r="451" spans="1:4" x14ac:dyDescent="0.25">
      <c r="A451" t="s">
        <v>498</v>
      </c>
      <c r="B451">
        <v>143.63</v>
      </c>
      <c r="C451" s="6">
        <f t="shared" ref="C451:C514" si="14">(B451/B452)-1</f>
        <v>2.7396280400572071E-2</v>
      </c>
      <c r="D451" s="6">
        <f t="shared" ref="D451:D514" si="15">LN(B451/B452)</f>
        <v>2.7027718644021315E-2</v>
      </c>
    </row>
    <row r="452" spans="1:4" x14ac:dyDescent="0.25">
      <c r="A452" t="s">
        <v>499</v>
      </c>
      <c r="B452">
        <v>139.80000000000001</v>
      </c>
      <c r="C452" s="6">
        <f t="shared" si="14"/>
        <v>1.1431051946172888E-2</v>
      </c>
      <c r="D452" s="6">
        <f t="shared" si="15"/>
        <v>1.1366211136461727E-2</v>
      </c>
    </row>
    <row r="453" spans="1:4" x14ac:dyDescent="0.25">
      <c r="A453" t="s">
        <v>500</v>
      </c>
      <c r="B453">
        <v>138.22</v>
      </c>
      <c r="C453" s="6">
        <f t="shared" si="14"/>
        <v>-1.7333525928066029E-3</v>
      </c>
      <c r="D453" s="6">
        <f t="shared" si="15"/>
        <v>-1.7348565866311028E-3</v>
      </c>
    </row>
    <row r="454" spans="1:4" x14ac:dyDescent="0.25">
      <c r="A454" t="s">
        <v>501</v>
      </c>
      <c r="B454">
        <v>138.46</v>
      </c>
      <c r="C454" s="6">
        <f t="shared" si="14"/>
        <v>-1.2128995433789869E-2</v>
      </c>
      <c r="D454" s="6">
        <f t="shared" si="15"/>
        <v>-1.2203151938201862E-2</v>
      </c>
    </row>
    <row r="455" spans="1:4" x14ac:dyDescent="0.25">
      <c r="A455" t="s">
        <v>502</v>
      </c>
      <c r="B455">
        <v>140.16</v>
      </c>
      <c r="C455" s="6">
        <f t="shared" si="14"/>
        <v>-4.1210743214439294E-3</v>
      </c>
      <c r="D455" s="6">
        <f t="shared" si="15"/>
        <v>-4.1295893503216861E-3</v>
      </c>
    </row>
    <row r="456" spans="1:4" x14ac:dyDescent="0.25">
      <c r="A456" t="s">
        <v>503</v>
      </c>
      <c r="B456">
        <v>140.74</v>
      </c>
      <c r="C456" s="6">
        <f t="shared" si="14"/>
        <v>-1.2558759559390897E-2</v>
      </c>
      <c r="D456" s="6">
        <f t="shared" si="15"/>
        <v>-1.2638287328536677E-2</v>
      </c>
    </row>
    <row r="457" spans="1:4" x14ac:dyDescent="0.25">
      <c r="A457" t="s">
        <v>504</v>
      </c>
      <c r="B457">
        <v>142.53</v>
      </c>
      <c r="C457" s="6">
        <f t="shared" si="14"/>
        <v>1.1496700021290218E-2</v>
      </c>
      <c r="D457" s="6">
        <f t="shared" si="15"/>
        <v>1.143111515992626E-2</v>
      </c>
    </row>
    <row r="458" spans="1:4" x14ac:dyDescent="0.25">
      <c r="A458" t="s">
        <v>505</v>
      </c>
      <c r="B458">
        <v>140.91</v>
      </c>
      <c r="C458" s="6">
        <f t="shared" si="14"/>
        <v>-2.1594223024580028E-2</v>
      </c>
      <c r="D458" s="6">
        <f t="shared" si="15"/>
        <v>-2.1830790113707439E-2</v>
      </c>
    </row>
    <row r="459" spans="1:4" x14ac:dyDescent="0.25">
      <c r="A459" t="s">
        <v>506</v>
      </c>
      <c r="B459">
        <v>144.02000000000001</v>
      </c>
      <c r="C459" s="6">
        <f t="shared" si="14"/>
        <v>6.5697511881463999E-3</v>
      </c>
      <c r="D459" s="6">
        <f t="shared" si="15"/>
        <v>6.548264429903668E-3</v>
      </c>
    </row>
    <row r="460" spans="1:4" x14ac:dyDescent="0.25">
      <c r="A460" t="s">
        <v>507</v>
      </c>
      <c r="B460">
        <v>143.08000000000001</v>
      </c>
      <c r="C460" s="6">
        <f t="shared" si="14"/>
        <v>4.8947626040152237E-4</v>
      </c>
      <c r="D460" s="6">
        <f t="shared" si="15"/>
        <v>4.8935650597314699E-4</v>
      </c>
    </row>
    <row r="461" spans="1:4" x14ac:dyDescent="0.25">
      <c r="A461" t="s">
        <v>508</v>
      </c>
      <c r="B461">
        <v>143.01</v>
      </c>
      <c r="C461" s="6">
        <f t="shared" si="14"/>
        <v>-7.8396003885111698E-3</v>
      </c>
      <c r="D461" s="6">
        <f t="shared" si="15"/>
        <v>-7.8704916114509874E-3</v>
      </c>
    </row>
    <row r="462" spans="1:4" x14ac:dyDescent="0.25">
      <c r="A462" t="s">
        <v>509</v>
      </c>
      <c r="B462">
        <v>144.13999999999999</v>
      </c>
      <c r="C462" s="6">
        <f t="shared" si="14"/>
        <v>-5.5881338392549385E-3</v>
      </c>
      <c r="D462" s="6">
        <f t="shared" si="15"/>
        <v>-5.6038058713695415E-3</v>
      </c>
    </row>
    <row r="463" spans="1:4" x14ac:dyDescent="0.25">
      <c r="A463" t="s">
        <v>510</v>
      </c>
      <c r="B463">
        <v>144.94999999999999</v>
      </c>
      <c r="C463" s="6">
        <f t="shared" si="14"/>
        <v>-1.0850279787088857E-2</v>
      </c>
      <c r="D463" s="6">
        <f t="shared" si="15"/>
        <v>-1.0909573364153316E-2</v>
      </c>
    </row>
    <row r="464" spans="1:4" x14ac:dyDescent="0.25">
      <c r="A464" t="s">
        <v>511</v>
      </c>
      <c r="B464">
        <v>146.54</v>
      </c>
      <c r="C464" s="6">
        <f t="shared" si="14"/>
        <v>-1.6971892399543886E-2</v>
      </c>
      <c r="D464" s="6">
        <f t="shared" si="15"/>
        <v>-1.711756555052114E-2</v>
      </c>
    </row>
    <row r="465" spans="1:4" x14ac:dyDescent="0.25">
      <c r="A465" t="s">
        <v>512</v>
      </c>
      <c r="B465">
        <v>149.07</v>
      </c>
      <c r="C465" s="6">
        <f t="shared" si="14"/>
        <v>-1.467380527463813E-2</v>
      </c>
      <c r="D465" s="6">
        <f t="shared" si="15"/>
        <v>-1.478253047440474E-2</v>
      </c>
    </row>
    <row r="466" spans="1:4" x14ac:dyDescent="0.25">
      <c r="A466" t="s">
        <v>513</v>
      </c>
      <c r="B466">
        <v>151.29</v>
      </c>
      <c r="C466" s="6">
        <f t="shared" si="14"/>
        <v>-1.8473312660817198E-3</v>
      </c>
      <c r="D466" s="6">
        <f t="shared" si="15"/>
        <v>-1.8490396868219609E-3</v>
      </c>
    </row>
    <row r="467" spans="1:4" x14ac:dyDescent="0.25">
      <c r="A467" t="s">
        <v>514</v>
      </c>
      <c r="B467">
        <v>151.57</v>
      </c>
      <c r="C467" s="6">
        <f t="shared" si="14"/>
        <v>3.5090042372880603E-3</v>
      </c>
      <c r="D467" s="6">
        <f t="shared" si="15"/>
        <v>3.5028620463749089E-3</v>
      </c>
    </row>
    <row r="468" spans="1:4" x14ac:dyDescent="0.25">
      <c r="A468" t="s">
        <v>515</v>
      </c>
      <c r="B468">
        <v>151.04</v>
      </c>
      <c r="C468" s="6">
        <f t="shared" si="14"/>
        <v>-6.6425517921737676E-3</v>
      </c>
      <c r="D468" s="6">
        <f t="shared" si="15"/>
        <v>-6.6647117261832362E-3</v>
      </c>
    </row>
    <row r="469" spans="1:4" x14ac:dyDescent="0.25">
      <c r="A469" t="s">
        <v>516</v>
      </c>
      <c r="B469">
        <v>152.05000000000001</v>
      </c>
      <c r="C469" s="6">
        <f t="shared" si="14"/>
        <v>1.0836324956787768E-2</v>
      </c>
      <c r="D469" s="6">
        <f t="shared" si="15"/>
        <v>1.0778032725116734E-2</v>
      </c>
    </row>
    <row r="470" spans="1:4" x14ac:dyDescent="0.25">
      <c r="A470" t="s">
        <v>517</v>
      </c>
      <c r="B470">
        <v>150.41999999999999</v>
      </c>
      <c r="C470" s="6">
        <f t="shared" si="14"/>
        <v>-4.8296394310288759E-3</v>
      </c>
      <c r="D470" s="6">
        <f t="shared" si="15"/>
        <v>-4.841339827210132E-3</v>
      </c>
    </row>
    <row r="471" spans="1:4" x14ac:dyDescent="0.25">
      <c r="A471" t="s">
        <v>518</v>
      </c>
      <c r="B471">
        <v>151.15</v>
      </c>
      <c r="C471" s="6">
        <f t="shared" si="14"/>
        <v>-2.8367858556538339E-3</v>
      </c>
      <c r="D471" s="6">
        <f t="shared" si="15"/>
        <v>-2.8408171584160505E-3</v>
      </c>
    </row>
    <row r="472" spans="1:4" x14ac:dyDescent="0.25">
      <c r="A472" t="s">
        <v>519</v>
      </c>
      <c r="B472">
        <v>151.58000000000001</v>
      </c>
      <c r="C472" s="6">
        <f t="shared" si="14"/>
        <v>-3.7463029904698519E-3</v>
      </c>
      <c r="D472" s="6">
        <f t="shared" si="15"/>
        <v>-3.7533379590969479E-3</v>
      </c>
    </row>
    <row r="473" spans="1:4" x14ac:dyDescent="0.25">
      <c r="A473" t="s">
        <v>520</v>
      </c>
      <c r="B473">
        <v>152.15</v>
      </c>
      <c r="C473" s="6">
        <f t="shared" si="14"/>
        <v>-3.9279869067102569E-3</v>
      </c>
      <c r="D473" s="6">
        <f t="shared" si="15"/>
        <v>-3.9357217087245665E-3</v>
      </c>
    </row>
    <row r="474" spans="1:4" x14ac:dyDescent="0.25">
      <c r="A474" t="s">
        <v>521</v>
      </c>
      <c r="B474">
        <v>152.75</v>
      </c>
      <c r="C474" s="6">
        <f t="shared" si="14"/>
        <v>-4.5617464972302901E-3</v>
      </c>
      <c r="D474" s="6">
        <f t="shared" si="15"/>
        <v>-4.5721830140403969E-3</v>
      </c>
    </row>
    <row r="475" spans="1:4" x14ac:dyDescent="0.25">
      <c r="A475" t="s">
        <v>522</v>
      </c>
      <c r="B475">
        <v>153.44999999999999</v>
      </c>
      <c r="C475" s="6">
        <f t="shared" si="14"/>
        <v>3.4002484796964438E-3</v>
      </c>
      <c r="D475" s="6">
        <f t="shared" si="15"/>
        <v>3.3944807057130532E-3</v>
      </c>
    </row>
    <row r="476" spans="1:4" x14ac:dyDescent="0.25">
      <c r="A476" t="s">
        <v>523</v>
      </c>
      <c r="B476">
        <v>152.93</v>
      </c>
      <c r="C476" s="6">
        <f t="shared" si="14"/>
        <v>1.21781719504932E-2</v>
      </c>
      <c r="D476" s="6">
        <f t="shared" si="15"/>
        <v>1.2104614608282514E-2</v>
      </c>
    </row>
    <row r="477" spans="1:4" x14ac:dyDescent="0.25">
      <c r="A477" t="s">
        <v>524</v>
      </c>
      <c r="B477">
        <v>151.09</v>
      </c>
      <c r="C477" s="6">
        <f t="shared" si="14"/>
        <v>2.1430502974580934E-2</v>
      </c>
      <c r="D477" s="6">
        <f t="shared" si="15"/>
        <v>2.1204098672880249E-2</v>
      </c>
    </row>
    <row r="478" spans="1:4" x14ac:dyDescent="0.25">
      <c r="A478" t="s">
        <v>525</v>
      </c>
      <c r="B478">
        <v>147.91999999999999</v>
      </c>
      <c r="C478" s="6">
        <f t="shared" si="14"/>
        <v>1.1505922165819804E-3</v>
      </c>
      <c r="D478" s="6">
        <f t="shared" si="15"/>
        <v>1.1499307926617439E-3</v>
      </c>
    </row>
    <row r="479" spans="1:4" x14ac:dyDescent="0.25">
      <c r="A479" t="s">
        <v>526</v>
      </c>
      <c r="B479">
        <v>147.75</v>
      </c>
      <c r="C479" s="6">
        <f t="shared" si="14"/>
        <v>5.4440285811501177E-3</v>
      </c>
      <c r="D479" s="6">
        <f t="shared" si="15"/>
        <v>5.429263421281286E-3</v>
      </c>
    </row>
    <row r="480" spans="1:4" x14ac:dyDescent="0.25">
      <c r="A480" t="s">
        <v>527</v>
      </c>
      <c r="B480">
        <v>146.94999999999999</v>
      </c>
      <c r="C480" s="6">
        <f t="shared" si="14"/>
        <v>3.3456233783966116E-3</v>
      </c>
      <c r="D480" s="6">
        <f t="shared" si="15"/>
        <v>3.340039232002438E-3</v>
      </c>
    </row>
    <row r="481" spans="1:4" x14ac:dyDescent="0.25">
      <c r="A481" t="s">
        <v>528</v>
      </c>
      <c r="B481">
        <v>146.46</v>
      </c>
      <c r="C481" s="6">
        <f t="shared" si="14"/>
        <v>8.0528597976461391E-3</v>
      </c>
      <c r="D481" s="6">
        <f t="shared" si="15"/>
        <v>8.0206085496762961E-3</v>
      </c>
    </row>
    <row r="482" spans="1:4" x14ac:dyDescent="0.25">
      <c r="A482" t="s">
        <v>529</v>
      </c>
      <c r="B482">
        <v>145.29</v>
      </c>
      <c r="C482" s="6">
        <f t="shared" si="14"/>
        <v>-2.1945472904746022E-2</v>
      </c>
      <c r="D482" s="6">
        <f t="shared" si="15"/>
        <v>-2.218985682536934E-2</v>
      </c>
    </row>
    <row r="483" spans="1:4" x14ac:dyDescent="0.25">
      <c r="A483" t="s">
        <v>530</v>
      </c>
      <c r="B483">
        <v>148.55000000000001</v>
      </c>
      <c r="C483" s="6">
        <f t="shared" si="14"/>
        <v>1.9420807027175524E-2</v>
      </c>
      <c r="D483" s="6">
        <f t="shared" si="15"/>
        <v>1.9234629768253717E-2</v>
      </c>
    </row>
    <row r="484" spans="1:4" x14ac:dyDescent="0.25">
      <c r="A484" t="s">
        <v>531</v>
      </c>
      <c r="B484">
        <v>145.72</v>
      </c>
      <c r="C484" s="6">
        <f t="shared" si="14"/>
        <v>-2.8727587815770228E-2</v>
      </c>
      <c r="D484" s="6">
        <f t="shared" si="15"/>
        <v>-2.9148301958559018E-2</v>
      </c>
    </row>
    <row r="485" spans="1:4" x14ac:dyDescent="0.25">
      <c r="A485" t="s">
        <v>532</v>
      </c>
      <c r="B485">
        <v>150.03</v>
      </c>
      <c r="C485" s="6">
        <f t="shared" si="14"/>
        <v>-1.146471634710422E-2</v>
      </c>
      <c r="D485" s="6">
        <f t="shared" si="15"/>
        <v>-1.1530942873032451E-2</v>
      </c>
    </row>
    <row r="486" spans="1:4" x14ac:dyDescent="0.25">
      <c r="A486" t="s">
        <v>533</v>
      </c>
      <c r="B486">
        <v>151.77000000000001</v>
      </c>
      <c r="C486" s="6">
        <f t="shared" si="14"/>
        <v>3.2955444239401999E-4</v>
      </c>
      <c r="D486" s="6">
        <f t="shared" si="15"/>
        <v>3.2950015125636538E-4</v>
      </c>
    </row>
    <row r="487" spans="1:4" x14ac:dyDescent="0.25">
      <c r="A487" t="s">
        <v>534</v>
      </c>
      <c r="B487">
        <v>151.72</v>
      </c>
      <c r="C487" s="6">
        <f t="shared" si="14"/>
        <v>-1.3459912868196811E-2</v>
      </c>
      <c r="D487" s="6">
        <f t="shared" si="15"/>
        <v>-1.3551318631133874E-2</v>
      </c>
    </row>
    <row r="488" spans="1:4" x14ac:dyDescent="0.25">
      <c r="A488" t="s">
        <v>535</v>
      </c>
      <c r="B488">
        <v>153.79</v>
      </c>
      <c r="C488" s="6">
        <f t="shared" si="14"/>
        <v>-1.6877637130803258E-3</v>
      </c>
      <c r="D488" s="6">
        <f t="shared" si="15"/>
        <v>-1.6891895908449403E-3</v>
      </c>
    </row>
    <row r="489" spans="1:4" x14ac:dyDescent="0.25">
      <c r="A489" t="s">
        <v>536</v>
      </c>
      <c r="B489">
        <v>154.05000000000001</v>
      </c>
      <c r="C489" s="6">
        <f t="shared" si="14"/>
        <v>-2.3269084453461764E-2</v>
      </c>
      <c r="D489" s="6">
        <f t="shared" si="15"/>
        <v>-2.3544083966749431E-2</v>
      </c>
    </row>
    <row r="490" spans="1:4" x14ac:dyDescent="0.25">
      <c r="A490" t="s">
        <v>537</v>
      </c>
      <c r="B490">
        <v>157.72</v>
      </c>
      <c r="C490" s="6">
        <f t="shared" si="14"/>
        <v>9.0205361141322271E-3</v>
      </c>
      <c r="D490" s="6">
        <f t="shared" si="15"/>
        <v>8.980094102046669E-3</v>
      </c>
    </row>
    <row r="491" spans="1:4" x14ac:dyDescent="0.25">
      <c r="A491" t="s">
        <v>538</v>
      </c>
      <c r="B491">
        <v>156.31</v>
      </c>
      <c r="C491" s="6">
        <f t="shared" si="14"/>
        <v>5.0797325102880375E-3</v>
      </c>
      <c r="D491" s="6">
        <f t="shared" si="15"/>
        <v>5.0668741952508397E-3</v>
      </c>
    </row>
    <row r="492" spans="1:4" x14ac:dyDescent="0.25">
      <c r="A492" t="s">
        <v>539</v>
      </c>
      <c r="B492">
        <v>155.52000000000001</v>
      </c>
      <c r="C492" s="6">
        <f t="shared" si="14"/>
        <v>1.6100985380305133E-3</v>
      </c>
      <c r="D492" s="6">
        <f t="shared" si="15"/>
        <v>1.6088037190505364E-3</v>
      </c>
    </row>
    <row r="493" spans="1:4" x14ac:dyDescent="0.25">
      <c r="A493" t="s">
        <v>540</v>
      </c>
      <c r="B493">
        <v>155.27000000000001</v>
      </c>
      <c r="C493" s="6">
        <f t="shared" si="14"/>
        <v>1.9358585532684991E-3</v>
      </c>
      <c r="D493" s="6">
        <f t="shared" si="15"/>
        <v>1.9339871938349349E-3</v>
      </c>
    </row>
    <row r="494" spans="1:4" x14ac:dyDescent="0.25">
      <c r="A494" t="s">
        <v>541</v>
      </c>
      <c r="B494">
        <v>154.97</v>
      </c>
      <c r="C494" s="6">
        <f t="shared" si="14"/>
        <v>-7.620389344262235E-3</v>
      </c>
      <c r="D494" s="6">
        <f t="shared" si="15"/>
        <v>-7.6495728655387113E-3</v>
      </c>
    </row>
    <row r="495" spans="1:4" x14ac:dyDescent="0.25">
      <c r="A495" t="s">
        <v>542</v>
      </c>
      <c r="B495">
        <v>156.16</v>
      </c>
      <c r="C495" s="6">
        <f t="shared" si="14"/>
        <v>-1.8848957024377944E-2</v>
      </c>
      <c r="D495" s="6">
        <f t="shared" si="15"/>
        <v>-1.9028862893945491E-2</v>
      </c>
    </row>
    <row r="496" spans="1:4" x14ac:dyDescent="0.25">
      <c r="A496" t="s">
        <v>543</v>
      </c>
      <c r="B496">
        <v>159.16</v>
      </c>
      <c r="C496" s="6">
        <f t="shared" si="14"/>
        <v>5.2422156255920171E-3</v>
      </c>
      <c r="D496" s="6">
        <f t="shared" si="15"/>
        <v>5.2285230453849767E-3</v>
      </c>
    </row>
    <row r="497" spans="1:4" x14ac:dyDescent="0.25">
      <c r="A497" t="s">
        <v>544</v>
      </c>
      <c r="B497">
        <v>158.33000000000001</v>
      </c>
      <c r="C497" s="6">
        <f t="shared" si="14"/>
        <v>-1.6156092711116621E-2</v>
      </c>
      <c r="D497" s="6">
        <f t="shared" si="15"/>
        <v>-1.628802531706066E-2</v>
      </c>
    </row>
    <row r="498" spans="1:4" x14ac:dyDescent="0.25">
      <c r="A498" t="s">
        <v>545</v>
      </c>
      <c r="B498">
        <v>160.93</v>
      </c>
      <c r="C498" s="6">
        <f t="shared" si="14"/>
        <v>2.491746091073388E-3</v>
      </c>
      <c r="D498" s="6">
        <f t="shared" si="15"/>
        <v>2.4886468390806068E-3</v>
      </c>
    </row>
    <row r="499" spans="1:4" x14ac:dyDescent="0.25">
      <c r="A499" t="s">
        <v>546</v>
      </c>
      <c r="B499">
        <v>160.53</v>
      </c>
      <c r="C499" s="6">
        <f t="shared" si="14"/>
        <v>2.1053301106729538E-2</v>
      </c>
      <c r="D499" s="6">
        <f t="shared" si="15"/>
        <v>2.0834742625712631E-2</v>
      </c>
    </row>
    <row r="500" spans="1:4" x14ac:dyDescent="0.25">
      <c r="A500" t="s">
        <v>547</v>
      </c>
      <c r="B500">
        <v>157.22</v>
      </c>
      <c r="C500" s="6">
        <f t="shared" si="14"/>
        <v>9.4382022471910521E-3</v>
      </c>
      <c r="D500" s="6">
        <f t="shared" si="15"/>
        <v>9.3939406980479423E-3</v>
      </c>
    </row>
    <row r="501" spans="1:4" x14ac:dyDescent="0.25">
      <c r="A501" t="s">
        <v>548</v>
      </c>
      <c r="B501">
        <v>155.75</v>
      </c>
      <c r="C501" s="6">
        <f t="shared" si="14"/>
        <v>1.2744651797906181E-2</v>
      </c>
      <c r="D501" s="6">
        <f t="shared" si="15"/>
        <v>1.2664122215730326E-2</v>
      </c>
    </row>
    <row r="502" spans="1:4" x14ac:dyDescent="0.25">
      <c r="A502" t="s">
        <v>549</v>
      </c>
      <c r="B502">
        <v>153.79</v>
      </c>
      <c r="C502" s="6">
        <f t="shared" si="14"/>
        <v>1.3643553915106743E-2</v>
      </c>
      <c r="D502" s="6">
        <f t="shared" si="15"/>
        <v>1.3551318631133924E-2</v>
      </c>
    </row>
    <row r="503" spans="1:4" x14ac:dyDescent="0.25">
      <c r="A503" t="s">
        <v>550</v>
      </c>
      <c r="B503">
        <v>151.72</v>
      </c>
      <c r="C503" s="6">
        <f t="shared" si="14"/>
        <v>2.2165330458802091E-2</v>
      </c>
      <c r="D503" s="6">
        <f t="shared" si="15"/>
        <v>2.1923250184024568E-2</v>
      </c>
    </row>
    <row r="504" spans="1:4" x14ac:dyDescent="0.25">
      <c r="A504" t="s">
        <v>551</v>
      </c>
      <c r="B504">
        <v>148.43</v>
      </c>
      <c r="C504" s="6">
        <f t="shared" si="14"/>
        <v>-6.7367286445629837E-5</v>
      </c>
      <c r="D504" s="6">
        <f t="shared" si="15"/>
        <v>-6.7369555723188643E-5</v>
      </c>
    </row>
    <row r="505" spans="1:4" x14ac:dyDescent="0.25">
      <c r="A505" t="s">
        <v>552</v>
      </c>
      <c r="B505">
        <v>148.44</v>
      </c>
      <c r="C505" s="6">
        <f t="shared" si="14"/>
        <v>-1.7344101681451063E-2</v>
      </c>
      <c r="D505" s="6">
        <f t="shared" si="15"/>
        <v>-1.749627269290505E-2</v>
      </c>
    </row>
    <row r="506" spans="1:4" x14ac:dyDescent="0.25">
      <c r="A506" t="s">
        <v>553</v>
      </c>
      <c r="B506">
        <v>151.06</v>
      </c>
      <c r="C506" s="6">
        <f t="shared" si="14"/>
        <v>-7.9464109804951999E-3</v>
      </c>
      <c r="D506" s="6">
        <f t="shared" si="15"/>
        <v>-7.978151967339208E-3</v>
      </c>
    </row>
    <row r="507" spans="1:4" x14ac:dyDescent="0.25">
      <c r="A507" t="s">
        <v>554</v>
      </c>
      <c r="B507">
        <v>152.27000000000001</v>
      </c>
      <c r="C507" s="6">
        <f t="shared" si="14"/>
        <v>1.9740738303613004E-3</v>
      </c>
      <c r="D507" s="6">
        <f t="shared" si="15"/>
        <v>1.9721279071273504E-3</v>
      </c>
    </row>
    <row r="508" spans="1:4" x14ac:dyDescent="0.25">
      <c r="A508" t="s">
        <v>555</v>
      </c>
      <c r="B508">
        <v>151.97</v>
      </c>
      <c r="C508" s="6">
        <f t="shared" si="14"/>
        <v>1.2795734755081556E-2</v>
      </c>
      <c r="D508" s="6">
        <f t="shared" si="15"/>
        <v>1.2714561059137576E-2</v>
      </c>
    </row>
    <row r="509" spans="1:4" x14ac:dyDescent="0.25">
      <c r="A509" t="s">
        <v>556</v>
      </c>
      <c r="B509">
        <v>150.05000000000001</v>
      </c>
      <c r="C509" s="6">
        <f t="shared" si="14"/>
        <v>-2.7912540705787858E-3</v>
      </c>
      <c r="D509" s="6">
        <f t="shared" si="15"/>
        <v>-2.7951568844105188E-3</v>
      </c>
    </row>
    <row r="510" spans="1:4" x14ac:dyDescent="0.25">
      <c r="A510" t="s">
        <v>557</v>
      </c>
      <c r="B510">
        <v>150.47</v>
      </c>
      <c r="C510" s="6">
        <f t="shared" si="14"/>
        <v>6.6462847268411451E-5</v>
      </c>
      <c r="D510" s="6">
        <f t="shared" si="15"/>
        <v>6.6460638711235401E-5</v>
      </c>
    </row>
    <row r="511" spans="1:4" x14ac:dyDescent="0.25">
      <c r="A511" t="s">
        <v>558</v>
      </c>
      <c r="B511">
        <v>150.46</v>
      </c>
      <c r="C511" s="6">
        <f t="shared" si="14"/>
        <v>1.1977641735427813E-3</v>
      </c>
      <c r="D511" s="6">
        <f t="shared" si="15"/>
        <v>1.19704742630742E-3</v>
      </c>
    </row>
    <row r="512" spans="1:4" x14ac:dyDescent="0.25">
      <c r="A512" t="s">
        <v>559</v>
      </c>
      <c r="B512">
        <v>150.28</v>
      </c>
      <c r="C512" s="6">
        <f t="shared" si="14"/>
        <v>-7.9787234042560939E-4</v>
      </c>
      <c r="D512" s="6">
        <f t="shared" si="15"/>
        <v>-7.9819080997138006E-4</v>
      </c>
    </row>
    <row r="513" spans="1:4" x14ac:dyDescent="0.25">
      <c r="A513" t="s">
        <v>560</v>
      </c>
      <c r="B513">
        <v>150.4</v>
      </c>
      <c r="C513" s="6">
        <f t="shared" si="14"/>
        <v>-2.6525198938992522E-3</v>
      </c>
      <c r="D513" s="6">
        <f t="shared" si="15"/>
        <v>-2.6560440581162963E-3</v>
      </c>
    </row>
    <row r="514" spans="1:4" x14ac:dyDescent="0.25">
      <c r="A514" t="s">
        <v>561</v>
      </c>
      <c r="B514">
        <v>150.80000000000001</v>
      </c>
      <c r="C514" s="6">
        <f t="shared" si="14"/>
        <v>2.6595744680850686E-3</v>
      </c>
      <c r="D514" s="6">
        <f t="shared" si="15"/>
        <v>2.6560440581162104E-3</v>
      </c>
    </row>
    <row r="515" spans="1:4" x14ac:dyDescent="0.25">
      <c r="A515" t="s">
        <v>562</v>
      </c>
      <c r="B515">
        <v>150.4</v>
      </c>
      <c r="C515" s="6">
        <f t="shared" ref="C515:C578" si="16">(B515/B516)-1</f>
        <v>-2.5863784070561113E-3</v>
      </c>
      <c r="D515" s="6">
        <f t="shared" ref="D515:D578" si="17">LN(B515/B516)</f>
        <v>-2.5897288619646931E-3</v>
      </c>
    </row>
    <row r="516" spans="1:4" x14ac:dyDescent="0.25">
      <c r="A516" t="s">
        <v>563</v>
      </c>
      <c r="B516">
        <v>150.79</v>
      </c>
      <c r="C516" s="6">
        <f t="shared" si="16"/>
        <v>-2.9094756331415894E-3</v>
      </c>
      <c r="D516" s="6">
        <f t="shared" si="17"/>
        <v>-2.9137163849449806E-3</v>
      </c>
    </row>
    <row r="517" spans="1:4" x14ac:dyDescent="0.25">
      <c r="A517" t="s">
        <v>564</v>
      </c>
      <c r="B517">
        <v>151.22999999999999</v>
      </c>
      <c r="C517" s="6">
        <f t="shared" si="16"/>
        <v>1.1639574553481635E-2</v>
      </c>
      <c r="D517" s="6">
        <f t="shared" si="17"/>
        <v>1.1572355801226078E-2</v>
      </c>
    </row>
    <row r="518" spans="1:4" x14ac:dyDescent="0.25">
      <c r="A518" t="s">
        <v>565</v>
      </c>
      <c r="B518">
        <v>149.49</v>
      </c>
      <c r="C518" s="6">
        <f t="shared" si="16"/>
        <v>3.0866268536535735E-3</v>
      </c>
      <c r="D518" s="6">
        <f t="shared" si="17"/>
        <v>3.0818730007214266E-3</v>
      </c>
    </row>
    <row r="519" spans="1:4" x14ac:dyDescent="0.25">
      <c r="A519" t="s">
        <v>566</v>
      </c>
      <c r="B519">
        <v>149.03</v>
      </c>
      <c r="C519" s="6">
        <f t="shared" si="16"/>
        <v>1.0167423574866108E-2</v>
      </c>
      <c r="D519" s="6">
        <f t="shared" si="17"/>
        <v>1.0116083031225831E-2</v>
      </c>
    </row>
    <row r="520" spans="1:4" x14ac:dyDescent="0.25">
      <c r="A520" t="s">
        <v>567</v>
      </c>
      <c r="B520">
        <v>147.53</v>
      </c>
      <c r="C520" s="6">
        <f t="shared" si="16"/>
        <v>3.4006665306400841E-3</v>
      </c>
      <c r="D520" s="6">
        <f t="shared" si="17"/>
        <v>3.3948973399098121E-3</v>
      </c>
    </row>
    <row r="521" spans="1:4" x14ac:dyDescent="0.25">
      <c r="A521" t="s">
        <v>568</v>
      </c>
      <c r="B521">
        <v>147.03</v>
      </c>
      <c r="C521" s="6">
        <f t="shared" si="16"/>
        <v>1.5891660333033908E-2</v>
      </c>
      <c r="D521" s="6">
        <f t="shared" si="17"/>
        <v>1.5766709940052602E-2</v>
      </c>
    </row>
    <row r="522" spans="1:4" x14ac:dyDescent="0.25">
      <c r="A522" t="s">
        <v>569</v>
      </c>
      <c r="B522">
        <v>144.72999999999999</v>
      </c>
      <c r="C522" s="6">
        <f t="shared" si="16"/>
        <v>-1.1042860100766161E-3</v>
      </c>
      <c r="D522" s="6">
        <f t="shared" si="17"/>
        <v>-1.1048961831177054E-3</v>
      </c>
    </row>
    <row r="523" spans="1:4" x14ac:dyDescent="0.25">
      <c r="A523" t="s">
        <v>570</v>
      </c>
      <c r="B523">
        <v>144.88999999999999</v>
      </c>
      <c r="C523" s="6">
        <f t="shared" si="16"/>
        <v>1.017918148225605E-2</v>
      </c>
      <c r="D523" s="6">
        <f t="shared" si="17"/>
        <v>1.0127722526509109E-2</v>
      </c>
    </row>
    <row r="524" spans="1:4" x14ac:dyDescent="0.25">
      <c r="A524" t="s">
        <v>571</v>
      </c>
      <c r="B524">
        <v>143.43</v>
      </c>
      <c r="C524" s="6">
        <f t="shared" si="16"/>
        <v>3.5684298908482681E-3</v>
      </c>
      <c r="D524" s="6">
        <f t="shared" si="17"/>
        <v>3.5620781509128857E-3</v>
      </c>
    </row>
    <row r="525" spans="1:4" x14ac:dyDescent="0.25">
      <c r="A525" t="s">
        <v>572</v>
      </c>
      <c r="B525">
        <v>142.91999999999999</v>
      </c>
      <c r="C525" s="6">
        <f t="shared" si="16"/>
        <v>-7.4310716021946943E-3</v>
      </c>
      <c r="D525" s="6">
        <f t="shared" si="17"/>
        <v>-7.4588195649701568E-3</v>
      </c>
    </row>
    <row r="526" spans="1:4" x14ac:dyDescent="0.25">
      <c r="A526" t="s">
        <v>573</v>
      </c>
      <c r="B526">
        <v>143.99</v>
      </c>
      <c r="C526" s="6">
        <f t="shared" si="16"/>
        <v>-5.3191489361701372E-3</v>
      </c>
      <c r="D526" s="6">
        <f t="shared" si="17"/>
        <v>-5.3333459753625049E-3</v>
      </c>
    </row>
    <row r="527" spans="1:4" x14ac:dyDescent="0.25">
      <c r="A527" t="s">
        <v>574</v>
      </c>
      <c r="B527">
        <v>144.76</v>
      </c>
      <c r="C527" s="6">
        <f t="shared" si="16"/>
        <v>1.138824844546904E-2</v>
      </c>
      <c r="D527" s="6">
        <f t="shared" si="17"/>
        <v>1.1323890499416244E-2</v>
      </c>
    </row>
    <row r="528" spans="1:4" x14ac:dyDescent="0.25">
      <c r="A528" t="s">
        <v>575</v>
      </c>
      <c r="B528">
        <v>143.13</v>
      </c>
      <c r="C528" s="6">
        <f t="shared" si="16"/>
        <v>-2.0955574182734971E-4</v>
      </c>
      <c r="D528" s="6">
        <f t="shared" si="17"/>
        <v>-2.0957770169974794E-4</v>
      </c>
    </row>
    <row r="529" spans="1:4" x14ac:dyDescent="0.25">
      <c r="A529" t="s">
        <v>576</v>
      </c>
      <c r="B529">
        <v>143.16</v>
      </c>
      <c r="C529" s="6">
        <f t="shared" si="16"/>
        <v>-3.8964653492903345E-3</v>
      </c>
      <c r="D529" s="6">
        <f t="shared" si="17"/>
        <v>-3.9040763474929734E-3</v>
      </c>
    </row>
    <row r="530" spans="1:4" x14ac:dyDescent="0.25">
      <c r="A530" t="s">
        <v>577</v>
      </c>
      <c r="B530">
        <v>143.72</v>
      </c>
      <c r="C530" s="6">
        <f t="shared" si="16"/>
        <v>1.5258547612319928E-2</v>
      </c>
      <c r="D530" s="6">
        <f t="shared" si="17"/>
        <v>1.5143306768055413E-2</v>
      </c>
    </row>
    <row r="531" spans="1:4" x14ac:dyDescent="0.25">
      <c r="A531" t="s">
        <v>578</v>
      </c>
      <c r="B531">
        <v>141.56</v>
      </c>
      <c r="C531" s="6">
        <f t="shared" si="16"/>
        <v>7.0691361515629048E-4</v>
      </c>
      <c r="D531" s="6">
        <f t="shared" si="17"/>
        <v>7.0666386941882096E-4</v>
      </c>
    </row>
    <row r="532" spans="1:4" x14ac:dyDescent="0.25">
      <c r="A532" t="s">
        <v>579</v>
      </c>
      <c r="B532">
        <v>141.46</v>
      </c>
      <c r="C532" s="6">
        <f t="shared" si="16"/>
        <v>-4.5739216100204594E-3</v>
      </c>
      <c r="D532" s="6">
        <f t="shared" si="17"/>
        <v>-4.5844139959262857E-3</v>
      </c>
    </row>
    <row r="533" spans="1:4" x14ac:dyDescent="0.25">
      <c r="A533" t="s">
        <v>580</v>
      </c>
      <c r="B533">
        <v>142.11000000000001</v>
      </c>
      <c r="C533" s="6">
        <f t="shared" si="16"/>
        <v>1.3840336733966119E-2</v>
      </c>
      <c r="D533" s="6">
        <f t="shared" si="17"/>
        <v>1.3745433928803973E-2</v>
      </c>
    </row>
    <row r="534" spans="1:4" x14ac:dyDescent="0.25">
      <c r="A534" t="s">
        <v>581</v>
      </c>
      <c r="B534">
        <v>140.16999999999999</v>
      </c>
      <c r="C534" s="6">
        <f t="shared" si="16"/>
        <v>-1.0867264130971832E-2</v>
      </c>
      <c r="D534" s="6">
        <f t="shared" si="17"/>
        <v>-1.0926744161812848E-2</v>
      </c>
    </row>
    <row r="535" spans="1:4" x14ac:dyDescent="0.25">
      <c r="A535" t="s">
        <v>582</v>
      </c>
      <c r="B535">
        <v>141.71</v>
      </c>
      <c r="C535" s="6">
        <f t="shared" si="16"/>
        <v>8.8275076528796514E-3</v>
      </c>
      <c r="D535" s="6">
        <f t="shared" si="17"/>
        <v>8.7887729939606311E-3</v>
      </c>
    </row>
    <row r="536" spans="1:4" x14ac:dyDescent="0.25">
      <c r="A536" t="s">
        <v>583</v>
      </c>
      <c r="B536">
        <v>140.47</v>
      </c>
      <c r="C536" s="6">
        <f t="shared" si="16"/>
        <v>-2.0602443876100995E-3</v>
      </c>
      <c r="D536" s="6">
        <f t="shared" si="17"/>
        <v>-2.0623696105659204E-3</v>
      </c>
    </row>
    <row r="537" spans="1:4" x14ac:dyDescent="0.25">
      <c r="A537" t="s">
        <v>584</v>
      </c>
      <c r="B537">
        <v>140.76</v>
      </c>
      <c r="C537" s="6">
        <f t="shared" si="16"/>
        <v>7.8208318521144626E-4</v>
      </c>
      <c r="D537" s="6">
        <f t="shared" si="17"/>
        <v>7.8177751751847718E-4</v>
      </c>
    </row>
    <row r="538" spans="1:4" x14ac:dyDescent="0.25">
      <c r="A538" t="s">
        <v>585</v>
      </c>
      <c r="B538">
        <v>140.65</v>
      </c>
      <c r="C538" s="6">
        <f t="shared" si="16"/>
        <v>1.713913798090827E-2</v>
      </c>
      <c r="D538" s="6">
        <f t="shared" si="17"/>
        <v>1.6993919882442039E-2</v>
      </c>
    </row>
    <row r="539" spans="1:4" x14ac:dyDescent="0.25">
      <c r="A539" t="s">
        <v>586</v>
      </c>
      <c r="B539">
        <v>138.28</v>
      </c>
      <c r="C539" s="6">
        <f t="shared" si="16"/>
        <v>1.0006573661529572E-2</v>
      </c>
      <c r="D539" s="6">
        <f t="shared" si="17"/>
        <v>9.9568394077592486E-3</v>
      </c>
    </row>
    <row r="540" spans="1:4" x14ac:dyDescent="0.25">
      <c r="A540" t="s">
        <v>587</v>
      </c>
      <c r="B540">
        <v>136.91</v>
      </c>
      <c r="C540" s="6">
        <f t="shared" si="16"/>
        <v>2.8779681394649703E-2</v>
      </c>
      <c r="D540" s="6">
        <f t="shared" si="17"/>
        <v>2.8373324495388531E-2</v>
      </c>
    </row>
    <row r="541" spans="1:4" x14ac:dyDescent="0.25">
      <c r="A541" t="s">
        <v>588</v>
      </c>
      <c r="B541">
        <v>133.08000000000001</v>
      </c>
      <c r="C541" s="6">
        <f t="shared" si="16"/>
        <v>4.2257772411711247E-3</v>
      </c>
      <c r="D541" s="6">
        <f t="shared" si="17"/>
        <v>4.2168737185808453E-3</v>
      </c>
    </row>
    <row r="542" spans="1:4" x14ac:dyDescent="0.25">
      <c r="A542" t="s">
        <v>589</v>
      </c>
      <c r="B542">
        <v>132.52000000000001</v>
      </c>
      <c r="C542" s="6">
        <f t="shared" si="16"/>
        <v>2.1173623714458856E-3</v>
      </c>
      <c r="D542" s="6">
        <f t="shared" si="17"/>
        <v>2.1151239189264033E-3</v>
      </c>
    </row>
    <row r="543" spans="1:4" x14ac:dyDescent="0.25">
      <c r="A543" t="s">
        <v>590</v>
      </c>
      <c r="B543">
        <v>132.24</v>
      </c>
      <c r="C543" s="6">
        <f t="shared" si="16"/>
        <v>-7.5562943932294679E-4</v>
      </c>
      <c r="D543" s="6">
        <f t="shared" si="17"/>
        <v>-7.559150711446722E-4</v>
      </c>
    </row>
    <row r="544" spans="1:4" x14ac:dyDescent="0.25">
      <c r="A544" t="s">
        <v>591</v>
      </c>
      <c r="B544">
        <v>132.34</v>
      </c>
      <c r="C544" s="6">
        <f t="shared" si="16"/>
        <v>-1.3271696987772197E-2</v>
      </c>
      <c r="D544" s="6">
        <f t="shared" si="17"/>
        <v>-1.3360553014114424E-2</v>
      </c>
    </row>
    <row r="545" spans="1:4" x14ac:dyDescent="0.25">
      <c r="A545" t="s">
        <v>592</v>
      </c>
      <c r="B545">
        <v>134.12</v>
      </c>
      <c r="C545" s="6">
        <f t="shared" si="16"/>
        <v>-2.3060328795655449E-3</v>
      </c>
      <c r="D545" s="6">
        <f t="shared" si="17"/>
        <v>-2.3086958681335303E-3</v>
      </c>
    </row>
    <row r="546" spans="1:4" x14ac:dyDescent="0.25">
      <c r="A546" t="s">
        <v>593</v>
      </c>
      <c r="B546">
        <v>134.43</v>
      </c>
      <c r="C546" s="6">
        <f t="shared" si="16"/>
        <v>1.4719202898550776E-2</v>
      </c>
      <c r="D546" s="6">
        <f t="shared" si="17"/>
        <v>1.4611926829211839E-2</v>
      </c>
    </row>
    <row r="547" spans="1:4" x14ac:dyDescent="0.25">
      <c r="A547" t="s">
        <v>594</v>
      </c>
      <c r="B547">
        <v>132.47999999999999</v>
      </c>
      <c r="C547" s="6">
        <f t="shared" si="16"/>
        <v>1.9664196036908166E-3</v>
      </c>
      <c r="D547" s="6">
        <f t="shared" si="17"/>
        <v>1.9644887315174958E-3</v>
      </c>
    </row>
    <row r="548" spans="1:4" x14ac:dyDescent="0.25">
      <c r="A548" t="s">
        <v>595</v>
      </c>
      <c r="B548">
        <v>132.22</v>
      </c>
      <c r="C548" s="6">
        <f t="shared" si="16"/>
        <v>6.0873535230558939E-3</v>
      </c>
      <c r="D548" s="6">
        <f t="shared" si="17"/>
        <v>6.068900435710298E-3</v>
      </c>
    </row>
    <row r="549" spans="1:4" x14ac:dyDescent="0.25">
      <c r="A549" t="s">
        <v>596</v>
      </c>
      <c r="B549">
        <v>131.41999999999999</v>
      </c>
      <c r="C549" s="6">
        <f t="shared" si="16"/>
        <v>8.0540001534092909E-3</v>
      </c>
      <c r="D549" s="6">
        <f t="shared" si="17"/>
        <v>8.0217397950341721E-3</v>
      </c>
    </row>
    <row r="550" spans="1:4" x14ac:dyDescent="0.25">
      <c r="A550" t="s">
        <v>597</v>
      </c>
      <c r="B550">
        <v>130.37</v>
      </c>
      <c r="C550" s="6">
        <f t="shared" si="16"/>
        <v>-8.2160517306959502E-3</v>
      </c>
      <c r="D550" s="6">
        <f t="shared" si="17"/>
        <v>-8.2499895012026828E-3</v>
      </c>
    </row>
    <row r="551" spans="1:4" x14ac:dyDescent="0.25">
      <c r="A551" t="s">
        <v>598</v>
      </c>
      <c r="B551">
        <v>131.44999999999999</v>
      </c>
      <c r="C551" s="6">
        <f t="shared" si="16"/>
        <v>1.3024044389642331E-2</v>
      </c>
      <c r="D551" s="6">
        <f t="shared" si="17"/>
        <v>1.2939960808787341E-2</v>
      </c>
    </row>
    <row r="552" spans="1:4" x14ac:dyDescent="0.25">
      <c r="A552" t="s">
        <v>599</v>
      </c>
      <c r="B552">
        <v>129.76</v>
      </c>
      <c r="C552" s="6">
        <f t="shared" si="16"/>
        <v>-1.3532005473620212E-2</v>
      </c>
      <c r="D552" s="6">
        <f t="shared" si="17"/>
        <v>-1.362439750610219E-2</v>
      </c>
    </row>
    <row r="553" spans="1:4" x14ac:dyDescent="0.25">
      <c r="A553" t="s">
        <v>600</v>
      </c>
      <c r="B553">
        <v>131.54</v>
      </c>
      <c r="C553" s="6">
        <f t="shared" si="16"/>
        <v>-3.1827826614126975E-3</v>
      </c>
      <c r="D553" s="6">
        <f t="shared" si="17"/>
        <v>-3.1878584871758639E-3</v>
      </c>
    </row>
    <row r="554" spans="1:4" x14ac:dyDescent="0.25">
      <c r="A554" t="s">
        <v>601</v>
      </c>
      <c r="B554">
        <v>131.96</v>
      </c>
      <c r="C554" s="6">
        <f t="shared" si="16"/>
        <v>-1.2110202845897478E-3</v>
      </c>
      <c r="D554" s="6">
        <f t="shared" si="17"/>
        <v>-1.2117541622082121E-3</v>
      </c>
    </row>
    <row r="555" spans="1:4" x14ac:dyDescent="0.25">
      <c r="A555" t="s">
        <v>602</v>
      </c>
      <c r="B555">
        <v>132.12</v>
      </c>
      <c r="C555" s="6">
        <f t="shared" si="16"/>
        <v>6.3985374771480252E-3</v>
      </c>
      <c r="D555" s="6">
        <f t="shared" si="17"/>
        <v>6.3781537407533928E-3</v>
      </c>
    </row>
    <row r="556" spans="1:4" x14ac:dyDescent="0.25">
      <c r="A556" t="s">
        <v>603</v>
      </c>
      <c r="B556">
        <v>131.28</v>
      </c>
      <c r="C556" s="6">
        <f t="shared" si="16"/>
        <v>-1.0477123690359469E-2</v>
      </c>
      <c r="D556" s="6">
        <f t="shared" si="17"/>
        <v>-1.0532395146989882E-2</v>
      </c>
    </row>
    <row r="557" spans="1:4" x14ac:dyDescent="0.25">
      <c r="A557" t="s">
        <v>604</v>
      </c>
      <c r="B557">
        <v>132.66999999999999</v>
      </c>
      <c r="C557" s="6">
        <f t="shared" si="16"/>
        <v>-5.919376592237513E-3</v>
      </c>
      <c r="D557" s="6">
        <f t="shared" si="17"/>
        <v>-5.9369655466352204E-3</v>
      </c>
    </row>
    <row r="558" spans="1:4" x14ac:dyDescent="0.25">
      <c r="A558" t="s">
        <v>605</v>
      </c>
      <c r="B558">
        <v>133.46</v>
      </c>
      <c r="C558" s="6">
        <f t="shared" si="16"/>
        <v>-1.9469546690177086E-2</v>
      </c>
      <c r="D558" s="6">
        <f t="shared" si="17"/>
        <v>-1.9661574868521756E-2</v>
      </c>
    </row>
    <row r="559" spans="1:4" x14ac:dyDescent="0.25">
      <c r="A559" t="s">
        <v>606</v>
      </c>
      <c r="B559">
        <v>136.11000000000001</v>
      </c>
      <c r="C559" s="6">
        <f t="shared" si="16"/>
        <v>-1.8390307226308855E-2</v>
      </c>
      <c r="D559" s="6">
        <f t="shared" si="17"/>
        <v>-1.8561511170362033E-2</v>
      </c>
    </row>
    <row r="560" spans="1:4" x14ac:dyDescent="0.25">
      <c r="A560" t="s">
        <v>607</v>
      </c>
      <c r="B560">
        <v>138.66</v>
      </c>
      <c r="C560" s="6">
        <f t="shared" si="16"/>
        <v>1.0106843777071273E-3</v>
      </c>
      <c r="D560" s="6">
        <f t="shared" si="17"/>
        <v>1.0101739801230841E-3</v>
      </c>
    </row>
    <row r="561" spans="1:4" x14ac:dyDescent="0.25">
      <c r="A561" t="s">
        <v>608</v>
      </c>
      <c r="B561">
        <v>138.52000000000001</v>
      </c>
      <c r="C561" s="6">
        <f t="shared" si="16"/>
        <v>-2.1336724600819479E-2</v>
      </c>
      <c r="D561" s="6">
        <f t="shared" si="17"/>
        <v>-2.156764311341737E-2</v>
      </c>
    </row>
    <row r="562" spans="1:4" x14ac:dyDescent="0.25">
      <c r="A562" t="s">
        <v>609</v>
      </c>
      <c r="B562">
        <v>141.54</v>
      </c>
      <c r="C562" s="6">
        <f t="shared" si="16"/>
        <v>-1.200614267764899E-2</v>
      </c>
      <c r="D562" s="6">
        <f t="shared" si="17"/>
        <v>-1.2078798538666462E-2</v>
      </c>
    </row>
    <row r="563" spans="1:4" x14ac:dyDescent="0.25">
      <c r="A563" t="s">
        <v>610</v>
      </c>
      <c r="B563">
        <v>143.26</v>
      </c>
      <c r="C563" s="6">
        <f t="shared" si="16"/>
        <v>2.4236791306212924E-2</v>
      </c>
      <c r="D563" s="6">
        <f t="shared" si="17"/>
        <v>2.3947741395092616E-2</v>
      </c>
    </row>
    <row r="564" spans="1:4" x14ac:dyDescent="0.25">
      <c r="A564" t="s">
        <v>611</v>
      </c>
      <c r="B564">
        <v>139.87</v>
      </c>
      <c r="C564" s="6">
        <f t="shared" si="16"/>
        <v>6.403799107785435E-3</v>
      </c>
      <c r="D564" s="6">
        <f t="shared" si="17"/>
        <v>6.3833819050314105E-3</v>
      </c>
    </row>
    <row r="565" spans="1:4" x14ac:dyDescent="0.25">
      <c r="A565" t="s">
        <v>612</v>
      </c>
      <c r="B565">
        <v>138.97999999999999</v>
      </c>
      <c r="C565" s="6">
        <f t="shared" si="16"/>
        <v>-2.3674042852125043E-2</v>
      </c>
      <c r="D565" s="6">
        <f t="shared" si="17"/>
        <v>-2.3958775837865272E-2</v>
      </c>
    </row>
    <row r="566" spans="1:4" x14ac:dyDescent="0.25">
      <c r="A566" t="s">
        <v>613</v>
      </c>
      <c r="B566">
        <v>142.35</v>
      </c>
      <c r="C566" s="6">
        <f t="shared" si="16"/>
        <v>8.0016994759948279E-3</v>
      </c>
      <c r="D566" s="6">
        <f t="shared" si="17"/>
        <v>7.9698556358457039E-3</v>
      </c>
    </row>
    <row r="567" spans="1:4" x14ac:dyDescent="0.25">
      <c r="A567" t="s">
        <v>614</v>
      </c>
      <c r="B567">
        <v>141.22</v>
      </c>
      <c r="C567" s="6">
        <f t="shared" si="16"/>
        <v>6.3770991284628487E-4</v>
      </c>
      <c r="D567" s="6">
        <f t="shared" si="17"/>
        <v>6.3750666228515492E-4</v>
      </c>
    </row>
    <row r="568" spans="1:4" x14ac:dyDescent="0.25">
      <c r="A568" t="s">
        <v>615</v>
      </c>
      <c r="B568">
        <v>141.13</v>
      </c>
      <c r="C568" s="6">
        <f t="shared" si="16"/>
        <v>2.0684168655529023E-2</v>
      </c>
      <c r="D568" s="6">
        <f t="shared" si="17"/>
        <v>2.0473156025388992E-2</v>
      </c>
    </row>
    <row r="569" spans="1:4" x14ac:dyDescent="0.25">
      <c r="A569" t="s">
        <v>616</v>
      </c>
      <c r="B569">
        <v>138.27000000000001</v>
      </c>
      <c r="C569" s="6">
        <f t="shared" si="16"/>
        <v>3.2867707477403529E-2</v>
      </c>
      <c r="D569" s="6">
        <f t="shared" si="17"/>
        <v>3.2339115602720327E-2</v>
      </c>
    </row>
    <row r="570" spans="1:4" x14ac:dyDescent="0.25">
      <c r="A570" t="s">
        <v>617</v>
      </c>
      <c r="B570">
        <v>133.87</v>
      </c>
      <c r="C570" s="6">
        <f t="shared" si="16"/>
        <v>4.3514142096181541E-3</v>
      </c>
      <c r="D570" s="6">
        <f t="shared" si="17"/>
        <v>4.3419741818795793E-3</v>
      </c>
    </row>
    <row r="571" spans="1:4" x14ac:dyDescent="0.25">
      <c r="A571" t="s">
        <v>618</v>
      </c>
      <c r="B571">
        <v>133.29</v>
      </c>
      <c r="C571" s="6">
        <f t="shared" si="16"/>
        <v>-1.2739797052070179E-2</v>
      </c>
      <c r="D571" s="6">
        <f t="shared" si="17"/>
        <v>-1.2821644153227936E-2</v>
      </c>
    </row>
    <row r="572" spans="1:4" x14ac:dyDescent="0.25">
      <c r="A572" t="s">
        <v>619</v>
      </c>
      <c r="B572">
        <v>135.01</v>
      </c>
      <c r="C572" s="6">
        <f t="shared" si="16"/>
        <v>8.1541882876190463E-4</v>
      </c>
      <c r="D572" s="6">
        <f t="shared" si="17"/>
        <v>8.1508655544443255E-4</v>
      </c>
    </row>
    <row r="573" spans="1:4" x14ac:dyDescent="0.25">
      <c r="A573" t="s">
        <v>620</v>
      </c>
      <c r="B573">
        <v>134.9</v>
      </c>
      <c r="C573" s="6">
        <f t="shared" si="16"/>
        <v>-1.6046681254558659E-2</v>
      </c>
      <c r="D573" s="6">
        <f t="shared" si="17"/>
        <v>-1.6176823354558452E-2</v>
      </c>
    </row>
    <row r="574" spans="1:4" x14ac:dyDescent="0.25">
      <c r="A574" t="s">
        <v>621</v>
      </c>
      <c r="B574">
        <v>137.1</v>
      </c>
      <c r="C574" s="6">
        <f t="shared" si="16"/>
        <v>3.5107587768969495E-2</v>
      </c>
      <c r="D574" s="6">
        <f t="shared" si="17"/>
        <v>3.4505370850190065E-2</v>
      </c>
    </row>
    <row r="575" spans="1:4" x14ac:dyDescent="0.25">
      <c r="A575" t="s">
        <v>622</v>
      </c>
      <c r="B575">
        <v>132.44999999999999</v>
      </c>
      <c r="C575" s="6">
        <f t="shared" si="16"/>
        <v>-2.9358626919603337E-3</v>
      </c>
      <c r="D575" s="6">
        <f t="shared" si="17"/>
        <v>-2.9401807904671897E-3</v>
      </c>
    </row>
    <row r="576" spans="1:4" x14ac:dyDescent="0.25">
      <c r="A576" t="s">
        <v>623</v>
      </c>
      <c r="B576">
        <v>132.84</v>
      </c>
      <c r="C576" s="6">
        <f t="shared" si="16"/>
        <v>-1.020788316816934E-2</v>
      </c>
      <c r="D576" s="6">
        <f t="shared" si="17"/>
        <v>-1.0260340901168783E-2</v>
      </c>
    </row>
    <row r="577" spans="1:4" x14ac:dyDescent="0.25">
      <c r="A577" t="s">
        <v>624</v>
      </c>
      <c r="B577">
        <v>134.21</v>
      </c>
      <c r="C577" s="6">
        <f t="shared" si="16"/>
        <v>2.5208158276678772E-2</v>
      </c>
      <c r="D577" s="6">
        <f t="shared" si="17"/>
        <v>2.4895673217707019E-2</v>
      </c>
    </row>
    <row r="578" spans="1:4" x14ac:dyDescent="0.25">
      <c r="A578" t="s">
        <v>625</v>
      </c>
      <c r="B578">
        <v>130.91</v>
      </c>
      <c r="C578" s="6">
        <f t="shared" si="16"/>
        <v>1.0705819377532233E-3</v>
      </c>
      <c r="D578" s="6">
        <f t="shared" si="17"/>
        <v>1.0700092735966597E-3</v>
      </c>
    </row>
    <row r="579" spans="1:4" x14ac:dyDescent="0.25">
      <c r="A579" t="s">
        <v>626</v>
      </c>
      <c r="B579">
        <v>130.77000000000001</v>
      </c>
      <c r="C579" s="6">
        <f t="shared" ref="C579:C625" si="18">(B579/B580)-1</f>
        <v>-4.6430202466127835E-3</v>
      </c>
      <c r="D579" s="6">
        <f t="shared" ref="D579:D625" si="19">LN(B579/B580)</f>
        <v>-4.6538325459158708E-3</v>
      </c>
    </row>
    <row r="580" spans="1:4" x14ac:dyDescent="0.25">
      <c r="A580" t="s">
        <v>627</v>
      </c>
      <c r="B580">
        <v>131.38</v>
      </c>
      <c r="C580" s="6">
        <f t="shared" si="18"/>
        <v>1.7976135130946869E-2</v>
      </c>
      <c r="D580" s="6">
        <f t="shared" si="19"/>
        <v>1.7816474956633223E-2</v>
      </c>
    </row>
    <row r="581" spans="1:4" x14ac:dyDescent="0.25">
      <c r="A581" t="s">
        <v>628</v>
      </c>
      <c r="B581">
        <v>129.06</v>
      </c>
      <c r="C581" s="6">
        <f t="shared" si="18"/>
        <v>-1.4700193423597963E-3</v>
      </c>
      <c r="D581" s="6">
        <f t="shared" si="19"/>
        <v>-1.4711008808448579E-3</v>
      </c>
    </row>
    <row r="582" spans="1:4" x14ac:dyDescent="0.25">
      <c r="A582" t="s">
        <v>629</v>
      </c>
      <c r="B582">
        <v>129.25</v>
      </c>
      <c r="C582" s="6">
        <f t="shared" si="18"/>
        <v>2.2062312193579015E-2</v>
      </c>
      <c r="D582" s="6">
        <f t="shared" si="19"/>
        <v>2.1822460758071382E-2</v>
      </c>
    </row>
    <row r="583" spans="1:4" x14ac:dyDescent="0.25">
      <c r="A583" t="s">
        <v>630</v>
      </c>
      <c r="B583">
        <v>126.46</v>
      </c>
      <c r="C583" s="6">
        <f t="shared" si="18"/>
        <v>-2.7978478093774073E-2</v>
      </c>
      <c r="D583" s="6">
        <f t="shared" si="19"/>
        <v>-2.8377332887992497E-2</v>
      </c>
    </row>
    <row r="584" spans="1:4" x14ac:dyDescent="0.25">
      <c r="A584" t="s">
        <v>631</v>
      </c>
      <c r="B584">
        <v>130.1</v>
      </c>
      <c r="C584" s="6">
        <f t="shared" si="18"/>
        <v>-1.3197815533980695E-2</v>
      </c>
      <c r="D584" s="6">
        <f t="shared" si="19"/>
        <v>-1.3285680642702092E-2</v>
      </c>
    </row>
    <row r="585" spans="1:4" x14ac:dyDescent="0.25">
      <c r="A585" t="s">
        <v>632</v>
      </c>
      <c r="B585">
        <v>131.84</v>
      </c>
      <c r="C585" s="6">
        <f t="shared" si="18"/>
        <v>-1.7585692995528923E-2</v>
      </c>
      <c r="D585" s="6">
        <f t="shared" si="19"/>
        <v>-1.7742158376419709E-2</v>
      </c>
    </row>
    <row r="586" spans="1:4" x14ac:dyDescent="0.25">
      <c r="A586" t="s">
        <v>633</v>
      </c>
      <c r="B586">
        <v>134.19999999999999</v>
      </c>
      <c r="C586" s="6">
        <f t="shared" si="18"/>
        <v>-3.2679738562091387E-3</v>
      </c>
      <c r="D586" s="6">
        <f t="shared" si="19"/>
        <v>-3.2733253449691376E-3</v>
      </c>
    </row>
    <row r="587" spans="1:4" x14ac:dyDescent="0.25">
      <c r="A587" t="s">
        <v>634</v>
      </c>
      <c r="B587">
        <v>134.63999999999999</v>
      </c>
      <c r="C587" s="6">
        <f t="shared" si="18"/>
        <v>-6.4935064935066622E-3</v>
      </c>
      <c r="D587" s="6">
        <f t="shared" si="19"/>
        <v>-6.5146810211938657E-3</v>
      </c>
    </row>
    <row r="588" spans="1:4" x14ac:dyDescent="0.25">
      <c r="A588" t="s">
        <v>635</v>
      </c>
      <c r="B588">
        <v>135.52000000000001</v>
      </c>
      <c r="C588" s="6">
        <f t="shared" si="18"/>
        <v>-1.4000442119224132E-3</v>
      </c>
      <c r="D588" s="6">
        <f t="shared" si="19"/>
        <v>-1.4010251895350051E-3</v>
      </c>
    </row>
    <row r="589" spans="1:4" x14ac:dyDescent="0.25">
      <c r="A589" t="s">
        <v>636</v>
      </c>
      <c r="B589">
        <v>135.71</v>
      </c>
      <c r="C589" s="6">
        <f t="shared" si="18"/>
        <v>-1.9121865117304182E-3</v>
      </c>
      <c r="D589" s="6">
        <f t="shared" si="19"/>
        <v>-1.9140170743151962E-3</v>
      </c>
    </row>
    <row r="590" spans="1:4" x14ac:dyDescent="0.25">
      <c r="A590" t="s">
        <v>637</v>
      </c>
      <c r="B590">
        <v>135.97</v>
      </c>
      <c r="C590" s="6">
        <f t="shared" si="18"/>
        <v>9.2035923699251843E-3</v>
      </c>
      <c r="D590" s="6">
        <f t="shared" si="19"/>
        <v>9.1614973998384204E-3</v>
      </c>
    </row>
    <row r="591" spans="1:4" x14ac:dyDescent="0.25">
      <c r="A591" t="s">
        <v>638</v>
      </c>
      <c r="B591">
        <v>134.72999999999999</v>
      </c>
      <c r="C591" s="6">
        <f t="shared" si="18"/>
        <v>-6.1227500737681684E-3</v>
      </c>
      <c r="D591" s="6">
        <f t="shared" si="19"/>
        <v>-6.1415709710943116E-3</v>
      </c>
    </row>
    <row r="592" spans="1:4" x14ac:dyDescent="0.25">
      <c r="A592" t="s">
        <v>639</v>
      </c>
      <c r="B592">
        <v>135.56</v>
      </c>
      <c r="C592" s="6">
        <f t="shared" si="18"/>
        <v>1.2246117084826924E-2</v>
      </c>
      <c r="D592" s="6">
        <f t="shared" si="19"/>
        <v>1.2171739997685557E-2</v>
      </c>
    </row>
    <row r="593" spans="1:4" x14ac:dyDescent="0.25">
      <c r="A593" t="s">
        <v>640</v>
      </c>
      <c r="B593">
        <v>133.91999999999999</v>
      </c>
      <c r="C593" s="6">
        <f t="shared" si="18"/>
        <v>-2.0120724346077701E-3</v>
      </c>
      <c r="D593" s="6">
        <f t="shared" si="19"/>
        <v>-2.0140993717013673E-3</v>
      </c>
    </row>
    <row r="594" spans="1:4" x14ac:dyDescent="0.25">
      <c r="A594" t="s">
        <v>641</v>
      </c>
      <c r="B594">
        <v>134.19</v>
      </c>
      <c r="C594" s="6">
        <f t="shared" si="18"/>
        <v>9.1750018801233235E-3</v>
      </c>
      <c r="D594" s="6">
        <f t="shared" si="19"/>
        <v>9.1331672442519288E-3</v>
      </c>
    </row>
    <row r="595" spans="1:4" x14ac:dyDescent="0.25">
      <c r="A595" t="s">
        <v>642</v>
      </c>
      <c r="B595">
        <v>132.97</v>
      </c>
      <c r="C595" s="6">
        <f t="shared" si="18"/>
        <v>1.2796100236118546E-2</v>
      </c>
      <c r="D595" s="6">
        <f t="shared" si="19"/>
        <v>1.2714921922595532E-2</v>
      </c>
    </row>
    <row r="596" spans="1:4" x14ac:dyDescent="0.25">
      <c r="A596" t="s">
        <v>643</v>
      </c>
      <c r="B596">
        <v>131.29</v>
      </c>
      <c r="C596" s="6">
        <f t="shared" si="18"/>
        <v>7.6173065204132584E-5</v>
      </c>
      <c r="D596" s="6">
        <f t="shared" si="19"/>
        <v>7.6170164183520103E-5</v>
      </c>
    </row>
    <row r="597" spans="1:4" x14ac:dyDescent="0.25">
      <c r="A597" t="s">
        <v>644</v>
      </c>
      <c r="B597">
        <v>131.28</v>
      </c>
      <c r="C597" s="6">
        <f t="shared" si="18"/>
        <v>4.5724737082752931E-4</v>
      </c>
      <c r="D597" s="6">
        <f t="shared" si="19"/>
        <v>4.571428651038963E-4</v>
      </c>
    </row>
    <row r="598" spans="1:4" x14ac:dyDescent="0.25">
      <c r="A598" t="s">
        <v>645</v>
      </c>
      <c r="B598">
        <v>131.22</v>
      </c>
      <c r="C598" s="6">
        <f t="shared" si="18"/>
        <v>1.0006157635467972E-2</v>
      </c>
      <c r="D598" s="6">
        <f t="shared" si="19"/>
        <v>9.9564275033636428E-3</v>
      </c>
    </row>
    <row r="599" spans="1:4" x14ac:dyDescent="0.25">
      <c r="A599" t="s">
        <v>646</v>
      </c>
      <c r="B599">
        <v>129.91999999999999</v>
      </c>
      <c r="C599" s="6">
        <f t="shared" si="18"/>
        <v>-3.9101433719237466E-3</v>
      </c>
      <c r="D599" s="6">
        <f t="shared" si="19"/>
        <v>-3.9178079688240207E-3</v>
      </c>
    </row>
    <row r="600" spans="1:4" x14ac:dyDescent="0.25">
      <c r="A600" t="s">
        <v>647</v>
      </c>
      <c r="B600">
        <v>130.43</v>
      </c>
      <c r="C600" s="6">
        <f t="shared" si="18"/>
        <v>-1.6661640530759803E-2</v>
      </c>
      <c r="D600" s="6">
        <f t="shared" si="19"/>
        <v>-1.6802007004792962E-2</v>
      </c>
    </row>
    <row r="601" spans="1:4" x14ac:dyDescent="0.25">
      <c r="A601" t="s">
        <v>648</v>
      </c>
      <c r="B601">
        <v>132.63999999999999</v>
      </c>
      <c r="C601" s="6">
        <f t="shared" si="18"/>
        <v>-1.7990671503664846E-2</v>
      </c>
      <c r="D601" s="6">
        <f t="shared" si="19"/>
        <v>-1.8154471185687998E-2</v>
      </c>
    </row>
    <row r="602" spans="1:4" x14ac:dyDescent="0.25">
      <c r="A602" t="s">
        <v>649</v>
      </c>
      <c r="B602">
        <v>135.07</v>
      </c>
      <c r="C602" s="6">
        <f t="shared" si="18"/>
        <v>1.4724663811884753E-2</v>
      </c>
      <c r="D602" s="6">
        <f t="shared" si="19"/>
        <v>1.4617308513744796E-2</v>
      </c>
    </row>
    <row r="603" spans="1:4" x14ac:dyDescent="0.25">
      <c r="A603" t="s">
        <v>650</v>
      </c>
      <c r="B603">
        <v>133.11000000000001</v>
      </c>
      <c r="C603" s="6">
        <f t="shared" si="18"/>
        <v>-2.6972353337827437E-3</v>
      </c>
      <c r="D603" s="6">
        <f t="shared" si="19"/>
        <v>-2.7008794271321671E-3</v>
      </c>
    </row>
    <row r="604" spans="1:4" x14ac:dyDescent="0.25">
      <c r="A604" t="s">
        <v>651</v>
      </c>
      <c r="B604">
        <v>133.47</v>
      </c>
      <c r="C604" s="6">
        <f t="shared" si="18"/>
        <v>1.5289821999087128E-2</v>
      </c>
      <c r="D604" s="6">
        <f t="shared" si="19"/>
        <v>1.5174110650629909E-2</v>
      </c>
    </row>
    <row r="605" spans="1:4" x14ac:dyDescent="0.25">
      <c r="A605" t="s">
        <v>652</v>
      </c>
      <c r="B605">
        <v>131.46</v>
      </c>
      <c r="C605" s="6">
        <f t="shared" si="18"/>
        <v>-8.3605685186582956E-4</v>
      </c>
      <c r="D605" s="6">
        <f t="shared" si="19"/>
        <v>-8.3640654231658925E-4</v>
      </c>
    </row>
    <row r="606" spans="1:4" x14ac:dyDescent="0.25">
      <c r="A606" t="s">
        <v>653</v>
      </c>
      <c r="B606">
        <v>131.57</v>
      </c>
      <c r="C606" s="6">
        <f t="shared" si="18"/>
        <v>1.771349009900991E-2</v>
      </c>
      <c r="D606" s="6">
        <f t="shared" si="19"/>
        <v>1.7558434604961599E-2</v>
      </c>
    </row>
    <row r="607" spans="1:4" x14ac:dyDescent="0.25">
      <c r="A607" t="s">
        <v>654</v>
      </c>
      <c r="B607">
        <v>129.28</v>
      </c>
      <c r="C607" s="6">
        <f t="shared" si="18"/>
        <v>-1.5159594728422432E-2</v>
      </c>
      <c r="D607" s="6">
        <f t="shared" si="19"/>
        <v>-1.5275676042530896E-2</v>
      </c>
    </row>
    <row r="608" spans="1:4" x14ac:dyDescent="0.25">
      <c r="A608" t="s">
        <v>655</v>
      </c>
      <c r="B608">
        <v>131.27000000000001</v>
      </c>
      <c r="C608" s="6">
        <f t="shared" si="18"/>
        <v>1.755189255189471E-3</v>
      </c>
      <c r="D608" s="6">
        <f t="shared" si="19"/>
        <v>1.7536507105569683E-3</v>
      </c>
    </row>
    <row r="609" spans="1:4" x14ac:dyDescent="0.25">
      <c r="A609" t="s">
        <v>656</v>
      </c>
      <c r="B609">
        <v>131.04</v>
      </c>
      <c r="C609" s="6">
        <f t="shared" si="18"/>
        <v>-2.1578436496677456E-2</v>
      </c>
      <c r="D609" s="6">
        <f t="shared" si="19"/>
        <v>-2.1814655294271554E-2</v>
      </c>
    </row>
    <row r="610" spans="1:4" x14ac:dyDescent="0.25">
      <c r="A610" t="s">
        <v>657</v>
      </c>
      <c r="B610">
        <v>133.93</v>
      </c>
      <c r="C610" s="6">
        <f t="shared" si="18"/>
        <v>9.1169379144062646E-3</v>
      </c>
      <c r="D610" s="6">
        <f t="shared" si="19"/>
        <v>9.0756295168417031E-3</v>
      </c>
    </row>
    <row r="611" spans="1:4" x14ac:dyDescent="0.25">
      <c r="A611" t="s">
        <v>658</v>
      </c>
      <c r="B611">
        <v>132.72</v>
      </c>
      <c r="C611" s="6">
        <f t="shared" si="18"/>
        <v>3.326277592984539E-3</v>
      </c>
      <c r="D611" s="6">
        <f t="shared" si="19"/>
        <v>3.3207577685969783E-3</v>
      </c>
    </row>
    <row r="612" spans="1:4" x14ac:dyDescent="0.25">
      <c r="A612" t="s">
        <v>659</v>
      </c>
      <c r="B612">
        <v>132.28</v>
      </c>
      <c r="C612" s="6">
        <f t="shared" si="18"/>
        <v>-1.5480797856505024E-2</v>
      </c>
      <c r="D612" s="6">
        <f t="shared" si="19"/>
        <v>-1.5601876630500076E-2</v>
      </c>
    </row>
    <row r="613" spans="1:4" x14ac:dyDescent="0.25">
      <c r="A613" t="s">
        <v>660</v>
      </c>
      <c r="B613">
        <v>134.36000000000001</v>
      </c>
      <c r="C613" s="6">
        <f t="shared" si="18"/>
        <v>1.0757541563228834E-2</v>
      </c>
      <c r="D613" s="6">
        <f t="shared" si="19"/>
        <v>1.0700090864584247E-2</v>
      </c>
    </row>
    <row r="614" spans="1:4" x14ac:dyDescent="0.25">
      <c r="A614" t="s">
        <v>661</v>
      </c>
      <c r="B614">
        <v>132.93</v>
      </c>
      <c r="C614" s="6">
        <f t="shared" si="18"/>
        <v>-4.1950707918195773E-3</v>
      </c>
      <c r="D614" s="6">
        <f t="shared" si="19"/>
        <v>-4.203894788133153E-3</v>
      </c>
    </row>
    <row r="615" spans="1:4" x14ac:dyDescent="0.25">
      <c r="A615" t="s">
        <v>662</v>
      </c>
      <c r="B615">
        <v>133.49</v>
      </c>
      <c r="C615" s="6">
        <f t="shared" si="18"/>
        <v>1.4284628827596624E-2</v>
      </c>
      <c r="D615" s="6">
        <f t="shared" si="19"/>
        <v>1.418356482140864E-2</v>
      </c>
    </row>
    <row r="616" spans="1:4" x14ac:dyDescent="0.25">
      <c r="A616" t="s">
        <v>663</v>
      </c>
      <c r="B616">
        <v>131.61000000000001</v>
      </c>
      <c r="C616" s="6">
        <f t="shared" si="18"/>
        <v>-2.576733611216131E-3</v>
      </c>
      <c r="D616" s="6">
        <f t="shared" si="19"/>
        <v>-2.5800591031005351E-3</v>
      </c>
    </row>
    <row r="617" spans="1:4" x14ac:dyDescent="0.25">
      <c r="A617" t="s">
        <v>664</v>
      </c>
      <c r="B617">
        <v>131.94999999999999</v>
      </c>
      <c r="C617" s="6">
        <f t="shared" si="18"/>
        <v>1.25076734192755E-2</v>
      </c>
      <c r="D617" s="6">
        <f t="shared" si="19"/>
        <v>1.2430098655543257E-2</v>
      </c>
    </row>
    <row r="618" spans="1:4" x14ac:dyDescent="0.25">
      <c r="A618" t="s">
        <v>665</v>
      </c>
      <c r="B618">
        <v>130.32</v>
      </c>
      <c r="C618" s="6">
        <f t="shared" si="18"/>
        <v>1.6140350877192899E-2</v>
      </c>
      <c r="D618" s="6">
        <f t="shared" si="19"/>
        <v>1.6011480242910693E-2</v>
      </c>
    </row>
    <row r="619" spans="1:4" x14ac:dyDescent="0.25">
      <c r="A619" t="s">
        <v>666</v>
      </c>
      <c r="B619">
        <v>128.25</v>
      </c>
      <c r="C619" s="6">
        <f t="shared" si="18"/>
        <v>8.5843608553148876E-4</v>
      </c>
      <c r="D619" s="6">
        <f t="shared" si="19"/>
        <v>8.5806784000344821E-4</v>
      </c>
    </row>
    <row r="620" spans="1:4" x14ac:dyDescent="0.25">
      <c r="A620" t="s">
        <v>667</v>
      </c>
      <c r="B620">
        <v>128.13999999999999</v>
      </c>
      <c r="C620" s="6">
        <f t="shared" si="18"/>
        <v>-2.8015564202336085E-3</v>
      </c>
      <c r="D620" s="6">
        <f t="shared" si="19"/>
        <v>-2.8054881243991291E-3</v>
      </c>
    </row>
    <row r="621" spans="1:4" x14ac:dyDescent="0.25">
      <c r="A621" t="s">
        <v>668</v>
      </c>
      <c r="B621">
        <v>128.5</v>
      </c>
      <c r="C621" s="6">
        <f t="shared" si="18"/>
        <v>1.4366908746447749E-2</v>
      </c>
      <c r="D621" s="6">
        <f t="shared" si="19"/>
        <v>1.4264682664835448E-2</v>
      </c>
    </row>
    <row r="622" spans="1:4" x14ac:dyDescent="0.25">
      <c r="A622" t="s">
        <v>669</v>
      </c>
      <c r="B622">
        <v>126.68</v>
      </c>
      <c r="C622" s="6">
        <f t="shared" si="18"/>
        <v>2.8246753246753187E-2</v>
      </c>
      <c r="D622" s="6">
        <f t="shared" si="19"/>
        <v>2.7855170571019584E-2</v>
      </c>
    </row>
    <row r="623" spans="1:4" x14ac:dyDescent="0.25">
      <c r="A623" t="s">
        <v>670</v>
      </c>
      <c r="B623">
        <v>123.2</v>
      </c>
      <c r="C623" s="6">
        <f t="shared" si="18"/>
        <v>-5.8102001291155947E-3</v>
      </c>
      <c r="D623" s="6">
        <f t="shared" si="19"/>
        <v>-5.8271450091938251E-3</v>
      </c>
    </row>
    <row r="624" spans="1:4" x14ac:dyDescent="0.25">
      <c r="A624" t="s">
        <v>671</v>
      </c>
      <c r="B624">
        <v>123.92</v>
      </c>
      <c r="C624" s="6">
        <f t="shared" si="18"/>
        <v>-2.5709568362292656E-2</v>
      </c>
      <c r="D624" s="6">
        <f t="shared" si="19"/>
        <v>-2.6045835354779955E-2</v>
      </c>
    </row>
    <row r="625" spans="1:4" x14ac:dyDescent="0.25">
      <c r="A625" t="s">
        <v>672</v>
      </c>
      <c r="B625">
        <v>127.19</v>
      </c>
      <c r="C625" s="6">
        <f t="shared" si="18"/>
        <v>1.9068984856982496E-2</v>
      </c>
      <c r="D625" s="6">
        <f t="shared" si="19"/>
        <v>1.888945053303066E-2</v>
      </c>
    </row>
    <row r="626" spans="1:4" x14ac:dyDescent="0.25">
      <c r="A626" t="s">
        <v>673</v>
      </c>
      <c r="B626">
        <v>124.81</v>
      </c>
      <c r="C626" s="6">
        <f>(B626/B627)-1</f>
        <v>1.0607287449392766E-2</v>
      </c>
      <c r="D626" s="6">
        <f>LN(B626/B627)</f>
        <v>1.0551424862330511E-2</v>
      </c>
    </row>
    <row r="627" spans="1:4" x14ac:dyDescent="0.25">
      <c r="A627" t="s">
        <v>674</v>
      </c>
      <c r="B627">
        <v>123.5</v>
      </c>
      <c r="C627" s="6">
        <f>(B627/B628)-1</f>
        <v>-2.5843967048941874E-3</v>
      </c>
      <c r="D627" s="6">
        <f t="shared" ref="D627:D690" si="20">LN(B627/B628)</f>
        <v>-2.5877420230541737E-3</v>
      </c>
    </row>
    <row r="628" spans="1:4" x14ac:dyDescent="0.25">
      <c r="A628" t="s">
        <v>675</v>
      </c>
      <c r="B628">
        <v>123.82</v>
      </c>
      <c r="C628" s="6">
        <f t="shared" ref="C628:C691" si="21">(B628/B629)-1</f>
        <v>-6.5789473684211286E-3</v>
      </c>
      <c r="D628" s="6">
        <f t="shared" si="20"/>
        <v>-6.6006840313521361E-3</v>
      </c>
    </row>
    <row r="629" spans="1:4" x14ac:dyDescent="0.25">
      <c r="A629" t="s">
        <v>676</v>
      </c>
      <c r="B629">
        <v>124.64</v>
      </c>
      <c r="C629" s="6">
        <f t="shared" si="21"/>
        <v>1.3168590473093822E-2</v>
      </c>
      <c r="D629" s="6">
        <f t="shared" si="20"/>
        <v>1.3082638342215937E-2</v>
      </c>
    </row>
    <row r="630" spans="1:4" x14ac:dyDescent="0.25">
      <c r="A630" t="s">
        <v>677</v>
      </c>
      <c r="B630">
        <v>123.02</v>
      </c>
      <c r="C630" s="6">
        <f t="shared" si="21"/>
        <v>1.8714806227227543E-2</v>
      </c>
      <c r="D630" s="6">
        <f t="shared" si="20"/>
        <v>1.8541838941584145E-2</v>
      </c>
    </row>
    <row r="631" spans="1:4" x14ac:dyDescent="0.25">
      <c r="A631" t="s">
        <v>678</v>
      </c>
      <c r="B631">
        <v>120.76</v>
      </c>
      <c r="C631" s="6">
        <f t="shared" si="21"/>
        <v>1.5758480550718268E-3</v>
      </c>
      <c r="D631" s="6">
        <f t="shared" si="20"/>
        <v>1.5746077094187043E-3</v>
      </c>
    </row>
    <row r="632" spans="1:4" x14ac:dyDescent="0.25">
      <c r="A632" t="s">
        <v>679</v>
      </c>
      <c r="B632">
        <v>120.57</v>
      </c>
      <c r="C632" s="6">
        <f t="shared" si="21"/>
        <v>8.3633018315631968E-3</v>
      </c>
      <c r="D632" s="6">
        <f t="shared" si="20"/>
        <v>8.3285231977309089E-3</v>
      </c>
    </row>
    <row r="633" spans="1:4" x14ac:dyDescent="0.25">
      <c r="A633" t="s">
        <v>680</v>
      </c>
      <c r="B633">
        <v>119.57</v>
      </c>
      <c r="C633" s="6">
        <f t="shared" si="21"/>
        <v>-1.7905544147843955E-2</v>
      </c>
      <c r="D633" s="6">
        <f t="shared" si="20"/>
        <v>-1.8067788031210567E-2</v>
      </c>
    </row>
    <row r="634" spans="1:4" x14ac:dyDescent="0.25">
      <c r="A634" t="s">
        <v>681</v>
      </c>
      <c r="B634">
        <v>121.75</v>
      </c>
      <c r="C634" s="6">
        <f t="shared" si="21"/>
        <v>9.3682639694909753E-3</v>
      </c>
      <c r="D634" s="6">
        <f t="shared" si="20"/>
        <v>9.3246539398584641E-3</v>
      </c>
    </row>
    <row r="635" spans="1:4" x14ac:dyDescent="0.25">
      <c r="A635" t="s">
        <v>682</v>
      </c>
      <c r="B635">
        <v>120.62</v>
      </c>
      <c r="C635" s="6">
        <f t="shared" si="21"/>
        <v>6.0889148386020775E-3</v>
      </c>
      <c r="D635" s="6">
        <f t="shared" si="20"/>
        <v>6.0704523032784957E-3</v>
      </c>
    </row>
    <row r="636" spans="1:4" x14ac:dyDescent="0.25">
      <c r="A636" t="s">
        <v>683</v>
      </c>
      <c r="B636">
        <v>119.89</v>
      </c>
      <c r="C636" s="6">
        <f t="shared" si="21"/>
        <v>1.2413443675054925E-2</v>
      </c>
      <c r="D636" s="6">
        <f t="shared" si="20"/>
        <v>1.2337028615932224E-2</v>
      </c>
    </row>
    <row r="637" spans="1:4" x14ac:dyDescent="0.25">
      <c r="A637" t="s">
        <v>684</v>
      </c>
      <c r="B637">
        <v>118.42</v>
      </c>
      <c r="C637" s="6">
        <f t="shared" si="21"/>
        <v>-1.3002167027837963E-2</v>
      </c>
      <c r="D637" s="6">
        <f t="shared" si="20"/>
        <v>-1.3087435121316965E-2</v>
      </c>
    </row>
    <row r="638" spans="1:4" x14ac:dyDescent="0.25">
      <c r="A638" t="s">
        <v>685</v>
      </c>
      <c r="B638">
        <v>119.98</v>
      </c>
      <c r="C638" s="6">
        <f t="shared" si="21"/>
        <v>1.9024970273483932E-2</v>
      </c>
      <c r="D638" s="6">
        <f t="shared" si="20"/>
        <v>1.8846258624831719E-2</v>
      </c>
    </row>
    <row r="639" spans="1:4" x14ac:dyDescent="0.25">
      <c r="A639" t="s">
        <v>686</v>
      </c>
      <c r="B639">
        <v>117.74</v>
      </c>
      <c r="C639" s="6">
        <f t="shared" si="21"/>
        <v>-1.538718849305909E-2</v>
      </c>
      <c r="D639" s="6">
        <f t="shared" si="20"/>
        <v>-1.5506799852643102E-2</v>
      </c>
    </row>
    <row r="640" spans="1:4" x14ac:dyDescent="0.25">
      <c r="A640" t="s">
        <v>687</v>
      </c>
      <c r="B640">
        <v>119.58</v>
      </c>
      <c r="C640" s="6">
        <f t="shared" si="21"/>
        <v>3.3461602810769264E-4</v>
      </c>
      <c r="D640" s="6">
        <f t="shared" si="20"/>
        <v>3.3456005665017578E-4</v>
      </c>
    </row>
    <row r="641" spans="1:4" x14ac:dyDescent="0.25">
      <c r="A641" t="s">
        <v>688</v>
      </c>
      <c r="B641">
        <v>119.54</v>
      </c>
      <c r="C641" s="6">
        <f t="shared" si="21"/>
        <v>-6.8954058320179756E-3</v>
      </c>
      <c r="D641" s="6">
        <f t="shared" si="20"/>
        <v>-6.9192889955353434E-3</v>
      </c>
    </row>
    <row r="642" spans="1:4" x14ac:dyDescent="0.25">
      <c r="A642" t="s">
        <v>689</v>
      </c>
      <c r="B642">
        <v>120.37</v>
      </c>
      <c r="C642" s="6">
        <f t="shared" si="21"/>
        <v>-1.5136638847979E-2</v>
      </c>
      <c r="D642" s="6">
        <f t="shared" si="20"/>
        <v>-1.5252367075125962E-2</v>
      </c>
    </row>
    <row r="643" spans="1:4" x14ac:dyDescent="0.25">
      <c r="A643" t="s">
        <v>690</v>
      </c>
      <c r="B643">
        <v>122.22</v>
      </c>
      <c r="C643" s="6">
        <f t="shared" si="21"/>
        <v>-9.4821298322392833E-3</v>
      </c>
      <c r="D643" s="6">
        <f t="shared" si="20"/>
        <v>-9.5273714436729957E-3</v>
      </c>
    </row>
    <row r="644" spans="1:4" x14ac:dyDescent="0.25">
      <c r="A644" t="s">
        <v>691</v>
      </c>
      <c r="B644">
        <v>123.39</v>
      </c>
      <c r="C644" s="6">
        <f t="shared" si="21"/>
        <v>1.2804727899532242E-2</v>
      </c>
      <c r="D644" s="6">
        <f t="shared" si="20"/>
        <v>1.2723440544126398E-2</v>
      </c>
    </row>
    <row r="645" spans="1:4" x14ac:dyDescent="0.25">
      <c r="A645" t="s">
        <v>692</v>
      </c>
      <c r="B645">
        <v>121.83</v>
      </c>
      <c r="C645" s="6">
        <f t="shared" si="21"/>
        <v>8.5264900662251897E-3</v>
      </c>
      <c r="D645" s="6">
        <f t="shared" si="20"/>
        <v>8.4903448656015647E-3</v>
      </c>
    </row>
    <row r="646" spans="1:4" x14ac:dyDescent="0.25">
      <c r="A646" t="s">
        <v>693</v>
      </c>
      <c r="B646">
        <v>120.8</v>
      </c>
      <c r="C646" s="6">
        <f t="shared" si="21"/>
        <v>2.6599813036457753E-2</v>
      </c>
      <c r="D646" s="6">
        <f t="shared" si="20"/>
        <v>2.6252189024876894E-2</v>
      </c>
    </row>
    <row r="647" spans="1:4" x14ac:dyDescent="0.25">
      <c r="A647" t="s">
        <v>694</v>
      </c>
      <c r="B647">
        <v>117.67</v>
      </c>
      <c r="C647" s="6">
        <f t="shared" si="21"/>
        <v>7.3623833575893194E-3</v>
      </c>
      <c r="D647" s="6">
        <f t="shared" si="20"/>
        <v>7.3354133082328462E-3</v>
      </c>
    </row>
    <row r="648" spans="1:4" x14ac:dyDescent="0.25">
      <c r="A648" t="s">
        <v>695</v>
      </c>
      <c r="B648">
        <v>116.81</v>
      </c>
      <c r="C648" s="6">
        <f t="shared" si="21"/>
        <v>6.288766368022003E-3</v>
      </c>
      <c r="D648" s="6">
        <f t="shared" si="20"/>
        <v>6.2690745916723122E-3</v>
      </c>
    </row>
    <row r="649" spans="1:4" x14ac:dyDescent="0.25">
      <c r="A649" t="s">
        <v>696</v>
      </c>
      <c r="B649">
        <v>116.08</v>
      </c>
      <c r="C649" s="6">
        <f t="shared" si="21"/>
        <v>4.1522491349481605E-3</v>
      </c>
      <c r="D649" s="6">
        <f t="shared" si="20"/>
        <v>4.1436523376553744E-3</v>
      </c>
    </row>
    <row r="650" spans="1:4" x14ac:dyDescent="0.25">
      <c r="A650" t="s">
        <v>697</v>
      </c>
      <c r="B650">
        <v>115.6</v>
      </c>
      <c r="C650" s="6">
        <f t="shared" si="21"/>
        <v>3.4722222222220989E-3</v>
      </c>
      <c r="D650" s="6">
        <f t="shared" si="20"/>
        <v>3.4662079764861075E-3</v>
      </c>
    </row>
    <row r="651" spans="1:4" x14ac:dyDescent="0.25">
      <c r="A651" t="s">
        <v>698</v>
      </c>
      <c r="B651">
        <v>115.2</v>
      </c>
      <c r="C651" s="6">
        <f t="shared" si="21"/>
        <v>-1.5216276286544761E-2</v>
      </c>
      <c r="D651" s="6">
        <f t="shared" si="20"/>
        <v>-1.5333231753088915E-2</v>
      </c>
    </row>
    <row r="652" spans="1:4" x14ac:dyDescent="0.25">
      <c r="A652" t="s">
        <v>699</v>
      </c>
      <c r="B652">
        <v>116.98</v>
      </c>
      <c r="C652" s="6">
        <f t="shared" si="21"/>
        <v>-3.3542630535360218E-2</v>
      </c>
      <c r="D652" s="6">
        <f t="shared" si="20"/>
        <v>-3.4118089465220762E-2</v>
      </c>
    </row>
    <row r="653" spans="1:4" x14ac:dyDescent="0.25">
      <c r="A653" t="s">
        <v>700</v>
      </c>
      <c r="B653">
        <v>121.04</v>
      </c>
      <c r="C653" s="6">
        <f t="shared" si="21"/>
        <v>-4.8507769464769535E-3</v>
      </c>
      <c r="D653" s="6">
        <f t="shared" si="20"/>
        <v>-4.862580150244487E-3</v>
      </c>
    </row>
    <row r="654" spans="1:4" x14ac:dyDescent="0.25">
      <c r="A654" t="s">
        <v>701</v>
      </c>
      <c r="B654">
        <v>121.63</v>
      </c>
      <c r="C654" s="6">
        <f t="shared" si="21"/>
        <v>-2.8824656659214298E-2</v>
      </c>
      <c r="D654" s="6">
        <f t="shared" si="20"/>
        <v>-2.9248246827859904E-2</v>
      </c>
    </row>
    <row r="655" spans="1:4" x14ac:dyDescent="0.25">
      <c r="A655" t="s">
        <v>702</v>
      </c>
      <c r="B655">
        <v>125.24</v>
      </c>
      <c r="C655" s="6">
        <f t="shared" si="21"/>
        <v>3.1948881789123362E-4</v>
      </c>
      <c r="D655" s="6">
        <f t="shared" si="20"/>
        <v>3.1943779220665596E-4</v>
      </c>
    </row>
    <row r="656" spans="1:4" x14ac:dyDescent="0.25">
      <c r="A656" t="s">
        <v>703</v>
      </c>
      <c r="B656">
        <v>125.2</v>
      </c>
      <c r="C656" s="6">
        <f t="shared" si="21"/>
        <v>1.1145210789856419E-2</v>
      </c>
      <c r="D656" s="6">
        <f t="shared" si="20"/>
        <v>1.1083560574912251E-2</v>
      </c>
    </row>
    <row r="657" spans="1:4" x14ac:dyDescent="0.25">
      <c r="A657" t="s">
        <v>704</v>
      </c>
      <c r="B657">
        <v>123.82</v>
      </c>
      <c r="C657" s="6">
        <f t="shared" si="21"/>
        <v>-2.1263141253655915E-2</v>
      </c>
      <c r="D657" s="6">
        <f t="shared" si="20"/>
        <v>-2.1492458335492189E-2</v>
      </c>
    </row>
    <row r="658" spans="1:4" x14ac:dyDescent="0.25">
      <c r="A658" t="s">
        <v>705</v>
      </c>
      <c r="B658">
        <v>126.51</v>
      </c>
      <c r="C658" s="6">
        <f t="shared" si="21"/>
        <v>9.4944220270587465E-4</v>
      </c>
      <c r="D658" s="6">
        <f t="shared" si="20"/>
        <v>9.4899176754329069E-4</v>
      </c>
    </row>
    <row r="659" spans="1:4" x14ac:dyDescent="0.25">
      <c r="A659" t="s">
        <v>706</v>
      </c>
      <c r="B659">
        <v>126.39</v>
      </c>
      <c r="C659" s="6">
        <f t="shared" si="21"/>
        <v>-1.4041656915515954E-2</v>
      </c>
      <c r="D659" s="6">
        <f t="shared" si="20"/>
        <v>-1.4141173665008338E-2</v>
      </c>
    </row>
    <row r="660" spans="1:4" x14ac:dyDescent="0.25">
      <c r="A660" t="s">
        <v>707</v>
      </c>
      <c r="B660">
        <v>128.19</v>
      </c>
      <c r="C660" s="6">
        <f t="shared" si="21"/>
        <v>2.6341072858286463E-2</v>
      </c>
      <c r="D660" s="6">
        <f t="shared" si="20"/>
        <v>2.6000121192511119E-2</v>
      </c>
    </row>
    <row r="661" spans="1:4" x14ac:dyDescent="0.25">
      <c r="A661" t="s">
        <v>708</v>
      </c>
      <c r="B661">
        <v>124.9</v>
      </c>
      <c r="C661" s="6">
        <f t="shared" si="21"/>
        <v>-3.2718857234059762E-3</v>
      </c>
      <c r="D661" s="6">
        <f t="shared" si="20"/>
        <v>-3.2772500456616908E-3</v>
      </c>
    </row>
    <row r="662" spans="1:4" x14ac:dyDescent="0.25">
      <c r="A662" t="s">
        <v>709</v>
      </c>
      <c r="B662">
        <v>125.31</v>
      </c>
      <c r="C662" s="6">
        <f t="shared" si="21"/>
        <v>7.6391122547443402E-3</v>
      </c>
      <c r="D662" s="6">
        <f t="shared" si="20"/>
        <v>7.6100819866406462E-3</v>
      </c>
    </row>
    <row r="663" spans="1:4" x14ac:dyDescent="0.25">
      <c r="A663" t="s">
        <v>710</v>
      </c>
      <c r="B663">
        <v>124.36</v>
      </c>
      <c r="C663" s="6">
        <f t="shared" si="21"/>
        <v>-1.5749901068460637E-2</v>
      </c>
      <c r="D663" s="6">
        <f t="shared" si="20"/>
        <v>-1.587524864365018E-2</v>
      </c>
    </row>
    <row r="664" spans="1:4" x14ac:dyDescent="0.25">
      <c r="A664" t="s">
        <v>711</v>
      </c>
      <c r="B664">
        <v>126.35</v>
      </c>
      <c r="C664" s="6">
        <f t="shared" si="21"/>
        <v>4.6463475236044438E-2</v>
      </c>
      <c r="D664" s="6">
        <f t="shared" si="20"/>
        <v>4.5416360465923178E-2</v>
      </c>
    </row>
    <row r="665" spans="1:4" x14ac:dyDescent="0.25">
      <c r="A665" t="s">
        <v>712</v>
      </c>
      <c r="B665">
        <v>120.74</v>
      </c>
      <c r="C665" s="6">
        <f t="shared" si="21"/>
        <v>-1.2432520857189711E-2</v>
      </c>
      <c r="D665" s="6">
        <f t="shared" si="20"/>
        <v>-1.2510451232299359E-2</v>
      </c>
    </row>
    <row r="666" spans="1:4" x14ac:dyDescent="0.25">
      <c r="A666" t="s">
        <v>713</v>
      </c>
      <c r="B666">
        <v>122.26</v>
      </c>
      <c r="C666" s="6">
        <f t="shared" si="21"/>
        <v>-5.369345916042878E-3</v>
      </c>
      <c r="D666" s="6">
        <f t="shared" si="20"/>
        <v>-5.3838126617044872E-3</v>
      </c>
    </row>
    <row r="667" spans="1:4" x14ac:dyDescent="0.25">
      <c r="A667" t="s">
        <v>714</v>
      </c>
      <c r="B667">
        <v>122.92</v>
      </c>
      <c r="C667" s="6">
        <f t="shared" si="21"/>
        <v>-2.1107322617308633E-3</v>
      </c>
      <c r="D667" s="6">
        <f t="shared" si="20"/>
        <v>-2.1129629966133612E-3</v>
      </c>
    </row>
    <row r="668" spans="1:4" x14ac:dyDescent="0.25">
      <c r="A668" t="s">
        <v>715</v>
      </c>
      <c r="B668">
        <v>123.18</v>
      </c>
      <c r="C668" s="6">
        <f t="shared" si="21"/>
        <v>-1.2426841978673941E-2</v>
      </c>
      <c r="D668" s="6">
        <f t="shared" si="20"/>
        <v>-1.2504700878720548E-2</v>
      </c>
    </row>
    <row r="669" spans="1:4" x14ac:dyDescent="0.25">
      <c r="A669" t="s">
        <v>716</v>
      </c>
      <c r="B669">
        <v>124.73</v>
      </c>
      <c r="C669" s="6">
        <f t="shared" si="21"/>
        <v>-6.4521268121714437E-3</v>
      </c>
      <c r="D669" s="6">
        <f t="shared" si="20"/>
        <v>-6.4730317517679463E-3</v>
      </c>
    </row>
    <row r="670" spans="1:4" x14ac:dyDescent="0.25">
      <c r="A670" t="s">
        <v>717</v>
      </c>
      <c r="B670">
        <v>125.54</v>
      </c>
      <c r="C670" s="6">
        <f t="shared" si="21"/>
        <v>8.5964489435206293E-3</v>
      </c>
      <c r="D670" s="6">
        <f t="shared" si="20"/>
        <v>8.559709876499547E-3</v>
      </c>
    </row>
    <row r="671" spans="1:4" x14ac:dyDescent="0.25">
      <c r="A671" t="s">
        <v>718</v>
      </c>
      <c r="B671">
        <v>124.47</v>
      </c>
      <c r="C671" s="6">
        <f t="shared" si="21"/>
        <v>-1.1358220810166908E-2</v>
      </c>
      <c r="D671" s="6">
        <f t="shared" si="20"/>
        <v>-1.1423218037415368E-2</v>
      </c>
    </row>
    <row r="672" spans="1:4" x14ac:dyDescent="0.25">
      <c r="A672" t="s">
        <v>719</v>
      </c>
      <c r="B672">
        <v>125.9</v>
      </c>
      <c r="C672" s="6">
        <f t="shared" si="21"/>
        <v>1.165126556850149E-2</v>
      </c>
      <c r="D672" s="6">
        <f t="shared" si="20"/>
        <v>1.1583912236700555E-2</v>
      </c>
    </row>
    <row r="673" spans="1:4" x14ac:dyDescent="0.25">
      <c r="A673" t="s">
        <v>720</v>
      </c>
      <c r="B673">
        <v>124.45</v>
      </c>
      <c r="C673" s="6">
        <f t="shared" si="21"/>
        <v>-1.0101813553929362E-2</v>
      </c>
      <c r="D673" s="6">
        <f t="shared" si="20"/>
        <v>-1.0153183115765834E-2</v>
      </c>
    </row>
    <row r="674" spans="1:4" x14ac:dyDescent="0.25">
      <c r="A674" t="s">
        <v>721</v>
      </c>
      <c r="B674">
        <v>125.72</v>
      </c>
      <c r="C674" s="6">
        <f t="shared" si="21"/>
        <v>8.7458878279709218E-3</v>
      </c>
      <c r="D674" s="6">
        <f t="shared" si="20"/>
        <v>8.7078640910814853E-3</v>
      </c>
    </row>
    <row r="675" spans="1:4" x14ac:dyDescent="0.25">
      <c r="A675" t="s">
        <v>722</v>
      </c>
      <c r="B675">
        <v>124.63</v>
      </c>
      <c r="C675" s="6">
        <f t="shared" si="21"/>
        <v>-1.3300609611273884E-2</v>
      </c>
      <c r="D675" s="6">
        <f t="shared" si="20"/>
        <v>-1.338985494759842E-2</v>
      </c>
    </row>
    <row r="676" spans="1:4" x14ac:dyDescent="0.25">
      <c r="A676" t="s">
        <v>723</v>
      </c>
      <c r="B676">
        <v>126.31</v>
      </c>
      <c r="C676" s="6">
        <f t="shared" si="21"/>
        <v>-5.5388510840315153E-4</v>
      </c>
      <c r="D676" s="6">
        <f t="shared" si="20"/>
        <v>-5.5403855942524709E-4</v>
      </c>
    </row>
    <row r="677" spans="1:4" x14ac:dyDescent="0.25">
      <c r="A677" t="s">
        <v>724</v>
      </c>
      <c r="B677">
        <v>126.38</v>
      </c>
      <c r="C677" s="6">
        <f t="shared" si="21"/>
        <v>1.3469614135170893E-3</v>
      </c>
      <c r="D677" s="6">
        <f t="shared" si="20"/>
        <v>1.3460550747699288E-3</v>
      </c>
    </row>
    <row r="678" spans="1:4" x14ac:dyDescent="0.25">
      <c r="A678" t="s">
        <v>725</v>
      </c>
      <c r="B678">
        <v>126.21</v>
      </c>
      <c r="C678" s="6">
        <f t="shared" si="21"/>
        <v>4.137162861007182E-3</v>
      </c>
      <c r="D678" s="6">
        <f t="shared" si="20"/>
        <v>4.1286283337930345E-3</v>
      </c>
    </row>
    <row r="679" spans="1:4" x14ac:dyDescent="0.25">
      <c r="A679" t="s">
        <v>726</v>
      </c>
      <c r="B679">
        <v>125.69</v>
      </c>
      <c r="C679" s="6">
        <f t="shared" si="21"/>
        <v>6.2444960371468294E-3</v>
      </c>
      <c r="D679" s="6">
        <f t="shared" si="20"/>
        <v>6.2250799589282984E-3</v>
      </c>
    </row>
    <row r="680" spans="1:4" x14ac:dyDescent="0.25">
      <c r="A680" t="s">
        <v>727</v>
      </c>
      <c r="B680">
        <v>124.91</v>
      </c>
      <c r="C680" s="6">
        <f t="shared" si="21"/>
        <v>8.4773130954303166E-3</v>
      </c>
      <c r="D680" s="6">
        <f t="shared" si="20"/>
        <v>8.4415824679030249E-3</v>
      </c>
    </row>
    <row r="681" spans="1:4" x14ac:dyDescent="0.25">
      <c r="A681" t="s">
        <v>728</v>
      </c>
      <c r="B681">
        <v>123.86</v>
      </c>
      <c r="C681" s="6">
        <f t="shared" si="21"/>
        <v>-1.4511447920025899E-3</v>
      </c>
      <c r="D681" s="6">
        <f t="shared" si="20"/>
        <v>-1.4521987223333366E-3</v>
      </c>
    </row>
    <row r="682" spans="1:4" x14ac:dyDescent="0.25">
      <c r="A682" t="s">
        <v>729</v>
      </c>
      <c r="B682">
        <v>124.04</v>
      </c>
      <c r="C682" s="6">
        <f t="shared" si="21"/>
        <v>2.7161311692613488E-2</v>
      </c>
      <c r="D682" s="6">
        <f t="shared" si="20"/>
        <v>2.6798989393610181E-2</v>
      </c>
    </row>
    <row r="683" spans="1:4" x14ac:dyDescent="0.25">
      <c r="A683" t="s">
        <v>730</v>
      </c>
      <c r="B683">
        <v>120.76</v>
      </c>
      <c r="C683" s="6">
        <f t="shared" si="21"/>
        <v>-9.1080659719372514E-3</v>
      </c>
      <c r="D683" s="6">
        <f t="shared" si="20"/>
        <v>-9.1497979967728668E-3</v>
      </c>
    </row>
    <row r="684" spans="1:4" x14ac:dyDescent="0.25">
      <c r="A684" t="s">
        <v>731</v>
      </c>
      <c r="B684">
        <v>121.87</v>
      </c>
      <c r="C684" s="6">
        <f t="shared" si="21"/>
        <v>5.52805280528057E-3</v>
      </c>
      <c r="D684" s="6">
        <f t="shared" si="20"/>
        <v>5.5128292001969436E-3</v>
      </c>
    </row>
    <row r="685" spans="1:4" x14ac:dyDescent="0.25">
      <c r="A685" t="s">
        <v>732</v>
      </c>
      <c r="B685">
        <v>121.2</v>
      </c>
      <c r="C685" s="6">
        <f t="shared" si="21"/>
        <v>-6.8829891838741997E-3</v>
      </c>
      <c r="D685" s="6">
        <f t="shared" si="20"/>
        <v>-6.9067862132548771E-3</v>
      </c>
    </row>
    <row r="686" spans="1:4" x14ac:dyDescent="0.25">
      <c r="A686" t="s">
        <v>733</v>
      </c>
      <c r="B686">
        <v>122.04</v>
      </c>
      <c r="C686" s="6">
        <f t="shared" si="21"/>
        <v>3.9486673247779436E-3</v>
      </c>
      <c r="D686" s="6">
        <f t="shared" si="20"/>
        <v>3.9408917998766269E-3</v>
      </c>
    </row>
    <row r="687" spans="1:4" x14ac:dyDescent="0.25">
      <c r="A687" t="s">
        <v>734</v>
      </c>
      <c r="B687">
        <v>121.56</v>
      </c>
      <c r="C687" s="6">
        <f t="shared" si="21"/>
        <v>-9.048667155783785E-3</v>
      </c>
      <c r="D687" s="6">
        <f t="shared" si="20"/>
        <v>-9.0898549960682813E-3</v>
      </c>
    </row>
    <row r="688" spans="1:4" x14ac:dyDescent="0.25">
      <c r="A688" t="s">
        <v>735</v>
      </c>
      <c r="B688">
        <v>122.67</v>
      </c>
      <c r="C688" s="6">
        <f t="shared" si="21"/>
        <v>-6.8010687393733615E-3</v>
      </c>
      <c r="D688" s="6">
        <f t="shared" si="20"/>
        <v>-6.8243014052624135E-3</v>
      </c>
    </row>
    <row r="689" spans="1:4" x14ac:dyDescent="0.25">
      <c r="A689" t="s">
        <v>736</v>
      </c>
      <c r="B689">
        <v>123.51</v>
      </c>
      <c r="C689" s="6">
        <f t="shared" si="21"/>
        <v>-4.8344210780758567E-3</v>
      </c>
      <c r="D689" s="6">
        <f t="shared" si="20"/>
        <v>-4.8461446915067721E-3</v>
      </c>
    </row>
    <row r="690" spans="1:4" x14ac:dyDescent="0.25">
      <c r="A690" t="s">
        <v>737</v>
      </c>
      <c r="B690">
        <v>124.11</v>
      </c>
      <c r="C690" s="6">
        <f t="shared" si="21"/>
        <v>5.5906660184734669E-3</v>
      </c>
      <c r="D690" s="6">
        <f t="shared" si="20"/>
        <v>5.5750962485089876E-3</v>
      </c>
    </row>
    <row r="691" spans="1:4" x14ac:dyDescent="0.25">
      <c r="A691" t="s">
        <v>738</v>
      </c>
      <c r="B691">
        <v>123.42</v>
      </c>
      <c r="C691" s="6">
        <f t="shared" si="21"/>
        <v>2.4313153416000155E-4</v>
      </c>
      <c r="D691" s="6">
        <f t="shared" ref="D691:D754" si="22">LN(B691/B692)</f>
        <v>2.4310198247841681E-4</v>
      </c>
    </row>
    <row r="692" spans="1:4" x14ac:dyDescent="0.25">
      <c r="A692" t="s">
        <v>739</v>
      </c>
      <c r="B692">
        <v>123.39</v>
      </c>
      <c r="C692" s="6">
        <f t="shared" ref="C692:C755" si="23">(B692/B693)-1</f>
        <v>-4.999596806709139E-3</v>
      </c>
      <c r="D692" s="6">
        <f t="shared" si="22"/>
        <v>-5.0121366042385831E-3</v>
      </c>
    </row>
    <row r="693" spans="1:4" x14ac:dyDescent="0.25">
      <c r="A693" t="s">
        <v>740</v>
      </c>
      <c r="B693">
        <v>124.01</v>
      </c>
      <c r="C693" s="6">
        <f t="shared" si="23"/>
        <v>4.5262980445043954E-2</v>
      </c>
      <c r="D693" s="6">
        <f t="shared" si="22"/>
        <v>4.4268509685004447E-2</v>
      </c>
    </row>
    <row r="694" spans="1:4" x14ac:dyDescent="0.25">
      <c r="A694" t="s">
        <v>741</v>
      </c>
      <c r="B694">
        <v>118.64</v>
      </c>
      <c r="C694" s="6">
        <f t="shared" si="23"/>
        <v>3.2999564649542901E-2</v>
      </c>
      <c r="D694" s="6">
        <f t="shared" si="22"/>
        <v>3.2466768694569416E-2</v>
      </c>
    </row>
    <row r="695" spans="1:4" x14ac:dyDescent="0.25">
      <c r="A695" t="s">
        <v>742</v>
      </c>
      <c r="B695">
        <v>114.85</v>
      </c>
      <c r="C695" s="6">
        <f t="shared" si="23"/>
        <v>2.5629576710126667E-2</v>
      </c>
      <c r="D695" s="6">
        <f t="shared" si="22"/>
        <v>2.530664521435989E-2</v>
      </c>
    </row>
    <row r="696" spans="1:4" x14ac:dyDescent="0.25">
      <c r="A696" t="s">
        <v>743</v>
      </c>
      <c r="B696">
        <v>111.98</v>
      </c>
      <c r="C696" s="6">
        <f t="shared" si="23"/>
        <v>-3.293279928793913E-3</v>
      </c>
      <c r="D696" s="6">
        <f t="shared" si="22"/>
        <v>-3.2987147105909133E-3</v>
      </c>
    </row>
    <row r="697" spans="1:4" x14ac:dyDescent="0.25">
      <c r="A697" t="s">
        <v>744</v>
      </c>
      <c r="B697">
        <v>112.35</v>
      </c>
      <c r="C697" s="6">
        <f t="shared" si="23"/>
        <v>5.2791696492482387E-3</v>
      </c>
      <c r="D697" s="6">
        <f t="shared" si="22"/>
        <v>5.2652836826316491E-3</v>
      </c>
    </row>
    <row r="698" spans="1:4" x14ac:dyDescent="0.25">
      <c r="A698" t="s">
        <v>745</v>
      </c>
      <c r="B698">
        <v>111.76</v>
      </c>
      <c r="C698" s="6">
        <f t="shared" si="23"/>
        <v>-2.7751196172248749E-2</v>
      </c>
      <c r="D698" s="6">
        <f t="shared" si="22"/>
        <v>-2.8143536260484121E-2</v>
      </c>
    </row>
    <row r="699" spans="1:4" x14ac:dyDescent="0.25">
      <c r="A699" t="s">
        <v>746</v>
      </c>
      <c r="B699">
        <v>114.95</v>
      </c>
      <c r="C699" s="6">
        <f t="shared" si="23"/>
        <v>1.7436714462736758E-2</v>
      </c>
      <c r="D699" s="6">
        <f t="shared" si="22"/>
        <v>1.7286439312074502E-2</v>
      </c>
    </row>
    <row r="700" spans="1:4" x14ac:dyDescent="0.25">
      <c r="A700" t="s">
        <v>747</v>
      </c>
      <c r="B700">
        <v>112.98</v>
      </c>
      <c r="C700" s="6">
        <f t="shared" si="23"/>
        <v>-1.1493236672265317E-3</v>
      </c>
      <c r="D700" s="6">
        <f t="shared" si="22"/>
        <v>-1.1499846461735896E-3</v>
      </c>
    </row>
    <row r="701" spans="1:4" x14ac:dyDescent="0.25">
      <c r="A701" t="s">
        <v>748</v>
      </c>
      <c r="B701">
        <v>113.11</v>
      </c>
      <c r="C701" s="6">
        <f t="shared" si="23"/>
        <v>2.7432101008265874E-2</v>
      </c>
      <c r="D701" s="6">
        <f t="shared" si="22"/>
        <v>2.7062583460977827E-2</v>
      </c>
    </row>
    <row r="702" spans="1:4" x14ac:dyDescent="0.25">
      <c r="A702" t="s">
        <v>749</v>
      </c>
      <c r="B702">
        <v>110.09</v>
      </c>
      <c r="C702" s="6">
        <f t="shared" si="23"/>
        <v>-1.7316790145496697E-2</v>
      </c>
      <c r="D702" s="6">
        <f t="shared" si="22"/>
        <v>-1.7468479488320102E-2</v>
      </c>
    </row>
    <row r="703" spans="1:4" x14ac:dyDescent="0.25">
      <c r="A703" t="s">
        <v>750</v>
      </c>
      <c r="B703">
        <v>112.03</v>
      </c>
      <c r="C703" s="6">
        <f t="shared" si="23"/>
        <v>-6.1213626685592271E-3</v>
      </c>
      <c r="D703" s="6">
        <f t="shared" si="22"/>
        <v>-6.1401750197928109E-3</v>
      </c>
    </row>
    <row r="704" spans="1:4" x14ac:dyDescent="0.25">
      <c r="A704" t="s">
        <v>751</v>
      </c>
      <c r="B704">
        <v>112.72</v>
      </c>
      <c r="C704" s="6">
        <f t="shared" si="23"/>
        <v>-7.0921985815597388E-4</v>
      </c>
      <c r="D704" s="6">
        <f t="shared" si="22"/>
        <v>-7.094714735336907E-4</v>
      </c>
    </row>
    <row r="705" spans="1:4" x14ac:dyDescent="0.25">
      <c r="A705" t="s">
        <v>752</v>
      </c>
      <c r="B705">
        <v>112.8</v>
      </c>
      <c r="C705" s="6">
        <f t="shared" si="23"/>
        <v>3.0232971723280766E-3</v>
      </c>
      <c r="D705" s="6">
        <f t="shared" si="22"/>
        <v>3.0187361999030144E-3</v>
      </c>
    </row>
    <row r="706" spans="1:4" x14ac:dyDescent="0.25">
      <c r="A706" t="s">
        <v>753</v>
      </c>
      <c r="B706">
        <v>112.46</v>
      </c>
      <c r="C706" s="6">
        <f t="shared" si="23"/>
        <v>-1.7043964688401414E-2</v>
      </c>
      <c r="D706" s="6">
        <f t="shared" si="22"/>
        <v>-1.7190884848796922E-2</v>
      </c>
    </row>
    <row r="707" spans="1:4" x14ac:dyDescent="0.25">
      <c r="A707" t="s">
        <v>754</v>
      </c>
      <c r="B707">
        <v>114.41</v>
      </c>
      <c r="C707" s="6">
        <f t="shared" si="23"/>
        <v>-9.0082286704201708E-3</v>
      </c>
      <c r="D707" s="6">
        <f t="shared" si="22"/>
        <v>-9.0490480876519227E-3</v>
      </c>
    </row>
    <row r="708" spans="1:4" x14ac:dyDescent="0.25">
      <c r="A708" t="s">
        <v>755</v>
      </c>
      <c r="B708">
        <v>115.45</v>
      </c>
      <c r="C708" s="6">
        <f t="shared" si="23"/>
        <v>3.1279867929445704E-3</v>
      </c>
      <c r="D708" s="6">
        <f t="shared" si="22"/>
        <v>3.1231048201045769E-3</v>
      </c>
    </row>
    <row r="709" spans="1:4" x14ac:dyDescent="0.25">
      <c r="A709" t="s">
        <v>756</v>
      </c>
      <c r="B709">
        <v>115.09</v>
      </c>
      <c r="C709" s="6">
        <f t="shared" si="23"/>
        <v>1.8495575221239013E-2</v>
      </c>
      <c r="D709" s="6">
        <f t="shared" si="22"/>
        <v>1.8326612268059209E-2</v>
      </c>
    </row>
    <row r="710" spans="1:4" x14ac:dyDescent="0.25">
      <c r="A710" t="s">
        <v>757</v>
      </c>
      <c r="B710">
        <v>113</v>
      </c>
      <c r="C710" s="6">
        <f t="shared" si="23"/>
        <v>-1.1546536039188204E-2</v>
      </c>
      <c r="D710" s="6">
        <f t="shared" si="22"/>
        <v>-1.1613714909271359E-2</v>
      </c>
    </row>
    <row r="711" spans="1:4" x14ac:dyDescent="0.25">
      <c r="A711" t="s">
        <v>758</v>
      </c>
      <c r="B711">
        <v>114.32</v>
      </c>
      <c r="C711" s="6">
        <f t="shared" si="23"/>
        <v>2.6764864379378306E-2</v>
      </c>
      <c r="D711" s="6">
        <f t="shared" si="22"/>
        <v>2.641295086625009E-2</v>
      </c>
    </row>
    <row r="712" spans="1:4" x14ac:dyDescent="0.25">
      <c r="A712" t="s">
        <v>759</v>
      </c>
      <c r="B712">
        <v>111.34</v>
      </c>
      <c r="C712" s="6">
        <f t="shared" si="23"/>
        <v>-1.3118241446551937E-2</v>
      </c>
      <c r="D712" s="6">
        <f t="shared" si="22"/>
        <v>-1.3205045556468238E-2</v>
      </c>
    </row>
    <row r="713" spans="1:4" x14ac:dyDescent="0.25">
      <c r="A713" t="s">
        <v>760</v>
      </c>
      <c r="B713">
        <v>112.82</v>
      </c>
      <c r="C713" s="6">
        <f t="shared" si="23"/>
        <v>-1.2862017674337367E-2</v>
      </c>
      <c r="D713" s="6">
        <f t="shared" si="22"/>
        <v>-1.2945449597676687E-2</v>
      </c>
    </row>
    <row r="714" spans="1:4" x14ac:dyDescent="0.25">
      <c r="A714" t="s">
        <v>761</v>
      </c>
      <c r="B714">
        <v>114.29</v>
      </c>
      <c r="C714" s="6">
        <f t="shared" si="23"/>
        <v>-3.3651813646740414E-2</v>
      </c>
      <c r="D714" s="6">
        <f t="shared" si="22"/>
        <v>-3.4231068353518843E-2</v>
      </c>
    </row>
    <row r="715" spans="1:4" x14ac:dyDescent="0.25">
      <c r="A715" t="s">
        <v>762</v>
      </c>
      <c r="B715">
        <v>118.27</v>
      </c>
      <c r="C715" s="6">
        <f t="shared" si="23"/>
        <v>2.4692427655518934E-2</v>
      </c>
      <c r="D715" s="6">
        <f t="shared" si="22"/>
        <v>2.4392496980205108E-2</v>
      </c>
    </row>
    <row r="716" spans="1:4" x14ac:dyDescent="0.25">
      <c r="A716" t="s">
        <v>763</v>
      </c>
      <c r="B716">
        <v>115.42</v>
      </c>
      <c r="C716" s="6">
        <f t="shared" si="23"/>
        <v>1.503825521062363E-2</v>
      </c>
      <c r="D716" s="6">
        <f t="shared" si="22"/>
        <v>1.4926301646189006E-2</v>
      </c>
    </row>
    <row r="717" spans="1:4" x14ac:dyDescent="0.25">
      <c r="A717" t="s">
        <v>764</v>
      </c>
      <c r="B717">
        <v>113.71</v>
      </c>
      <c r="C717" s="6">
        <f t="shared" si="23"/>
        <v>-7.9086115992976769E-4</v>
      </c>
      <c r="D717" s="6">
        <f t="shared" si="22"/>
        <v>-7.9117405559914211E-4</v>
      </c>
    </row>
    <row r="718" spans="1:4" x14ac:dyDescent="0.25">
      <c r="A718" t="s">
        <v>765</v>
      </c>
      <c r="B718">
        <v>113.8</v>
      </c>
      <c r="C718" s="6">
        <f t="shared" si="23"/>
        <v>-1.0434782608695681E-2</v>
      </c>
      <c r="D718" s="6">
        <f t="shared" si="22"/>
        <v>-1.0489606671019547E-2</v>
      </c>
    </row>
    <row r="719" spans="1:4" x14ac:dyDescent="0.25">
      <c r="A719" t="s">
        <v>766</v>
      </c>
      <c r="B719">
        <v>115</v>
      </c>
      <c r="C719" s="6">
        <f t="shared" si="23"/>
        <v>3.0096739519885229E-2</v>
      </c>
      <c r="D719" s="6">
        <f t="shared" si="22"/>
        <v>2.9652719695128532E-2</v>
      </c>
    </row>
    <row r="720" spans="1:4" x14ac:dyDescent="0.25">
      <c r="A720" t="s">
        <v>767</v>
      </c>
      <c r="B720">
        <v>111.64</v>
      </c>
      <c r="C720" s="6">
        <f t="shared" si="23"/>
        <v>-9.0537901650984409E-3</v>
      </c>
      <c r="D720" s="6">
        <f t="shared" si="22"/>
        <v>-9.0950247984464012E-3</v>
      </c>
    </row>
    <row r="721" spans="1:4" x14ac:dyDescent="0.25">
      <c r="A721" t="s">
        <v>768</v>
      </c>
      <c r="B721">
        <v>112.66</v>
      </c>
      <c r="C721" s="6">
        <f t="shared" si="23"/>
        <v>-1.001757469244291E-2</v>
      </c>
      <c r="D721" s="6">
        <f t="shared" si="22"/>
        <v>-1.0068088225662665E-2</v>
      </c>
    </row>
    <row r="722" spans="1:4" x14ac:dyDescent="0.25">
      <c r="A722" t="s">
        <v>769</v>
      </c>
      <c r="B722">
        <v>113.8</v>
      </c>
      <c r="C722" s="6">
        <f t="shared" si="23"/>
        <v>6.1892130857648109E-3</v>
      </c>
      <c r="D722" s="6">
        <f t="shared" si="22"/>
        <v>6.1701385701557771E-3</v>
      </c>
    </row>
    <row r="723" spans="1:4" x14ac:dyDescent="0.25">
      <c r="A723" t="s">
        <v>770</v>
      </c>
      <c r="B723">
        <v>113.1</v>
      </c>
      <c r="C723" s="6">
        <f t="shared" si="23"/>
        <v>-2.0609629373051663E-2</v>
      </c>
      <c r="D723" s="6">
        <f t="shared" si="22"/>
        <v>-2.0824971672659627E-2</v>
      </c>
    </row>
    <row r="724" spans="1:4" x14ac:dyDescent="0.25">
      <c r="A724" t="s">
        <v>771</v>
      </c>
      <c r="B724">
        <v>115.48</v>
      </c>
      <c r="C724" s="6">
        <f t="shared" si="23"/>
        <v>1.6728297235428791E-2</v>
      </c>
      <c r="D724" s="6">
        <f t="shared" si="22"/>
        <v>1.658992034544788E-2</v>
      </c>
    </row>
    <row r="725" spans="1:4" x14ac:dyDescent="0.25">
      <c r="A725" t="s">
        <v>772</v>
      </c>
      <c r="B725">
        <v>113.58</v>
      </c>
      <c r="C725" s="6">
        <f t="shared" si="23"/>
        <v>1.6830796777081325E-2</v>
      </c>
      <c r="D725" s="6">
        <f t="shared" si="22"/>
        <v>1.6690728374131315E-2</v>
      </c>
    </row>
    <row r="726" spans="1:4" x14ac:dyDescent="0.25">
      <c r="A726" t="s">
        <v>773</v>
      </c>
      <c r="B726">
        <v>111.7</v>
      </c>
      <c r="C726" s="6">
        <f t="shared" si="23"/>
        <v>1.1042722664735605E-2</v>
      </c>
      <c r="D726" s="6">
        <f t="shared" si="22"/>
        <v>1.0982196974118253E-2</v>
      </c>
    </row>
    <row r="727" spans="1:4" x14ac:dyDescent="0.25">
      <c r="A727" t="s">
        <v>774</v>
      </c>
      <c r="B727">
        <v>110.48</v>
      </c>
      <c r="C727" s="6">
        <f t="shared" si="23"/>
        <v>-8.881313357854137E-3</v>
      </c>
      <c r="D727" s="6">
        <f t="shared" si="22"/>
        <v>-8.9209873004954376E-3</v>
      </c>
    </row>
    <row r="728" spans="1:4" x14ac:dyDescent="0.25">
      <c r="A728" t="s">
        <v>775</v>
      </c>
      <c r="B728">
        <v>111.47</v>
      </c>
      <c r="C728" s="6">
        <f t="shared" si="23"/>
        <v>-1.5456633103691941E-2</v>
      </c>
      <c r="D728" s="6">
        <f t="shared" si="22"/>
        <v>-1.5577332206981752E-2</v>
      </c>
    </row>
    <row r="729" spans="1:4" x14ac:dyDescent="0.25">
      <c r="A729" t="s">
        <v>776</v>
      </c>
      <c r="B729">
        <v>113.22</v>
      </c>
      <c r="C729" s="6">
        <f t="shared" si="23"/>
        <v>1.6155088852988664E-2</v>
      </c>
      <c r="D729" s="6">
        <f t="shared" si="22"/>
        <v>1.6025984015844395E-2</v>
      </c>
    </row>
    <row r="730" spans="1:4" x14ac:dyDescent="0.25">
      <c r="A730" t="s">
        <v>777</v>
      </c>
      <c r="B730">
        <v>111.42</v>
      </c>
      <c r="C730" s="6">
        <f t="shared" si="23"/>
        <v>-1.267168808152408E-2</v>
      </c>
      <c r="D730" s="6">
        <f t="shared" si="22"/>
        <v>-1.2752658670875204E-2</v>
      </c>
    </row>
    <row r="731" spans="1:4" x14ac:dyDescent="0.25">
      <c r="A731" t="s">
        <v>778</v>
      </c>
      <c r="B731">
        <v>112.85</v>
      </c>
      <c r="C731" s="6">
        <f t="shared" si="23"/>
        <v>1.5086971955979855E-3</v>
      </c>
      <c r="D731" s="6">
        <f t="shared" si="22"/>
        <v>1.5075602553726811E-3</v>
      </c>
    </row>
    <row r="732" spans="1:4" x14ac:dyDescent="0.25">
      <c r="A732" t="s">
        <v>779</v>
      </c>
      <c r="B732">
        <v>112.68</v>
      </c>
      <c r="C732" s="6">
        <f t="shared" si="23"/>
        <v>-2.7027027027026973E-2</v>
      </c>
      <c r="D732" s="6">
        <f t="shared" si="22"/>
        <v>-2.7398974188114388E-2</v>
      </c>
    </row>
    <row r="733" spans="1:4" x14ac:dyDescent="0.25">
      <c r="A733" t="s">
        <v>780</v>
      </c>
      <c r="B733">
        <v>115.81</v>
      </c>
      <c r="C733" s="6">
        <f t="shared" si="23"/>
        <v>-1.7643566036135372E-2</v>
      </c>
      <c r="D733" s="6">
        <f t="shared" si="22"/>
        <v>-1.7801069107749781E-2</v>
      </c>
    </row>
    <row r="734" spans="1:4" x14ac:dyDescent="0.25">
      <c r="A734" t="s">
        <v>781</v>
      </c>
      <c r="B734">
        <v>117.89</v>
      </c>
      <c r="C734" s="6">
        <f t="shared" si="23"/>
        <v>1.0630090012858862E-2</v>
      </c>
      <c r="D734" s="6">
        <f t="shared" si="22"/>
        <v>1.057398783659699E-2</v>
      </c>
    </row>
    <row r="735" spans="1:4" x14ac:dyDescent="0.25">
      <c r="A735" t="s">
        <v>782</v>
      </c>
      <c r="B735">
        <v>116.65</v>
      </c>
      <c r="C735" s="6">
        <f t="shared" si="23"/>
        <v>1.6314614459902455E-3</v>
      </c>
      <c r="D735" s="6">
        <f t="shared" si="22"/>
        <v>1.6301320584652921E-3</v>
      </c>
    </row>
    <row r="736" spans="1:4" x14ac:dyDescent="0.25">
      <c r="A736" t="s">
        <v>783</v>
      </c>
      <c r="B736">
        <v>116.46</v>
      </c>
      <c r="C736" s="6">
        <f t="shared" si="23"/>
        <v>1.3312451057165164E-2</v>
      </c>
      <c r="D736" s="6">
        <f t="shared" si="22"/>
        <v>1.3224619028306517E-2</v>
      </c>
    </row>
    <row r="737" spans="1:4" x14ac:dyDescent="0.25">
      <c r="A737" t="s">
        <v>784</v>
      </c>
      <c r="B737">
        <v>114.93</v>
      </c>
      <c r="C737" s="6">
        <f t="shared" si="23"/>
        <v>8.7773194066531612E-3</v>
      </c>
      <c r="D737" s="6">
        <f t="shared" si="22"/>
        <v>8.7390226706428719E-3</v>
      </c>
    </row>
    <row r="738" spans="1:4" x14ac:dyDescent="0.25">
      <c r="A738" t="s">
        <v>785</v>
      </c>
      <c r="B738">
        <v>113.93</v>
      </c>
      <c r="C738" s="6">
        <f t="shared" si="23"/>
        <v>6.7155606609525798E-3</v>
      </c>
      <c r="D738" s="6">
        <f t="shared" si="22"/>
        <v>6.6931117321741979E-3</v>
      </c>
    </row>
    <row r="739" spans="1:4" x14ac:dyDescent="0.25">
      <c r="A739" t="s">
        <v>786</v>
      </c>
      <c r="B739">
        <v>113.17</v>
      </c>
      <c r="C739" s="6">
        <f t="shared" si="23"/>
        <v>-5.4486334475789544E-3</v>
      </c>
      <c r="D739" s="6">
        <f t="shared" si="22"/>
        <v>-5.4635313910671229E-3</v>
      </c>
    </row>
    <row r="740" spans="1:4" x14ac:dyDescent="0.25">
      <c r="A740" t="s">
        <v>787</v>
      </c>
      <c r="B740">
        <v>113.79</v>
      </c>
      <c r="C740" s="6">
        <f t="shared" si="23"/>
        <v>1.0837700986053189E-2</v>
      </c>
      <c r="D740" s="6">
        <f t="shared" si="22"/>
        <v>1.0779394002204696E-2</v>
      </c>
    </row>
    <row r="741" spans="1:4" x14ac:dyDescent="0.25">
      <c r="A741" t="s">
        <v>788</v>
      </c>
      <c r="B741">
        <v>112.57</v>
      </c>
      <c r="C741" s="6">
        <f t="shared" si="23"/>
        <v>2.3735903965078187E-2</v>
      </c>
      <c r="D741" s="6">
        <f t="shared" si="22"/>
        <v>2.3458587069667643E-2</v>
      </c>
    </row>
    <row r="742" spans="1:4" x14ac:dyDescent="0.25">
      <c r="A742" t="s">
        <v>789</v>
      </c>
      <c r="B742">
        <v>109.96</v>
      </c>
      <c r="C742" s="6">
        <f t="shared" si="23"/>
        <v>1.3549635911143776E-2</v>
      </c>
      <c r="D742" s="6">
        <f t="shared" si="22"/>
        <v>1.3458660462685549E-2</v>
      </c>
    </row>
    <row r="743" spans="1:4" x14ac:dyDescent="0.25">
      <c r="A743" t="s">
        <v>790</v>
      </c>
      <c r="B743">
        <v>108.49</v>
      </c>
      <c r="C743" s="6">
        <f t="shared" si="23"/>
        <v>-3.8294477439943297E-2</v>
      </c>
      <c r="D743" s="6">
        <f t="shared" si="22"/>
        <v>-3.9046984782469672E-2</v>
      </c>
    </row>
    <row r="744" spans="1:4" x14ac:dyDescent="0.25">
      <c r="A744" t="s">
        <v>791</v>
      </c>
      <c r="B744">
        <v>112.81</v>
      </c>
      <c r="C744" s="6">
        <f t="shared" si="23"/>
        <v>5.2575298520762814E-3</v>
      </c>
      <c r="D744" s="6">
        <f t="shared" si="22"/>
        <v>5.2437572940030206E-3</v>
      </c>
    </row>
    <row r="745" spans="1:4" x14ac:dyDescent="0.25">
      <c r="A745" t="s">
        <v>792</v>
      </c>
      <c r="B745">
        <v>112.22</v>
      </c>
      <c r="C745" s="6">
        <f t="shared" si="23"/>
        <v>7.541748967498707E-3</v>
      </c>
      <c r="D745" s="6">
        <f t="shared" si="22"/>
        <v>7.5134521613034405E-3</v>
      </c>
    </row>
    <row r="746" spans="1:4" x14ac:dyDescent="0.25">
      <c r="A746" t="s">
        <v>793</v>
      </c>
      <c r="B746">
        <v>111.38</v>
      </c>
      <c r="C746" s="6">
        <f t="shared" si="23"/>
        <v>3.6946922591691855E-3</v>
      </c>
      <c r="D746" s="6">
        <f t="shared" si="22"/>
        <v>3.6878836490502748E-3</v>
      </c>
    </row>
    <row r="747" spans="1:4" x14ac:dyDescent="0.25">
      <c r="A747" t="s">
        <v>794</v>
      </c>
      <c r="B747">
        <v>110.97</v>
      </c>
      <c r="C747" s="6">
        <f t="shared" si="23"/>
        <v>2.0132377275234425E-2</v>
      </c>
      <c r="D747" s="6">
        <f t="shared" si="22"/>
        <v>1.9932400517657631E-2</v>
      </c>
    </row>
    <row r="748" spans="1:4" x14ac:dyDescent="0.25">
      <c r="A748" t="s">
        <v>795</v>
      </c>
      <c r="B748">
        <v>108.78</v>
      </c>
      <c r="C748" s="6">
        <f t="shared" si="23"/>
        <v>-2.6588429448977102E-3</v>
      </c>
      <c r="D748" s="6">
        <f t="shared" si="22"/>
        <v>-2.662383945836796E-3</v>
      </c>
    </row>
    <row r="749" spans="1:4" x14ac:dyDescent="0.25">
      <c r="A749" t="s">
        <v>796</v>
      </c>
      <c r="B749">
        <v>109.07</v>
      </c>
      <c r="C749" s="6">
        <f t="shared" si="23"/>
        <v>-8.1840501955079414E-3</v>
      </c>
      <c r="D749" s="6">
        <f t="shared" si="22"/>
        <v>-8.2177233821916253E-3</v>
      </c>
    </row>
    <row r="750" spans="1:4" x14ac:dyDescent="0.25">
      <c r="A750" t="s">
        <v>797</v>
      </c>
      <c r="B750">
        <v>109.97</v>
      </c>
      <c r="C750" s="6">
        <f t="shared" si="23"/>
        <v>8.3440308087290305E-3</v>
      </c>
      <c r="D750" s="6">
        <f t="shared" si="22"/>
        <v>8.3094118249274745E-3</v>
      </c>
    </row>
    <row r="751" spans="1:4" x14ac:dyDescent="0.25">
      <c r="A751" t="s">
        <v>798</v>
      </c>
      <c r="B751">
        <v>109.06</v>
      </c>
      <c r="C751" s="6">
        <f t="shared" si="23"/>
        <v>-1.8803418803418848E-2</v>
      </c>
      <c r="D751" s="6">
        <f t="shared" si="22"/>
        <v>-1.898245091229012E-2</v>
      </c>
    </row>
    <row r="752" spans="1:4" x14ac:dyDescent="0.25">
      <c r="A752" t="s">
        <v>799</v>
      </c>
      <c r="B752">
        <v>111.15</v>
      </c>
      <c r="C752" s="6">
        <f t="shared" si="23"/>
        <v>-1.9841269841269882E-2</v>
      </c>
      <c r="D752" s="6">
        <f t="shared" si="22"/>
        <v>-2.0040750883446153E-2</v>
      </c>
    </row>
    <row r="753" spans="1:4" x14ac:dyDescent="0.25">
      <c r="A753" t="s">
        <v>800</v>
      </c>
      <c r="B753">
        <v>113.4</v>
      </c>
      <c r="C753" s="6">
        <f t="shared" si="23"/>
        <v>3.4388397336495569E-2</v>
      </c>
      <c r="D753" s="6">
        <f t="shared" si="22"/>
        <v>3.3810331607203127E-2</v>
      </c>
    </row>
    <row r="754" spans="1:4" x14ac:dyDescent="0.25">
      <c r="A754" t="s">
        <v>801</v>
      </c>
      <c r="B754">
        <v>109.63</v>
      </c>
      <c r="C754" s="6">
        <f t="shared" si="23"/>
        <v>1.0228529303354161E-2</v>
      </c>
      <c r="D754" s="6">
        <f t="shared" si="22"/>
        <v>1.01765718957176E-2</v>
      </c>
    </row>
    <row r="755" spans="1:4" x14ac:dyDescent="0.25">
      <c r="A755" t="s">
        <v>802</v>
      </c>
      <c r="B755">
        <v>108.52</v>
      </c>
      <c r="C755" s="6">
        <f t="shared" si="23"/>
        <v>-2.4714658039004189E-2</v>
      </c>
      <c r="D755" s="6">
        <f t="shared" ref="D755:D818" si="24">LN(B755/B756)</f>
        <v>-2.5025192378878097E-2</v>
      </c>
    </row>
    <row r="756" spans="1:4" x14ac:dyDescent="0.25">
      <c r="A756" t="s">
        <v>803</v>
      </c>
      <c r="B756">
        <v>111.27</v>
      </c>
      <c r="C756" s="6">
        <f t="shared" ref="C756:C819" si="25">(B756/B757)-1</f>
        <v>-1.3826110077107212E-2</v>
      </c>
      <c r="D756" s="6">
        <f t="shared" si="24"/>
        <v>-1.3922580980745648E-2</v>
      </c>
    </row>
    <row r="757" spans="1:4" x14ac:dyDescent="0.25">
      <c r="A757" t="s">
        <v>804</v>
      </c>
      <c r="B757">
        <v>112.83</v>
      </c>
      <c r="C757" s="6">
        <f t="shared" si="25"/>
        <v>2.0254995930915953E-2</v>
      </c>
      <c r="D757" s="6">
        <f t="shared" si="24"/>
        <v>2.0052592063086051E-2</v>
      </c>
    </row>
    <row r="758" spans="1:4" x14ac:dyDescent="0.25">
      <c r="A758" t="s">
        <v>805</v>
      </c>
      <c r="B758">
        <v>110.59</v>
      </c>
      <c r="C758" s="6">
        <f t="shared" si="25"/>
        <v>1.1768966141589843E-3</v>
      </c>
      <c r="D758" s="6">
        <f t="shared" si="24"/>
        <v>1.1762046142271439E-3</v>
      </c>
    </row>
    <row r="759" spans="1:4" x14ac:dyDescent="0.25">
      <c r="A759" t="s">
        <v>806</v>
      </c>
      <c r="B759">
        <v>110.46</v>
      </c>
      <c r="C759" s="6">
        <f t="shared" si="25"/>
        <v>-2.3428520908849837E-2</v>
      </c>
      <c r="D759" s="6">
        <f t="shared" si="24"/>
        <v>-2.3707332070248253E-2</v>
      </c>
    </row>
    <row r="760" spans="1:4" x14ac:dyDescent="0.25">
      <c r="A760" t="s">
        <v>807</v>
      </c>
      <c r="B760">
        <v>113.11</v>
      </c>
      <c r="C760" s="6">
        <f t="shared" si="25"/>
        <v>-1.0497769224039888E-2</v>
      </c>
      <c r="D760" s="6">
        <f t="shared" si="24"/>
        <v>-1.055325949439735E-2</v>
      </c>
    </row>
    <row r="761" spans="1:4" x14ac:dyDescent="0.25">
      <c r="A761" t="s">
        <v>808</v>
      </c>
      <c r="B761">
        <v>114.31</v>
      </c>
      <c r="C761" s="6">
        <f t="shared" si="25"/>
        <v>-2.7915903341183546E-3</v>
      </c>
      <c r="D761" s="6">
        <f t="shared" si="24"/>
        <v>-2.7954940892311107E-3</v>
      </c>
    </row>
    <row r="762" spans="1:4" x14ac:dyDescent="0.25">
      <c r="A762" t="s">
        <v>809</v>
      </c>
      <c r="B762">
        <v>114.63</v>
      </c>
      <c r="C762" s="6">
        <f t="shared" si="25"/>
        <v>7.0280242466835841E-3</v>
      </c>
      <c r="D762" s="6">
        <f t="shared" si="24"/>
        <v>7.0034427897929328E-3</v>
      </c>
    </row>
    <row r="763" spans="1:4" x14ac:dyDescent="0.25">
      <c r="A763" t="s">
        <v>810</v>
      </c>
      <c r="B763">
        <v>113.83</v>
      </c>
      <c r="C763" s="6">
        <f t="shared" si="25"/>
        <v>1.1732290463069894E-2</v>
      </c>
      <c r="D763" s="6">
        <f t="shared" si="24"/>
        <v>1.1664000754144697E-2</v>
      </c>
    </row>
    <row r="764" spans="1:4" x14ac:dyDescent="0.25">
      <c r="A764" t="s">
        <v>811</v>
      </c>
      <c r="B764">
        <v>112.51</v>
      </c>
      <c r="C764" s="6">
        <f t="shared" si="25"/>
        <v>4.1053101294066252E-3</v>
      </c>
      <c r="D764" s="6">
        <f t="shared" si="24"/>
        <v>4.0969063360446279E-3</v>
      </c>
    </row>
    <row r="765" spans="1:4" x14ac:dyDescent="0.25">
      <c r="A765" t="s">
        <v>812</v>
      </c>
      <c r="B765">
        <v>112.05</v>
      </c>
      <c r="C765" s="6">
        <f t="shared" si="25"/>
        <v>1.4761818511139335E-2</v>
      </c>
      <c r="D765" s="6">
        <f t="shared" si="24"/>
        <v>1.4653923391037502E-2</v>
      </c>
    </row>
    <row r="766" spans="1:4" x14ac:dyDescent="0.25">
      <c r="A766" t="s">
        <v>813</v>
      </c>
      <c r="B766">
        <v>110.42</v>
      </c>
      <c r="C766" s="6">
        <f t="shared" si="25"/>
        <v>2.724300762804166E-3</v>
      </c>
      <c r="D766" s="6">
        <f t="shared" si="24"/>
        <v>2.7205965814919371E-3</v>
      </c>
    </row>
    <row r="767" spans="1:4" x14ac:dyDescent="0.25">
      <c r="A767" t="s">
        <v>814</v>
      </c>
      <c r="B767">
        <v>110.12</v>
      </c>
      <c r="C767" s="6">
        <f t="shared" si="25"/>
        <v>7.2700836059613749E-4</v>
      </c>
      <c r="D767" s="6">
        <f t="shared" si="24"/>
        <v>7.2674421803276402E-4</v>
      </c>
    </row>
    <row r="768" spans="1:4" x14ac:dyDescent="0.25">
      <c r="A768" t="s">
        <v>815</v>
      </c>
      <c r="B768">
        <v>110.04</v>
      </c>
      <c r="C768" s="6">
        <f t="shared" si="25"/>
        <v>-7.0384407146723005E-3</v>
      </c>
      <c r="D768" s="6">
        <f t="shared" si="24"/>
        <v>-7.0633273828296607E-3</v>
      </c>
    </row>
    <row r="769" spans="1:4" x14ac:dyDescent="0.25">
      <c r="A769" t="s">
        <v>816</v>
      </c>
      <c r="B769">
        <v>110.82</v>
      </c>
      <c r="C769" s="6">
        <f t="shared" si="25"/>
        <v>5.5348879412031593E-3</v>
      </c>
      <c r="D769" s="6">
        <f t="shared" si="24"/>
        <v>5.5196267357530198E-3</v>
      </c>
    </row>
    <row r="770" spans="1:4" x14ac:dyDescent="0.25">
      <c r="A770" t="s">
        <v>817</v>
      </c>
      <c r="B770">
        <v>110.21</v>
      </c>
      <c r="C770" s="6">
        <f t="shared" si="25"/>
        <v>-7.3853913356750622E-3</v>
      </c>
      <c r="D770" s="6">
        <f t="shared" si="24"/>
        <v>-7.4127983627237425E-3</v>
      </c>
    </row>
    <row r="771" spans="1:4" x14ac:dyDescent="0.25">
      <c r="A771" t="s">
        <v>818</v>
      </c>
      <c r="B771">
        <v>111.03</v>
      </c>
      <c r="C771" s="6">
        <f t="shared" si="25"/>
        <v>5.8887479615872262E-3</v>
      </c>
      <c r="D771" s="6">
        <f t="shared" si="24"/>
        <v>5.8714770548190572E-3</v>
      </c>
    </row>
    <row r="772" spans="1:4" x14ac:dyDescent="0.25">
      <c r="A772" t="s">
        <v>819</v>
      </c>
      <c r="B772">
        <v>110.38</v>
      </c>
      <c r="C772" s="6">
        <f t="shared" si="25"/>
        <v>-2.7105168052042883E-3</v>
      </c>
      <c r="D772" s="6">
        <f t="shared" si="24"/>
        <v>-2.7141969073700293E-3</v>
      </c>
    </row>
    <row r="773" spans="1:4" x14ac:dyDescent="0.25">
      <c r="A773" t="s">
        <v>820</v>
      </c>
      <c r="B773">
        <v>110.68</v>
      </c>
      <c r="C773" s="6">
        <f t="shared" si="25"/>
        <v>-2.4335286164939296E-3</v>
      </c>
      <c r="D773" s="6">
        <f t="shared" si="24"/>
        <v>-2.4364944598777825E-3</v>
      </c>
    </row>
    <row r="774" spans="1:4" x14ac:dyDescent="0.25">
      <c r="A774" t="s">
        <v>821</v>
      </c>
      <c r="B774">
        <v>110.95</v>
      </c>
      <c r="C774" s="6">
        <f t="shared" si="25"/>
        <v>1.2964484616087013E-2</v>
      </c>
      <c r="D774" s="6">
        <f t="shared" si="24"/>
        <v>1.2881165042947833E-2</v>
      </c>
    </row>
    <row r="775" spans="1:4" x14ac:dyDescent="0.25">
      <c r="A775" t="s">
        <v>822</v>
      </c>
      <c r="B775">
        <v>109.53</v>
      </c>
      <c r="C775" s="6">
        <f t="shared" si="25"/>
        <v>3.3399377299745403E-2</v>
      </c>
      <c r="D775" s="6">
        <f t="shared" si="24"/>
        <v>3.2853734296491785E-2</v>
      </c>
    </row>
    <row r="776" spans="1:4" x14ac:dyDescent="0.25">
      <c r="A776" t="s">
        <v>823</v>
      </c>
      <c r="B776">
        <v>105.99</v>
      </c>
      <c r="C776" s="6">
        <f t="shared" si="25"/>
        <v>-3.1789531378459857E-2</v>
      </c>
      <c r="D776" s="6">
        <f t="shared" si="24"/>
        <v>-3.230578907730243E-2</v>
      </c>
    </row>
    <row r="777" spans="1:4" x14ac:dyDescent="0.25">
      <c r="A777" t="s">
        <v>824</v>
      </c>
      <c r="B777">
        <v>109.47</v>
      </c>
      <c r="C777" s="6">
        <f t="shared" si="25"/>
        <v>1.5774334230305387E-2</v>
      </c>
      <c r="D777" s="6">
        <f t="shared" si="24"/>
        <v>1.5651212507725727E-2</v>
      </c>
    </row>
    <row r="778" spans="1:4" x14ac:dyDescent="0.25">
      <c r="A778" t="s">
        <v>825</v>
      </c>
      <c r="B778">
        <v>107.77</v>
      </c>
      <c r="C778" s="6">
        <f t="shared" si="25"/>
        <v>-2.8682457438934383E-3</v>
      </c>
      <c r="D778" s="6">
        <f t="shared" si="24"/>
        <v>-2.8723670432031006E-3</v>
      </c>
    </row>
    <row r="779" spans="1:4" x14ac:dyDescent="0.25">
      <c r="A779" t="s">
        <v>826</v>
      </c>
      <c r="B779">
        <v>108.08</v>
      </c>
      <c r="C779" s="6">
        <f t="shared" si="25"/>
        <v>2.8764962419969287E-3</v>
      </c>
      <c r="D779" s="6">
        <f t="shared" si="24"/>
        <v>2.8723670432031579E-3</v>
      </c>
    </row>
    <row r="780" spans="1:4" x14ac:dyDescent="0.25">
      <c r="A780" t="s">
        <v>827</v>
      </c>
      <c r="B780">
        <v>107.77</v>
      </c>
      <c r="C780" s="6">
        <f t="shared" si="25"/>
        <v>6.1618896461581585E-3</v>
      </c>
      <c r="D780" s="6">
        <f t="shared" si="24"/>
        <v>6.142982832202059E-3</v>
      </c>
    </row>
    <row r="781" spans="1:4" x14ac:dyDescent="0.25">
      <c r="A781" t="s">
        <v>828</v>
      </c>
      <c r="B781">
        <v>107.11</v>
      </c>
      <c r="C781" s="6">
        <f t="shared" si="25"/>
        <v>3.2783814162606895E-3</v>
      </c>
      <c r="D781" s="6">
        <f t="shared" si="24"/>
        <v>3.2730192402148162E-3</v>
      </c>
    </row>
    <row r="782" spans="1:4" x14ac:dyDescent="0.25">
      <c r="A782" t="s">
        <v>829</v>
      </c>
      <c r="B782">
        <v>106.76</v>
      </c>
      <c r="C782" s="6">
        <f t="shared" si="25"/>
        <v>1.8768768768768762E-3</v>
      </c>
      <c r="D782" s="6">
        <f t="shared" si="24"/>
        <v>1.8751177442443815E-3</v>
      </c>
    </row>
    <row r="783" spans="1:4" x14ac:dyDescent="0.25">
      <c r="A783" t="s">
        <v>830</v>
      </c>
      <c r="B783">
        <v>106.56</v>
      </c>
      <c r="C783" s="6">
        <f t="shared" si="25"/>
        <v>-2.0137931034482692E-2</v>
      </c>
      <c r="D783" s="6">
        <f t="shared" si="24"/>
        <v>-2.0343463176714399E-2</v>
      </c>
    </row>
    <row r="784" spans="1:4" x14ac:dyDescent="0.25">
      <c r="A784" t="s">
        <v>831</v>
      </c>
      <c r="B784">
        <v>108.75</v>
      </c>
      <c r="C784" s="6">
        <f t="shared" si="25"/>
        <v>7.690882134914645E-3</v>
      </c>
      <c r="D784" s="6">
        <f t="shared" si="24"/>
        <v>7.6614580692929268E-3</v>
      </c>
    </row>
    <row r="785" spans="1:4" x14ac:dyDescent="0.25">
      <c r="A785" t="s">
        <v>832</v>
      </c>
      <c r="B785">
        <v>107.92</v>
      </c>
      <c r="C785" s="6">
        <f t="shared" si="25"/>
        <v>1.7345399698340813E-2</v>
      </c>
      <c r="D785" s="6">
        <f t="shared" si="24"/>
        <v>1.7196685461948004E-2</v>
      </c>
    </row>
    <row r="786" spans="1:4" x14ac:dyDescent="0.25">
      <c r="A786" t="s">
        <v>833</v>
      </c>
      <c r="B786">
        <v>106.08</v>
      </c>
      <c r="C786" s="6">
        <f t="shared" si="25"/>
        <v>1.5105740181269312E-3</v>
      </c>
      <c r="D786" s="6">
        <f t="shared" si="24"/>
        <v>1.5094342488543404E-3</v>
      </c>
    </row>
    <row r="787" spans="1:4" x14ac:dyDescent="0.25">
      <c r="A787" t="s">
        <v>834</v>
      </c>
      <c r="B787">
        <v>105.92</v>
      </c>
      <c r="C787" s="6">
        <f t="shared" si="25"/>
        <v>-1.8805002315886998E-2</v>
      </c>
      <c r="D787" s="6">
        <f t="shared" si="24"/>
        <v>-1.8984064772118295E-2</v>
      </c>
    </row>
    <row r="788" spans="1:4" x14ac:dyDescent="0.25">
      <c r="A788" t="s">
        <v>835</v>
      </c>
      <c r="B788">
        <v>107.95</v>
      </c>
      <c r="C788" s="6">
        <f t="shared" si="25"/>
        <v>2.4143374500882331E-3</v>
      </c>
      <c r="D788" s="6">
        <f t="shared" si="24"/>
        <v>2.4114276200268184E-3</v>
      </c>
    </row>
    <row r="789" spans="1:4" x14ac:dyDescent="0.25">
      <c r="A789" t="s">
        <v>836</v>
      </c>
      <c r="B789">
        <v>107.69</v>
      </c>
      <c r="C789" s="6">
        <f t="shared" si="25"/>
        <v>-2.3219954648526109E-2</v>
      </c>
      <c r="D789" s="6">
        <f t="shared" si="24"/>
        <v>-2.3493784986165847E-2</v>
      </c>
    </row>
    <row r="790" spans="1:4" x14ac:dyDescent="0.25">
      <c r="A790" t="s">
        <v>837</v>
      </c>
      <c r="B790">
        <v>110.25</v>
      </c>
      <c r="C790" s="6">
        <f t="shared" si="25"/>
        <v>9.4305072331075657E-3</v>
      </c>
      <c r="D790" s="6">
        <f t="shared" si="24"/>
        <v>9.3863176029478114E-3</v>
      </c>
    </row>
    <row r="791" spans="1:4" x14ac:dyDescent="0.25">
      <c r="A791" t="s">
        <v>838</v>
      </c>
      <c r="B791">
        <v>109.22</v>
      </c>
      <c r="C791" s="6">
        <f t="shared" si="25"/>
        <v>-2.9213072850100552E-3</v>
      </c>
      <c r="D791" s="6">
        <f t="shared" si="24"/>
        <v>-2.9255826315676401E-3</v>
      </c>
    </row>
    <row r="792" spans="1:4" x14ac:dyDescent="0.25">
      <c r="A792" t="s">
        <v>839</v>
      </c>
      <c r="B792">
        <v>109.54</v>
      </c>
      <c r="C792" s="6">
        <f t="shared" si="25"/>
        <v>-5.7184351456839311E-3</v>
      </c>
      <c r="D792" s="6">
        <f t="shared" si="24"/>
        <v>-5.7348479963982811E-3</v>
      </c>
    </row>
    <row r="793" spans="1:4" x14ac:dyDescent="0.25">
      <c r="A793" t="s">
        <v>840</v>
      </c>
      <c r="B793">
        <v>110.17</v>
      </c>
      <c r="C793" s="6">
        <f t="shared" si="25"/>
        <v>-1.1041292639138223E-2</v>
      </c>
      <c r="D793" s="6">
        <f t="shared" si="24"/>
        <v>-1.1102700141210071E-2</v>
      </c>
    </row>
    <row r="794" spans="1:4" x14ac:dyDescent="0.25">
      <c r="A794" t="s">
        <v>841</v>
      </c>
      <c r="B794">
        <v>111.4</v>
      </c>
      <c r="C794" s="6">
        <f t="shared" si="25"/>
        <v>-1.4072041773608213E-2</v>
      </c>
      <c r="D794" s="6">
        <f t="shared" si="24"/>
        <v>-1.4171991727971161E-2</v>
      </c>
    </row>
    <row r="795" spans="1:4" x14ac:dyDescent="0.25">
      <c r="A795" t="s">
        <v>842</v>
      </c>
      <c r="B795">
        <v>112.99</v>
      </c>
      <c r="C795" s="6">
        <f t="shared" si="25"/>
        <v>3.0742565225323704E-2</v>
      </c>
      <c r="D795" s="6">
        <f t="shared" si="24"/>
        <v>3.0279479603184396E-2</v>
      </c>
    </row>
    <row r="796" spans="1:4" x14ac:dyDescent="0.25">
      <c r="A796" t="s">
        <v>843</v>
      </c>
      <c r="B796">
        <v>109.62</v>
      </c>
      <c r="C796" s="6">
        <f t="shared" si="25"/>
        <v>-2.5426742532005719E-2</v>
      </c>
      <c r="D796" s="6">
        <f t="shared" si="24"/>
        <v>-2.5755588444384456E-2</v>
      </c>
    </row>
    <row r="797" spans="1:4" x14ac:dyDescent="0.25">
      <c r="A797" t="s">
        <v>844</v>
      </c>
      <c r="B797">
        <v>112.48</v>
      </c>
      <c r="C797" s="6">
        <f t="shared" si="25"/>
        <v>-2.5716059235612043E-3</v>
      </c>
      <c r="D797" s="6">
        <f t="shared" si="24"/>
        <v>-2.5749181818415156E-3</v>
      </c>
    </row>
    <row r="798" spans="1:4" x14ac:dyDescent="0.25">
      <c r="A798" t="s">
        <v>845</v>
      </c>
      <c r="B798">
        <v>112.77</v>
      </c>
      <c r="C798" s="6">
        <f t="shared" si="25"/>
        <v>3.973815231421729E-2</v>
      </c>
      <c r="D798" s="6">
        <f t="shared" si="24"/>
        <v>3.8968904831281785E-2</v>
      </c>
    </row>
    <row r="799" spans="1:4" x14ac:dyDescent="0.25">
      <c r="A799" t="s">
        <v>846</v>
      </c>
      <c r="B799">
        <v>108.46</v>
      </c>
      <c r="C799" s="6">
        <f t="shared" si="25"/>
        <v>-6.1394666911023243E-3</v>
      </c>
      <c r="D799" s="6">
        <f t="shared" si="24"/>
        <v>-6.1583907120838326E-3</v>
      </c>
    </row>
    <row r="800" spans="1:4" x14ac:dyDescent="0.25">
      <c r="A800" t="s">
        <v>847</v>
      </c>
      <c r="B800">
        <v>109.13</v>
      </c>
      <c r="C800" s="6">
        <f t="shared" si="25"/>
        <v>-2.9437922447527631E-2</v>
      </c>
      <c r="D800" s="6">
        <f t="shared" si="24"/>
        <v>-2.9879913913332737E-2</v>
      </c>
    </row>
    <row r="801" spans="1:4" x14ac:dyDescent="0.25">
      <c r="A801" t="s">
        <v>848</v>
      </c>
      <c r="B801">
        <v>112.44</v>
      </c>
      <c r="C801" s="6">
        <f t="shared" si="25"/>
        <v>-1.3322675193179201E-3</v>
      </c>
      <c r="D801" s="6">
        <f t="shared" si="24"/>
        <v>-1.3331557767080658E-3</v>
      </c>
    </row>
    <row r="802" spans="1:4" x14ac:dyDescent="0.25">
      <c r="A802" t="s">
        <v>849</v>
      </c>
      <c r="B802">
        <v>112.59</v>
      </c>
      <c r="C802" s="6">
        <f t="shared" si="25"/>
        <v>3.6549438409132717E-2</v>
      </c>
      <c r="D802" s="6">
        <f t="shared" si="24"/>
        <v>3.5897349208339903E-2</v>
      </c>
    </row>
    <row r="803" spans="1:4" x14ac:dyDescent="0.25">
      <c r="A803" t="s">
        <v>850</v>
      </c>
      <c r="B803">
        <v>108.62</v>
      </c>
      <c r="C803" s="6">
        <f t="shared" si="25"/>
        <v>-1.5626436253332043E-3</v>
      </c>
      <c r="D803" s="6">
        <f t="shared" si="24"/>
        <v>-1.5638658262920669E-3</v>
      </c>
    </row>
    <row r="804" spans="1:4" x14ac:dyDescent="0.25">
      <c r="A804" t="s">
        <v>851</v>
      </c>
      <c r="B804">
        <v>108.79</v>
      </c>
      <c r="C804" s="6">
        <f t="shared" si="25"/>
        <v>-4.848152213684509E-3</v>
      </c>
      <c r="D804" s="6">
        <f t="shared" si="24"/>
        <v>-4.8599426268758853E-3</v>
      </c>
    </row>
    <row r="805" spans="1:4" x14ac:dyDescent="0.25">
      <c r="A805" t="s">
        <v>852</v>
      </c>
      <c r="B805">
        <v>109.32</v>
      </c>
      <c r="C805" s="6">
        <f t="shared" si="25"/>
        <v>2.65981839860574E-3</v>
      </c>
      <c r="D805" s="6">
        <f t="shared" si="24"/>
        <v>2.6562873415767298E-3</v>
      </c>
    </row>
    <row r="806" spans="1:4" x14ac:dyDescent="0.25">
      <c r="A806" t="s">
        <v>853</v>
      </c>
      <c r="B806">
        <v>109.03</v>
      </c>
      <c r="C806" s="6">
        <f t="shared" si="25"/>
        <v>1.9829763352352536E-2</v>
      </c>
      <c r="D806" s="6">
        <f t="shared" si="24"/>
        <v>1.9635714692881955E-2</v>
      </c>
    </row>
    <row r="807" spans="1:4" x14ac:dyDescent="0.25">
      <c r="A807" t="s">
        <v>854</v>
      </c>
      <c r="B807">
        <v>106.91</v>
      </c>
      <c r="C807" s="6">
        <f t="shared" si="25"/>
        <v>-2.7914166212038571E-2</v>
      </c>
      <c r="D807" s="6">
        <f t="shared" si="24"/>
        <v>-2.8311172054260147E-2</v>
      </c>
    </row>
    <row r="808" spans="1:4" x14ac:dyDescent="0.25">
      <c r="A808" t="s">
        <v>855</v>
      </c>
      <c r="B808">
        <v>109.98</v>
      </c>
      <c r="C808" s="6">
        <f t="shared" si="25"/>
        <v>1.0288443872864317E-2</v>
      </c>
      <c r="D808" s="6">
        <f t="shared" si="24"/>
        <v>1.0235878073614766E-2</v>
      </c>
    </row>
    <row r="809" spans="1:4" x14ac:dyDescent="0.25">
      <c r="A809" t="s">
        <v>856</v>
      </c>
      <c r="B809">
        <v>108.86</v>
      </c>
      <c r="C809" s="6">
        <f t="shared" si="25"/>
        <v>-1.0633463600836168E-2</v>
      </c>
      <c r="D809" s="6">
        <f t="shared" si="24"/>
        <v>-1.0690402875767372E-2</v>
      </c>
    </row>
    <row r="810" spans="1:4" x14ac:dyDescent="0.25">
      <c r="A810" t="s">
        <v>857</v>
      </c>
      <c r="B810">
        <v>110.03</v>
      </c>
      <c r="C810" s="6">
        <f t="shared" si="25"/>
        <v>-2.5383011513009368E-3</v>
      </c>
      <c r="D810" s="6">
        <f t="shared" si="24"/>
        <v>-2.5415280994690809E-3</v>
      </c>
    </row>
    <row r="811" spans="1:4" x14ac:dyDescent="0.25">
      <c r="A811" t="s">
        <v>858</v>
      </c>
      <c r="B811">
        <v>110.31</v>
      </c>
      <c r="C811" s="6">
        <f t="shared" si="25"/>
        <v>1.2668686312310662E-2</v>
      </c>
      <c r="D811" s="6">
        <f t="shared" si="24"/>
        <v>1.2589109886936225E-2</v>
      </c>
    </row>
    <row r="812" spans="1:4" x14ac:dyDescent="0.25">
      <c r="A812" t="s">
        <v>859</v>
      </c>
      <c r="B812">
        <v>108.93</v>
      </c>
      <c r="C812" s="6">
        <f t="shared" si="25"/>
        <v>-1.1004126547454751E-3</v>
      </c>
      <c r="D812" s="6">
        <f t="shared" si="24"/>
        <v>-1.1010185532839009E-3</v>
      </c>
    </row>
    <row r="813" spans="1:4" x14ac:dyDescent="0.25">
      <c r="A813" t="s">
        <v>860</v>
      </c>
      <c r="B813">
        <v>109.05</v>
      </c>
      <c r="C813" s="6">
        <f t="shared" si="25"/>
        <v>-1.8363489062921956E-2</v>
      </c>
      <c r="D813" s="6">
        <f t="shared" si="24"/>
        <v>-1.8534190945992946E-2</v>
      </c>
    </row>
    <row r="814" spans="1:4" x14ac:dyDescent="0.25">
      <c r="A814" t="s">
        <v>861</v>
      </c>
      <c r="B814">
        <v>111.09</v>
      </c>
      <c r="C814" s="6">
        <f t="shared" si="25"/>
        <v>2.4815498154981519E-2</v>
      </c>
      <c r="D814" s="6">
        <f t="shared" si="24"/>
        <v>2.4512594588085145E-2</v>
      </c>
    </row>
    <row r="815" spans="1:4" x14ac:dyDescent="0.25">
      <c r="A815" t="s">
        <v>862</v>
      </c>
      <c r="B815">
        <v>108.4</v>
      </c>
      <c r="C815" s="6">
        <f t="shared" si="25"/>
        <v>1.2007019488318171E-3</v>
      </c>
      <c r="D815" s="6">
        <f t="shared" si="24"/>
        <v>1.1999816827391351E-3</v>
      </c>
    </row>
    <row r="816" spans="1:4" x14ac:dyDescent="0.25">
      <c r="A816" t="s">
        <v>863</v>
      </c>
      <c r="B816">
        <v>108.27</v>
      </c>
      <c r="C816" s="6">
        <f t="shared" si="25"/>
        <v>-5.2370452039691706E-3</v>
      </c>
      <c r="D816" s="6">
        <f t="shared" si="24"/>
        <v>-5.2508065922386949E-3</v>
      </c>
    </row>
    <row r="817" spans="1:4" x14ac:dyDescent="0.25">
      <c r="A817" t="s">
        <v>864</v>
      </c>
      <c r="B817">
        <v>108.84</v>
      </c>
      <c r="C817" s="6">
        <f t="shared" si="25"/>
        <v>-1.0995002271694587E-2</v>
      </c>
      <c r="D817" s="6">
        <f t="shared" si="24"/>
        <v>-1.105589405742503E-2</v>
      </c>
    </row>
    <row r="818" spans="1:4" x14ac:dyDescent="0.25">
      <c r="A818" t="s">
        <v>865</v>
      </c>
      <c r="B818">
        <v>110.05</v>
      </c>
      <c r="C818" s="6">
        <f t="shared" si="25"/>
        <v>-5.8717253839205563E-3</v>
      </c>
      <c r="D818" s="6">
        <f t="shared" si="24"/>
        <v>-5.889031742120571E-3</v>
      </c>
    </row>
    <row r="819" spans="1:4" x14ac:dyDescent="0.25">
      <c r="A819" t="s">
        <v>866</v>
      </c>
      <c r="B819">
        <v>110.7</v>
      </c>
      <c r="C819" s="6">
        <f t="shared" si="25"/>
        <v>-7.2215201299874465E-4</v>
      </c>
      <c r="D819" s="6">
        <f t="shared" ref="D819:D882" si="26">LN(B819/B820)</f>
        <v>-7.224128903666558E-4</v>
      </c>
    </row>
    <row r="820" spans="1:4" x14ac:dyDescent="0.25">
      <c r="A820" t="s">
        <v>867</v>
      </c>
      <c r="B820">
        <v>110.78</v>
      </c>
      <c r="C820" s="6">
        <f t="shared" ref="C820:C883" si="27">(B820/B821)-1</f>
        <v>2.1202064896755246E-2</v>
      </c>
      <c r="D820" s="6">
        <f t="shared" si="26"/>
        <v>2.0980428412872485E-2</v>
      </c>
    </row>
    <row r="821" spans="1:4" x14ac:dyDescent="0.25">
      <c r="A821" t="s">
        <v>868</v>
      </c>
      <c r="B821">
        <v>108.48</v>
      </c>
      <c r="C821" s="6">
        <f t="shared" si="27"/>
        <v>-6.59340659340657E-3</v>
      </c>
      <c r="D821" s="6">
        <f t="shared" si="26"/>
        <v>-6.6152391187192048E-3</v>
      </c>
    </row>
    <row r="822" spans="1:4" x14ac:dyDescent="0.25">
      <c r="A822" t="s">
        <v>869</v>
      </c>
      <c r="B822">
        <v>109.2</v>
      </c>
      <c r="C822" s="6">
        <f t="shared" si="27"/>
        <v>-3.1038889903232114E-3</v>
      </c>
      <c r="D822" s="6">
        <f t="shared" si="26"/>
        <v>-3.1087160447706391E-3</v>
      </c>
    </row>
    <row r="823" spans="1:4" x14ac:dyDescent="0.25">
      <c r="A823" t="s">
        <v>870</v>
      </c>
      <c r="B823">
        <v>109.54</v>
      </c>
      <c r="C823" s="6">
        <f t="shared" si="27"/>
        <v>-6.8902991840433803E-3</v>
      </c>
      <c r="D823" s="6">
        <f t="shared" si="26"/>
        <v>-6.9141469038813833E-3</v>
      </c>
    </row>
    <row r="824" spans="1:4" x14ac:dyDescent="0.25">
      <c r="A824" t="s">
        <v>871</v>
      </c>
      <c r="B824">
        <v>110.3</v>
      </c>
      <c r="C824" s="6">
        <f t="shared" si="27"/>
        <v>-1.9555555555555548E-2</v>
      </c>
      <c r="D824" s="6">
        <f t="shared" si="26"/>
        <v>-1.9749295385018028E-2</v>
      </c>
    </row>
    <row r="825" spans="1:4" x14ac:dyDescent="0.25">
      <c r="A825" t="s">
        <v>872</v>
      </c>
      <c r="B825">
        <v>112.5</v>
      </c>
      <c r="C825" s="6">
        <f t="shared" si="27"/>
        <v>-8.3737329219920609E-3</v>
      </c>
      <c r="D825" s="6">
        <f t="shared" si="26"/>
        <v>-8.4089895813759061E-3</v>
      </c>
    </row>
    <row r="826" spans="1:4" x14ac:dyDescent="0.25">
      <c r="A826" t="s">
        <v>873</v>
      </c>
      <c r="B826">
        <v>113.45</v>
      </c>
      <c r="C826" s="6">
        <f t="shared" si="27"/>
        <v>5.2914719111041286E-4</v>
      </c>
      <c r="D826" s="6">
        <f t="shared" si="26"/>
        <v>5.2900724210238953E-4</v>
      </c>
    </row>
    <row r="827" spans="1:4" x14ac:dyDescent="0.25">
      <c r="A827" t="s">
        <v>874</v>
      </c>
      <c r="B827">
        <v>113.39</v>
      </c>
      <c r="C827" s="6">
        <f t="shared" si="27"/>
        <v>1.268196838438862E-2</v>
      </c>
      <c r="D827" s="6">
        <f t="shared" si="26"/>
        <v>1.2602225711642774E-2</v>
      </c>
    </row>
    <row r="828" spans="1:4" x14ac:dyDescent="0.25">
      <c r="A828" t="s">
        <v>875</v>
      </c>
      <c r="B828">
        <v>111.97</v>
      </c>
      <c r="C828" s="6">
        <f t="shared" si="27"/>
        <v>-9.7284867781020079E-3</v>
      </c>
      <c r="D828" s="6">
        <f t="shared" si="26"/>
        <v>-9.7761176750480999E-3</v>
      </c>
    </row>
    <row r="829" spans="1:4" x14ac:dyDescent="0.25">
      <c r="A829" t="s">
        <v>876</v>
      </c>
      <c r="B829">
        <v>113.07</v>
      </c>
      <c r="C829" s="6">
        <f t="shared" si="27"/>
        <v>1.2536939195844754E-2</v>
      </c>
      <c r="D829" s="6">
        <f t="shared" si="26"/>
        <v>1.2459002489452869E-2</v>
      </c>
    </row>
    <row r="830" spans="1:4" x14ac:dyDescent="0.25">
      <c r="A830" t="s">
        <v>877</v>
      </c>
      <c r="B830">
        <v>111.67</v>
      </c>
      <c r="C830" s="6">
        <f t="shared" si="27"/>
        <v>1.6845747586960558E-2</v>
      </c>
      <c r="D830" s="6">
        <f t="shared" si="26"/>
        <v>1.6705431606974252E-2</v>
      </c>
    </row>
    <row r="831" spans="1:4" x14ac:dyDescent="0.25">
      <c r="A831" t="s">
        <v>878</v>
      </c>
      <c r="B831">
        <v>109.82</v>
      </c>
      <c r="C831" s="6">
        <f t="shared" si="27"/>
        <v>1.0026433324217265E-3</v>
      </c>
      <c r="D831" s="6">
        <f t="shared" si="26"/>
        <v>1.0021410213269094E-3</v>
      </c>
    </row>
    <row r="832" spans="1:4" x14ac:dyDescent="0.25">
      <c r="A832" t="s">
        <v>879</v>
      </c>
      <c r="B832">
        <v>109.71</v>
      </c>
      <c r="C832" s="6">
        <f t="shared" si="27"/>
        <v>-1.0105567084724432E-2</v>
      </c>
      <c r="D832" s="6">
        <f t="shared" si="26"/>
        <v>-1.0156974958162221E-2</v>
      </c>
    </row>
    <row r="833" spans="1:4" x14ac:dyDescent="0.25">
      <c r="A833" t="s">
        <v>880</v>
      </c>
      <c r="B833">
        <v>110.83</v>
      </c>
      <c r="C833" s="6">
        <f t="shared" si="27"/>
        <v>-3.59615211723463E-3</v>
      </c>
      <c r="D833" s="6">
        <f t="shared" si="26"/>
        <v>-3.6026338163763082E-3</v>
      </c>
    </row>
    <row r="834" spans="1:4" x14ac:dyDescent="0.25">
      <c r="A834" t="s">
        <v>881</v>
      </c>
      <c r="B834">
        <v>111.23</v>
      </c>
      <c r="C834" s="6">
        <f t="shared" si="27"/>
        <v>-1.531515580736531E-2</v>
      </c>
      <c r="D834" s="6">
        <f t="shared" si="26"/>
        <v>-1.5433644140993899E-2</v>
      </c>
    </row>
    <row r="835" spans="1:4" x14ac:dyDescent="0.25">
      <c r="A835" t="s">
        <v>882</v>
      </c>
      <c r="B835">
        <v>112.96</v>
      </c>
      <c r="C835" s="6">
        <f t="shared" si="27"/>
        <v>9.0218847699865545E-3</v>
      </c>
      <c r="D835" s="6">
        <f t="shared" si="26"/>
        <v>8.9814307001680662E-3</v>
      </c>
    </row>
    <row r="836" spans="1:4" x14ac:dyDescent="0.25">
      <c r="A836" t="s">
        <v>883</v>
      </c>
      <c r="B836">
        <v>111.95</v>
      </c>
      <c r="C836" s="6">
        <f t="shared" si="27"/>
        <v>2.2381378692928333E-3</v>
      </c>
      <c r="D836" s="6">
        <f t="shared" si="26"/>
        <v>2.2356369696088937E-3</v>
      </c>
    </row>
    <row r="837" spans="1:4" x14ac:dyDescent="0.25">
      <c r="A837" t="s">
        <v>884</v>
      </c>
      <c r="B837">
        <v>111.7</v>
      </c>
      <c r="C837" s="6">
        <f t="shared" si="27"/>
        <v>1.4344629729243774E-3</v>
      </c>
      <c r="D837" s="6">
        <f t="shared" si="26"/>
        <v>1.4334351137472419E-3</v>
      </c>
    </row>
    <row r="838" spans="1:4" x14ac:dyDescent="0.25">
      <c r="A838" t="s">
        <v>885</v>
      </c>
      <c r="B838">
        <v>111.54</v>
      </c>
      <c r="C838" s="6">
        <f t="shared" si="27"/>
        <v>4.32198811453266E-3</v>
      </c>
      <c r="D838" s="6">
        <f t="shared" si="26"/>
        <v>4.312675147946486E-3</v>
      </c>
    </row>
    <row r="839" spans="1:4" x14ac:dyDescent="0.25">
      <c r="A839" t="s">
        <v>886</v>
      </c>
      <c r="B839">
        <v>111.06</v>
      </c>
      <c r="C839" s="6">
        <f t="shared" si="27"/>
        <v>-3.6781196734546606E-3</v>
      </c>
      <c r="D839" s="6">
        <f t="shared" si="26"/>
        <v>-3.6849005880708915E-3</v>
      </c>
    </row>
    <row r="840" spans="1:4" x14ac:dyDescent="0.25">
      <c r="A840" t="s">
        <v>887</v>
      </c>
      <c r="B840">
        <v>111.47</v>
      </c>
      <c r="C840" s="6">
        <f t="shared" si="27"/>
        <v>-1.3627112644898687E-2</v>
      </c>
      <c r="D840" s="6">
        <f t="shared" si="26"/>
        <v>-1.3720813970527287E-2</v>
      </c>
    </row>
    <row r="841" spans="1:4" x14ac:dyDescent="0.25">
      <c r="A841" t="s">
        <v>888</v>
      </c>
      <c r="B841">
        <v>113.01</v>
      </c>
      <c r="C841" s="6">
        <f t="shared" si="27"/>
        <v>-4.317180616740024E-3</v>
      </c>
      <c r="D841" s="6">
        <f t="shared" si="26"/>
        <v>-4.3265265493979089E-3</v>
      </c>
    </row>
    <row r="842" spans="1:4" x14ac:dyDescent="0.25">
      <c r="A842" t="s">
        <v>889</v>
      </c>
      <c r="B842">
        <v>113.5</v>
      </c>
      <c r="C842" s="6">
        <f t="shared" si="27"/>
        <v>8.261526161499555E-3</v>
      </c>
      <c r="D842" s="6">
        <f t="shared" si="26"/>
        <v>8.2275865547447782E-3</v>
      </c>
    </row>
    <row r="843" spans="1:4" x14ac:dyDescent="0.25">
      <c r="A843" t="s">
        <v>890</v>
      </c>
      <c r="B843">
        <v>112.57</v>
      </c>
      <c r="C843" s="6">
        <f t="shared" si="27"/>
        <v>6.7972453268938526E-3</v>
      </c>
      <c r="D843" s="6">
        <f t="shared" si="26"/>
        <v>6.7742482074359079E-3</v>
      </c>
    </row>
    <row r="844" spans="1:4" x14ac:dyDescent="0.25">
      <c r="A844" t="s">
        <v>891</v>
      </c>
      <c r="B844">
        <v>111.81</v>
      </c>
      <c r="C844" s="6">
        <f t="shared" si="27"/>
        <v>3.5787778473661547E-4</v>
      </c>
      <c r="D844" s="6">
        <f t="shared" si="26"/>
        <v>3.5781376175669083E-4</v>
      </c>
    </row>
    <row r="845" spans="1:4" x14ac:dyDescent="0.25">
      <c r="A845" t="s">
        <v>892</v>
      </c>
      <c r="B845">
        <v>111.77</v>
      </c>
      <c r="C845" s="6">
        <f t="shared" si="27"/>
        <v>1.2134383772525403E-2</v>
      </c>
      <c r="D845" s="6">
        <f t="shared" si="26"/>
        <v>1.2061352338480521E-2</v>
      </c>
    </row>
    <row r="846" spans="1:4" x14ac:dyDescent="0.25">
      <c r="A846" t="s">
        <v>893</v>
      </c>
      <c r="B846">
        <v>110.43</v>
      </c>
      <c r="C846" s="6">
        <f t="shared" si="27"/>
        <v>6.5627563576704517E-3</v>
      </c>
      <c r="D846" s="6">
        <f t="shared" si="26"/>
        <v>6.5413152296401409E-3</v>
      </c>
    </row>
    <row r="847" spans="1:4" x14ac:dyDescent="0.25">
      <c r="A847" t="s">
        <v>894</v>
      </c>
      <c r="B847">
        <v>109.71</v>
      </c>
      <c r="C847" s="6">
        <f t="shared" si="27"/>
        <v>3.1787830339508938E-2</v>
      </c>
      <c r="D847" s="6">
        <f t="shared" si="26"/>
        <v>3.1293055166404612E-2</v>
      </c>
    </row>
    <row r="848" spans="1:4" x14ac:dyDescent="0.25">
      <c r="A848" t="s">
        <v>895</v>
      </c>
      <c r="B848">
        <v>106.33</v>
      </c>
      <c r="C848" s="6">
        <f t="shared" si="27"/>
        <v>7.8672985781991223E-3</v>
      </c>
      <c r="D848" s="6">
        <f t="shared" si="26"/>
        <v>7.8365127468736761E-3</v>
      </c>
    </row>
    <row r="849" spans="1:4" x14ac:dyDescent="0.25">
      <c r="A849" t="s">
        <v>896</v>
      </c>
      <c r="B849">
        <v>105.5</v>
      </c>
      <c r="C849" s="6">
        <f t="shared" si="27"/>
        <v>-2.8097650852141887E-2</v>
      </c>
      <c r="D849" s="6">
        <f t="shared" si="26"/>
        <v>-2.8499943408179681E-2</v>
      </c>
    </row>
    <row r="850" spans="1:4" x14ac:dyDescent="0.25">
      <c r="A850" t="s">
        <v>897</v>
      </c>
      <c r="B850">
        <v>108.55</v>
      </c>
      <c r="C850" s="6">
        <f t="shared" si="27"/>
        <v>7.3311061618410722E-3</v>
      </c>
      <c r="D850" s="6">
        <f t="shared" si="26"/>
        <v>7.3043642221922488E-3</v>
      </c>
    </row>
    <row r="851" spans="1:4" x14ac:dyDescent="0.25">
      <c r="A851" t="s">
        <v>898</v>
      </c>
      <c r="B851">
        <v>107.76</v>
      </c>
      <c r="C851" s="6">
        <f t="shared" si="27"/>
        <v>-4.4345898004433115E-3</v>
      </c>
      <c r="D851" s="6">
        <f t="shared" si="26"/>
        <v>-4.4444517604239064E-3</v>
      </c>
    </row>
    <row r="852" spans="1:4" x14ac:dyDescent="0.25">
      <c r="A852" t="s">
        <v>899</v>
      </c>
      <c r="B852">
        <v>108.24</v>
      </c>
      <c r="C852" s="6">
        <f t="shared" si="27"/>
        <v>3.1510658016680182E-3</v>
      </c>
      <c r="D852" s="6">
        <f t="shared" si="26"/>
        <v>3.1461115984434316E-3</v>
      </c>
    </row>
    <row r="853" spans="1:4" x14ac:dyDescent="0.25">
      <c r="A853" t="s">
        <v>900</v>
      </c>
      <c r="B853">
        <v>107.9</v>
      </c>
      <c r="C853" s="6">
        <f t="shared" si="27"/>
        <v>-1.110905387891048E-3</v>
      </c>
      <c r="D853" s="6">
        <f t="shared" si="26"/>
        <v>-1.1115229006560053E-3</v>
      </c>
    </row>
    <row r="854" spans="1:4" x14ac:dyDescent="0.25">
      <c r="A854" t="s">
        <v>901</v>
      </c>
      <c r="B854">
        <v>108.02</v>
      </c>
      <c r="C854" s="6">
        <f t="shared" si="27"/>
        <v>5.7728119180631143E-3</v>
      </c>
      <c r="D854" s="6">
        <f t="shared" si="26"/>
        <v>5.7562130899805521E-3</v>
      </c>
    </row>
    <row r="855" spans="1:4" x14ac:dyDescent="0.25">
      <c r="A855" t="s">
        <v>902</v>
      </c>
      <c r="B855">
        <v>107.4</v>
      </c>
      <c r="C855" s="6">
        <f t="shared" si="27"/>
        <v>8.386916410401124E-4</v>
      </c>
      <c r="D855" s="6">
        <f t="shared" si="26"/>
        <v>8.3834013572838494E-4</v>
      </c>
    </row>
    <row r="856" spans="1:4" x14ac:dyDescent="0.25">
      <c r="A856" t="s">
        <v>903</v>
      </c>
      <c r="B856">
        <v>107.31</v>
      </c>
      <c r="C856" s="6">
        <f t="shared" si="27"/>
        <v>-6.5189048239888692E-4</v>
      </c>
      <c r="D856" s="6">
        <f t="shared" si="26"/>
        <v>-6.5210305538730034E-4</v>
      </c>
    </row>
    <row r="857" spans="1:4" x14ac:dyDescent="0.25">
      <c r="A857" t="s">
        <v>904</v>
      </c>
      <c r="B857">
        <v>107.38</v>
      </c>
      <c r="C857" s="6">
        <f t="shared" si="27"/>
        <v>-7.2115384615384359E-3</v>
      </c>
      <c r="D857" s="6">
        <f t="shared" si="26"/>
        <v>-7.2376673002305016E-3</v>
      </c>
    </row>
    <row r="858" spans="1:4" x14ac:dyDescent="0.25">
      <c r="A858" t="s">
        <v>905</v>
      </c>
      <c r="B858">
        <v>108.16</v>
      </c>
      <c r="C858" s="6">
        <f t="shared" si="27"/>
        <v>1.6732468509118359E-2</v>
      </c>
      <c r="D858" s="6">
        <f t="shared" si="26"/>
        <v>1.6594022980482539E-2</v>
      </c>
    </row>
    <row r="859" spans="1:4" x14ac:dyDescent="0.25">
      <c r="A859" t="s">
        <v>906</v>
      </c>
      <c r="B859">
        <v>106.38</v>
      </c>
      <c r="C859" s="6">
        <f t="shared" si="27"/>
        <v>1.0160478587028621E-2</v>
      </c>
      <c r="D859" s="6">
        <f t="shared" si="26"/>
        <v>1.0109207921665562E-2</v>
      </c>
    </row>
    <row r="860" spans="1:4" x14ac:dyDescent="0.25">
      <c r="A860" t="s">
        <v>907</v>
      </c>
      <c r="B860">
        <v>105.31</v>
      </c>
      <c r="C860" s="6">
        <f t="shared" si="27"/>
        <v>8.4266973092022024E-3</v>
      </c>
      <c r="D860" s="6">
        <f t="shared" si="26"/>
        <v>8.3913909010484514E-3</v>
      </c>
    </row>
    <row r="861" spans="1:4" x14ac:dyDescent="0.25">
      <c r="A861" t="s">
        <v>908</v>
      </c>
      <c r="B861">
        <v>104.43</v>
      </c>
      <c r="C861" s="6">
        <f t="shared" si="27"/>
        <v>3.2222991005238732E-2</v>
      </c>
      <c r="D861" s="6">
        <f t="shared" si="26"/>
        <v>3.171472027365823E-2</v>
      </c>
    </row>
    <row r="862" spans="1:4" x14ac:dyDescent="0.25">
      <c r="A862" t="s">
        <v>909</v>
      </c>
      <c r="B862">
        <v>101.17</v>
      </c>
      <c r="C862" s="6">
        <f t="shared" si="27"/>
        <v>-2.4114980225716232E-2</v>
      </c>
      <c r="D862" s="6">
        <f t="shared" si="26"/>
        <v>-2.4410507117221716E-2</v>
      </c>
    </row>
    <row r="863" spans="1:4" x14ac:dyDescent="0.25">
      <c r="A863" t="s">
        <v>910</v>
      </c>
      <c r="B863">
        <v>103.67</v>
      </c>
      <c r="C863" s="6">
        <f t="shared" si="27"/>
        <v>-2.2073389302895929E-2</v>
      </c>
      <c r="D863" s="6">
        <f t="shared" si="26"/>
        <v>-2.2320651949985563E-2</v>
      </c>
    </row>
    <row r="864" spans="1:4" x14ac:dyDescent="0.25">
      <c r="A864" t="s">
        <v>911</v>
      </c>
      <c r="B864">
        <v>106.01</v>
      </c>
      <c r="C864" s="6">
        <f t="shared" si="27"/>
        <v>-1.1008489597910232E-2</v>
      </c>
      <c r="D864" s="6">
        <f t="shared" si="26"/>
        <v>-1.1069531418421791E-2</v>
      </c>
    </row>
    <row r="865" spans="1:4" x14ac:dyDescent="0.25">
      <c r="A865" t="s">
        <v>912</v>
      </c>
      <c r="B865">
        <v>107.19</v>
      </c>
      <c r="C865" s="6">
        <f t="shared" si="27"/>
        <v>6.4788732394365223E-3</v>
      </c>
      <c r="D865" s="6">
        <f t="shared" si="26"/>
        <v>6.4579755539482192E-3</v>
      </c>
    </row>
    <row r="866" spans="1:4" x14ac:dyDescent="0.25">
      <c r="A866" t="s">
        <v>913</v>
      </c>
      <c r="B866">
        <v>106.5</v>
      </c>
      <c r="C866" s="6">
        <f t="shared" si="27"/>
        <v>1.8782870022526765E-4</v>
      </c>
      <c r="D866" s="6">
        <f t="shared" si="26"/>
        <v>1.8781106262348414E-4</v>
      </c>
    </row>
    <row r="867" spans="1:4" x14ac:dyDescent="0.25">
      <c r="A867" t="s">
        <v>914</v>
      </c>
      <c r="B867">
        <v>106.48</v>
      </c>
      <c r="C867" s="6">
        <f t="shared" si="27"/>
        <v>-3.9289055191767952E-3</v>
      </c>
      <c r="D867" s="6">
        <f t="shared" si="26"/>
        <v>-3.9366439441433435E-3</v>
      </c>
    </row>
    <row r="868" spans="1:4" x14ac:dyDescent="0.25">
      <c r="A868" t="s">
        <v>915</v>
      </c>
      <c r="B868">
        <v>106.9</v>
      </c>
      <c r="C868" s="6">
        <f t="shared" si="27"/>
        <v>7.9200452574015312E-3</v>
      </c>
      <c r="D868" s="6">
        <f t="shared" si="26"/>
        <v>7.8888463220156673E-3</v>
      </c>
    </row>
    <row r="869" spans="1:4" x14ac:dyDescent="0.25">
      <c r="A869" t="s">
        <v>916</v>
      </c>
      <c r="B869">
        <v>106.06</v>
      </c>
      <c r="C869" s="6">
        <f t="shared" si="27"/>
        <v>-4.712091226085624E-4</v>
      </c>
      <c r="D869" s="6">
        <f t="shared" si="26"/>
        <v>-4.7132017651495663E-4</v>
      </c>
    </row>
    <row r="870" spans="1:4" x14ac:dyDescent="0.25">
      <c r="A870" t="s">
        <v>917</v>
      </c>
      <c r="B870">
        <v>106.11</v>
      </c>
      <c r="C870" s="6">
        <f t="shared" si="27"/>
        <v>-3.2901932191031658E-2</v>
      </c>
      <c r="D870" s="6">
        <f t="shared" si="26"/>
        <v>-3.3455374183903479E-2</v>
      </c>
    </row>
    <row r="871" spans="1:4" x14ac:dyDescent="0.25">
      <c r="A871" t="s">
        <v>918</v>
      </c>
      <c r="B871">
        <v>109.72</v>
      </c>
      <c r="C871" s="6">
        <f t="shared" si="27"/>
        <v>-1.4638527166591753E-2</v>
      </c>
      <c r="D871" s="6">
        <f t="shared" si="26"/>
        <v>-1.4746727633974072E-2</v>
      </c>
    </row>
    <row r="872" spans="1:4" x14ac:dyDescent="0.25">
      <c r="A872" t="s">
        <v>919</v>
      </c>
      <c r="B872">
        <v>111.35</v>
      </c>
      <c r="C872" s="6">
        <f t="shared" si="27"/>
        <v>8.9814981138802708E-5</v>
      </c>
      <c r="D872" s="6">
        <f t="shared" si="26"/>
        <v>8.9810948014872383E-5</v>
      </c>
    </row>
    <row r="873" spans="1:4" x14ac:dyDescent="0.25">
      <c r="A873" t="s">
        <v>920</v>
      </c>
      <c r="B873">
        <v>111.34</v>
      </c>
      <c r="C873" s="6">
        <f t="shared" si="27"/>
        <v>8.0579447713897689E-3</v>
      </c>
      <c r="D873" s="6">
        <f t="shared" si="26"/>
        <v>8.0256528892355267E-3</v>
      </c>
    </row>
    <row r="874" spans="1:4" x14ac:dyDescent="0.25">
      <c r="A874" t="s">
        <v>921</v>
      </c>
      <c r="B874">
        <v>110.45</v>
      </c>
      <c r="C874" s="6">
        <f t="shared" si="27"/>
        <v>9.5978062157220378E-3</v>
      </c>
      <c r="D874" s="6">
        <f t="shared" si="26"/>
        <v>9.5520398782452665E-3</v>
      </c>
    </row>
    <row r="875" spans="1:4" x14ac:dyDescent="0.25">
      <c r="A875" t="s">
        <v>922</v>
      </c>
      <c r="B875">
        <v>109.4</v>
      </c>
      <c r="C875" s="6">
        <f t="shared" si="27"/>
        <v>-1.6098570015289027E-2</v>
      </c>
      <c r="D875" s="6">
        <f t="shared" si="26"/>
        <v>-1.6229559727276893E-2</v>
      </c>
    </row>
    <row r="876" spans="1:4" x14ac:dyDescent="0.25">
      <c r="A876" t="s">
        <v>923</v>
      </c>
      <c r="B876">
        <v>111.19</v>
      </c>
      <c r="C876" s="6">
        <f t="shared" si="27"/>
        <v>-1.2872869318181879E-2</v>
      </c>
      <c r="D876" s="6">
        <f t="shared" si="26"/>
        <v>-1.2956442694574489E-2</v>
      </c>
    </row>
    <row r="877" spans="1:4" x14ac:dyDescent="0.25">
      <c r="A877" t="s">
        <v>924</v>
      </c>
      <c r="B877">
        <v>112.64</v>
      </c>
      <c r="C877" s="6">
        <f t="shared" si="27"/>
        <v>2.3135789286350406E-3</v>
      </c>
      <c r="D877" s="6">
        <f t="shared" si="26"/>
        <v>2.3109067256801758E-3</v>
      </c>
    </row>
    <row r="878" spans="1:4" x14ac:dyDescent="0.25">
      <c r="A878" t="s">
        <v>925</v>
      </c>
      <c r="B878">
        <v>112.38</v>
      </c>
      <c r="C878" s="6">
        <f t="shared" si="27"/>
        <v>-4.870273620827148E-3</v>
      </c>
      <c r="D878" s="6">
        <f t="shared" si="26"/>
        <v>-4.8821720515268424E-3</v>
      </c>
    </row>
    <row r="879" spans="1:4" x14ac:dyDescent="0.25">
      <c r="A879" t="s">
        <v>926</v>
      </c>
      <c r="B879">
        <v>112.93</v>
      </c>
      <c r="C879" s="6">
        <f t="shared" si="27"/>
        <v>1.7845876520955484E-2</v>
      </c>
      <c r="D879" s="6">
        <f t="shared" si="26"/>
        <v>1.7688508356976072E-2</v>
      </c>
    </row>
    <row r="880" spans="1:4" x14ac:dyDescent="0.25">
      <c r="A880" t="s">
        <v>927</v>
      </c>
      <c r="B880">
        <v>110.95</v>
      </c>
      <c r="C880" s="6">
        <f t="shared" si="27"/>
        <v>-1.0964521305045549E-2</v>
      </c>
      <c r="D880" s="6">
        <f t="shared" si="26"/>
        <v>-1.1025074701588018E-2</v>
      </c>
    </row>
    <row r="881" spans="1:4" x14ac:dyDescent="0.25">
      <c r="A881" t="s">
        <v>928</v>
      </c>
      <c r="B881">
        <v>112.18</v>
      </c>
      <c r="C881" s="6">
        <f t="shared" si="27"/>
        <v>7.9971246293466525E-3</v>
      </c>
      <c r="D881" s="6">
        <f t="shared" si="26"/>
        <v>7.9653170948570072E-3</v>
      </c>
    </row>
    <row r="882" spans="1:4" x14ac:dyDescent="0.25">
      <c r="A882" t="s">
        <v>929</v>
      </c>
      <c r="B882">
        <v>111.29</v>
      </c>
      <c r="C882" s="6">
        <f t="shared" si="27"/>
        <v>-9.2584349683966227E-3</v>
      </c>
      <c r="D882" s="6">
        <f t="shared" si="26"/>
        <v>-9.3015606681440682E-3</v>
      </c>
    </row>
    <row r="883" spans="1:4" x14ac:dyDescent="0.25">
      <c r="A883" t="s">
        <v>930</v>
      </c>
      <c r="B883">
        <v>112.33</v>
      </c>
      <c r="C883" s="6">
        <f t="shared" si="27"/>
        <v>2.1367521367521292E-2</v>
      </c>
      <c r="D883" s="6">
        <f t="shared" ref="D883:D946" si="28">LN(B883/B884)</f>
        <v>2.1142436573809164E-2</v>
      </c>
    </row>
    <row r="884" spans="1:4" x14ac:dyDescent="0.25">
      <c r="A884" t="s">
        <v>931</v>
      </c>
      <c r="B884">
        <v>109.98</v>
      </c>
      <c r="C884" s="6">
        <f t="shared" ref="C884:C947" si="29">(B884/B885)-1</f>
        <v>5.6693489392831697E-3</v>
      </c>
      <c r="D884" s="6">
        <f t="shared" si="28"/>
        <v>5.653338663974594E-3</v>
      </c>
    </row>
    <row r="885" spans="1:4" x14ac:dyDescent="0.25">
      <c r="A885" t="s">
        <v>932</v>
      </c>
      <c r="B885">
        <v>109.36</v>
      </c>
      <c r="C885" s="6">
        <f t="shared" si="29"/>
        <v>4.0396621373484098E-3</v>
      </c>
      <c r="D885" s="6">
        <f t="shared" si="28"/>
        <v>4.0315246101351697E-3</v>
      </c>
    </row>
    <row r="886" spans="1:4" x14ac:dyDescent="0.25">
      <c r="A886" t="s">
        <v>933</v>
      </c>
      <c r="B886">
        <v>108.92</v>
      </c>
      <c r="C886" s="6">
        <f t="shared" si="29"/>
        <v>-7.0197830248882598E-3</v>
      </c>
      <c r="D886" s="6">
        <f t="shared" si="28"/>
        <v>-7.0445376176838537E-3</v>
      </c>
    </row>
    <row r="887" spans="1:4" x14ac:dyDescent="0.25">
      <c r="A887" t="s">
        <v>934</v>
      </c>
      <c r="B887">
        <v>109.69</v>
      </c>
      <c r="C887" s="6">
        <f t="shared" si="29"/>
        <v>-1.3224181360201537E-2</v>
      </c>
      <c r="D887" s="6">
        <f t="shared" si="28"/>
        <v>-1.331239945106023E-2</v>
      </c>
    </row>
    <row r="888" spans="1:4" x14ac:dyDescent="0.25">
      <c r="A888" t="s">
        <v>935</v>
      </c>
      <c r="B888">
        <v>111.16</v>
      </c>
      <c r="C888" s="6">
        <f t="shared" si="29"/>
        <v>-1.6892190678340802E-2</v>
      </c>
      <c r="D888" s="6">
        <f t="shared" si="28"/>
        <v>-1.7036491072850733E-2</v>
      </c>
    </row>
    <row r="889" spans="1:4" x14ac:dyDescent="0.25">
      <c r="A889" t="s">
        <v>936</v>
      </c>
      <c r="B889">
        <v>113.07</v>
      </c>
      <c r="C889" s="6">
        <f t="shared" si="29"/>
        <v>-1.6611584623412834E-2</v>
      </c>
      <c r="D889" s="6">
        <f t="shared" si="28"/>
        <v>-1.6751104247991169E-2</v>
      </c>
    </row>
    <row r="890" spans="1:4" x14ac:dyDescent="0.25">
      <c r="A890" t="s">
        <v>937</v>
      </c>
      <c r="B890">
        <v>114.98</v>
      </c>
      <c r="C890" s="6">
        <f t="shared" si="29"/>
        <v>8.950508950509084E-3</v>
      </c>
      <c r="D890" s="6">
        <f t="shared" si="28"/>
        <v>8.9106905654374405E-3</v>
      </c>
    </row>
    <row r="891" spans="1:4" x14ac:dyDescent="0.25">
      <c r="A891" t="s">
        <v>938</v>
      </c>
      <c r="B891">
        <v>113.96</v>
      </c>
      <c r="C891" s="6">
        <f t="shared" si="29"/>
        <v>8.4955752212387825E-3</v>
      </c>
      <c r="D891" s="6">
        <f t="shared" si="28"/>
        <v>8.459690917366822E-3</v>
      </c>
    </row>
    <row r="892" spans="1:4" x14ac:dyDescent="0.25">
      <c r="A892" t="s">
        <v>939</v>
      </c>
      <c r="B892">
        <v>113</v>
      </c>
      <c r="C892" s="6">
        <f t="shared" si="29"/>
        <v>-8.9457989826345896E-3</v>
      </c>
      <c r="D892" s="6">
        <f t="shared" si="28"/>
        <v>-8.9860528910952024E-3</v>
      </c>
    </row>
    <row r="893" spans="1:4" x14ac:dyDescent="0.25">
      <c r="A893" t="s">
        <v>940</v>
      </c>
      <c r="B893">
        <v>114.02</v>
      </c>
      <c r="C893" s="6">
        <f t="shared" si="29"/>
        <v>4.6700149792933132E-3</v>
      </c>
      <c r="D893" s="6">
        <f t="shared" si="28"/>
        <v>4.6591442903882174E-3</v>
      </c>
    </row>
    <row r="894" spans="1:4" x14ac:dyDescent="0.25">
      <c r="A894" t="s">
        <v>941</v>
      </c>
      <c r="B894">
        <v>113.49</v>
      </c>
      <c r="C894" s="6">
        <f t="shared" si="29"/>
        <v>1.1046770601336187E-2</v>
      </c>
      <c r="D894" s="6">
        <f t="shared" si="28"/>
        <v>1.0986200690683784E-2</v>
      </c>
    </row>
    <row r="895" spans="1:4" x14ac:dyDescent="0.25">
      <c r="A895" t="s">
        <v>942</v>
      </c>
      <c r="B895">
        <v>112.25</v>
      </c>
      <c r="C895" s="6">
        <f t="shared" si="29"/>
        <v>-3.5508211273858059E-3</v>
      </c>
      <c r="D895" s="6">
        <f t="shared" si="28"/>
        <v>-3.557140255889866E-3</v>
      </c>
    </row>
    <row r="896" spans="1:4" x14ac:dyDescent="0.25">
      <c r="A896" t="s">
        <v>943</v>
      </c>
      <c r="B896">
        <v>112.65</v>
      </c>
      <c r="C896" s="6">
        <f t="shared" si="29"/>
        <v>-8.8861516804503715E-3</v>
      </c>
      <c r="D896" s="6">
        <f t="shared" si="28"/>
        <v>-8.9258689907218951E-3</v>
      </c>
    </row>
    <row r="897" spans="1:4" x14ac:dyDescent="0.25">
      <c r="A897" t="s">
        <v>944</v>
      </c>
      <c r="B897">
        <v>113.66</v>
      </c>
      <c r="C897" s="6">
        <f t="shared" si="29"/>
        <v>-7.0760898051891452E-3</v>
      </c>
      <c r="D897" s="6">
        <f t="shared" si="28"/>
        <v>-7.101244061409529E-3</v>
      </c>
    </row>
    <row r="898" spans="1:4" x14ac:dyDescent="0.25">
      <c r="A898" t="s">
        <v>945</v>
      </c>
      <c r="B898">
        <v>114.47</v>
      </c>
      <c r="C898" s="6">
        <f t="shared" si="29"/>
        <v>2.0595577746077121E-2</v>
      </c>
      <c r="D898" s="6">
        <f t="shared" si="28"/>
        <v>2.0386356644105076E-2</v>
      </c>
    </row>
    <row r="899" spans="1:4" x14ac:dyDescent="0.25">
      <c r="A899" t="s">
        <v>946</v>
      </c>
      <c r="B899">
        <v>112.16</v>
      </c>
      <c r="C899" s="6">
        <f t="shared" si="29"/>
        <v>-1.328406791589698E-2</v>
      </c>
      <c r="D899" s="6">
        <f t="shared" si="28"/>
        <v>-1.337309041233925E-2</v>
      </c>
    </row>
    <row r="900" spans="1:4" x14ac:dyDescent="0.25">
      <c r="A900" t="s">
        <v>947</v>
      </c>
      <c r="B900">
        <v>113.67</v>
      </c>
      <c r="C900" s="6">
        <f t="shared" si="29"/>
        <v>-2.2781980742778485E-2</v>
      </c>
      <c r="D900" s="6">
        <f t="shared" si="28"/>
        <v>-2.3045500086590055E-2</v>
      </c>
    </row>
    <row r="901" spans="1:4" x14ac:dyDescent="0.25">
      <c r="A901" t="s">
        <v>948</v>
      </c>
      <c r="B901">
        <v>116.32</v>
      </c>
      <c r="C901" s="6">
        <f t="shared" si="29"/>
        <v>-1.2878852923500217E-3</v>
      </c>
      <c r="D901" s="6">
        <f t="shared" si="28"/>
        <v>-1.2887153293513164E-3</v>
      </c>
    </row>
    <row r="902" spans="1:4" x14ac:dyDescent="0.25">
      <c r="A902" t="s">
        <v>949</v>
      </c>
      <c r="B902">
        <v>116.47</v>
      </c>
      <c r="C902" s="6">
        <f t="shared" si="29"/>
        <v>4.657983265763832E-3</v>
      </c>
      <c r="D902" s="6">
        <f t="shared" si="28"/>
        <v>4.6471684322504387E-3</v>
      </c>
    </row>
    <row r="903" spans="1:4" x14ac:dyDescent="0.25">
      <c r="A903" t="s">
        <v>950</v>
      </c>
      <c r="B903">
        <v>115.93</v>
      </c>
      <c r="C903" s="6">
        <f t="shared" si="29"/>
        <v>-3.0957090033536527E-3</v>
      </c>
      <c r="D903" s="6">
        <f t="shared" si="28"/>
        <v>-3.100510622641751E-3</v>
      </c>
    </row>
    <row r="904" spans="1:4" x14ac:dyDescent="0.25">
      <c r="A904" t="s">
        <v>951</v>
      </c>
      <c r="B904">
        <v>116.29</v>
      </c>
      <c r="C904" s="6">
        <f t="shared" si="29"/>
        <v>4.6652267818574344E-3</v>
      </c>
      <c r="D904" s="6">
        <f t="shared" si="28"/>
        <v>4.6543783386083729E-3</v>
      </c>
    </row>
    <row r="905" spans="1:4" x14ac:dyDescent="0.25">
      <c r="A905" t="s">
        <v>952</v>
      </c>
      <c r="B905">
        <v>115.75</v>
      </c>
      <c r="C905" s="6">
        <f t="shared" si="29"/>
        <v>2.0777421868236612E-3</v>
      </c>
      <c r="D905" s="6">
        <f t="shared" si="28"/>
        <v>2.0755866657545191E-3</v>
      </c>
    </row>
    <row r="906" spans="1:4" x14ac:dyDescent="0.25">
      <c r="A906" t="s">
        <v>953</v>
      </c>
      <c r="B906">
        <v>115.51</v>
      </c>
      <c r="C906" s="6">
        <f t="shared" si="29"/>
        <v>-6.0564111437955148E-4</v>
      </c>
      <c r="D906" s="6">
        <f t="shared" si="28"/>
        <v>-6.0582458904287137E-4</v>
      </c>
    </row>
    <row r="907" spans="1:4" x14ac:dyDescent="0.25">
      <c r="A907" t="s">
        <v>954</v>
      </c>
      <c r="B907">
        <v>115.58</v>
      </c>
      <c r="C907" s="6">
        <f t="shared" si="29"/>
        <v>9.6086652690425822E-3</v>
      </c>
      <c r="D907" s="6">
        <f t="shared" si="28"/>
        <v>9.5627956414364029E-3</v>
      </c>
    </row>
    <row r="908" spans="1:4" x14ac:dyDescent="0.25">
      <c r="A908" t="s">
        <v>955</v>
      </c>
      <c r="B908">
        <v>114.48</v>
      </c>
      <c r="C908" s="6">
        <f t="shared" si="29"/>
        <v>6.063801740047392E-3</v>
      </c>
      <c r="D908" s="6">
        <f t="shared" si="28"/>
        <v>6.0454908792781448E-3</v>
      </c>
    </row>
    <row r="909" spans="1:4" x14ac:dyDescent="0.25">
      <c r="A909" t="s">
        <v>956</v>
      </c>
      <c r="B909">
        <v>113.79</v>
      </c>
      <c r="C909" s="6">
        <f t="shared" si="29"/>
        <v>-1.6669591156343033E-3</v>
      </c>
      <c r="D909" s="6">
        <f t="shared" si="28"/>
        <v>-1.6683500379362233E-3</v>
      </c>
    </row>
    <row r="910" spans="1:4" x14ac:dyDescent="0.25">
      <c r="A910" t="s">
        <v>957</v>
      </c>
      <c r="B910">
        <v>113.98</v>
      </c>
      <c r="C910" s="6">
        <f t="shared" si="29"/>
        <v>-1.2390607399705322E-2</v>
      </c>
      <c r="D910" s="6">
        <f t="shared" si="28"/>
        <v>-1.2468011025459866E-2</v>
      </c>
    </row>
    <row r="911" spans="1:4" x14ac:dyDescent="0.25">
      <c r="A911" t="s">
        <v>958</v>
      </c>
      <c r="B911">
        <v>115.41</v>
      </c>
      <c r="C911" s="6">
        <f t="shared" si="29"/>
        <v>5.7516339869281286E-3</v>
      </c>
      <c r="D911" s="6">
        <f t="shared" si="28"/>
        <v>5.735156491658934E-3</v>
      </c>
    </row>
    <row r="912" spans="1:4" x14ac:dyDescent="0.25">
      <c r="A912" t="s">
        <v>959</v>
      </c>
      <c r="B912">
        <v>114.75</v>
      </c>
      <c r="C912" s="6">
        <f t="shared" si="29"/>
        <v>1.5396867533846503E-2</v>
      </c>
      <c r="D912" s="6">
        <f t="shared" si="28"/>
        <v>1.5279538568595085E-2</v>
      </c>
    </row>
    <row r="913" spans="1:4" x14ac:dyDescent="0.25">
      <c r="A913" t="s">
        <v>960</v>
      </c>
      <c r="B913">
        <v>113.01</v>
      </c>
      <c r="C913" s="6">
        <f t="shared" si="29"/>
        <v>4.4263456090654074E-4</v>
      </c>
      <c r="D913" s="6">
        <f t="shared" si="28"/>
        <v>4.4253662712747077E-4</v>
      </c>
    </row>
    <row r="914" spans="1:4" x14ac:dyDescent="0.25">
      <c r="A914" t="s">
        <v>961</v>
      </c>
      <c r="B914">
        <v>112.96</v>
      </c>
      <c r="C914" s="6">
        <f t="shared" si="29"/>
        <v>8.8605351763249018E-4</v>
      </c>
      <c r="D914" s="6">
        <f t="shared" si="28"/>
        <v>8.8566120393795196E-4</v>
      </c>
    </row>
    <row r="915" spans="1:4" x14ac:dyDescent="0.25">
      <c r="A915" t="s">
        <v>962</v>
      </c>
      <c r="B915">
        <v>112.86</v>
      </c>
      <c r="C915" s="6">
        <f t="shared" si="29"/>
        <v>-2.2102378215895779E-3</v>
      </c>
      <c r="D915" s="6">
        <f t="shared" si="28"/>
        <v>-2.212684002295651E-3</v>
      </c>
    </row>
    <row r="916" spans="1:4" x14ac:dyDescent="0.25">
      <c r="A916" t="s">
        <v>963</v>
      </c>
      <c r="B916">
        <v>113.11</v>
      </c>
      <c r="C916" s="6">
        <f t="shared" si="29"/>
        <v>-4.2257240954309827E-3</v>
      </c>
      <c r="D916" s="6">
        <f t="shared" si="28"/>
        <v>-4.2346777000405811E-3</v>
      </c>
    </row>
    <row r="917" spans="1:4" x14ac:dyDescent="0.25">
      <c r="A917" t="s">
        <v>964</v>
      </c>
      <c r="B917">
        <v>113.59</v>
      </c>
      <c r="C917" s="6">
        <f t="shared" si="29"/>
        <v>-1.0022659926790967E-2</v>
      </c>
      <c r="D917" s="6">
        <f t="shared" si="28"/>
        <v>-1.0073224930394734E-2</v>
      </c>
    </row>
    <row r="918" spans="1:4" x14ac:dyDescent="0.25">
      <c r="A918" t="s">
        <v>965</v>
      </c>
      <c r="B918">
        <v>114.74</v>
      </c>
      <c r="C918" s="6">
        <f t="shared" si="29"/>
        <v>1.0124130645303264E-2</v>
      </c>
      <c r="D918" s="6">
        <f t="shared" si="28"/>
        <v>1.0073224930394753E-2</v>
      </c>
    </row>
    <row r="919" spans="1:4" x14ac:dyDescent="0.25">
      <c r="A919" t="s">
        <v>966</v>
      </c>
      <c r="B919">
        <v>113.59</v>
      </c>
      <c r="C919" s="6">
        <f t="shared" si="29"/>
        <v>-1.105693888211734E-2</v>
      </c>
      <c r="D919" s="6">
        <f t="shared" si="28"/>
        <v>-1.111852119282021E-2</v>
      </c>
    </row>
    <row r="920" spans="1:4" x14ac:dyDescent="0.25">
      <c r="A920" t="s">
        <v>967</v>
      </c>
      <c r="B920">
        <v>114.86</v>
      </c>
      <c r="C920" s="6">
        <f t="shared" si="29"/>
        <v>6.3962148427232357E-3</v>
      </c>
      <c r="D920" s="6">
        <f t="shared" si="28"/>
        <v>6.3758458706418344E-3</v>
      </c>
    </row>
    <row r="921" spans="1:4" x14ac:dyDescent="0.25">
      <c r="A921" t="s">
        <v>968</v>
      </c>
      <c r="B921">
        <v>114.13</v>
      </c>
      <c r="C921" s="6">
        <f t="shared" si="29"/>
        <v>-1.8405435623978672E-2</v>
      </c>
      <c r="D921" s="6">
        <f t="shared" si="28"/>
        <v>-1.8576923115008161E-2</v>
      </c>
    </row>
    <row r="922" spans="1:4" x14ac:dyDescent="0.25">
      <c r="A922" t="s">
        <v>969</v>
      </c>
      <c r="B922">
        <v>116.27</v>
      </c>
      <c r="C922" s="6">
        <f t="shared" si="29"/>
        <v>1.1395267919276364E-2</v>
      </c>
      <c r="D922" s="6">
        <f t="shared" si="28"/>
        <v>1.1330830909747416E-2</v>
      </c>
    </row>
    <row r="923" spans="1:4" x14ac:dyDescent="0.25">
      <c r="A923" t="s">
        <v>970</v>
      </c>
      <c r="B923">
        <v>114.96</v>
      </c>
      <c r="C923" s="6">
        <f t="shared" si="29"/>
        <v>1.6554848828089774E-3</v>
      </c>
      <c r="D923" s="6">
        <f t="shared" si="28"/>
        <v>1.6541160781923798E-3</v>
      </c>
    </row>
    <row r="924" spans="1:4" x14ac:dyDescent="0.25">
      <c r="A924" t="s">
        <v>971</v>
      </c>
      <c r="B924">
        <v>114.77</v>
      </c>
      <c r="C924" s="6">
        <f t="shared" si="29"/>
        <v>-9.7497842968077286E-3</v>
      </c>
      <c r="D924" s="6">
        <f t="shared" si="28"/>
        <v>-9.7976246531291736E-3</v>
      </c>
    </row>
    <row r="925" spans="1:4" x14ac:dyDescent="0.25">
      <c r="A925" t="s">
        <v>972</v>
      </c>
      <c r="B925">
        <v>115.9</v>
      </c>
      <c r="C925" s="6">
        <f t="shared" si="29"/>
        <v>-5.6623198352779847E-3</v>
      </c>
      <c r="D925" s="6">
        <f t="shared" si="28"/>
        <v>-5.6784115412433847E-3</v>
      </c>
    </row>
    <row r="926" spans="1:4" x14ac:dyDescent="0.25">
      <c r="A926" t="s">
        <v>973</v>
      </c>
      <c r="B926">
        <v>116.56</v>
      </c>
      <c r="C926" s="6">
        <f t="shared" si="29"/>
        <v>-1.3708019191226439E-3</v>
      </c>
      <c r="D926" s="6">
        <f t="shared" si="28"/>
        <v>-1.3717423275807702E-3</v>
      </c>
    </row>
    <row r="927" spans="1:4" x14ac:dyDescent="0.25">
      <c r="A927" t="s">
        <v>974</v>
      </c>
      <c r="B927">
        <v>116.72</v>
      </c>
      <c r="C927" s="6">
        <f t="shared" si="29"/>
        <v>-5.2837906937106549E-3</v>
      </c>
      <c r="D927" s="6">
        <f t="shared" si="28"/>
        <v>-5.2977992831836932E-3</v>
      </c>
    </row>
    <row r="928" spans="1:4" x14ac:dyDescent="0.25">
      <c r="A928" t="s">
        <v>975</v>
      </c>
      <c r="B928">
        <v>117.34</v>
      </c>
      <c r="C928" s="6">
        <f t="shared" si="29"/>
        <v>9.202717811989336E-3</v>
      </c>
      <c r="D928" s="6">
        <f t="shared" si="28"/>
        <v>9.1606308171970196E-3</v>
      </c>
    </row>
    <row r="929" spans="1:4" x14ac:dyDescent="0.25">
      <c r="A929" t="s">
        <v>976</v>
      </c>
      <c r="B929">
        <v>116.27</v>
      </c>
      <c r="C929" s="6">
        <f t="shared" si="29"/>
        <v>1.0516252390057268E-2</v>
      </c>
      <c r="D929" s="6">
        <f t="shared" si="28"/>
        <v>1.0461341245369331E-2</v>
      </c>
    </row>
    <row r="930" spans="1:4" x14ac:dyDescent="0.25">
      <c r="A930" t="s">
        <v>977</v>
      </c>
      <c r="B930">
        <v>115.06</v>
      </c>
      <c r="C930" s="6">
        <f t="shared" si="29"/>
        <v>-1.2953590117525837E-2</v>
      </c>
      <c r="D930" s="6">
        <f t="shared" si="28"/>
        <v>-1.3038219496593494E-2</v>
      </c>
    </row>
    <row r="931" spans="1:4" x14ac:dyDescent="0.25">
      <c r="A931" t="s">
        <v>978</v>
      </c>
      <c r="B931">
        <v>116.57</v>
      </c>
      <c r="C931" s="6">
        <f t="shared" si="29"/>
        <v>-2.3962344886606646E-3</v>
      </c>
      <c r="D931" s="6">
        <f t="shared" si="28"/>
        <v>-2.3991100531259549E-3</v>
      </c>
    </row>
    <row r="932" spans="1:4" x14ac:dyDescent="0.25">
      <c r="A932" t="s">
        <v>979</v>
      </c>
      <c r="B932">
        <v>116.85</v>
      </c>
      <c r="C932" s="6">
        <f t="shared" si="29"/>
        <v>-1.9644687393235438E-3</v>
      </c>
      <c r="D932" s="6">
        <f t="shared" si="28"/>
        <v>-1.9664008388181426E-3</v>
      </c>
    </row>
    <row r="933" spans="1:4" x14ac:dyDescent="0.25">
      <c r="A933" t="s">
        <v>980</v>
      </c>
      <c r="B933">
        <v>117.08</v>
      </c>
      <c r="C933" s="6">
        <f t="shared" si="29"/>
        <v>2.8265524625268323E-3</v>
      </c>
      <c r="D933" s="6">
        <f t="shared" si="28"/>
        <v>2.8225652746784726E-3</v>
      </c>
    </row>
    <row r="934" spans="1:4" x14ac:dyDescent="0.25">
      <c r="A934" t="s">
        <v>981</v>
      </c>
      <c r="B934">
        <v>116.75</v>
      </c>
      <c r="C934" s="6">
        <f t="shared" si="29"/>
        <v>1.8227803942089782E-2</v>
      </c>
      <c r="D934" s="6">
        <f t="shared" si="28"/>
        <v>1.8063669068770147E-2</v>
      </c>
    </row>
    <row r="935" spans="1:4" x14ac:dyDescent="0.25">
      <c r="A935" t="s">
        <v>982</v>
      </c>
      <c r="B935">
        <v>114.66</v>
      </c>
      <c r="C935" s="6">
        <f t="shared" si="29"/>
        <v>1.0487353485502782E-2</v>
      </c>
      <c r="D935" s="6">
        <f t="shared" si="28"/>
        <v>1.0432742677338637E-2</v>
      </c>
    </row>
    <row r="936" spans="1:4" x14ac:dyDescent="0.25">
      <c r="A936" t="s">
        <v>983</v>
      </c>
      <c r="B936">
        <v>113.47</v>
      </c>
      <c r="C936" s="6">
        <f t="shared" si="29"/>
        <v>-8.9956331877729667E-3</v>
      </c>
      <c r="D936" s="6">
        <f t="shared" si="28"/>
        <v>-9.0363381913963411E-3</v>
      </c>
    </row>
    <row r="937" spans="1:4" x14ac:dyDescent="0.25">
      <c r="A937" t="s">
        <v>984</v>
      </c>
      <c r="B937">
        <v>114.5</v>
      </c>
      <c r="C937" s="6">
        <f t="shared" si="29"/>
        <v>-2.091685549938993E-3</v>
      </c>
      <c r="D937" s="6">
        <f t="shared" si="28"/>
        <v>-2.0938761794306645E-3</v>
      </c>
    </row>
    <row r="938" spans="1:4" x14ac:dyDescent="0.25">
      <c r="A938" t="s">
        <v>985</v>
      </c>
      <c r="B938">
        <v>114.74</v>
      </c>
      <c r="C938" s="6">
        <f t="shared" si="29"/>
        <v>1.3964042590328685E-3</v>
      </c>
      <c r="D938" s="6">
        <f t="shared" si="28"/>
        <v>1.3954301932931352E-3</v>
      </c>
    </row>
    <row r="939" spans="1:4" x14ac:dyDescent="0.25">
      <c r="A939" t="s">
        <v>986</v>
      </c>
      <c r="B939">
        <v>114.58</v>
      </c>
      <c r="C939" s="6">
        <f t="shared" si="29"/>
        <v>1.3713173493762776E-2</v>
      </c>
      <c r="D939" s="6">
        <f t="shared" si="28"/>
        <v>1.3619998777792059E-2</v>
      </c>
    </row>
    <row r="940" spans="1:4" x14ac:dyDescent="0.25">
      <c r="A940" t="s">
        <v>987</v>
      </c>
      <c r="B940">
        <v>113.03</v>
      </c>
      <c r="C940" s="6">
        <f t="shared" si="29"/>
        <v>-2.4710969905569202E-3</v>
      </c>
      <c r="D940" s="6">
        <f t="shared" si="28"/>
        <v>-2.474155189835479E-3</v>
      </c>
    </row>
    <row r="941" spans="1:4" x14ac:dyDescent="0.25">
      <c r="A941" t="s">
        <v>988</v>
      </c>
      <c r="B941">
        <v>113.31</v>
      </c>
      <c r="C941" s="6">
        <f t="shared" si="29"/>
        <v>-1.7619592987402344E-3</v>
      </c>
      <c r="D941" s="6">
        <f t="shared" si="28"/>
        <v>-1.7635133747728746E-3</v>
      </c>
    </row>
    <row r="942" spans="1:4" x14ac:dyDescent="0.25">
      <c r="A942" t="s">
        <v>989</v>
      </c>
      <c r="B942">
        <v>113.51</v>
      </c>
      <c r="C942" s="6">
        <f t="shared" si="29"/>
        <v>7.4554007277891632E-3</v>
      </c>
      <c r="D942" s="6">
        <f t="shared" si="28"/>
        <v>7.4277465911735206E-3</v>
      </c>
    </row>
    <row r="943" spans="1:4" x14ac:dyDescent="0.25">
      <c r="A943" t="s">
        <v>990</v>
      </c>
      <c r="B943">
        <v>112.67</v>
      </c>
      <c r="C943" s="6">
        <f t="shared" si="29"/>
        <v>-1.5950376606114203E-3</v>
      </c>
      <c r="D943" s="6">
        <f t="shared" si="28"/>
        <v>-1.5963110874701444E-3</v>
      </c>
    </row>
    <row r="944" spans="1:4" x14ac:dyDescent="0.25">
      <c r="A944" t="s">
        <v>991</v>
      </c>
      <c r="B944">
        <v>112.85</v>
      </c>
      <c r="C944" s="6">
        <f t="shared" si="29"/>
        <v>6.6904549509365641E-3</v>
      </c>
      <c r="D944" s="6">
        <f t="shared" si="28"/>
        <v>6.6681731854303745E-3</v>
      </c>
    </row>
    <row r="945" spans="1:4" x14ac:dyDescent="0.25">
      <c r="A945" t="s">
        <v>992</v>
      </c>
      <c r="B945">
        <v>112.1</v>
      </c>
      <c r="C945" s="6">
        <f t="shared" si="29"/>
        <v>1.4020805065581232E-2</v>
      </c>
      <c r="D945" s="6">
        <f t="shared" si="28"/>
        <v>1.3923422774658972E-2</v>
      </c>
    </row>
    <row r="946" spans="1:4" x14ac:dyDescent="0.25">
      <c r="A946" t="s">
        <v>993</v>
      </c>
      <c r="B946">
        <v>110.55</v>
      </c>
      <c r="C946" s="6">
        <f t="shared" si="29"/>
        <v>1.0142543859649189E-2</v>
      </c>
      <c r="D946" s="6">
        <f t="shared" si="28"/>
        <v>1.0091453429215035E-2</v>
      </c>
    </row>
    <row r="947" spans="1:4" x14ac:dyDescent="0.25">
      <c r="A947" t="s">
        <v>994</v>
      </c>
      <c r="B947">
        <v>109.44</v>
      </c>
      <c r="C947" s="6">
        <f t="shared" si="29"/>
        <v>1.8994413407821265E-2</v>
      </c>
      <c r="D947" s="6">
        <f t="shared" ref="D947:D1010" si="30">LN(B947/B948)</f>
        <v>1.8816271799476054E-2</v>
      </c>
    </row>
    <row r="948" spans="1:4" x14ac:dyDescent="0.25">
      <c r="A948" t="s">
        <v>995</v>
      </c>
      <c r="B948">
        <v>107.4</v>
      </c>
      <c r="C948" s="6">
        <f t="shared" ref="C948:C1011" si="31">(B948/B949)-1</f>
        <v>1.589103291713978E-2</v>
      </c>
      <c r="D948" s="6">
        <f t="shared" si="30"/>
        <v>1.5766092338676027E-2</v>
      </c>
    </row>
    <row r="949" spans="1:4" x14ac:dyDescent="0.25">
      <c r="A949" t="s">
        <v>996</v>
      </c>
      <c r="B949">
        <v>105.72</v>
      </c>
      <c r="C949" s="6">
        <f t="shared" si="31"/>
        <v>-3.2057326041863288E-3</v>
      </c>
      <c r="D949" s="6">
        <f t="shared" si="30"/>
        <v>-3.2108819728955025E-3</v>
      </c>
    </row>
    <row r="950" spans="1:4" x14ac:dyDescent="0.25">
      <c r="A950" t="s">
        <v>997</v>
      </c>
      <c r="B950">
        <v>106.06</v>
      </c>
      <c r="C950" s="6">
        <f t="shared" si="31"/>
        <v>-1.8853695324283493E-4</v>
      </c>
      <c r="D950" s="6">
        <f t="shared" si="30"/>
        <v>-1.8855472856844289E-4</v>
      </c>
    </row>
    <row r="951" spans="1:4" x14ac:dyDescent="0.25">
      <c r="A951" t="s">
        <v>998</v>
      </c>
      <c r="B951">
        <v>106.08</v>
      </c>
      <c r="C951" s="6">
        <f t="shared" si="31"/>
        <v>8.1733510739403492E-3</v>
      </c>
      <c r="D951" s="6">
        <f t="shared" si="30"/>
        <v>8.1401301348912429E-3</v>
      </c>
    </row>
    <row r="952" spans="1:4" x14ac:dyDescent="0.25">
      <c r="A952" t="s">
        <v>999</v>
      </c>
      <c r="B952">
        <v>105.22</v>
      </c>
      <c r="C952" s="6">
        <f t="shared" si="31"/>
        <v>-2.2757443580504466E-3</v>
      </c>
      <c r="D952" s="6">
        <f t="shared" si="30"/>
        <v>-2.2783377996625567E-3</v>
      </c>
    </row>
    <row r="953" spans="1:4" x14ac:dyDescent="0.25">
      <c r="A953" t="s">
        <v>1000</v>
      </c>
      <c r="B953">
        <v>105.46</v>
      </c>
      <c r="C953" s="6">
        <f t="shared" si="31"/>
        <v>-5.9383542275427414E-3</v>
      </c>
      <c r="D953" s="6">
        <f t="shared" si="30"/>
        <v>-5.9560563688565394E-3</v>
      </c>
    </row>
    <row r="954" spans="1:4" x14ac:dyDescent="0.25">
      <c r="A954" t="s">
        <v>1001</v>
      </c>
      <c r="B954">
        <v>106.09</v>
      </c>
      <c r="C954" s="6">
        <f t="shared" si="31"/>
        <v>3.6896877956480445E-3</v>
      </c>
      <c r="D954" s="6">
        <f t="shared" si="30"/>
        <v>3.6828975949882077E-3</v>
      </c>
    </row>
    <row r="955" spans="1:4" x14ac:dyDescent="0.25">
      <c r="A955" t="s">
        <v>1002</v>
      </c>
      <c r="B955">
        <v>105.7</v>
      </c>
      <c r="C955" s="6">
        <f t="shared" si="31"/>
        <v>1.4979834837718586E-2</v>
      </c>
      <c r="D955" s="6">
        <f t="shared" si="30"/>
        <v>1.4868745141439059E-2</v>
      </c>
    </row>
    <row r="956" spans="1:4" x14ac:dyDescent="0.25">
      <c r="A956" t="s">
        <v>1003</v>
      </c>
      <c r="B956">
        <v>104.14</v>
      </c>
      <c r="C956" s="6">
        <f t="shared" si="31"/>
        <v>-2.3948654085640397E-3</v>
      </c>
      <c r="D956" s="6">
        <f t="shared" si="30"/>
        <v>-2.3977376854540239E-3</v>
      </c>
    </row>
    <row r="957" spans="1:4" x14ac:dyDescent="0.25">
      <c r="A957" t="s">
        <v>1004</v>
      </c>
      <c r="B957">
        <v>104.39</v>
      </c>
      <c r="C957" s="6">
        <f t="shared" si="31"/>
        <v>-5.6201181177367721E-3</v>
      </c>
      <c r="D957" s="6">
        <f t="shared" si="30"/>
        <v>-5.6359704039467351E-3</v>
      </c>
    </row>
    <row r="958" spans="1:4" x14ac:dyDescent="0.25">
      <c r="A958" t="s">
        <v>1005</v>
      </c>
      <c r="B958">
        <v>104.98</v>
      </c>
      <c r="C958" s="6">
        <f t="shared" si="31"/>
        <v>7.3889262066981765E-3</v>
      </c>
      <c r="D958" s="6">
        <f t="shared" si="30"/>
        <v>7.3617618198177654E-3</v>
      </c>
    </row>
    <row r="959" spans="1:4" x14ac:dyDescent="0.25">
      <c r="A959" t="s">
        <v>1006</v>
      </c>
      <c r="B959">
        <v>104.21</v>
      </c>
      <c r="C959" s="6">
        <f t="shared" si="31"/>
        <v>-1.7243030941661575E-3</v>
      </c>
      <c r="D959" s="6">
        <f t="shared" si="30"/>
        <v>-1.7257914158709791E-3</v>
      </c>
    </row>
    <row r="960" spans="1:4" x14ac:dyDescent="0.25">
      <c r="A960" t="s">
        <v>1007</v>
      </c>
      <c r="B960">
        <v>104.39</v>
      </c>
      <c r="C960" s="6">
        <f t="shared" si="31"/>
        <v>-6.3773082048353968E-3</v>
      </c>
      <c r="D960" s="6">
        <f t="shared" si="30"/>
        <v>-6.397730105608508E-3</v>
      </c>
    </row>
    <row r="961" spans="1:4" x14ac:dyDescent="0.25">
      <c r="A961" t="s">
        <v>1008</v>
      </c>
      <c r="B961">
        <v>105.06</v>
      </c>
      <c r="C961" s="6">
        <f t="shared" si="31"/>
        <v>-1.9948703334282669E-3</v>
      </c>
      <c r="D961" s="6">
        <f t="shared" si="30"/>
        <v>-1.9968627374178944E-3</v>
      </c>
    </row>
    <row r="962" spans="1:4" x14ac:dyDescent="0.25">
      <c r="A962" t="s">
        <v>1009</v>
      </c>
      <c r="B962">
        <v>105.27</v>
      </c>
      <c r="C962" s="6">
        <f t="shared" si="31"/>
        <v>9.5904862376523514E-3</v>
      </c>
      <c r="D962" s="6">
        <f t="shared" si="30"/>
        <v>9.5447894617317827E-3</v>
      </c>
    </row>
    <row r="963" spans="1:4" x14ac:dyDescent="0.25">
      <c r="A963" t="s">
        <v>1010</v>
      </c>
      <c r="B963">
        <v>104.27</v>
      </c>
      <c r="C963" s="6">
        <f t="shared" si="31"/>
        <v>-6.5739329268292845E-3</v>
      </c>
      <c r="D963" s="6">
        <f t="shared" si="30"/>
        <v>-6.595636394277171E-3</v>
      </c>
    </row>
    <row r="964" spans="1:4" x14ac:dyDescent="0.25">
      <c r="A964" t="s">
        <v>1011</v>
      </c>
      <c r="B964">
        <v>104.96</v>
      </c>
      <c r="C964" s="6">
        <f t="shared" si="31"/>
        <v>-8.1270081270081729E-3</v>
      </c>
      <c r="D964" s="6">
        <f t="shared" si="30"/>
        <v>-8.1602122802068005E-3</v>
      </c>
    </row>
    <row r="965" spans="1:4" x14ac:dyDescent="0.25">
      <c r="A965" t="s">
        <v>1012</v>
      </c>
      <c r="B965">
        <v>105.82</v>
      </c>
      <c r="C965" s="6">
        <f t="shared" si="31"/>
        <v>3.318479188394674E-3</v>
      </c>
      <c r="D965" s="6">
        <f t="shared" si="30"/>
        <v>3.3129851874626748E-3</v>
      </c>
    </row>
    <row r="966" spans="1:4" x14ac:dyDescent="0.25">
      <c r="A966" t="s">
        <v>1013</v>
      </c>
      <c r="B966">
        <v>105.47</v>
      </c>
      <c r="C966" s="6">
        <f t="shared" si="31"/>
        <v>1.9230769230769162E-2</v>
      </c>
      <c r="D966" s="6">
        <f t="shared" si="30"/>
        <v>1.9048194970694411E-2</v>
      </c>
    </row>
    <row r="967" spans="1:4" x14ac:dyDescent="0.25">
      <c r="A967" t="s">
        <v>1014</v>
      </c>
      <c r="B967">
        <v>103.48</v>
      </c>
      <c r="C967" s="6">
        <f t="shared" si="31"/>
        <v>5.6365403304179384E-3</v>
      </c>
      <c r="D967" s="6">
        <f t="shared" si="30"/>
        <v>5.6207144778245167E-3</v>
      </c>
    </row>
    <row r="968" spans="1:4" x14ac:dyDescent="0.25">
      <c r="A968" t="s">
        <v>1015</v>
      </c>
      <c r="B968">
        <v>102.9</v>
      </c>
      <c r="C968" s="6">
        <f t="shared" si="31"/>
        <v>-3.2932971716388426E-3</v>
      </c>
      <c r="D968" s="6">
        <f t="shared" si="30"/>
        <v>-3.2987320104091362E-3</v>
      </c>
    </row>
    <row r="969" spans="1:4" x14ac:dyDescent="0.25">
      <c r="A969" t="s">
        <v>1016</v>
      </c>
      <c r="B969">
        <v>103.24</v>
      </c>
      <c r="C969" s="6">
        <f t="shared" si="31"/>
        <v>2.0382412889448087E-3</v>
      </c>
      <c r="D969" s="6">
        <f t="shared" si="30"/>
        <v>2.0361668934362918E-3</v>
      </c>
    </row>
    <row r="970" spans="1:4" x14ac:dyDescent="0.25">
      <c r="A970" t="s">
        <v>1017</v>
      </c>
      <c r="B970">
        <v>103.03</v>
      </c>
      <c r="C970" s="6">
        <f t="shared" si="31"/>
        <v>-4.5410628019323385E-3</v>
      </c>
      <c r="D970" s="6">
        <f t="shared" si="30"/>
        <v>-4.5514047484470693E-3</v>
      </c>
    </row>
    <row r="971" spans="1:4" x14ac:dyDescent="0.25">
      <c r="A971" t="s">
        <v>1018</v>
      </c>
      <c r="B971">
        <v>103.5</v>
      </c>
      <c r="C971" s="6">
        <f t="shared" si="31"/>
        <v>-1.2027491408934776E-2</v>
      </c>
      <c r="D971" s="6">
        <f t="shared" si="30"/>
        <v>-1.2100406934087453E-2</v>
      </c>
    </row>
    <row r="972" spans="1:4" x14ac:dyDescent="0.25">
      <c r="A972" t="s">
        <v>1019</v>
      </c>
      <c r="B972">
        <v>104.76</v>
      </c>
      <c r="C972" s="6">
        <f t="shared" si="31"/>
        <v>-8.9868508182763263E-3</v>
      </c>
      <c r="D972" s="6">
        <f t="shared" si="30"/>
        <v>-9.0274761410604303E-3</v>
      </c>
    </row>
    <row r="973" spans="1:4" x14ac:dyDescent="0.25">
      <c r="A973" t="s">
        <v>1020</v>
      </c>
      <c r="B973">
        <v>105.71</v>
      </c>
      <c r="C973" s="6">
        <f t="shared" si="31"/>
        <v>1.1364712567476509E-3</v>
      </c>
      <c r="D973" s="6">
        <f t="shared" si="30"/>
        <v>1.1358259621485126E-3</v>
      </c>
    </row>
    <row r="974" spans="1:4" x14ac:dyDescent="0.25">
      <c r="A974" t="s">
        <v>1021</v>
      </c>
      <c r="B974">
        <v>105.59</v>
      </c>
      <c r="C974" s="6">
        <f t="shared" si="31"/>
        <v>2.0878808009869854E-3</v>
      </c>
      <c r="D974" s="6">
        <f t="shared" si="30"/>
        <v>2.0857042069867614E-3</v>
      </c>
    </row>
    <row r="975" spans="1:4" x14ac:dyDescent="0.25">
      <c r="A975" t="s">
        <v>1022</v>
      </c>
      <c r="B975">
        <v>105.37</v>
      </c>
      <c r="C975" s="6">
        <f t="shared" si="31"/>
        <v>-2.9333838001514012E-3</v>
      </c>
      <c r="D975" s="6">
        <f t="shared" si="30"/>
        <v>-2.9376946026336455E-3</v>
      </c>
    </row>
    <row r="976" spans="1:4" x14ac:dyDescent="0.25">
      <c r="A976" t="s">
        <v>1023</v>
      </c>
      <c r="B976">
        <v>105.68</v>
      </c>
      <c r="C976" s="6">
        <f t="shared" si="31"/>
        <v>2.1753843178961674E-2</v>
      </c>
      <c r="D976" s="6">
        <f t="shared" si="30"/>
        <v>2.1520604824357671E-2</v>
      </c>
    </row>
    <row r="977" spans="1:4" x14ac:dyDescent="0.25">
      <c r="A977" t="s">
        <v>1024</v>
      </c>
      <c r="B977">
        <v>103.43</v>
      </c>
      <c r="C977" s="6">
        <f t="shared" si="31"/>
        <v>1.3125673425409046E-2</v>
      </c>
      <c r="D977" s="6">
        <f t="shared" si="30"/>
        <v>1.3040278208788303E-2</v>
      </c>
    </row>
    <row r="978" spans="1:4" x14ac:dyDescent="0.25">
      <c r="A978" t="s">
        <v>1025</v>
      </c>
      <c r="B978">
        <v>102.09</v>
      </c>
      <c r="C978" s="6">
        <f t="shared" si="31"/>
        <v>-2.9377203290248399E-4</v>
      </c>
      <c r="D978" s="6">
        <f t="shared" si="30"/>
        <v>-2.9381519235904298E-4</v>
      </c>
    </row>
    <row r="979" spans="1:4" x14ac:dyDescent="0.25">
      <c r="A979" t="s">
        <v>1026</v>
      </c>
      <c r="B979">
        <v>102.12</v>
      </c>
      <c r="C979" s="6">
        <f t="shared" si="31"/>
        <v>1.0488818523649357E-2</v>
      </c>
      <c r="D979" s="6">
        <f t="shared" si="30"/>
        <v>1.0434192509520596E-2</v>
      </c>
    </row>
    <row r="980" spans="1:4" x14ac:dyDescent="0.25">
      <c r="A980" t="s">
        <v>1027</v>
      </c>
      <c r="B980">
        <v>101.06</v>
      </c>
      <c r="C980" s="6">
        <f t="shared" si="31"/>
        <v>7.9223608635370368E-4</v>
      </c>
      <c r="D980" s="6">
        <f t="shared" si="30"/>
        <v>7.9192243299285178E-4</v>
      </c>
    </row>
    <row r="981" spans="1:4" x14ac:dyDescent="0.25">
      <c r="A981" t="s">
        <v>1028</v>
      </c>
      <c r="B981">
        <v>100.98</v>
      </c>
      <c r="C981" s="6">
        <f t="shared" si="31"/>
        <v>7.382282521947392E-3</v>
      </c>
      <c r="D981" s="6">
        <f t="shared" si="30"/>
        <v>7.3551668429568439E-3</v>
      </c>
    </row>
    <row r="982" spans="1:4" x14ac:dyDescent="0.25">
      <c r="A982" t="s">
        <v>1029</v>
      </c>
      <c r="B982">
        <v>100.24</v>
      </c>
      <c r="C982" s="6">
        <f t="shared" si="31"/>
        <v>-3.2812966093268559E-3</v>
      </c>
      <c r="D982" s="6">
        <f t="shared" si="30"/>
        <v>-3.2866918685761962E-3</v>
      </c>
    </row>
    <row r="983" spans="1:4" x14ac:dyDescent="0.25">
      <c r="A983" t="s">
        <v>1030</v>
      </c>
      <c r="B983">
        <v>100.57</v>
      </c>
      <c r="C983" s="6">
        <f t="shared" si="31"/>
        <v>1.5448303715670297E-2</v>
      </c>
      <c r="D983" s="6">
        <f t="shared" si="30"/>
        <v>1.533019352010293E-2</v>
      </c>
    </row>
    <row r="984" spans="1:4" x14ac:dyDescent="0.25">
      <c r="A984" t="s">
        <v>1031</v>
      </c>
      <c r="B984">
        <v>99.04</v>
      </c>
      <c r="C984" s="6">
        <f t="shared" si="31"/>
        <v>3.2414910858995505E-3</v>
      </c>
      <c r="D984" s="6">
        <f t="shared" si="30"/>
        <v>3.2362487792083248E-3</v>
      </c>
    </row>
    <row r="985" spans="1:4" x14ac:dyDescent="0.25">
      <c r="A985" t="s">
        <v>1032</v>
      </c>
      <c r="B985">
        <v>98.72</v>
      </c>
      <c r="C985" s="6">
        <f t="shared" si="31"/>
        <v>9.5101748645054496E-3</v>
      </c>
      <c r="D985" s="6">
        <f t="shared" si="30"/>
        <v>9.4652378328938074E-3</v>
      </c>
    </row>
    <row r="986" spans="1:4" x14ac:dyDescent="0.25">
      <c r="A986" t="s">
        <v>1033</v>
      </c>
      <c r="B986">
        <v>97.79</v>
      </c>
      <c r="C986" s="6">
        <f t="shared" si="31"/>
        <v>-1.5008058017727532E-2</v>
      </c>
      <c r="D986" s="6">
        <f t="shared" si="30"/>
        <v>-1.5121818572167907E-2</v>
      </c>
    </row>
    <row r="987" spans="1:4" x14ac:dyDescent="0.25">
      <c r="A987" t="s">
        <v>1034</v>
      </c>
      <c r="B987">
        <v>99.28</v>
      </c>
      <c r="C987" s="6">
        <f t="shared" si="31"/>
        <v>1.1092064132298685E-3</v>
      </c>
      <c r="D987" s="6">
        <f t="shared" si="30"/>
        <v>1.1085916983181159E-3</v>
      </c>
    </row>
    <row r="988" spans="1:4" x14ac:dyDescent="0.25">
      <c r="A988" t="s">
        <v>1035</v>
      </c>
      <c r="B988">
        <v>99.17</v>
      </c>
      <c r="C988" s="6">
        <f t="shared" si="31"/>
        <v>1.7232536670427789E-2</v>
      </c>
      <c r="D988" s="6">
        <f t="shared" si="30"/>
        <v>1.708574055685361E-2</v>
      </c>
    </row>
    <row r="989" spans="1:4" x14ac:dyDescent="0.25">
      <c r="A989" t="s">
        <v>1036</v>
      </c>
      <c r="B989">
        <v>97.49</v>
      </c>
      <c r="C989" s="6">
        <f t="shared" si="31"/>
        <v>1.5309310560299938E-2</v>
      </c>
      <c r="D989" s="6">
        <f t="shared" si="30"/>
        <v>1.5193305538385864E-2</v>
      </c>
    </row>
    <row r="990" spans="1:4" x14ac:dyDescent="0.25">
      <c r="A990" t="s">
        <v>1037</v>
      </c>
      <c r="B990">
        <v>96.02</v>
      </c>
      <c r="C990" s="6">
        <f t="shared" si="31"/>
        <v>-4.9740932642486912E-3</v>
      </c>
      <c r="D990" s="6">
        <f t="shared" si="30"/>
        <v>-4.9865052421459348E-3</v>
      </c>
    </row>
    <row r="991" spans="1:4" x14ac:dyDescent="0.25">
      <c r="A991" t="s">
        <v>1038</v>
      </c>
      <c r="B991">
        <v>96.5</v>
      </c>
      <c r="C991" s="6">
        <f t="shared" si="31"/>
        <v>5.2083333333332593E-3</v>
      </c>
      <c r="D991" s="6">
        <f t="shared" si="30"/>
        <v>5.19481687710393E-3</v>
      </c>
    </row>
    <row r="992" spans="1:4" x14ac:dyDescent="0.25">
      <c r="A992" t="s">
        <v>1039</v>
      </c>
      <c r="B992">
        <v>96</v>
      </c>
      <c r="C992" s="6">
        <f t="shared" si="31"/>
        <v>-1.2548858259617379E-2</v>
      </c>
      <c r="D992" s="6">
        <f t="shared" si="30"/>
        <v>-1.262826014947321E-2</v>
      </c>
    </row>
    <row r="993" spans="1:4" x14ac:dyDescent="0.25">
      <c r="A993" t="s">
        <v>1040</v>
      </c>
      <c r="B993">
        <v>97.22</v>
      </c>
      <c r="C993" s="6">
        <f t="shared" si="31"/>
        <v>-8.7683523654159545E-3</v>
      </c>
      <c r="D993" s="6">
        <f t="shared" si="30"/>
        <v>-8.8070205705918034E-3</v>
      </c>
    </row>
    <row r="994" spans="1:4" x14ac:dyDescent="0.25">
      <c r="A994" t="s">
        <v>1041</v>
      </c>
      <c r="B994">
        <v>98.08</v>
      </c>
      <c r="C994" s="6">
        <f t="shared" si="31"/>
        <v>-1.1202770139525642E-3</v>
      </c>
      <c r="D994" s="6">
        <f t="shared" si="30"/>
        <v>-1.1209049932975875E-3</v>
      </c>
    </row>
    <row r="995" spans="1:4" x14ac:dyDescent="0.25">
      <c r="A995" t="s">
        <v>1042</v>
      </c>
      <c r="B995">
        <v>98.19</v>
      </c>
      <c r="C995" s="6">
        <f t="shared" si="31"/>
        <v>1.7343399306264384E-3</v>
      </c>
      <c r="D995" s="6">
        <f t="shared" si="30"/>
        <v>1.7328376997974282E-3</v>
      </c>
    </row>
    <row r="996" spans="1:4" x14ac:dyDescent="0.25">
      <c r="A996" t="s">
        <v>1043</v>
      </c>
      <c r="B996">
        <v>98.02</v>
      </c>
      <c r="C996" s="6">
        <f t="shared" si="31"/>
        <v>-3.4566897112647821E-3</v>
      </c>
      <c r="D996" s="6">
        <f t="shared" si="30"/>
        <v>-3.4626778665904161E-3</v>
      </c>
    </row>
    <row r="997" spans="1:4" x14ac:dyDescent="0.25">
      <c r="A997" t="s">
        <v>1044</v>
      </c>
      <c r="B997">
        <v>98.36</v>
      </c>
      <c r="C997" s="6">
        <f t="shared" si="31"/>
        <v>1.7061317340502535E-2</v>
      </c>
      <c r="D997" s="6">
        <f t="shared" si="30"/>
        <v>1.6917407619119983E-2</v>
      </c>
    </row>
    <row r="998" spans="1:4" x14ac:dyDescent="0.25">
      <c r="A998" t="s">
        <v>1045</v>
      </c>
      <c r="B998">
        <v>96.71</v>
      </c>
      <c r="C998" s="6">
        <f t="shared" si="31"/>
        <v>-4.221581548599751E-3</v>
      </c>
      <c r="D998" s="6">
        <f t="shared" si="30"/>
        <v>-4.2305175823163779E-3</v>
      </c>
    </row>
    <row r="999" spans="1:4" x14ac:dyDescent="0.25">
      <c r="A999" t="s">
        <v>1046</v>
      </c>
      <c r="B999">
        <v>97.12</v>
      </c>
      <c r="C999" s="6">
        <f t="shared" si="31"/>
        <v>1.4202172096908994E-2</v>
      </c>
      <c r="D999" s="6">
        <f t="shared" si="30"/>
        <v>1.4102266061470478E-2</v>
      </c>
    </row>
    <row r="1000" spans="1:4" x14ac:dyDescent="0.25">
      <c r="A1000" t="s">
        <v>1047</v>
      </c>
      <c r="B1000">
        <v>95.76</v>
      </c>
      <c r="C1000" s="6">
        <f t="shared" si="31"/>
        <v>1.3762439127673165E-2</v>
      </c>
      <c r="D1000" s="6">
        <f t="shared" si="30"/>
        <v>1.3668596781746728E-2</v>
      </c>
    </row>
    <row r="1001" spans="1:4" x14ac:dyDescent="0.25">
      <c r="A1001" t="s">
        <v>1048</v>
      </c>
      <c r="B1001">
        <v>94.46</v>
      </c>
      <c r="C1001" s="6">
        <f t="shared" si="31"/>
        <v>-2.2051972253856578E-2</v>
      </c>
      <c r="D1001" s="6">
        <f t="shared" si="30"/>
        <v>-2.2298751723233552E-2</v>
      </c>
    </row>
    <row r="1002" spans="1:4" x14ac:dyDescent="0.25">
      <c r="A1002" t="s">
        <v>1049</v>
      </c>
      <c r="B1002">
        <v>96.59</v>
      </c>
      <c r="C1002" s="6">
        <f t="shared" si="31"/>
        <v>-1.9632155404009088E-3</v>
      </c>
      <c r="D1002" s="6">
        <f t="shared" si="30"/>
        <v>-1.9651451739679609E-3</v>
      </c>
    </row>
    <row r="1003" spans="1:4" x14ac:dyDescent="0.25">
      <c r="A1003" t="s">
        <v>1050</v>
      </c>
      <c r="B1003">
        <v>96.78</v>
      </c>
      <c r="C1003" s="6">
        <f t="shared" si="31"/>
        <v>3.0890498508734598E-2</v>
      </c>
      <c r="D1003" s="6">
        <f t="shared" si="30"/>
        <v>3.0422990382349774E-2</v>
      </c>
    </row>
    <row r="1004" spans="1:4" x14ac:dyDescent="0.25">
      <c r="A1004" t="s">
        <v>1051</v>
      </c>
      <c r="B1004">
        <v>93.88</v>
      </c>
      <c r="C1004" s="6">
        <f t="shared" si="31"/>
        <v>-2.1369748775148634E-2</v>
      </c>
      <c r="D1004" s="6">
        <f t="shared" si="30"/>
        <v>-2.1601387847033537E-2</v>
      </c>
    </row>
    <row r="1005" spans="1:4" x14ac:dyDescent="0.25">
      <c r="A1005" t="s">
        <v>1052</v>
      </c>
      <c r="B1005">
        <v>95.93</v>
      </c>
      <c r="C1005" s="6">
        <f t="shared" si="31"/>
        <v>1.4273630788750324E-2</v>
      </c>
      <c r="D1005" s="6">
        <f t="shared" si="30"/>
        <v>1.4172721614126551E-2</v>
      </c>
    </row>
    <row r="1006" spans="1:4" x14ac:dyDescent="0.25">
      <c r="A1006" t="s">
        <v>1053</v>
      </c>
      <c r="B1006">
        <v>94.58</v>
      </c>
      <c r="C1006" s="6">
        <f t="shared" si="31"/>
        <v>-3.3719704952582807E-3</v>
      </c>
      <c r="D1006" s="6">
        <f t="shared" si="30"/>
        <v>-3.3776684001525746E-3</v>
      </c>
    </row>
    <row r="1007" spans="1:4" x14ac:dyDescent="0.25">
      <c r="A1007" t="s">
        <v>1054</v>
      </c>
      <c r="B1007">
        <v>94.9</v>
      </c>
      <c r="C1007" s="6">
        <f t="shared" si="31"/>
        <v>-1.1577728660141506E-3</v>
      </c>
      <c r="D1007" s="6">
        <f t="shared" si="30"/>
        <v>-1.1584436027759853E-3</v>
      </c>
    </row>
    <row r="1008" spans="1:4" x14ac:dyDescent="0.25">
      <c r="A1008" t="s">
        <v>1055</v>
      </c>
      <c r="B1008">
        <v>95.01</v>
      </c>
      <c r="C1008" s="6">
        <f t="shared" si="31"/>
        <v>1.898133502056476E-3</v>
      </c>
      <c r="D1008" s="6">
        <f t="shared" si="30"/>
        <v>1.8963343230222328E-3</v>
      </c>
    </row>
    <row r="1009" spans="1:4" x14ac:dyDescent="0.25">
      <c r="A1009" t="s">
        <v>1056</v>
      </c>
      <c r="B1009">
        <v>94.83</v>
      </c>
      <c r="C1009" s="6">
        <f t="shared" si="31"/>
        <v>-2.9375639713408397E-2</v>
      </c>
      <c r="D1009" s="6">
        <f t="shared" si="30"/>
        <v>-2.9815744153101009E-2</v>
      </c>
    </row>
    <row r="1010" spans="1:4" x14ac:dyDescent="0.25">
      <c r="A1010" t="s">
        <v>1057</v>
      </c>
      <c r="B1010">
        <v>97.7</v>
      </c>
      <c r="C1010" s="6">
        <f t="shared" si="31"/>
        <v>9.9235063055613804E-3</v>
      </c>
      <c r="D1010" s="6">
        <f t="shared" si="30"/>
        <v>9.8745916538999952E-3</v>
      </c>
    </row>
    <row r="1011" spans="1:4" x14ac:dyDescent="0.25">
      <c r="A1011" t="s">
        <v>1058</v>
      </c>
      <c r="B1011">
        <v>96.74</v>
      </c>
      <c r="C1011" s="6">
        <f t="shared" si="31"/>
        <v>-2.3718675879138562E-3</v>
      </c>
      <c r="D1011" s="6">
        <f t="shared" ref="D1011:D1074" si="32">LN(B1011/B1012)</f>
        <v>-2.3746849216178026E-3</v>
      </c>
    </row>
    <row r="1012" spans="1:4" x14ac:dyDescent="0.25">
      <c r="A1012" t="s">
        <v>1059</v>
      </c>
      <c r="B1012">
        <v>96.97</v>
      </c>
      <c r="C1012" s="6">
        <f t="shared" ref="C1012:C1075" si="33">(B1012/B1013)-1</f>
        <v>-1.1418085431746383E-2</v>
      </c>
      <c r="D1012" s="6">
        <f t="shared" si="32"/>
        <v>-1.1483772259769424E-2</v>
      </c>
    </row>
    <row r="1013" spans="1:4" x14ac:dyDescent="0.25">
      <c r="A1013" t="s">
        <v>1060</v>
      </c>
      <c r="B1013">
        <v>98.09</v>
      </c>
      <c r="C1013" s="6">
        <f t="shared" si="33"/>
        <v>-7.8891473652270561E-3</v>
      </c>
      <c r="D1013" s="6">
        <f t="shared" si="32"/>
        <v>-7.9204313328173036E-3</v>
      </c>
    </row>
    <row r="1014" spans="1:4" x14ac:dyDescent="0.25">
      <c r="A1014" t="s">
        <v>1061</v>
      </c>
      <c r="B1014">
        <v>98.87</v>
      </c>
      <c r="C1014" s="6">
        <f t="shared" si="33"/>
        <v>8.1574385642908531E-3</v>
      </c>
      <c r="D1014" s="6">
        <f t="shared" si="32"/>
        <v>8.1243465048126857E-3</v>
      </c>
    </row>
    <row r="1015" spans="1:4" x14ac:dyDescent="0.25">
      <c r="A1015" t="s">
        <v>1062</v>
      </c>
      <c r="B1015">
        <v>98.07</v>
      </c>
      <c r="C1015" s="6">
        <f t="shared" si="33"/>
        <v>3.684372121584234E-3</v>
      </c>
      <c r="D1015" s="6">
        <f t="shared" si="32"/>
        <v>3.6776014479770799E-3</v>
      </c>
    </row>
    <row r="1016" spans="1:4" x14ac:dyDescent="0.25">
      <c r="A1016" t="s">
        <v>1063</v>
      </c>
      <c r="B1016">
        <v>97.71</v>
      </c>
      <c r="C1016" s="6">
        <f t="shared" si="33"/>
        <v>1.9405320813771443E-2</v>
      </c>
      <c r="D1016" s="6">
        <f t="shared" si="32"/>
        <v>1.9219438464598237E-2</v>
      </c>
    </row>
    <row r="1017" spans="1:4" x14ac:dyDescent="0.25">
      <c r="A1017" t="s">
        <v>1064</v>
      </c>
      <c r="B1017">
        <v>95.85</v>
      </c>
      <c r="C1017" s="6">
        <f t="shared" si="33"/>
        <v>8.8411746131984437E-3</v>
      </c>
      <c r="D1017" s="6">
        <f t="shared" si="32"/>
        <v>8.8023202729952173E-3</v>
      </c>
    </row>
    <row r="1018" spans="1:4" x14ac:dyDescent="0.25">
      <c r="A1018" t="s">
        <v>1065</v>
      </c>
      <c r="B1018">
        <v>95.01</v>
      </c>
      <c r="C1018" s="6">
        <f t="shared" si="33"/>
        <v>9.0271877655057065E-3</v>
      </c>
      <c r="D1018" s="6">
        <f t="shared" si="32"/>
        <v>8.9866862666370239E-3</v>
      </c>
    </row>
    <row r="1019" spans="1:4" x14ac:dyDescent="0.25">
      <c r="A1019" t="s">
        <v>1066</v>
      </c>
      <c r="B1019">
        <v>94.16</v>
      </c>
      <c r="C1019" s="6">
        <f t="shared" si="33"/>
        <v>-1.7118997912317302E-2</v>
      </c>
      <c r="D1019" s="6">
        <f t="shared" si="32"/>
        <v>-1.7267222024793558E-2</v>
      </c>
    </row>
    <row r="1020" spans="1:4" x14ac:dyDescent="0.25">
      <c r="A1020" t="s">
        <v>1067</v>
      </c>
      <c r="B1020">
        <v>95.8</v>
      </c>
      <c r="C1020" s="6">
        <f t="shared" si="33"/>
        <v>-5.2164840897228615E-4</v>
      </c>
      <c r="D1020" s="6">
        <f t="shared" si="32"/>
        <v>-5.2178451483857506E-4</v>
      </c>
    </row>
    <row r="1021" spans="1:4" x14ac:dyDescent="0.25">
      <c r="A1021" t="s">
        <v>1068</v>
      </c>
      <c r="B1021">
        <v>95.85</v>
      </c>
      <c r="C1021" s="6">
        <f t="shared" si="33"/>
        <v>-5.6022408963586345E-3</v>
      </c>
      <c r="D1021" s="6">
        <f t="shared" si="32"/>
        <v>-5.6179923042233727E-3</v>
      </c>
    </row>
    <row r="1022" spans="1:4" x14ac:dyDescent="0.25">
      <c r="A1022" t="s">
        <v>1069</v>
      </c>
      <c r="B1022">
        <v>96.39</v>
      </c>
      <c r="C1022" s="6">
        <f t="shared" si="33"/>
        <v>6.2285892245417251E-4</v>
      </c>
      <c r="D1022" s="6">
        <f t="shared" si="32"/>
        <v>6.2266502634463568E-4</v>
      </c>
    </row>
    <row r="1023" spans="1:4" x14ac:dyDescent="0.25">
      <c r="A1023" t="s">
        <v>1070</v>
      </c>
      <c r="B1023">
        <v>96.33</v>
      </c>
      <c r="C1023" s="6">
        <f t="shared" si="33"/>
        <v>-5.9849344752863631E-3</v>
      </c>
      <c r="D1023" s="6">
        <f t="shared" si="32"/>
        <v>-6.0029159769264435E-3</v>
      </c>
    </row>
    <row r="1024" spans="1:4" x14ac:dyDescent="0.25">
      <c r="A1024" t="s">
        <v>1071</v>
      </c>
      <c r="B1024">
        <v>96.91</v>
      </c>
      <c r="C1024" s="6">
        <f t="shared" si="33"/>
        <v>5.3947504927895906E-3</v>
      </c>
      <c r="D1024" s="6">
        <f t="shared" si="32"/>
        <v>5.3802509505817839E-3</v>
      </c>
    </row>
    <row r="1025" spans="1:4" x14ac:dyDescent="0.25">
      <c r="A1025" t="s">
        <v>1072</v>
      </c>
      <c r="B1025">
        <v>96.39</v>
      </c>
      <c r="C1025" s="6">
        <f t="shared" si="33"/>
        <v>2.0000000000000018E-2</v>
      </c>
      <c r="D1025" s="6">
        <f t="shared" si="32"/>
        <v>1.980262729617973E-2</v>
      </c>
    </row>
    <row r="1026" spans="1:4" x14ac:dyDescent="0.25">
      <c r="A1026" t="s">
        <v>1073</v>
      </c>
      <c r="B1026">
        <v>94.5</v>
      </c>
      <c r="C1026" s="6">
        <f t="shared" si="33"/>
        <v>-1.1626677941021235E-3</v>
      </c>
      <c r="D1026" s="6">
        <f t="shared" si="32"/>
        <v>-1.1633442166558211E-3</v>
      </c>
    </row>
    <row r="1027" spans="1:4" x14ac:dyDescent="0.25">
      <c r="A1027" t="s">
        <v>1074</v>
      </c>
      <c r="B1027">
        <v>94.61</v>
      </c>
      <c r="C1027" s="6">
        <f t="shared" si="33"/>
        <v>3.5002121340688142E-3</v>
      </c>
      <c r="D1027" s="6">
        <f t="shared" si="32"/>
        <v>3.4941006484225882E-3</v>
      </c>
    </row>
    <row r="1028" spans="1:4" x14ac:dyDescent="0.25">
      <c r="A1028" t="s">
        <v>1075</v>
      </c>
      <c r="B1028">
        <v>94.28</v>
      </c>
      <c r="C1028" s="6">
        <f t="shared" si="33"/>
        <v>-1.3769727783072838E-3</v>
      </c>
      <c r="D1028" s="6">
        <f t="shared" si="32"/>
        <v>-1.377921676494726E-3</v>
      </c>
    </row>
    <row r="1029" spans="1:4" x14ac:dyDescent="0.25">
      <c r="A1029" t="s">
        <v>1076</v>
      </c>
      <c r="B1029">
        <v>94.41</v>
      </c>
      <c r="C1029" s="6">
        <f t="shared" si="33"/>
        <v>-1.1930926216640492E-2</v>
      </c>
      <c r="D1029" s="6">
        <f t="shared" si="32"/>
        <v>-1.2002670941856844E-2</v>
      </c>
    </row>
    <row r="1030" spans="1:4" x14ac:dyDescent="0.25">
      <c r="A1030" t="s">
        <v>1077</v>
      </c>
      <c r="B1030">
        <v>95.55</v>
      </c>
      <c r="C1030" s="6">
        <f t="shared" si="33"/>
        <v>7.3313782991202281E-4</v>
      </c>
      <c r="D1030" s="6">
        <f t="shared" si="32"/>
        <v>7.3286921565269766E-4</v>
      </c>
    </row>
    <row r="1031" spans="1:4" x14ac:dyDescent="0.25">
      <c r="A1031" t="s">
        <v>1078</v>
      </c>
      <c r="B1031">
        <v>95.48</v>
      </c>
      <c r="C1031" s="6">
        <f t="shared" si="33"/>
        <v>5.7937427578216294E-3</v>
      </c>
      <c r="D1031" s="6">
        <f t="shared" si="32"/>
        <v>5.7770235769223008E-3</v>
      </c>
    </row>
    <row r="1032" spans="1:4" x14ac:dyDescent="0.25">
      <c r="A1032" t="s">
        <v>1079</v>
      </c>
      <c r="B1032">
        <v>94.93</v>
      </c>
      <c r="C1032" s="6">
        <f t="shared" si="33"/>
        <v>-1.3304230329487465E-2</v>
      </c>
      <c r="D1032" s="6">
        <f t="shared" si="32"/>
        <v>-1.3393524479466004E-2</v>
      </c>
    </row>
    <row r="1033" spans="1:4" x14ac:dyDescent="0.25">
      <c r="A1033" t="s">
        <v>1080</v>
      </c>
      <c r="B1033">
        <v>96.21</v>
      </c>
      <c r="C1033" s="6">
        <f t="shared" si="33"/>
        <v>-8.9616810877627406E-3</v>
      </c>
      <c r="D1033" s="6">
        <f t="shared" si="32"/>
        <v>-9.0020784852274625E-3</v>
      </c>
    </row>
    <row r="1034" spans="1:4" x14ac:dyDescent="0.25">
      <c r="A1034" t="s">
        <v>1081</v>
      </c>
      <c r="B1034">
        <v>97.08</v>
      </c>
      <c r="C1034" s="6">
        <f t="shared" si="33"/>
        <v>-3.3877425315675946E-3</v>
      </c>
      <c r="D1034" s="6">
        <f t="shared" si="32"/>
        <v>-3.3934939244636385E-3</v>
      </c>
    </row>
    <row r="1035" spans="1:4" x14ac:dyDescent="0.25">
      <c r="A1035" t="s">
        <v>1082</v>
      </c>
      <c r="B1035">
        <v>97.41</v>
      </c>
      <c r="C1035" s="6">
        <f t="shared" si="33"/>
        <v>2.9859967051069081E-3</v>
      </c>
      <c r="D1035" s="6">
        <f t="shared" si="32"/>
        <v>2.9815474716759693E-3</v>
      </c>
    </row>
    <row r="1036" spans="1:4" x14ac:dyDescent="0.25">
      <c r="A1036" t="s">
        <v>1083</v>
      </c>
      <c r="B1036">
        <v>97.12</v>
      </c>
      <c r="C1036" s="6">
        <f t="shared" si="33"/>
        <v>1.1982911326456236E-2</v>
      </c>
      <c r="D1036" s="6">
        <f t="shared" si="32"/>
        <v>1.1911684681651855E-2</v>
      </c>
    </row>
    <row r="1037" spans="1:4" x14ac:dyDescent="0.25">
      <c r="A1037" t="s">
        <v>1084</v>
      </c>
      <c r="B1037">
        <v>95.97</v>
      </c>
      <c r="C1037" s="6">
        <f t="shared" si="33"/>
        <v>-2.6080779378932495E-2</v>
      </c>
      <c r="D1037" s="6">
        <f t="shared" si="32"/>
        <v>-2.6426914486280782E-2</v>
      </c>
    </row>
    <row r="1038" spans="1:4" x14ac:dyDescent="0.25">
      <c r="A1038" t="s">
        <v>1085</v>
      </c>
      <c r="B1038">
        <v>98.54</v>
      </c>
      <c r="C1038" s="6">
        <f t="shared" si="33"/>
        <v>-1.1436597110754398E-2</v>
      </c>
      <c r="D1038" s="6">
        <f t="shared" si="32"/>
        <v>-1.1502497923325972E-2</v>
      </c>
    </row>
    <row r="1039" spans="1:4" x14ac:dyDescent="0.25">
      <c r="A1039" t="s">
        <v>1086</v>
      </c>
      <c r="B1039">
        <v>99.68</v>
      </c>
      <c r="C1039" s="6">
        <f t="shared" si="33"/>
        <v>-2.0060180541625616E-4</v>
      </c>
      <c r="D1039" s="6">
        <f t="shared" si="32"/>
        <v>-2.0062192864964059E-4</v>
      </c>
    </row>
    <row r="1040" spans="1:4" x14ac:dyDescent="0.25">
      <c r="A1040" t="s">
        <v>1087</v>
      </c>
      <c r="B1040">
        <v>99.7</v>
      </c>
      <c r="C1040" s="6">
        <f t="shared" si="33"/>
        <v>1.2388302193338641E-2</v>
      </c>
      <c r="D1040" s="6">
        <f t="shared" si="32"/>
        <v>1.2312195091594468E-2</v>
      </c>
    </row>
    <row r="1041" spans="1:4" x14ac:dyDescent="0.25">
      <c r="A1041" t="s">
        <v>1088</v>
      </c>
      <c r="B1041">
        <v>98.48</v>
      </c>
      <c r="C1041" s="6">
        <f t="shared" si="33"/>
        <v>-2.4311183144245518E-3</v>
      </c>
      <c r="D1041" s="6">
        <f t="shared" si="32"/>
        <v>-2.4340782808795294E-3</v>
      </c>
    </row>
    <row r="1042" spans="1:4" x14ac:dyDescent="0.25">
      <c r="A1042" t="s">
        <v>1089</v>
      </c>
      <c r="B1042">
        <v>98.72</v>
      </c>
      <c r="C1042" s="6">
        <f t="shared" si="33"/>
        <v>8.110300081103361E-4</v>
      </c>
      <c r="D1042" s="6">
        <f t="shared" si="32"/>
        <v>8.1070130098886127E-4</v>
      </c>
    </row>
    <row r="1043" spans="1:4" x14ac:dyDescent="0.25">
      <c r="A1043" t="s">
        <v>1090</v>
      </c>
      <c r="B1043">
        <v>98.64</v>
      </c>
      <c r="C1043" s="6">
        <f t="shared" si="33"/>
        <v>-1.3599999999999945E-2</v>
      </c>
      <c r="D1043" s="6">
        <f t="shared" si="32"/>
        <v>-1.3693327132002454E-2</v>
      </c>
    </row>
    <row r="1044" spans="1:4" x14ac:dyDescent="0.25">
      <c r="A1044" t="s">
        <v>1091</v>
      </c>
      <c r="B1044">
        <v>100</v>
      </c>
      <c r="C1044" s="6">
        <f t="shared" si="33"/>
        <v>-9.4105993065874971E-3</v>
      </c>
      <c r="D1044" s="6">
        <f t="shared" si="32"/>
        <v>-9.4551587707552131E-3</v>
      </c>
    </row>
    <row r="1045" spans="1:4" x14ac:dyDescent="0.25">
      <c r="A1045" t="s">
        <v>1092</v>
      </c>
      <c r="B1045">
        <v>100.95</v>
      </c>
      <c r="C1045" s="6">
        <f t="shared" si="33"/>
        <v>2.3418491484184845E-2</v>
      </c>
      <c r="D1045" s="6">
        <f t="shared" si="32"/>
        <v>2.3148485902757577E-2</v>
      </c>
    </row>
    <row r="1046" spans="1:4" x14ac:dyDescent="0.25">
      <c r="A1046" t="s">
        <v>1093</v>
      </c>
      <c r="B1046">
        <v>98.64</v>
      </c>
      <c r="C1046" s="6">
        <f t="shared" si="33"/>
        <v>2.5577043044291869E-2</v>
      </c>
      <c r="D1046" s="6">
        <f t="shared" si="32"/>
        <v>2.525542300657219E-2</v>
      </c>
    </row>
    <row r="1047" spans="1:4" x14ac:dyDescent="0.25">
      <c r="A1047" t="s">
        <v>1094</v>
      </c>
      <c r="B1047">
        <v>96.18</v>
      </c>
      <c r="C1047" s="6">
        <f t="shared" si="33"/>
        <v>3.4527266860277628E-2</v>
      </c>
      <c r="D1047" s="6">
        <f t="shared" si="32"/>
        <v>3.3944575381750143E-2</v>
      </c>
    </row>
    <row r="1048" spans="1:4" x14ac:dyDescent="0.25">
      <c r="A1048" t="s">
        <v>1095</v>
      </c>
      <c r="B1048">
        <v>92.97</v>
      </c>
      <c r="C1048" s="6">
        <f t="shared" si="33"/>
        <v>2.1760633036597365E-2</v>
      </c>
      <c r="D1048" s="6">
        <f t="shared" si="32"/>
        <v>2.1527250099167068E-2</v>
      </c>
    </row>
    <row r="1049" spans="1:4" x14ac:dyDescent="0.25">
      <c r="A1049" t="s">
        <v>1096</v>
      </c>
      <c r="B1049">
        <v>90.99</v>
      </c>
      <c r="C1049" s="6">
        <f t="shared" si="33"/>
        <v>2.2129858458773244E-2</v>
      </c>
      <c r="D1049" s="6">
        <f t="shared" si="32"/>
        <v>2.1888546780891104E-2</v>
      </c>
    </row>
    <row r="1050" spans="1:4" x14ac:dyDescent="0.25">
      <c r="A1050" t="s">
        <v>1097</v>
      </c>
      <c r="B1050">
        <v>89.02</v>
      </c>
      <c r="C1050" s="6">
        <f t="shared" si="33"/>
        <v>1.4010707369859876E-2</v>
      </c>
      <c r="D1050" s="6">
        <f t="shared" si="32"/>
        <v>1.3913464649590873E-2</v>
      </c>
    </row>
    <row r="1051" spans="1:4" x14ac:dyDescent="0.25">
      <c r="A1051" t="s">
        <v>1098</v>
      </c>
      <c r="B1051">
        <v>87.79</v>
      </c>
      <c r="C1051" s="6">
        <f t="shared" si="33"/>
        <v>-1.3151978417266008E-2</v>
      </c>
      <c r="D1051" s="6">
        <f t="shared" si="32"/>
        <v>-1.3239231564154689E-2</v>
      </c>
    </row>
    <row r="1052" spans="1:4" x14ac:dyDescent="0.25">
      <c r="A1052" t="s">
        <v>1099</v>
      </c>
      <c r="B1052">
        <v>88.96</v>
      </c>
      <c r="C1052" s="6">
        <f t="shared" si="33"/>
        <v>-1.6255667367024329E-2</v>
      </c>
      <c r="D1052" s="6">
        <f t="shared" si="32"/>
        <v>-1.6389240250116642E-2</v>
      </c>
    </row>
    <row r="1053" spans="1:4" x14ac:dyDescent="0.25">
      <c r="A1053" t="s">
        <v>1100</v>
      </c>
      <c r="B1053">
        <v>90.43</v>
      </c>
      <c r="C1053" s="6">
        <f t="shared" si="33"/>
        <v>5.2245442418854537E-3</v>
      </c>
      <c r="D1053" s="6">
        <f t="shared" si="32"/>
        <v>5.2109436612740121E-3</v>
      </c>
    </row>
    <row r="1054" spans="1:4" x14ac:dyDescent="0.25">
      <c r="A1054" t="s">
        <v>1101</v>
      </c>
      <c r="B1054">
        <v>89.96</v>
      </c>
      <c r="C1054" s="6">
        <f t="shared" si="33"/>
        <v>-1.8011134155659914E-2</v>
      </c>
      <c r="D1054" s="6">
        <f t="shared" si="32"/>
        <v>-1.8175308936002405E-2</v>
      </c>
    </row>
    <row r="1055" spans="1:4" x14ac:dyDescent="0.25">
      <c r="A1055" t="s">
        <v>1102</v>
      </c>
      <c r="B1055">
        <v>91.61</v>
      </c>
      <c r="C1055" s="6">
        <f t="shared" si="33"/>
        <v>-9.0859924283396287E-3</v>
      </c>
      <c r="D1055" s="6">
        <f t="shared" si="32"/>
        <v>-9.1275218060165534E-3</v>
      </c>
    </row>
    <row r="1056" spans="1:4" x14ac:dyDescent="0.25">
      <c r="A1056" t="s">
        <v>1103</v>
      </c>
      <c r="B1056">
        <v>92.45</v>
      </c>
      <c r="C1056" s="6">
        <f t="shared" si="33"/>
        <v>-7.0883900762538365E-3</v>
      </c>
      <c r="D1056" s="6">
        <f t="shared" si="32"/>
        <v>-7.1136320673045135E-3</v>
      </c>
    </row>
    <row r="1057" spans="1:4" x14ac:dyDescent="0.25">
      <c r="A1057" t="s">
        <v>1104</v>
      </c>
      <c r="B1057">
        <v>93.11</v>
      </c>
      <c r="C1057" s="6">
        <f t="shared" si="33"/>
        <v>1.4159677595033227E-2</v>
      </c>
      <c r="D1057" s="6">
        <f t="shared" si="32"/>
        <v>1.4060365744829797E-2</v>
      </c>
    </row>
    <row r="1058" spans="1:4" x14ac:dyDescent="0.25">
      <c r="A1058" t="s">
        <v>1105</v>
      </c>
      <c r="B1058">
        <v>91.81</v>
      </c>
      <c r="C1058" s="6">
        <f t="shared" si="33"/>
        <v>8.0149319279754216E-3</v>
      </c>
      <c r="D1058" s="6">
        <f t="shared" si="32"/>
        <v>7.9829829600697785E-3</v>
      </c>
    </row>
    <row r="1059" spans="1:4" x14ac:dyDescent="0.25">
      <c r="A1059" t="s">
        <v>1106</v>
      </c>
      <c r="B1059">
        <v>91.08</v>
      </c>
      <c r="C1059" s="6">
        <f t="shared" si="33"/>
        <v>3.429479900068122E-2</v>
      </c>
      <c r="D1059" s="6">
        <f t="shared" si="32"/>
        <v>3.3719840867930971E-2</v>
      </c>
    </row>
    <row r="1060" spans="1:4" x14ac:dyDescent="0.25">
      <c r="A1060" t="s">
        <v>1107</v>
      </c>
      <c r="B1060">
        <v>88.06</v>
      </c>
      <c r="C1060" s="6">
        <f t="shared" si="33"/>
        <v>-1.6199307339961999E-2</v>
      </c>
      <c r="D1060" s="6">
        <f t="shared" si="32"/>
        <v>-1.63319505552398E-2</v>
      </c>
    </row>
    <row r="1061" spans="1:4" x14ac:dyDescent="0.25">
      <c r="A1061" t="s">
        <v>1108</v>
      </c>
      <c r="B1061">
        <v>89.51</v>
      </c>
      <c r="C1061" s="6">
        <f t="shared" si="33"/>
        <v>1.1526726183749725E-2</v>
      </c>
      <c r="D1061" s="6">
        <f t="shared" si="32"/>
        <v>1.1460799603588919E-2</v>
      </c>
    </row>
    <row r="1062" spans="1:4" x14ac:dyDescent="0.25">
      <c r="A1062" t="s">
        <v>1109</v>
      </c>
      <c r="B1062">
        <v>88.49</v>
      </c>
      <c r="C1062" s="6">
        <f t="shared" si="33"/>
        <v>-1.7760017760017899E-2</v>
      </c>
      <c r="D1062" s="6">
        <f t="shared" si="32"/>
        <v>-1.7919619384089928E-2</v>
      </c>
    </row>
    <row r="1063" spans="1:4" x14ac:dyDescent="0.25">
      <c r="A1063" t="s">
        <v>1110</v>
      </c>
      <c r="B1063">
        <v>90.09</v>
      </c>
      <c r="C1063" s="6">
        <f t="shared" si="33"/>
        <v>-2.6569246097641885E-3</v>
      </c>
      <c r="D1063" s="6">
        <f t="shared" si="32"/>
        <v>-2.660460498403544E-3</v>
      </c>
    </row>
    <row r="1064" spans="1:4" x14ac:dyDescent="0.25">
      <c r="A1064" t="s">
        <v>1111</v>
      </c>
      <c r="B1064">
        <v>90.33</v>
      </c>
      <c r="C1064" s="6">
        <f t="shared" si="33"/>
        <v>1.096810296586459E-2</v>
      </c>
      <c r="D1064" s="6">
        <f t="shared" si="32"/>
        <v>1.0908389556315118E-2</v>
      </c>
    </row>
    <row r="1065" spans="1:4" x14ac:dyDescent="0.25">
      <c r="A1065" t="s">
        <v>1112</v>
      </c>
      <c r="B1065">
        <v>89.35</v>
      </c>
      <c r="C1065" s="6">
        <f t="shared" si="33"/>
        <v>-1.0520487264673362E-2</v>
      </c>
      <c r="D1065" s="6">
        <f t="shared" si="32"/>
        <v>-1.0576218817502739E-2</v>
      </c>
    </row>
    <row r="1066" spans="1:4" x14ac:dyDescent="0.25">
      <c r="A1066" t="s">
        <v>1113</v>
      </c>
      <c r="B1066">
        <v>90.3</v>
      </c>
      <c r="C1066" s="6">
        <f t="shared" si="33"/>
        <v>1.1424731182795744E-2</v>
      </c>
      <c r="D1066" s="6">
        <f t="shared" si="32"/>
        <v>1.1359961789938974E-2</v>
      </c>
    </row>
    <row r="1067" spans="1:4" x14ac:dyDescent="0.25">
      <c r="A1067" t="s">
        <v>1114</v>
      </c>
      <c r="B1067">
        <v>89.28</v>
      </c>
      <c r="C1067" s="6">
        <f t="shared" si="33"/>
        <v>-1.0747922437673085E-2</v>
      </c>
      <c r="D1067" s="6">
        <f t="shared" si="32"/>
        <v>-1.0806098579989447E-2</v>
      </c>
    </row>
    <row r="1068" spans="1:4" x14ac:dyDescent="0.25">
      <c r="A1068" t="s">
        <v>1115</v>
      </c>
      <c r="B1068">
        <v>90.25</v>
      </c>
      <c r="C1068" s="6">
        <f t="shared" si="33"/>
        <v>-4.7419497132775712E-3</v>
      </c>
      <c r="D1068" s="6">
        <f t="shared" si="32"/>
        <v>-4.7532284263380568E-3</v>
      </c>
    </row>
    <row r="1069" spans="1:4" x14ac:dyDescent="0.25">
      <c r="A1069" t="s">
        <v>1116</v>
      </c>
      <c r="B1069">
        <v>90.68</v>
      </c>
      <c r="C1069" s="6">
        <f t="shared" si="33"/>
        <v>1.9793072424651337E-2</v>
      </c>
      <c r="D1069" s="6">
        <f t="shared" si="32"/>
        <v>1.9599736543332382E-2</v>
      </c>
    </row>
    <row r="1070" spans="1:4" x14ac:dyDescent="0.25">
      <c r="A1070" t="s">
        <v>1117</v>
      </c>
      <c r="B1070">
        <v>88.92</v>
      </c>
      <c r="C1070" s="6">
        <f t="shared" si="33"/>
        <v>-1.8976169461606296E-2</v>
      </c>
      <c r="D1070" s="6">
        <f t="shared" si="32"/>
        <v>-1.9158527623754987E-2</v>
      </c>
    </row>
    <row r="1071" spans="1:4" x14ac:dyDescent="0.25">
      <c r="A1071" t="s">
        <v>1118</v>
      </c>
      <c r="B1071">
        <v>90.64</v>
      </c>
      <c r="C1071" s="6">
        <f t="shared" si="33"/>
        <v>3.4318609542787204E-3</v>
      </c>
      <c r="D1071" s="6">
        <f t="shared" si="32"/>
        <v>3.4259855579986862E-3</v>
      </c>
    </row>
    <row r="1072" spans="1:4" x14ac:dyDescent="0.25">
      <c r="A1072" t="s">
        <v>1119</v>
      </c>
      <c r="B1072">
        <v>90.33</v>
      </c>
      <c r="C1072" s="6">
        <f t="shared" si="33"/>
        <v>-3.1105867210125537E-2</v>
      </c>
      <c r="D1072" s="6">
        <f t="shared" si="32"/>
        <v>-3.1599927146850164E-2</v>
      </c>
    </row>
    <row r="1073" spans="1:4" x14ac:dyDescent="0.25">
      <c r="A1073" t="s">
        <v>1120</v>
      </c>
      <c r="B1073">
        <v>93.23</v>
      </c>
      <c r="C1073" s="6">
        <f t="shared" si="33"/>
        <v>1.5687983440461961E-2</v>
      </c>
      <c r="D1073" s="6">
        <f t="shared" si="32"/>
        <v>1.5566199077602701E-2</v>
      </c>
    </row>
    <row r="1074" spans="1:4" x14ac:dyDescent="0.25">
      <c r="A1074" t="s">
        <v>1121</v>
      </c>
      <c r="B1074">
        <v>91.79</v>
      </c>
      <c r="C1074" s="6">
        <f t="shared" si="33"/>
        <v>-7.1389940508382876E-3</v>
      </c>
      <c r="D1074" s="6">
        <f t="shared" si="32"/>
        <v>-7.164598602134243E-3</v>
      </c>
    </row>
    <row r="1075" spans="1:4" x14ac:dyDescent="0.25">
      <c r="A1075" t="s">
        <v>1122</v>
      </c>
      <c r="B1075">
        <v>92.45</v>
      </c>
      <c r="C1075" s="6">
        <f t="shared" si="33"/>
        <v>1.0492950049185712E-2</v>
      </c>
      <c r="D1075" s="6">
        <f t="shared" ref="D1075:D1138" si="34">LN(B1075/B1076)</f>
        <v>1.0438281141689978E-2</v>
      </c>
    </row>
    <row r="1076" spans="1:4" x14ac:dyDescent="0.25">
      <c r="A1076" t="s">
        <v>1123</v>
      </c>
      <c r="B1076">
        <v>91.49</v>
      </c>
      <c r="C1076" s="6">
        <f t="shared" ref="C1076:C1139" si="35">(B1076/B1077)-1</f>
        <v>3.2898344116678579E-3</v>
      </c>
      <c r="D1076" s="6">
        <f t="shared" si="34"/>
        <v>3.2844347458696461E-3</v>
      </c>
    </row>
    <row r="1077" spans="1:4" x14ac:dyDescent="0.25">
      <c r="A1077" t="s">
        <v>1124</v>
      </c>
      <c r="B1077">
        <v>91.19</v>
      </c>
      <c r="C1077" s="6">
        <f t="shared" si="35"/>
        <v>-1.0310397221619305E-2</v>
      </c>
      <c r="D1077" s="6">
        <f t="shared" si="34"/>
        <v>-1.0363917562196802E-2</v>
      </c>
    </row>
    <row r="1078" spans="1:4" x14ac:dyDescent="0.25">
      <c r="A1078" t="s">
        <v>1125</v>
      </c>
      <c r="B1078">
        <v>92.14</v>
      </c>
      <c r="C1078" s="6">
        <f t="shared" si="35"/>
        <v>4.0318186771275411E-3</v>
      </c>
      <c r="D1078" s="6">
        <f t="shared" si="34"/>
        <v>4.0237126768490825E-3</v>
      </c>
    </row>
    <row r="1079" spans="1:4" x14ac:dyDescent="0.25">
      <c r="A1079" t="s">
        <v>1126</v>
      </c>
      <c r="B1079">
        <v>91.77</v>
      </c>
      <c r="C1079" s="6">
        <f t="shared" si="35"/>
        <v>-1.0032362459546973E-2</v>
      </c>
      <c r="D1079" s="6">
        <f t="shared" si="34"/>
        <v>-1.0083025740887737E-2</v>
      </c>
    </row>
    <row r="1080" spans="1:4" x14ac:dyDescent="0.25">
      <c r="A1080" t="s">
        <v>1127</v>
      </c>
      <c r="B1080">
        <v>92.7</v>
      </c>
      <c r="C1080" s="6">
        <f t="shared" si="35"/>
        <v>-4.2964554242749253E-3</v>
      </c>
      <c r="D1080" s="6">
        <f t="shared" si="34"/>
        <v>-4.3057117112118683E-3</v>
      </c>
    </row>
    <row r="1081" spans="1:4" x14ac:dyDescent="0.25">
      <c r="A1081" t="s">
        <v>1128</v>
      </c>
      <c r="B1081">
        <v>93.1</v>
      </c>
      <c r="C1081" s="6">
        <f t="shared" si="35"/>
        <v>3.3408772497034445E-3</v>
      </c>
      <c r="D1081" s="6">
        <f t="shared" si="34"/>
        <v>3.3353089179332593E-3</v>
      </c>
    </row>
    <row r="1082" spans="1:4" x14ac:dyDescent="0.25">
      <c r="A1082" t="s">
        <v>1129</v>
      </c>
      <c r="B1082">
        <v>92.79</v>
      </c>
      <c r="C1082" s="6">
        <f t="shared" si="35"/>
        <v>1.8354567048153303E-3</v>
      </c>
      <c r="D1082" s="6">
        <f t="shared" si="34"/>
        <v>1.8337743124819928E-3</v>
      </c>
    </row>
    <row r="1083" spans="1:4" x14ac:dyDescent="0.25">
      <c r="A1083" t="s">
        <v>1130</v>
      </c>
      <c r="B1083">
        <v>92.62</v>
      </c>
      <c r="C1083" s="6">
        <f t="shared" si="35"/>
        <v>-3.9789224647810428E-3</v>
      </c>
      <c r="D1083" s="6">
        <f t="shared" si="34"/>
        <v>-3.986859437499898E-3</v>
      </c>
    </row>
    <row r="1084" spans="1:4" x14ac:dyDescent="0.25">
      <c r="A1084" t="s">
        <v>1131</v>
      </c>
      <c r="B1084">
        <v>92.99</v>
      </c>
      <c r="C1084" s="6">
        <f t="shared" si="35"/>
        <v>-8.0008534243652951E-3</v>
      </c>
      <c r="D1084" s="6">
        <f t="shared" si="34"/>
        <v>-8.0330320044541773E-3</v>
      </c>
    </row>
    <row r="1085" spans="1:4" x14ac:dyDescent="0.25">
      <c r="A1085" t="s">
        <v>1132</v>
      </c>
      <c r="B1085">
        <v>93.74</v>
      </c>
      <c r="C1085" s="6">
        <f t="shared" si="35"/>
        <v>2.6740827896032382E-3</v>
      </c>
      <c r="D1085" s="6">
        <f t="shared" si="34"/>
        <v>2.6705137913358313E-3</v>
      </c>
    </row>
    <row r="1086" spans="1:4" x14ac:dyDescent="0.25">
      <c r="A1086" t="s">
        <v>1133</v>
      </c>
      <c r="B1086">
        <v>93.49</v>
      </c>
      <c r="C1086" s="6">
        <f t="shared" si="35"/>
        <v>1.5643671917436208E-2</v>
      </c>
      <c r="D1086" s="6">
        <f t="shared" si="34"/>
        <v>1.5522571024137474E-2</v>
      </c>
    </row>
    <row r="1087" spans="1:4" x14ac:dyDescent="0.25">
      <c r="A1087" t="s">
        <v>1134</v>
      </c>
      <c r="B1087">
        <v>92.05</v>
      </c>
      <c r="C1087" s="6">
        <f t="shared" si="35"/>
        <v>1.7412123190772011E-3</v>
      </c>
      <c r="D1087" s="6">
        <f t="shared" si="34"/>
        <v>1.7396981662933359E-3</v>
      </c>
    </row>
    <row r="1088" spans="1:4" x14ac:dyDescent="0.25">
      <c r="A1088" t="s">
        <v>1135</v>
      </c>
      <c r="B1088">
        <v>91.89</v>
      </c>
      <c r="C1088" s="6">
        <f t="shared" si="35"/>
        <v>9.3365553602811069E-3</v>
      </c>
      <c r="D1088" s="6">
        <f t="shared" si="34"/>
        <v>9.293239134772693E-3</v>
      </c>
    </row>
    <row r="1089" spans="1:4" x14ac:dyDescent="0.25">
      <c r="A1089" t="s">
        <v>1136</v>
      </c>
      <c r="B1089">
        <v>91.04</v>
      </c>
      <c r="C1089" s="6">
        <f t="shared" si="35"/>
        <v>-5.136050704841022E-3</v>
      </c>
      <c r="D1089" s="6">
        <f t="shared" si="34"/>
        <v>-5.1492855492660458E-3</v>
      </c>
    </row>
    <row r="1090" spans="1:4" x14ac:dyDescent="0.25">
      <c r="A1090" t="s">
        <v>1137</v>
      </c>
      <c r="B1090">
        <v>91.51</v>
      </c>
      <c r="C1090" s="6">
        <f t="shared" si="35"/>
        <v>-1.4644126197911E-2</v>
      </c>
      <c r="D1090" s="6">
        <f t="shared" si="34"/>
        <v>-1.4752409860630089E-2</v>
      </c>
    </row>
    <row r="1091" spans="1:4" x14ac:dyDescent="0.25">
      <c r="A1091" t="s">
        <v>1138</v>
      </c>
      <c r="B1091">
        <v>92.87</v>
      </c>
      <c r="C1091" s="6">
        <f t="shared" si="35"/>
        <v>-7.53174090811215E-4</v>
      </c>
      <c r="D1091" s="6">
        <f t="shared" si="34"/>
        <v>-7.5345786891524024E-4</v>
      </c>
    </row>
    <row r="1092" spans="1:4" x14ac:dyDescent="0.25">
      <c r="A1092" t="s">
        <v>1139</v>
      </c>
      <c r="B1092">
        <v>92.94</v>
      </c>
      <c r="C1092" s="6">
        <f t="shared" si="35"/>
        <v>1.0546917473089001E-2</v>
      </c>
      <c r="D1092" s="6">
        <f t="shared" si="34"/>
        <v>1.049168674222598E-2</v>
      </c>
    </row>
    <row r="1093" spans="1:4" x14ac:dyDescent="0.25">
      <c r="A1093" t="s">
        <v>1140</v>
      </c>
      <c r="B1093">
        <v>91.97</v>
      </c>
      <c r="C1093" s="6">
        <f t="shared" si="35"/>
        <v>2.2911800689578543E-2</v>
      </c>
      <c r="D1093" s="6">
        <f t="shared" si="34"/>
        <v>2.2653266917924776E-2</v>
      </c>
    </row>
    <row r="1094" spans="1:4" x14ac:dyDescent="0.25">
      <c r="A1094" t="s">
        <v>1141</v>
      </c>
      <c r="B1094">
        <v>89.91</v>
      </c>
      <c r="C1094" s="6">
        <f t="shared" si="35"/>
        <v>-6.2997347480107102E-3</v>
      </c>
      <c r="D1094" s="6">
        <f t="shared" si="34"/>
        <v>-6.319661811183582E-3</v>
      </c>
    </row>
    <row r="1095" spans="1:4" x14ac:dyDescent="0.25">
      <c r="A1095" t="s">
        <v>1142</v>
      </c>
      <c r="B1095">
        <v>90.48</v>
      </c>
      <c r="C1095" s="6">
        <f t="shared" si="35"/>
        <v>1.0836778013629811E-2</v>
      </c>
      <c r="D1095" s="6">
        <f t="shared" si="34"/>
        <v>1.0778480925017478E-2</v>
      </c>
    </row>
    <row r="1096" spans="1:4" x14ac:dyDescent="0.25">
      <c r="A1096" t="s">
        <v>1143</v>
      </c>
      <c r="B1096">
        <v>89.51</v>
      </c>
      <c r="C1096" s="6">
        <f t="shared" si="35"/>
        <v>-1.0829925958669384E-2</v>
      </c>
      <c r="D1096" s="6">
        <f t="shared" si="34"/>
        <v>-1.0888996480194205E-2</v>
      </c>
    </row>
    <row r="1097" spans="1:4" x14ac:dyDescent="0.25">
      <c r="A1097" t="s">
        <v>1144</v>
      </c>
      <c r="B1097">
        <v>90.49</v>
      </c>
      <c r="C1097" s="6">
        <f t="shared" si="35"/>
        <v>-1.8014107433532378E-2</v>
      </c>
      <c r="D1097" s="6">
        <f t="shared" si="34"/>
        <v>-1.817833675279051E-2</v>
      </c>
    </row>
    <row r="1098" spans="1:4" x14ac:dyDescent="0.25">
      <c r="A1098" t="s">
        <v>1145</v>
      </c>
      <c r="B1098">
        <v>92.15</v>
      </c>
      <c r="C1098" s="6">
        <f t="shared" si="35"/>
        <v>1.4127363616605049E-3</v>
      </c>
      <c r="D1098" s="6">
        <f t="shared" si="34"/>
        <v>1.4117393885097469E-3</v>
      </c>
    </row>
    <row r="1099" spans="1:4" x14ac:dyDescent="0.25">
      <c r="A1099" t="s">
        <v>1146</v>
      </c>
      <c r="B1099">
        <v>92.02</v>
      </c>
      <c r="C1099" s="6">
        <f t="shared" si="35"/>
        <v>1.2766894122826278E-2</v>
      </c>
      <c r="D1099" s="6">
        <f t="shared" si="34"/>
        <v>1.2686084396065249E-2</v>
      </c>
    </row>
    <row r="1100" spans="1:4" x14ac:dyDescent="0.25">
      <c r="A1100" t="s">
        <v>1147</v>
      </c>
      <c r="B1100">
        <v>90.86</v>
      </c>
      <c r="C1100" s="6">
        <f t="shared" si="35"/>
        <v>-1.7578554163919513E-3</v>
      </c>
      <c r="D1100" s="6">
        <f t="shared" si="34"/>
        <v>-1.7594022572385893E-3</v>
      </c>
    </row>
    <row r="1101" spans="1:4" x14ac:dyDescent="0.25">
      <c r="A1101" t="s">
        <v>1148</v>
      </c>
      <c r="B1101">
        <v>91.02</v>
      </c>
      <c r="C1101" s="6">
        <f t="shared" si="35"/>
        <v>-9.6833859210097017E-3</v>
      </c>
      <c r="D1101" s="6">
        <f t="shared" si="34"/>
        <v>-9.7305747815222624E-3</v>
      </c>
    </row>
    <row r="1102" spans="1:4" x14ac:dyDescent="0.25">
      <c r="A1102" t="s">
        <v>1149</v>
      </c>
      <c r="B1102">
        <v>91.91</v>
      </c>
      <c r="C1102" s="6">
        <f t="shared" si="35"/>
        <v>-2.4962014326026516E-3</v>
      </c>
      <c r="D1102" s="6">
        <f t="shared" si="34"/>
        <v>-2.4993221377528881E-3</v>
      </c>
    </row>
    <row r="1103" spans="1:4" x14ac:dyDescent="0.25">
      <c r="A1103" t="s">
        <v>1150</v>
      </c>
      <c r="B1103">
        <v>92.14</v>
      </c>
      <c r="C1103" s="6">
        <f t="shared" si="35"/>
        <v>-2.705920554172514E-3</v>
      </c>
      <c r="D1103" s="6">
        <f t="shared" si="34"/>
        <v>-2.7095881748828354E-3</v>
      </c>
    </row>
    <row r="1104" spans="1:4" x14ac:dyDescent="0.25">
      <c r="A1104" t="s">
        <v>1151</v>
      </c>
      <c r="B1104">
        <v>92.39</v>
      </c>
      <c r="C1104" s="6">
        <f t="shared" si="35"/>
        <v>1.6503465727802924E-2</v>
      </c>
      <c r="D1104" s="6">
        <f t="shared" si="34"/>
        <v>1.6368763551974835E-2</v>
      </c>
    </row>
    <row r="1105" spans="1:4" x14ac:dyDescent="0.25">
      <c r="A1105" t="s">
        <v>1152</v>
      </c>
      <c r="B1105">
        <v>90.89</v>
      </c>
      <c r="C1105" s="6">
        <f t="shared" si="35"/>
        <v>-6.5970313358987287E-4</v>
      </c>
      <c r="D1105" s="6">
        <f t="shared" si="34"/>
        <v>-6.5992083345222676E-4</v>
      </c>
    </row>
    <row r="1106" spans="1:4" x14ac:dyDescent="0.25">
      <c r="A1106" t="s">
        <v>1153</v>
      </c>
      <c r="B1106">
        <v>90.95</v>
      </c>
      <c r="C1106" s="6">
        <f t="shared" si="35"/>
        <v>-1.0014150429955349E-2</v>
      </c>
      <c r="D1106" s="6">
        <f t="shared" si="34"/>
        <v>-1.0064629319243797E-2</v>
      </c>
    </row>
    <row r="1107" spans="1:4" x14ac:dyDescent="0.25">
      <c r="A1107" t="s">
        <v>1154</v>
      </c>
      <c r="B1107">
        <v>91.87</v>
      </c>
      <c r="C1107" s="6">
        <f t="shared" si="35"/>
        <v>-1.1300043047782982E-2</v>
      </c>
      <c r="D1107" s="6">
        <f t="shared" si="34"/>
        <v>-1.1364373618833254E-2</v>
      </c>
    </row>
    <row r="1108" spans="1:4" x14ac:dyDescent="0.25">
      <c r="A1108" t="s">
        <v>1155</v>
      </c>
      <c r="B1108">
        <v>92.92</v>
      </c>
      <c r="C1108" s="6">
        <f t="shared" si="35"/>
        <v>6.6081681291301209E-3</v>
      </c>
      <c r="D1108" s="6">
        <f t="shared" si="34"/>
        <v>6.5864299001482576E-3</v>
      </c>
    </row>
    <row r="1109" spans="1:4" x14ac:dyDescent="0.25">
      <c r="A1109" t="s">
        <v>1156</v>
      </c>
      <c r="B1109">
        <v>92.31</v>
      </c>
      <c r="C1109" s="6">
        <f t="shared" si="35"/>
        <v>-1.6723476778866542E-2</v>
      </c>
      <c r="D1109" s="6">
        <f t="shared" si="34"/>
        <v>-1.6864892980762516E-2</v>
      </c>
    </row>
    <row r="1110" spans="1:4" x14ac:dyDescent="0.25">
      <c r="A1110" t="s">
        <v>1157</v>
      </c>
      <c r="B1110">
        <v>93.88</v>
      </c>
      <c r="C1110" s="6">
        <f t="shared" si="35"/>
        <v>2.2212543554006814E-2</v>
      </c>
      <c r="D1110" s="6">
        <f t="shared" si="34"/>
        <v>2.1969438411566324E-2</v>
      </c>
    </row>
    <row r="1111" spans="1:4" x14ac:dyDescent="0.25">
      <c r="A1111" t="s">
        <v>1158</v>
      </c>
      <c r="B1111">
        <v>91.84</v>
      </c>
      <c r="C1111" s="6">
        <f t="shared" si="35"/>
        <v>8.565780803865497E-3</v>
      </c>
      <c r="D1111" s="6">
        <f t="shared" si="34"/>
        <v>8.5293026646201774E-3</v>
      </c>
    </row>
    <row r="1112" spans="1:4" x14ac:dyDescent="0.25">
      <c r="A1112" t="s">
        <v>1159</v>
      </c>
      <c r="B1112">
        <v>91.06</v>
      </c>
      <c r="C1112" s="6">
        <f t="shared" si="35"/>
        <v>3.1958295557570349E-2</v>
      </c>
      <c r="D1112" s="6">
        <f t="shared" si="34"/>
        <v>3.1458254961389077E-2</v>
      </c>
    </row>
    <row r="1113" spans="1:4" x14ac:dyDescent="0.25">
      <c r="A1113" t="s">
        <v>1160</v>
      </c>
      <c r="B1113">
        <v>88.24</v>
      </c>
      <c r="C1113" s="6">
        <f t="shared" si="35"/>
        <v>-3.8675236953916725E-2</v>
      </c>
      <c r="D1113" s="6">
        <f t="shared" si="34"/>
        <v>-3.9442984285752762E-2</v>
      </c>
    </row>
    <row r="1114" spans="1:4" x14ac:dyDescent="0.25">
      <c r="A1114" t="s">
        <v>1161</v>
      </c>
      <c r="B1114">
        <v>91.79</v>
      </c>
      <c r="C1114" s="6">
        <f t="shared" si="35"/>
        <v>0</v>
      </c>
      <c r="D1114" s="6">
        <f t="shared" si="34"/>
        <v>0</v>
      </c>
    </row>
    <row r="1115" spans="1:4" x14ac:dyDescent="0.25">
      <c r="A1115" t="s">
        <v>1162</v>
      </c>
      <c r="B1115">
        <v>91.79</v>
      </c>
      <c r="C1115" s="6">
        <f t="shared" si="35"/>
        <v>6.5409353537559944E-4</v>
      </c>
      <c r="D1115" s="6">
        <f t="shared" si="34"/>
        <v>6.5387970943545223E-4</v>
      </c>
    </row>
    <row r="1116" spans="1:4" x14ac:dyDescent="0.25">
      <c r="A1116" t="s">
        <v>1163</v>
      </c>
      <c r="B1116">
        <v>91.73</v>
      </c>
      <c r="C1116" s="6">
        <f t="shared" si="35"/>
        <v>6.2527424308909119E-3</v>
      </c>
      <c r="D1116" s="6">
        <f t="shared" si="34"/>
        <v>6.2332751440808565E-3</v>
      </c>
    </row>
    <row r="1117" spans="1:4" x14ac:dyDescent="0.25">
      <c r="A1117" t="s">
        <v>1164</v>
      </c>
      <c r="B1117">
        <v>91.16</v>
      </c>
      <c r="C1117" s="6">
        <f t="shared" si="35"/>
        <v>-1.256499133448874E-2</v>
      </c>
      <c r="D1117" s="6">
        <f t="shared" si="34"/>
        <v>-1.2644598382305928E-2</v>
      </c>
    </row>
    <row r="1118" spans="1:4" x14ac:dyDescent="0.25">
      <c r="A1118" t="s">
        <v>1165</v>
      </c>
      <c r="B1118">
        <v>92.32</v>
      </c>
      <c r="C1118" s="6">
        <f t="shared" si="35"/>
        <v>9.7582131627449442E-4</v>
      </c>
      <c r="D1118" s="6">
        <f t="shared" si="34"/>
        <v>9.7534551216188589E-4</v>
      </c>
    </row>
    <row r="1119" spans="1:4" x14ac:dyDescent="0.25">
      <c r="A1119" t="s">
        <v>1166</v>
      </c>
      <c r="B1119">
        <v>92.23</v>
      </c>
      <c r="C1119" s="6">
        <f t="shared" si="35"/>
        <v>1.0854227721699417E-3</v>
      </c>
      <c r="D1119" s="6">
        <f t="shared" si="34"/>
        <v>1.0848341267869987E-3</v>
      </c>
    </row>
    <row r="1120" spans="1:4" x14ac:dyDescent="0.25">
      <c r="A1120" t="s">
        <v>1167</v>
      </c>
      <c r="B1120">
        <v>92.13</v>
      </c>
      <c r="C1120" s="6">
        <f t="shared" si="35"/>
        <v>-6.5082980800523771E-4</v>
      </c>
      <c r="D1120" s="6">
        <f t="shared" si="34"/>
        <v>-6.5104168966231835E-4</v>
      </c>
    </row>
    <row r="1121" spans="1:4" x14ac:dyDescent="0.25">
      <c r="A1121" t="s">
        <v>1168</v>
      </c>
      <c r="B1121">
        <v>92.19</v>
      </c>
      <c r="C1121" s="6">
        <f t="shared" si="35"/>
        <v>3.1556039173012973E-3</v>
      </c>
      <c r="D1121" s="6">
        <f t="shared" si="34"/>
        <v>3.1506354488614959E-3</v>
      </c>
    </row>
    <row r="1122" spans="1:4" x14ac:dyDescent="0.25">
      <c r="A1122" t="s">
        <v>1169</v>
      </c>
      <c r="B1122">
        <v>91.9</v>
      </c>
      <c r="C1122" s="6">
        <f t="shared" si="35"/>
        <v>2.0544142143253952E-2</v>
      </c>
      <c r="D1122" s="6">
        <f t="shared" si="34"/>
        <v>2.0335957739676482E-2</v>
      </c>
    </row>
    <row r="1123" spans="1:4" x14ac:dyDescent="0.25">
      <c r="A1123" t="s">
        <v>1170</v>
      </c>
      <c r="B1123">
        <v>90.05</v>
      </c>
      <c r="C1123" s="6">
        <f t="shared" si="35"/>
        <v>-2.0556884924951113E-2</v>
      </c>
      <c r="D1123" s="6">
        <f t="shared" si="34"/>
        <v>-2.0771118756116907E-2</v>
      </c>
    </row>
    <row r="1124" spans="1:4" x14ac:dyDescent="0.25">
      <c r="A1124" t="s">
        <v>1171</v>
      </c>
      <c r="B1124">
        <v>91.94</v>
      </c>
      <c r="C1124" s="6">
        <f t="shared" si="35"/>
        <v>4.1931097008159668E-2</v>
      </c>
      <c r="D1124" s="6">
        <f t="shared" si="34"/>
        <v>4.1075815432834999E-2</v>
      </c>
    </row>
    <row r="1125" spans="1:4" x14ac:dyDescent="0.25">
      <c r="A1125" t="s">
        <v>1172</v>
      </c>
      <c r="B1125">
        <v>88.24</v>
      </c>
      <c r="C1125" s="6">
        <f t="shared" si="35"/>
        <v>1.5420023014959705E-2</v>
      </c>
      <c r="D1125" s="6">
        <f t="shared" si="34"/>
        <v>1.5302342673900658E-2</v>
      </c>
    </row>
    <row r="1126" spans="1:4" x14ac:dyDescent="0.25">
      <c r="A1126" t="s">
        <v>1173</v>
      </c>
      <c r="B1126">
        <v>86.9</v>
      </c>
      <c r="C1126" s="6">
        <f t="shared" si="35"/>
        <v>1.2938570929012627E-2</v>
      </c>
      <c r="D1126" s="6">
        <f t="shared" si="34"/>
        <v>1.2855582686472413E-2</v>
      </c>
    </row>
    <row r="1127" spans="1:4" x14ac:dyDescent="0.25">
      <c r="A1127" t="s">
        <v>1174</v>
      </c>
      <c r="B1127">
        <v>85.79</v>
      </c>
      <c r="C1127" s="6">
        <f t="shared" si="35"/>
        <v>-1.0479739170935476E-3</v>
      </c>
      <c r="D1127" s="6">
        <f t="shared" si="34"/>
        <v>-1.0485234257063439E-3</v>
      </c>
    </row>
    <row r="1128" spans="1:4" x14ac:dyDescent="0.25">
      <c r="A1128" t="s">
        <v>1175</v>
      </c>
      <c r="B1128">
        <v>85.88</v>
      </c>
      <c r="C1128" s="6">
        <f t="shared" si="35"/>
        <v>3.3702455464612369E-2</v>
      </c>
      <c r="D1128" s="6">
        <f t="shared" si="34"/>
        <v>3.3146974002668673E-2</v>
      </c>
    </row>
    <row r="1129" spans="1:4" x14ac:dyDescent="0.25">
      <c r="A1129" t="s">
        <v>1176</v>
      </c>
      <c r="B1129">
        <v>83.08</v>
      </c>
      <c r="C1129" s="6">
        <f t="shared" si="35"/>
        <v>1.1936662606577331E-2</v>
      </c>
      <c r="D1129" s="6">
        <f t="shared" si="34"/>
        <v>1.1865982549529005E-2</v>
      </c>
    </row>
    <row r="1130" spans="1:4" x14ac:dyDescent="0.25">
      <c r="A1130" t="s">
        <v>1177</v>
      </c>
      <c r="B1130">
        <v>82.1</v>
      </c>
      <c r="C1130" s="6">
        <f t="shared" si="35"/>
        <v>2.2161354581673232E-2</v>
      </c>
      <c r="D1130" s="6">
        <f t="shared" si="34"/>
        <v>2.1919360514963397E-2</v>
      </c>
    </row>
    <row r="1131" spans="1:4" x14ac:dyDescent="0.25">
      <c r="A1131" t="s">
        <v>1178</v>
      </c>
      <c r="B1131">
        <v>80.319999999999993</v>
      </c>
      <c r="C1131" s="6">
        <f t="shared" si="35"/>
        <v>3.9068564036222497E-2</v>
      </c>
      <c r="D1131" s="6">
        <f t="shared" si="34"/>
        <v>3.8324700350042776E-2</v>
      </c>
    </row>
    <row r="1132" spans="1:4" x14ac:dyDescent="0.25">
      <c r="A1132" t="s">
        <v>1179</v>
      </c>
      <c r="B1132">
        <v>77.3</v>
      </c>
      <c r="C1132" s="6">
        <f t="shared" si="35"/>
        <v>-6.6650567495773916E-2</v>
      </c>
      <c r="D1132" s="6">
        <f t="shared" si="34"/>
        <v>-6.8975622524044863E-2</v>
      </c>
    </row>
    <row r="1133" spans="1:4" x14ac:dyDescent="0.25">
      <c r="A1133" t="s">
        <v>1180</v>
      </c>
      <c r="B1133">
        <v>82.82</v>
      </c>
      <c r="C1133" s="6">
        <f t="shared" si="35"/>
        <v>-3.0437836572231425E-2</v>
      </c>
      <c r="D1133" s="6">
        <f t="shared" si="34"/>
        <v>-3.0910687295899342E-2</v>
      </c>
    </row>
    <row r="1134" spans="1:4" x14ac:dyDescent="0.25">
      <c r="A1134" t="s">
        <v>1181</v>
      </c>
      <c r="B1134">
        <v>85.42</v>
      </c>
      <c r="C1134" s="6">
        <f t="shared" si="35"/>
        <v>-1.0082280681423139E-2</v>
      </c>
      <c r="D1134" s="6">
        <f t="shared" si="34"/>
        <v>-1.0133451106895734E-2</v>
      </c>
    </row>
    <row r="1135" spans="1:4" x14ac:dyDescent="0.25">
      <c r="A1135" t="s">
        <v>1182</v>
      </c>
      <c r="B1135">
        <v>86.29</v>
      </c>
      <c r="C1135" s="6">
        <f t="shared" si="35"/>
        <v>-1.1342804766269365E-2</v>
      </c>
      <c r="D1135" s="6">
        <f t="shared" si="34"/>
        <v>-1.1407625004599126E-2</v>
      </c>
    </row>
    <row r="1136" spans="1:4" x14ac:dyDescent="0.25">
      <c r="A1136" t="s">
        <v>1183</v>
      </c>
      <c r="B1136">
        <v>87.28</v>
      </c>
      <c r="C1136" s="6">
        <f t="shared" si="35"/>
        <v>-5.015959872320952E-3</v>
      </c>
      <c r="D1136" s="6">
        <f t="shared" si="34"/>
        <v>-5.028582024871997E-3</v>
      </c>
    </row>
    <row r="1137" spans="1:4" x14ac:dyDescent="0.25">
      <c r="A1137" t="s">
        <v>1184</v>
      </c>
      <c r="B1137">
        <v>87.72</v>
      </c>
      <c r="C1137" s="6">
        <f t="shared" si="35"/>
        <v>-3.0685305148311359E-3</v>
      </c>
      <c r="D1137" s="6">
        <f t="shared" si="34"/>
        <v>-3.0732481077818184E-3</v>
      </c>
    </row>
    <row r="1138" spans="1:4" x14ac:dyDescent="0.25">
      <c r="A1138" t="s">
        <v>1185</v>
      </c>
      <c r="B1138">
        <v>87.99</v>
      </c>
      <c r="C1138" s="6">
        <f t="shared" si="35"/>
        <v>1.0914522058823373E-2</v>
      </c>
      <c r="D1138" s="6">
        <f t="shared" si="34"/>
        <v>1.0855388549836708E-2</v>
      </c>
    </row>
    <row r="1139" spans="1:4" x14ac:dyDescent="0.25">
      <c r="A1139" t="s">
        <v>1186</v>
      </c>
      <c r="B1139">
        <v>87.04</v>
      </c>
      <c r="C1139" s="6">
        <f t="shared" si="35"/>
        <v>1.268179173938333E-2</v>
      </c>
      <c r="D1139" s="6">
        <f t="shared" ref="D1139:D1202" si="36">LN(B1139/B1140)</f>
        <v>1.2602051278774203E-2</v>
      </c>
    </row>
    <row r="1140" spans="1:4" x14ac:dyDescent="0.25">
      <c r="A1140" t="s">
        <v>1187</v>
      </c>
      <c r="B1140">
        <v>85.95</v>
      </c>
      <c r="C1140" s="6">
        <f t="shared" ref="C1140:C1203" si="37">(B1140/B1141)-1</f>
        <v>-7.8494747777905216E-3</v>
      </c>
      <c r="D1140" s="6">
        <f t="shared" si="36"/>
        <v>-7.8804440731905824E-3</v>
      </c>
    </row>
    <row r="1141" spans="1:4" x14ac:dyDescent="0.25">
      <c r="A1141" t="s">
        <v>1188</v>
      </c>
      <c r="B1141">
        <v>86.63</v>
      </c>
      <c r="C1141" s="6">
        <f t="shared" si="37"/>
        <v>-3.7948482060717881E-3</v>
      </c>
      <c r="D1141" s="6">
        <f t="shared" si="36"/>
        <v>-3.8020669109051072E-3</v>
      </c>
    </row>
    <row r="1142" spans="1:4" x14ac:dyDescent="0.25">
      <c r="A1142" t="s">
        <v>1189</v>
      </c>
      <c r="B1142">
        <v>86.96</v>
      </c>
      <c r="C1142" s="6">
        <f t="shared" si="37"/>
        <v>-1.5955641054656633E-2</v>
      </c>
      <c r="D1142" s="6">
        <f t="shared" si="36"/>
        <v>-1.6084302716959129E-2</v>
      </c>
    </row>
    <row r="1143" spans="1:4" x14ac:dyDescent="0.25">
      <c r="A1143" t="s">
        <v>1190</v>
      </c>
      <c r="B1143">
        <v>88.37</v>
      </c>
      <c r="C1143" s="6">
        <f t="shared" si="37"/>
        <v>-5.4023635340459952E-3</v>
      </c>
      <c r="D1143" s="6">
        <f t="shared" si="36"/>
        <v>-5.4170090707471334E-3</v>
      </c>
    </row>
    <row r="1144" spans="1:4" x14ac:dyDescent="0.25">
      <c r="A1144" t="s">
        <v>1191</v>
      </c>
      <c r="B1144">
        <v>88.85</v>
      </c>
      <c r="C1144" s="6">
        <f t="shared" si="37"/>
        <v>-2.0612874779541546E-2</v>
      </c>
      <c r="D1144" s="6">
        <f t="shared" si="36"/>
        <v>-2.0828285378781702E-2</v>
      </c>
    </row>
    <row r="1145" spans="1:4" x14ac:dyDescent="0.25">
      <c r="A1145" t="s">
        <v>1192</v>
      </c>
      <c r="B1145">
        <v>90.72</v>
      </c>
      <c r="C1145" s="6">
        <f t="shared" si="37"/>
        <v>-2.4191774796569199E-3</v>
      </c>
      <c r="D1145" s="6">
        <f t="shared" si="36"/>
        <v>-2.4221084174225645E-3</v>
      </c>
    </row>
    <row r="1146" spans="1:4" x14ac:dyDescent="0.25">
      <c r="A1146" t="s">
        <v>1193</v>
      </c>
      <c r="B1146">
        <v>90.94</v>
      </c>
      <c r="C1146" s="6">
        <f t="shared" si="37"/>
        <v>3.9743872819606452E-3</v>
      </c>
      <c r="D1146" s="6">
        <f t="shared" si="36"/>
        <v>3.9665102687966381E-3</v>
      </c>
    </row>
    <row r="1147" spans="1:4" x14ac:dyDescent="0.25">
      <c r="A1147" t="s">
        <v>1194</v>
      </c>
      <c r="B1147">
        <v>90.58</v>
      </c>
      <c r="C1147" s="6">
        <f t="shared" si="37"/>
        <v>3.5453135386660506E-3</v>
      </c>
      <c r="D1147" s="6">
        <f t="shared" si="36"/>
        <v>3.5390437292126572E-3</v>
      </c>
    </row>
    <row r="1148" spans="1:4" x14ac:dyDescent="0.25">
      <c r="A1148" t="s">
        <v>1195</v>
      </c>
      <c r="B1148">
        <v>90.26</v>
      </c>
      <c r="C1148" s="6">
        <f t="shared" si="37"/>
        <v>7.815989280929081E-3</v>
      </c>
      <c r="D1148" s="6">
        <f t="shared" si="36"/>
        <v>7.7856026683011453E-3</v>
      </c>
    </row>
    <row r="1149" spans="1:4" x14ac:dyDescent="0.25">
      <c r="A1149" t="s">
        <v>1196</v>
      </c>
      <c r="B1149">
        <v>89.56</v>
      </c>
      <c r="C1149" s="6">
        <f t="shared" si="37"/>
        <v>-1.8945726067089996E-3</v>
      </c>
      <c r="D1149" s="6">
        <f t="shared" si="36"/>
        <v>-1.8963695794122508E-3</v>
      </c>
    </row>
    <row r="1150" spans="1:4" x14ac:dyDescent="0.25">
      <c r="A1150" t="s">
        <v>1197</v>
      </c>
      <c r="B1150">
        <v>89.73</v>
      </c>
      <c r="C1150" s="6">
        <f t="shared" si="37"/>
        <v>3.9158648467219059E-3</v>
      </c>
      <c r="D1150" s="6">
        <f t="shared" si="36"/>
        <v>3.9082178046609432E-3</v>
      </c>
    </row>
    <row r="1151" spans="1:4" x14ac:dyDescent="0.25">
      <c r="A1151" t="s">
        <v>1198</v>
      </c>
      <c r="B1151">
        <v>89.38</v>
      </c>
      <c r="C1151" s="6">
        <f t="shared" si="37"/>
        <v>1.3378684807256125E-2</v>
      </c>
      <c r="D1151" s="6">
        <f t="shared" si="36"/>
        <v>1.3289980492559719E-2</v>
      </c>
    </row>
    <row r="1152" spans="1:4" x14ac:dyDescent="0.25">
      <c r="A1152" t="s">
        <v>1199</v>
      </c>
      <c r="B1152">
        <v>88.2</v>
      </c>
      <c r="C1152" s="6">
        <f t="shared" si="37"/>
        <v>-2.2064530435746743E-2</v>
      </c>
      <c r="D1152" s="6">
        <f t="shared" si="36"/>
        <v>-2.2311593164871159E-2</v>
      </c>
    </row>
    <row r="1153" spans="1:4" x14ac:dyDescent="0.25">
      <c r="A1153" t="s">
        <v>1200</v>
      </c>
      <c r="B1153">
        <v>90.19</v>
      </c>
      <c r="C1153" s="6">
        <f t="shared" si="37"/>
        <v>1.3712487355288294E-2</v>
      </c>
      <c r="D1153" s="6">
        <f t="shared" si="36"/>
        <v>1.3619321920940801E-2</v>
      </c>
    </row>
    <row r="1154" spans="1:4" x14ac:dyDescent="0.25">
      <c r="A1154" t="s">
        <v>1201</v>
      </c>
      <c r="B1154">
        <v>88.97</v>
      </c>
      <c r="C1154" s="6">
        <f t="shared" si="37"/>
        <v>-1.6797436180793435E-2</v>
      </c>
      <c r="D1154" s="6">
        <f t="shared" si="36"/>
        <v>-1.6940113106365864E-2</v>
      </c>
    </row>
    <row r="1155" spans="1:4" x14ac:dyDescent="0.25">
      <c r="A1155" t="s">
        <v>1202</v>
      </c>
      <c r="B1155">
        <v>90.49</v>
      </c>
      <c r="C1155" s="6">
        <f t="shared" si="37"/>
        <v>1.7712830731761997E-3</v>
      </c>
      <c r="D1155" s="6">
        <f t="shared" si="36"/>
        <v>1.7697162012897877E-3</v>
      </c>
    </row>
    <row r="1156" spans="1:4" x14ac:dyDescent="0.25">
      <c r="A1156" t="s">
        <v>1203</v>
      </c>
      <c r="B1156">
        <v>90.33</v>
      </c>
      <c r="C1156" s="6">
        <f t="shared" si="37"/>
        <v>1.642849105434907E-2</v>
      </c>
      <c r="D1156" s="6">
        <f t="shared" si="36"/>
        <v>1.6295003411368338E-2</v>
      </c>
    </row>
    <row r="1157" spans="1:4" x14ac:dyDescent="0.25">
      <c r="A1157" t="s">
        <v>1204</v>
      </c>
      <c r="B1157">
        <v>88.87</v>
      </c>
      <c r="C1157" s="6">
        <f t="shared" si="37"/>
        <v>-2.415724168222233E-2</v>
      </c>
      <c r="D1157" s="6">
        <f t="shared" si="36"/>
        <v>-2.4453813829343238E-2</v>
      </c>
    </row>
    <row r="1158" spans="1:4" x14ac:dyDescent="0.25">
      <c r="A1158" t="s">
        <v>1205</v>
      </c>
      <c r="B1158">
        <v>91.07</v>
      </c>
      <c r="C1158" s="6">
        <f t="shared" si="37"/>
        <v>1.4481452601091682E-2</v>
      </c>
      <c r="D1158" s="6">
        <f t="shared" si="36"/>
        <v>1.4377597811130124E-2</v>
      </c>
    </row>
    <row r="1159" spans="1:4" x14ac:dyDescent="0.25">
      <c r="A1159" t="s">
        <v>1206</v>
      </c>
      <c r="B1159">
        <v>89.77</v>
      </c>
      <c r="C1159" s="6">
        <f t="shared" si="37"/>
        <v>6.3901345291479394E-3</v>
      </c>
      <c r="D1159" s="6">
        <f t="shared" si="36"/>
        <v>6.3698041826333561E-3</v>
      </c>
    </row>
    <row r="1160" spans="1:4" x14ac:dyDescent="0.25">
      <c r="A1160" t="s">
        <v>1207</v>
      </c>
      <c r="B1160">
        <v>89.2</v>
      </c>
      <c r="C1160" s="6">
        <f t="shared" si="37"/>
        <v>1.0650351234987587E-2</v>
      </c>
      <c r="D1160" s="6">
        <f t="shared" si="36"/>
        <v>1.0594035744562592E-2</v>
      </c>
    </row>
    <row r="1161" spans="1:4" x14ac:dyDescent="0.25">
      <c r="A1161" t="s">
        <v>1208</v>
      </c>
      <c r="B1161">
        <v>88.26</v>
      </c>
      <c r="C1161" s="6">
        <f t="shared" si="37"/>
        <v>2.1646023845352413E-2</v>
      </c>
      <c r="D1161" s="6">
        <f t="shared" si="36"/>
        <v>2.1415075470608294E-2</v>
      </c>
    </row>
    <row r="1162" spans="1:4" x14ac:dyDescent="0.25">
      <c r="A1162" t="s">
        <v>1209</v>
      </c>
      <c r="B1162">
        <v>86.39</v>
      </c>
      <c r="C1162" s="6">
        <f t="shared" si="37"/>
        <v>1.5070716438674303E-3</v>
      </c>
      <c r="D1162" s="6">
        <f t="shared" si="36"/>
        <v>1.5059371510957762E-3</v>
      </c>
    </row>
    <row r="1163" spans="1:4" x14ac:dyDescent="0.25">
      <c r="A1163" t="s">
        <v>1210</v>
      </c>
      <c r="B1163">
        <v>86.26</v>
      </c>
      <c r="C1163" s="6">
        <f t="shared" si="37"/>
        <v>-4.2710377467388705E-3</v>
      </c>
      <c r="D1163" s="6">
        <f t="shared" si="36"/>
        <v>-4.2801846823517153E-3</v>
      </c>
    </row>
    <row r="1164" spans="1:4" x14ac:dyDescent="0.25">
      <c r="A1164" t="s">
        <v>1211</v>
      </c>
      <c r="B1164">
        <v>86.63</v>
      </c>
      <c r="C1164" s="6">
        <f t="shared" si="37"/>
        <v>3.7075657513612192E-3</v>
      </c>
      <c r="D1164" s="6">
        <f t="shared" si="36"/>
        <v>3.7007096704825401E-3</v>
      </c>
    </row>
    <row r="1165" spans="1:4" x14ac:dyDescent="0.25">
      <c r="A1165" t="s">
        <v>1212</v>
      </c>
      <c r="B1165">
        <v>86.31</v>
      </c>
      <c r="C1165" s="6">
        <f t="shared" si="37"/>
        <v>-5.7897174617871361E-4</v>
      </c>
      <c r="D1165" s="6">
        <f t="shared" si="36"/>
        <v>-5.7913941504029597E-4</v>
      </c>
    </row>
    <row r="1166" spans="1:4" x14ac:dyDescent="0.25">
      <c r="A1166" t="s">
        <v>1213</v>
      </c>
      <c r="B1166">
        <v>86.36</v>
      </c>
      <c r="C1166" s="6">
        <f t="shared" si="37"/>
        <v>1.1580775911990138E-4</v>
      </c>
      <c r="D1166" s="6">
        <f t="shared" si="36"/>
        <v>1.1580105391903639E-4</v>
      </c>
    </row>
    <row r="1167" spans="1:4" x14ac:dyDescent="0.25">
      <c r="A1167" t="s">
        <v>1214</v>
      </c>
      <c r="B1167">
        <v>86.35</v>
      </c>
      <c r="C1167" s="6">
        <f t="shared" si="37"/>
        <v>4.6344571892009689E-4</v>
      </c>
      <c r="D1167" s="6">
        <f t="shared" si="36"/>
        <v>4.6333836112129833E-4</v>
      </c>
    </row>
    <row r="1168" spans="1:4" x14ac:dyDescent="0.25">
      <c r="A1168" t="s">
        <v>1215</v>
      </c>
      <c r="B1168">
        <v>86.31</v>
      </c>
      <c r="C1168" s="6">
        <f t="shared" si="37"/>
        <v>-2.9024637192035074E-2</v>
      </c>
      <c r="D1168" s="6">
        <f t="shared" si="36"/>
        <v>-2.9454184022017302E-2</v>
      </c>
    </row>
    <row r="1169" spans="1:4" x14ac:dyDescent="0.25">
      <c r="A1169" t="s">
        <v>1216</v>
      </c>
      <c r="B1169">
        <v>88.89</v>
      </c>
      <c r="C1169" s="6">
        <f t="shared" si="37"/>
        <v>4.2933001920686387E-3</v>
      </c>
      <c r="D1169" s="6">
        <f t="shared" si="36"/>
        <v>4.2841102727979368E-3</v>
      </c>
    </row>
    <row r="1170" spans="1:4" x14ac:dyDescent="0.25">
      <c r="A1170" t="s">
        <v>1217</v>
      </c>
      <c r="B1170">
        <v>88.51</v>
      </c>
      <c r="C1170" s="6">
        <f t="shared" si="37"/>
        <v>-1.2605979473449325E-2</v>
      </c>
      <c r="D1170" s="6">
        <f t="shared" si="36"/>
        <v>-1.2686108951940646E-2</v>
      </c>
    </row>
    <row r="1171" spans="1:4" x14ac:dyDescent="0.25">
      <c r="A1171" t="s">
        <v>1218</v>
      </c>
      <c r="B1171">
        <v>89.64</v>
      </c>
      <c r="C1171" s="6">
        <f t="shared" si="37"/>
        <v>-2.1290533901080932E-2</v>
      </c>
      <c r="D1171" s="6">
        <f t="shared" si="36"/>
        <v>-2.1520446482169948E-2</v>
      </c>
    </row>
    <row r="1172" spans="1:4" x14ac:dyDescent="0.25">
      <c r="A1172" t="s">
        <v>1219</v>
      </c>
      <c r="B1172">
        <v>91.59</v>
      </c>
      <c r="C1172" s="6">
        <f t="shared" si="37"/>
        <v>-1.4207297384565609E-2</v>
      </c>
      <c r="D1172" s="6">
        <f t="shared" si="36"/>
        <v>-1.4309187238324849E-2</v>
      </c>
    </row>
    <row r="1173" spans="1:4" x14ac:dyDescent="0.25">
      <c r="A1173" t="s">
        <v>1220</v>
      </c>
      <c r="B1173">
        <v>92.91</v>
      </c>
      <c r="C1173" s="6">
        <f t="shared" si="37"/>
        <v>1.2091503267973813E-2</v>
      </c>
      <c r="D1173" s="6">
        <f t="shared" si="36"/>
        <v>1.2018985026776296E-2</v>
      </c>
    </row>
    <row r="1174" spans="1:4" x14ac:dyDescent="0.25">
      <c r="A1174" t="s">
        <v>1221</v>
      </c>
      <c r="B1174">
        <v>91.8</v>
      </c>
      <c r="C1174" s="6">
        <f t="shared" si="37"/>
        <v>-3.2462057335581718E-2</v>
      </c>
      <c r="D1174" s="6">
        <f t="shared" si="36"/>
        <v>-3.3000637622970473E-2</v>
      </c>
    </row>
    <row r="1175" spans="1:4" x14ac:dyDescent="0.25">
      <c r="A1175" t="s">
        <v>1222</v>
      </c>
      <c r="B1175">
        <v>94.88</v>
      </c>
      <c r="C1175" s="6">
        <f t="shared" si="37"/>
        <v>-7.219838861567407E-3</v>
      </c>
      <c r="D1175" s="6">
        <f t="shared" si="36"/>
        <v>-7.2460280286729458E-3</v>
      </c>
    </row>
    <row r="1176" spans="1:4" x14ac:dyDescent="0.25">
      <c r="A1176" t="s">
        <v>1223</v>
      </c>
      <c r="B1176">
        <v>95.57</v>
      </c>
      <c r="C1176" s="6">
        <f t="shared" si="37"/>
        <v>1.4005305039787697E-2</v>
      </c>
      <c r="D1176" s="6">
        <f t="shared" si="36"/>
        <v>1.3908136949968054E-2</v>
      </c>
    </row>
    <row r="1177" spans="1:4" x14ac:dyDescent="0.25">
      <c r="A1177" t="s">
        <v>1224</v>
      </c>
      <c r="B1177">
        <v>94.25</v>
      </c>
      <c r="C1177" s="6">
        <f t="shared" si="37"/>
        <v>-1.5871358462984153E-2</v>
      </c>
      <c r="D1177" s="6">
        <f t="shared" si="36"/>
        <v>-1.5998657205407711E-2</v>
      </c>
    </row>
    <row r="1178" spans="1:4" x14ac:dyDescent="0.25">
      <c r="A1178" t="s">
        <v>1225</v>
      </c>
      <c r="B1178">
        <v>95.77</v>
      </c>
      <c r="C1178" s="6">
        <f t="shared" si="37"/>
        <v>-4.174929548064199E-4</v>
      </c>
      <c r="D1178" s="6">
        <f t="shared" si="36"/>
        <v>-4.1758012925406586E-4</v>
      </c>
    </row>
    <row r="1179" spans="1:4" x14ac:dyDescent="0.25">
      <c r="A1179" t="s">
        <v>1226</v>
      </c>
      <c r="B1179">
        <v>95.81</v>
      </c>
      <c r="C1179" s="6">
        <f t="shared" si="37"/>
        <v>1.1934938741022361E-2</v>
      </c>
      <c r="D1179" s="6">
        <f t="shared" si="36"/>
        <v>1.1864279016998757E-2</v>
      </c>
    </row>
    <row r="1180" spans="1:4" x14ac:dyDescent="0.25">
      <c r="A1180" t="s">
        <v>1227</v>
      </c>
      <c r="B1180">
        <v>94.68</v>
      </c>
      <c r="C1180" s="6">
        <f t="shared" si="37"/>
        <v>-1.4468616633704467E-2</v>
      </c>
      <c r="D1180" s="6">
        <f t="shared" si="36"/>
        <v>-1.4574307775863833E-2</v>
      </c>
    </row>
    <row r="1181" spans="1:4" x14ac:dyDescent="0.25">
      <c r="A1181" t="s">
        <v>1228</v>
      </c>
      <c r="B1181">
        <v>96.07</v>
      </c>
      <c r="C1181" s="6">
        <f t="shared" si="37"/>
        <v>-5.2018310445289817E-4</v>
      </c>
      <c r="D1181" s="6">
        <f t="shared" si="36"/>
        <v>-5.2031844662115193E-4</v>
      </c>
    </row>
    <row r="1182" spans="1:4" x14ac:dyDescent="0.25">
      <c r="A1182" t="s">
        <v>1229</v>
      </c>
      <c r="B1182">
        <v>96.12</v>
      </c>
      <c r="C1182" s="6">
        <f t="shared" si="37"/>
        <v>-1.5970515970516019E-2</v>
      </c>
      <c r="D1182" s="6">
        <f t="shared" si="36"/>
        <v>-1.6099418934181126E-2</v>
      </c>
    </row>
    <row r="1183" spans="1:4" x14ac:dyDescent="0.25">
      <c r="A1183" t="s">
        <v>1230</v>
      </c>
      <c r="B1183">
        <v>97.68</v>
      </c>
      <c r="C1183" s="6">
        <f t="shared" si="37"/>
        <v>-4.0783034257747541E-3</v>
      </c>
      <c r="D1183" s="6">
        <f t="shared" si="36"/>
        <v>-4.0866423854519053E-3</v>
      </c>
    </row>
    <row r="1184" spans="1:4" x14ac:dyDescent="0.25">
      <c r="A1184" t="s">
        <v>1231</v>
      </c>
      <c r="B1184">
        <v>98.08</v>
      </c>
      <c r="C1184" s="6">
        <f t="shared" si="37"/>
        <v>2.6908177154224555E-2</v>
      </c>
      <c r="D1184" s="6">
        <f t="shared" si="36"/>
        <v>2.6552518141254939E-2</v>
      </c>
    </row>
    <row r="1185" spans="1:4" x14ac:dyDescent="0.25">
      <c r="A1185" t="s">
        <v>1232</v>
      </c>
      <c r="B1185">
        <v>95.51</v>
      </c>
      <c r="C1185" s="6">
        <f t="shared" si="37"/>
        <v>2.9402499212434208E-3</v>
      </c>
      <c r="D1185" s="6">
        <f t="shared" si="36"/>
        <v>2.9359358406916723E-3</v>
      </c>
    </row>
    <row r="1186" spans="1:4" x14ac:dyDescent="0.25">
      <c r="A1186" t="s">
        <v>1233</v>
      </c>
      <c r="B1186">
        <v>95.23</v>
      </c>
      <c r="C1186" s="6">
        <f t="shared" si="37"/>
        <v>-8.8467943380515779E-3</v>
      </c>
      <c r="D1186" s="6">
        <f t="shared" si="36"/>
        <v>-8.8861595657734119E-3</v>
      </c>
    </row>
    <row r="1187" spans="1:4" x14ac:dyDescent="0.25">
      <c r="A1187" t="s">
        <v>1234</v>
      </c>
      <c r="B1187">
        <v>96.08</v>
      </c>
      <c r="C1187" s="6">
        <f t="shared" si="37"/>
        <v>5.4416073670990883E-3</v>
      </c>
      <c r="D1187" s="6">
        <f t="shared" si="36"/>
        <v>5.4268553141192007E-3</v>
      </c>
    </row>
    <row r="1188" spans="1:4" x14ac:dyDescent="0.25">
      <c r="A1188" t="s">
        <v>1235</v>
      </c>
      <c r="B1188">
        <v>95.56</v>
      </c>
      <c r="C1188" s="6">
        <f t="shared" si="37"/>
        <v>1.5515409139213787E-2</v>
      </c>
      <c r="D1188" s="6">
        <f t="shared" si="36"/>
        <v>1.5396275866275016E-2</v>
      </c>
    </row>
    <row r="1189" spans="1:4" x14ac:dyDescent="0.25">
      <c r="A1189" t="s">
        <v>1236</v>
      </c>
      <c r="B1189">
        <v>94.1</v>
      </c>
      <c r="C1189" s="6">
        <f t="shared" si="37"/>
        <v>3.1982942430703876E-3</v>
      </c>
      <c r="D1189" s="6">
        <f t="shared" si="36"/>
        <v>3.1931905791549855E-3</v>
      </c>
    </row>
    <row r="1190" spans="1:4" x14ac:dyDescent="0.25">
      <c r="A1190" t="s">
        <v>1237</v>
      </c>
      <c r="B1190">
        <v>93.8</v>
      </c>
      <c r="C1190" s="6">
        <f t="shared" si="37"/>
        <v>3.5305445597517693E-3</v>
      </c>
      <c r="D1190" s="6">
        <f t="shared" si="36"/>
        <v>3.5243268176869112E-3</v>
      </c>
    </row>
    <row r="1191" spans="1:4" x14ac:dyDescent="0.25">
      <c r="A1191" t="s">
        <v>1238</v>
      </c>
      <c r="B1191">
        <v>93.47</v>
      </c>
      <c r="C1191" s="6">
        <f t="shared" si="37"/>
        <v>-7.4333651906127729E-3</v>
      </c>
      <c r="D1191" s="6">
        <f t="shared" si="36"/>
        <v>-7.4611303274798712E-3</v>
      </c>
    </row>
    <row r="1192" spans="1:4" x14ac:dyDescent="0.25">
      <c r="A1192" t="s">
        <v>1239</v>
      </c>
      <c r="B1192">
        <v>94.17</v>
      </c>
      <c r="C1192" s="6">
        <f t="shared" si="37"/>
        <v>2.0370571026113282E-2</v>
      </c>
      <c r="D1192" s="6">
        <f t="shared" si="36"/>
        <v>2.0165866244486467E-2</v>
      </c>
    </row>
    <row r="1193" spans="1:4" x14ac:dyDescent="0.25">
      <c r="A1193" t="s">
        <v>1240</v>
      </c>
      <c r="B1193">
        <v>92.29</v>
      </c>
      <c r="C1193" s="6">
        <f t="shared" si="37"/>
        <v>1.0732668930018674E-2</v>
      </c>
      <c r="D1193" s="6">
        <f t="shared" si="36"/>
        <v>1.0675482649236673E-2</v>
      </c>
    </row>
    <row r="1194" spans="1:4" x14ac:dyDescent="0.25">
      <c r="A1194" t="s">
        <v>1241</v>
      </c>
      <c r="B1194">
        <v>91.31</v>
      </c>
      <c r="C1194" s="6">
        <f t="shared" si="37"/>
        <v>-6.6362053959965195E-3</v>
      </c>
      <c r="D1194" s="6">
        <f t="shared" si="36"/>
        <v>-6.6583229122515065E-3</v>
      </c>
    </row>
    <row r="1195" spans="1:4" x14ac:dyDescent="0.25">
      <c r="A1195" t="s">
        <v>1242</v>
      </c>
      <c r="B1195">
        <v>91.92</v>
      </c>
      <c r="C1195" s="6">
        <f t="shared" si="37"/>
        <v>-6.1628284138824929E-3</v>
      </c>
      <c r="D1195" s="6">
        <f t="shared" si="36"/>
        <v>-6.1818970256683507E-3</v>
      </c>
    </row>
    <row r="1196" spans="1:4" x14ac:dyDescent="0.25">
      <c r="A1196" t="s">
        <v>1243</v>
      </c>
      <c r="B1196">
        <v>92.49</v>
      </c>
      <c r="C1196" s="6">
        <f t="shared" si="37"/>
        <v>-6.0182697474476798E-3</v>
      </c>
      <c r="D1196" s="6">
        <f t="shared" si="36"/>
        <v>-6.0364525220911536E-3</v>
      </c>
    </row>
    <row r="1197" spans="1:4" x14ac:dyDescent="0.25">
      <c r="A1197" t="s">
        <v>1244</v>
      </c>
      <c r="B1197">
        <v>93.05</v>
      </c>
      <c r="C1197" s="6">
        <f t="shared" si="37"/>
        <v>-3.6406467501873818E-3</v>
      </c>
      <c r="D1197" s="6">
        <f t="shared" si="36"/>
        <v>-3.647290033366724E-3</v>
      </c>
    </row>
    <row r="1198" spans="1:4" x14ac:dyDescent="0.25">
      <c r="A1198" t="s">
        <v>1245</v>
      </c>
      <c r="B1198">
        <v>93.39</v>
      </c>
      <c r="C1198" s="6">
        <f t="shared" si="37"/>
        <v>5.8158319870760256E-3</v>
      </c>
      <c r="D1198" s="6">
        <f t="shared" si="36"/>
        <v>5.798985322911788E-3</v>
      </c>
    </row>
    <row r="1199" spans="1:4" x14ac:dyDescent="0.25">
      <c r="A1199" t="s">
        <v>1246</v>
      </c>
      <c r="B1199">
        <v>92.85</v>
      </c>
      <c r="C1199" s="6">
        <f t="shared" si="37"/>
        <v>-1.1833046471600994E-3</v>
      </c>
      <c r="D1199" s="6">
        <f t="shared" si="36"/>
        <v>-1.1840053048863286E-3</v>
      </c>
    </row>
    <row r="1200" spans="1:4" x14ac:dyDescent="0.25">
      <c r="A1200" t="s">
        <v>1247</v>
      </c>
      <c r="B1200">
        <v>92.96</v>
      </c>
      <c r="C1200" s="6">
        <f t="shared" si="37"/>
        <v>4.4300378173960375E-3</v>
      </c>
      <c r="D1200" s="6">
        <f t="shared" si="36"/>
        <v>4.4202540840946212E-3</v>
      </c>
    </row>
    <row r="1201" spans="1:4" x14ac:dyDescent="0.25">
      <c r="A1201" t="s">
        <v>1248</v>
      </c>
      <c r="B1201">
        <v>92.55</v>
      </c>
      <c r="C1201" s="6">
        <f t="shared" si="37"/>
        <v>-1.9285789975627909E-2</v>
      </c>
      <c r="D1201" s="6">
        <f t="shared" si="36"/>
        <v>-1.9474187013735204E-2</v>
      </c>
    </row>
    <row r="1202" spans="1:4" x14ac:dyDescent="0.25">
      <c r="A1202" t="s">
        <v>1249</v>
      </c>
      <c r="B1202">
        <v>94.37</v>
      </c>
      <c r="C1202" s="6">
        <f t="shared" si="37"/>
        <v>1.6479965532098184E-2</v>
      </c>
      <c r="D1202" s="6">
        <f t="shared" si="36"/>
        <v>1.6345644627005315E-2</v>
      </c>
    </row>
    <row r="1203" spans="1:4" x14ac:dyDescent="0.25">
      <c r="A1203" t="s">
        <v>1250</v>
      </c>
      <c r="B1203">
        <v>92.84</v>
      </c>
      <c r="C1203" s="6">
        <f t="shared" si="37"/>
        <v>2.0107680474673151E-2</v>
      </c>
      <c r="D1203" s="6">
        <f t="shared" ref="D1203:D1260" si="38">LN(B1203/B1204)</f>
        <v>1.9908190816972E-2</v>
      </c>
    </row>
    <row r="1204" spans="1:4" x14ac:dyDescent="0.25">
      <c r="A1204" t="s">
        <v>1251</v>
      </c>
      <c r="B1204">
        <v>91.01</v>
      </c>
      <c r="C1204" s="6">
        <f t="shared" ref="C1204:C1260" si="39">(B1204/B1205)-1</f>
        <v>-2.1503064186646603E-2</v>
      </c>
      <c r="D1204" s="6">
        <f t="shared" si="38"/>
        <v>-2.1737623665111276E-2</v>
      </c>
    </row>
    <row r="1205" spans="1:4" x14ac:dyDescent="0.25">
      <c r="A1205" t="s">
        <v>1252</v>
      </c>
      <c r="B1205">
        <v>93.01</v>
      </c>
      <c r="C1205" s="6">
        <f t="shared" si="39"/>
        <v>7.2557938055013427E-3</v>
      </c>
      <c r="D1205" s="6">
        <f t="shared" si="38"/>
        <v>7.2295971755326743E-3</v>
      </c>
    </row>
    <row r="1206" spans="1:4" x14ac:dyDescent="0.25">
      <c r="A1206" t="s">
        <v>1253</v>
      </c>
      <c r="B1206">
        <v>92.34</v>
      </c>
      <c r="C1206" s="6">
        <f t="shared" si="39"/>
        <v>-5.2784660131423022E-3</v>
      </c>
      <c r="D1206" s="6">
        <f t="shared" si="38"/>
        <v>-5.2924463329983296E-3</v>
      </c>
    </row>
    <row r="1207" spans="1:4" x14ac:dyDescent="0.25">
      <c r="A1207" t="s">
        <v>1254</v>
      </c>
      <c r="B1207">
        <v>92.83</v>
      </c>
      <c r="C1207" s="6">
        <f t="shared" si="39"/>
        <v>-3.9699570815451279E-3</v>
      </c>
      <c r="D1207" s="6">
        <f t="shared" si="38"/>
        <v>-3.977858279704375E-3</v>
      </c>
    </row>
    <row r="1208" spans="1:4" x14ac:dyDescent="0.25">
      <c r="A1208" t="s">
        <v>1255</v>
      </c>
      <c r="B1208">
        <v>93.2</v>
      </c>
      <c r="C1208" s="6">
        <f t="shared" si="39"/>
        <v>-2.8458250807880781E-2</v>
      </c>
      <c r="D1208" s="6">
        <f t="shared" si="38"/>
        <v>-2.8871037138310747E-2</v>
      </c>
    </row>
    <row r="1209" spans="1:4" x14ac:dyDescent="0.25">
      <c r="A1209" t="s">
        <v>1256</v>
      </c>
      <c r="B1209">
        <v>95.93</v>
      </c>
      <c r="C1209" s="6">
        <f t="shared" si="39"/>
        <v>-1.5496715927750371E-2</v>
      </c>
      <c r="D1209" s="6">
        <f t="shared" si="38"/>
        <v>-1.5618045131730641E-2</v>
      </c>
    </row>
    <row r="1210" spans="1:4" x14ac:dyDescent="0.25">
      <c r="A1210" t="s">
        <v>1257</v>
      </c>
      <c r="B1210">
        <v>97.44</v>
      </c>
      <c r="C1210" s="6">
        <f t="shared" si="39"/>
        <v>1.6800584368152016E-2</v>
      </c>
      <c r="D1210" s="6">
        <f t="shared" si="38"/>
        <v>1.6661015605916148E-2</v>
      </c>
    </row>
    <row r="1211" spans="1:4" x14ac:dyDescent="0.25">
      <c r="A1211" t="s">
        <v>1258</v>
      </c>
      <c r="B1211">
        <v>95.83</v>
      </c>
      <c r="C1211" s="6">
        <f t="shared" si="39"/>
        <v>-1.8738480442351046E-2</v>
      </c>
      <c r="D1211" s="6">
        <f t="shared" si="38"/>
        <v>-1.8916270277843407E-2</v>
      </c>
    </row>
    <row r="1212" spans="1:4" x14ac:dyDescent="0.25">
      <c r="A1212" t="s">
        <v>1259</v>
      </c>
      <c r="B1212">
        <v>97.66</v>
      </c>
      <c r="C1212" s="6">
        <f t="shared" si="39"/>
        <v>-2.6321036889331961E-2</v>
      </c>
      <c r="D1212" s="6">
        <f t="shared" si="38"/>
        <v>-2.6673636334375604E-2</v>
      </c>
    </row>
    <row r="1213" spans="1:4" x14ac:dyDescent="0.25">
      <c r="A1213" t="s">
        <v>1260</v>
      </c>
      <c r="B1213">
        <v>100.3</v>
      </c>
      <c r="C1213" s="6">
        <f t="shared" si="39"/>
        <v>1.5977631316157481E-3</v>
      </c>
      <c r="D1213" s="6">
        <f t="shared" si="38"/>
        <v>1.5964880660911478E-3</v>
      </c>
    </row>
    <row r="1214" spans="1:4" x14ac:dyDescent="0.25">
      <c r="A1214" t="s">
        <v>1261</v>
      </c>
      <c r="B1214">
        <v>100.14</v>
      </c>
      <c r="C1214" s="6">
        <f t="shared" si="39"/>
        <v>2.6550486929779682E-2</v>
      </c>
      <c r="D1214" s="6">
        <f t="shared" si="38"/>
        <v>2.620413983267857E-2</v>
      </c>
    </row>
    <row r="1215" spans="1:4" x14ac:dyDescent="0.25">
      <c r="A1215" t="s">
        <v>1262</v>
      </c>
      <c r="B1215">
        <v>97.55</v>
      </c>
      <c r="C1215" s="6">
        <f t="shared" si="39"/>
        <v>-1.4745985254014826E-2</v>
      </c>
      <c r="D1215" s="6">
        <f t="shared" si="38"/>
        <v>-1.485578806530315E-2</v>
      </c>
    </row>
    <row r="1216" spans="1:4" x14ac:dyDescent="0.25">
      <c r="A1216" t="s">
        <v>1263</v>
      </c>
      <c r="B1216">
        <v>99.01</v>
      </c>
      <c r="C1216" s="6">
        <f t="shared" si="39"/>
        <v>-1.2369077306733089E-2</v>
      </c>
      <c r="D1216" s="6">
        <f t="shared" si="38"/>
        <v>-1.2446211052255202E-2</v>
      </c>
    </row>
    <row r="1217" spans="1:4" x14ac:dyDescent="0.25">
      <c r="A1217" t="s">
        <v>1264</v>
      </c>
      <c r="B1217">
        <v>100.25</v>
      </c>
      <c r="C1217" s="6">
        <f t="shared" si="39"/>
        <v>-3.6772013516199742E-3</v>
      </c>
      <c r="D1217" s="6">
        <f t="shared" si="38"/>
        <v>-3.6839788764939348E-3</v>
      </c>
    </row>
    <row r="1218" spans="1:4" x14ac:dyDescent="0.25">
      <c r="A1218" t="s">
        <v>1265</v>
      </c>
      <c r="B1218">
        <v>100.62</v>
      </c>
      <c r="C1218" s="6">
        <f t="shared" si="39"/>
        <v>-2.8738479833514408E-3</v>
      </c>
      <c r="D1218" s="6">
        <f t="shared" si="38"/>
        <v>-2.8779854132648624E-3</v>
      </c>
    </row>
    <row r="1219" spans="1:4" x14ac:dyDescent="0.25">
      <c r="A1219" t="s">
        <v>1266</v>
      </c>
      <c r="B1219">
        <v>100.91</v>
      </c>
      <c r="C1219" s="6">
        <f t="shared" si="39"/>
        <v>1.2542644992976193E-2</v>
      </c>
      <c r="D1219" s="6">
        <f t="shared" si="38"/>
        <v>1.2464637623178974E-2</v>
      </c>
    </row>
    <row r="1220" spans="1:4" x14ac:dyDescent="0.25">
      <c r="A1220" t="s">
        <v>1267</v>
      </c>
      <c r="B1220">
        <v>99.66</v>
      </c>
      <c r="C1220" s="6">
        <f t="shared" si="39"/>
        <v>-1.7644159684573779E-2</v>
      </c>
      <c r="D1220" s="6">
        <f t="shared" si="38"/>
        <v>-1.7801673418565343E-2</v>
      </c>
    </row>
    <row r="1221" spans="1:4" x14ac:dyDescent="0.25">
      <c r="A1221" t="s">
        <v>1268</v>
      </c>
      <c r="B1221">
        <v>101.45</v>
      </c>
      <c r="C1221" s="6">
        <f t="shared" si="39"/>
        <v>-5.8794708476236357E-3</v>
      </c>
      <c r="D1221" s="6">
        <f t="shared" si="38"/>
        <v>-5.8968229840299716E-3</v>
      </c>
    </row>
    <row r="1222" spans="1:4" x14ac:dyDescent="0.25">
      <c r="A1222" t="s">
        <v>1269</v>
      </c>
      <c r="B1222">
        <v>102.05</v>
      </c>
      <c r="C1222" s="6">
        <f t="shared" si="39"/>
        <v>-2.5124188001528602E-2</v>
      </c>
      <c r="D1222" s="6">
        <f t="shared" si="38"/>
        <v>-2.5445188406091446E-2</v>
      </c>
    </row>
    <row r="1223" spans="1:4" x14ac:dyDescent="0.25">
      <c r="A1223" t="s">
        <v>1270</v>
      </c>
      <c r="B1223">
        <v>104.68</v>
      </c>
      <c r="C1223" s="6">
        <f t="shared" si="39"/>
        <v>4.6065259117082924E-3</v>
      </c>
      <c r="D1223" s="6">
        <f t="shared" si="38"/>
        <v>4.5959483426786032E-3</v>
      </c>
    </row>
    <row r="1224" spans="1:4" x14ac:dyDescent="0.25">
      <c r="A1224" t="s">
        <v>1271</v>
      </c>
      <c r="B1224">
        <v>104.2</v>
      </c>
      <c r="C1224" s="6">
        <f t="shared" si="39"/>
        <v>-1.9663185624235635E-2</v>
      </c>
      <c r="D1224" s="6">
        <f t="shared" si="38"/>
        <v>-1.985907822622383E-2</v>
      </c>
    </row>
    <row r="1225" spans="1:4" x14ac:dyDescent="0.25">
      <c r="A1225" t="s">
        <v>1272</v>
      </c>
      <c r="B1225">
        <v>106.29</v>
      </c>
      <c r="C1225" s="6">
        <f t="shared" si="39"/>
        <v>2.0057581573896366E-2</v>
      </c>
      <c r="D1225" s="6">
        <f t="shared" si="38"/>
        <v>1.9859078226223788E-2</v>
      </c>
    </row>
    <row r="1226" spans="1:4" x14ac:dyDescent="0.25">
      <c r="A1226" t="s">
        <v>1273</v>
      </c>
      <c r="B1226">
        <v>104.2</v>
      </c>
      <c r="C1226" s="6">
        <f t="shared" si="39"/>
        <v>4.0855059434621976E-2</v>
      </c>
      <c r="D1226" s="6">
        <f t="shared" si="38"/>
        <v>4.0042547887874272E-2</v>
      </c>
    </row>
    <row r="1227" spans="1:4" x14ac:dyDescent="0.25">
      <c r="A1227" t="s">
        <v>1274</v>
      </c>
      <c r="B1227">
        <v>100.11</v>
      </c>
      <c r="C1227" s="6">
        <f t="shared" si="39"/>
        <v>-4.474940334128874E-3</v>
      </c>
      <c r="D1227" s="6">
        <f t="shared" si="38"/>
        <v>-4.4849828505996465E-3</v>
      </c>
    </row>
    <row r="1228" spans="1:4" x14ac:dyDescent="0.25">
      <c r="A1228" t="s">
        <v>1275</v>
      </c>
      <c r="B1228">
        <v>100.56</v>
      </c>
      <c r="C1228" s="6">
        <f t="shared" si="39"/>
        <v>3.4461475156877031E-2</v>
      </c>
      <c r="D1228" s="6">
        <f t="shared" si="38"/>
        <v>3.3880977449014527E-2</v>
      </c>
    </row>
    <row r="1229" spans="1:4" x14ac:dyDescent="0.25">
      <c r="A1229" t="s">
        <v>1276</v>
      </c>
      <c r="B1229">
        <v>97.21</v>
      </c>
      <c r="C1229" s="6">
        <f t="shared" si="39"/>
        <v>-1.5295786061588434E-2</v>
      </c>
      <c r="D1229" s="6">
        <f t="shared" si="38"/>
        <v>-1.5413973324100173E-2</v>
      </c>
    </row>
    <row r="1230" spans="1:4" x14ac:dyDescent="0.25">
      <c r="A1230" t="s">
        <v>1277</v>
      </c>
      <c r="B1230">
        <v>98.72</v>
      </c>
      <c r="C1230" s="6">
        <f t="shared" si="39"/>
        <v>2.9835176298768973E-2</v>
      </c>
      <c r="D1230" s="6">
        <f t="shared" si="38"/>
        <v>2.9398766425592398E-2</v>
      </c>
    </row>
    <row r="1231" spans="1:4" x14ac:dyDescent="0.25">
      <c r="A1231" t="s">
        <v>1278</v>
      </c>
      <c r="B1231">
        <v>95.86</v>
      </c>
      <c r="C1231" s="6">
        <f t="shared" si="39"/>
        <v>-2.2036319118547198E-2</v>
      </c>
      <c r="D1231" s="6">
        <f t="shared" si="38"/>
        <v>-2.2282745749916181E-2</v>
      </c>
    </row>
    <row r="1232" spans="1:4" x14ac:dyDescent="0.25">
      <c r="A1232" t="s">
        <v>1279</v>
      </c>
      <c r="B1232">
        <v>98.02</v>
      </c>
      <c r="C1232" s="6">
        <f t="shared" si="39"/>
        <v>-3.4761201378631257E-2</v>
      </c>
      <c r="D1232" s="6">
        <f t="shared" si="38"/>
        <v>-3.537974854499229E-2</v>
      </c>
    </row>
    <row r="1233" spans="1:4" x14ac:dyDescent="0.25">
      <c r="A1233" t="s">
        <v>1280</v>
      </c>
      <c r="B1233">
        <v>101.55</v>
      </c>
      <c r="C1233" s="6">
        <f t="shared" si="39"/>
        <v>-1.9976838448176104E-2</v>
      </c>
      <c r="D1233" s="6">
        <f t="shared" si="38"/>
        <v>-2.0179073360248621E-2</v>
      </c>
    </row>
    <row r="1234" spans="1:4" x14ac:dyDescent="0.25">
      <c r="A1234" t="s">
        <v>1281</v>
      </c>
      <c r="B1234">
        <v>103.62</v>
      </c>
      <c r="C1234" s="6">
        <f t="shared" si="39"/>
        <v>3.5889233230031126E-2</v>
      </c>
      <c r="D1234" s="6">
        <f t="shared" si="38"/>
        <v>3.5260220389553024E-2</v>
      </c>
    </row>
    <row r="1235" spans="1:4" x14ac:dyDescent="0.25">
      <c r="A1235" t="s">
        <v>1282</v>
      </c>
      <c r="B1235">
        <v>100.03</v>
      </c>
      <c r="C1235" s="6">
        <f t="shared" si="39"/>
        <v>3.1662541254125598E-2</v>
      </c>
      <c r="D1235" s="6">
        <f t="shared" si="38"/>
        <v>3.1171618676085203E-2</v>
      </c>
    </row>
    <row r="1236" spans="1:4" x14ac:dyDescent="0.25">
      <c r="A1236" t="s">
        <v>1283</v>
      </c>
      <c r="B1236">
        <v>96.96</v>
      </c>
      <c r="C1236" s="6">
        <f t="shared" si="39"/>
        <v>-1.5134586084306845E-2</v>
      </c>
      <c r="D1236" s="6">
        <f t="shared" si="38"/>
        <v>-1.5250282764130317E-2</v>
      </c>
    </row>
    <row r="1237" spans="1:4" x14ac:dyDescent="0.25">
      <c r="A1237" t="s">
        <v>1284</v>
      </c>
      <c r="B1237">
        <v>98.45</v>
      </c>
      <c r="C1237" s="6">
        <f t="shared" si="39"/>
        <v>1.4530090684253816E-2</v>
      </c>
      <c r="D1237" s="6">
        <f t="shared" si="38"/>
        <v>1.4425540449339757E-2</v>
      </c>
    </row>
    <row r="1238" spans="1:4" x14ac:dyDescent="0.25">
      <c r="A1238" t="s">
        <v>1285</v>
      </c>
      <c r="B1238">
        <v>97.04</v>
      </c>
      <c r="C1238" s="6">
        <f t="shared" si="39"/>
        <v>1.7724174095437917E-2</v>
      </c>
      <c r="D1238" s="6">
        <f t="shared" si="38"/>
        <v>1.7568932589366672E-2</v>
      </c>
    </row>
    <row r="1239" spans="1:4" x14ac:dyDescent="0.25">
      <c r="A1239" t="s">
        <v>1286</v>
      </c>
      <c r="B1239">
        <v>95.35</v>
      </c>
      <c r="C1239" s="6">
        <f t="shared" si="39"/>
        <v>-1.4877569996900597E-2</v>
      </c>
      <c r="D1239" s="6">
        <f t="shared" si="38"/>
        <v>-1.4989351114569241E-2</v>
      </c>
    </row>
    <row r="1240" spans="1:4" x14ac:dyDescent="0.25">
      <c r="A1240" t="s">
        <v>1287</v>
      </c>
      <c r="B1240">
        <v>96.79</v>
      </c>
      <c r="C1240" s="6">
        <f t="shared" si="39"/>
        <v>2.8695929429269906E-2</v>
      </c>
      <c r="D1240" s="6">
        <f t="shared" si="38"/>
        <v>2.8291912142323003E-2</v>
      </c>
    </row>
    <row r="1241" spans="1:4" x14ac:dyDescent="0.25">
      <c r="A1241" t="s">
        <v>1288</v>
      </c>
      <c r="B1241">
        <v>94.09</v>
      </c>
      <c r="C1241" s="6">
        <f t="shared" si="39"/>
        <v>-2.1221262873192481E-2</v>
      </c>
      <c r="D1241" s="6">
        <f t="shared" si="38"/>
        <v>-2.1449671059050449E-2</v>
      </c>
    </row>
    <row r="1242" spans="1:4" x14ac:dyDescent="0.25">
      <c r="A1242" t="s">
        <v>1289</v>
      </c>
      <c r="B1242">
        <v>96.13</v>
      </c>
      <c r="C1242" s="6">
        <f t="shared" si="39"/>
        <v>3.4211941904249477E-2</v>
      </c>
      <c r="D1242" s="6">
        <f t="shared" si="38"/>
        <v>3.3639727910271658E-2</v>
      </c>
    </row>
    <row r="1243" spans="1:4" x14ac:dyDescent="0.25">
      <c r="A1243" t="s">
        <v>1290</v>
      </c>
      <c r="B1243">
        <v>92.95</v>
      </c>
      <c r="C1243" s="6">
        <f t="shared" si="39"/>
        <v>1.4516481117659907E-2</v>
      </c>
      <c r="D1243" s="6">
        <f t="shared" si="38"/>
        <v>1.4412125708856964E-2</v>
      </c>
    </row>
    <row r="1244" spans="1:4" x14ac:dyDescent="0.25">
      <c r="A1244" t="s">
        <v>1291</v>
      </c>
      <c r="B1244">
        <v>91.62</v>
      </c>
      <c r="C1244" s="6">
        <f t="shared" si="39"/>
        <v>1.4209203191606345E-3</v>
      </c>
      <c r="D1244" s="6">
        <f t="shared" si="38"/>
        <v>1.4199117671522528E-3</v>
      </c>
    </row>
    <row r="1245" spans="1:4" x14ac:dyDescent="0.25">
      <c r="A1245" t="s">
        <v>1292</v>
      </c>
      <c r="B1245">
        <v>91.49</v>
      </c>
      <c r="C1245" s="6">
        <f t="shared" si="39"/>
        <v>-8.3459787556905418E-3</v>
      </c>
      <c r="D1245" s="6">
        <f t="shared" si="38"/>
        <v>-8.3810014382306834E-3</v>
      </c>
    </row>
    <row r="1246" spans="1:4" x14ac:dyDescent="0.25">
      <c r="A1246" t="s">
        <v>1293</v>
      </c>
      <c r="B1246">
        <v>92.26</v>
      </c>
      <c r="C1246" s="6">
        <f t="shared" si="39"/>
        <v>-5.4974668535086035E-3</v>
      </c>
      <c r="D1246" s="6">
        <f t="shared" si="38"/>
        <v>-5.512633535505595E-3</v>
      </c>
    </row>
    <row r="1247" spans="1:4" x14ac:dyDescent="0.25">
      <c r="A1247" t="s">
        <v>1294</v>
      </c>
      <c r="B1247">
        <v>92.77</v>
      </c>
      <c r="C1247" s="6">
        <f t="shared" si="39"/>
        <v>-5.3867700926524265E-4</v>
      </c>
      <c r="D1247" s="6">
        <f t="shared" si="38"/>
        <v>-5.3882214784961753E-4</v>
      </c>
    </row>
    <row r="1248" spans="1:4" x14ac:dyDescent="0.25">
      <c r="A1248" t="s">
        <v>1295</v>
      </c>
      <c r="B1248">
        <v>92.82</v>
      </c>
      <c r="C1248" s="6">
        <f t="shared" si="39"/>
        <v>-3.4030596315953954E-2</v>
      </c>
      <c r="D1248" s="6">
        <f t="shared" si="38"/>
        <v>-3.462311847614688E-2</v>
      </c>
    </row>
    <row r="1249" spans="1:4" x14ac:dyDescent="0.25">
      <c r="A1249" t="s">
        <v>1296</v>
      </c>
      <c r="B1249">
        <v>96.09</v>
      </c>
      <c r="C1249" s="6">
        <f t="shared" si="39"/>
        <v>3.0124356775300232E-2</v>
      </c>
      <c r="D1249" s="6">
        <f t="shared" si="38"/>
        <v>2.9679529686994277E-2</v>
      </c>
    </row>
    <row r="1250" spans="1:4" x14ac:dyDescent="0.25">
      <c r="A1250" t="s">
        <v>1297</v>
      </c>
      <c r="B1250">
        <v>93.28</v>
      </c>
      <c r="C1250" s="6">
        <f t="shared" si="39"/>
        <v>1.6343429941163556E-2</v>
      </c>
      <c r="D1250" s="6">
        <f t="shared" si="38"/>
        <v>1.621131363549471E-2</v>
      </c>
    </row>
    <row r="1251" spans="1:4" x14ac:dyDescent="0.25">
      <c r="A1251" t="s">
        <v>1298</v>
      </c>
      <c r="B1251">
        <v>91.78</v>
      </c>
      <c r="C1251" s="6">
        <f t="shared" si="39"/>
        <v>-1.9234879247702508E-2</v>
      </c>
      <c r="D1251" s="6">
        <f t="shared" si="38"/>
        <v>-1.9422276471382793E-2</v>
      </c>
    </row>
    <row r="1252" spans="1:4" x14ac:dyDescent="0.25">
      <c r="A1252" t="s">
        <v>1299</v>
      </c>
      <c r="B1252">
        <v>93.58</v>
      </c>
      <c r="C1252" s="6">
        <f t="shared" si="39"/>
        <v>-4.3833656891795303E-2</v>
      </c>
      <c r="D1252" s="6">
        <f t="shared" si="38"/>
        <v>-4.4823381999657977E-2</v>
      </c>
    </row>
    <row r="1253" spans="1:4" x14ac:dyDescent="0.25">
      <c r="A1253" t="s">
        <v>1300</v>
      </c>
      <c r="B1253">
        <v>97.87</v>
      </c>
      <c r="C1253" s="6">
        <f t="shared" si="39"/>
        <v>1.3042128144084453E-2</v>
      </c>
      <c r="D1253" s="6">
        <f t="shared" si="38"/>
        <v>1.2957811908309908E-2</v>
      </c>
    </row>
    <row r="1254" spans="1:4" x14ac:dyDescent="0.25">
      <c r="A1254" t="s">
        <v>1301</v>
      </c>
      <c r="B1254">
        <v>96.61</v>
      </c>
      <c r="C1254" s="6">
        <f t="shared" si="39"/>
        <v>1.0882075965261029E-2</v>
      </c>
      <c r="D1254" s="6">
        <f t="shared" si="38"/>
        <v>1.0823292251329886E-2</v>
      </c>
    </row>
    <row r="1255" spans="1:4" x14ac:dyDescent="0.25">
      <c r="A1255" t="s">
        <v>1302</v>
      </c>
      <c r="B1255">
        <v>95.57</v>
      </c>
      <c r="C1255" s="6">
        <f t="shared" si="39"/>
        <v>3.0737704918032627E-2</v>
      </c>
      <c r="D1255" s="6">
        <f t="shared" si="38"/>
        <v>3.0274764246591875E-2</v>
      </c>
    </row>
    <row r="1256" spans="1:4" x14ac:dyDescent="0.25">
      <c r="A1256" t="s">
        <v>1303</v>
      </c>
      <c r="B1256">
        <v>92.72</v>
      </c>
      <c r="C1256" s="6">
        <f>(B1256/B1257)-1</f>
        <v>-2.008032128514059E-2</v>
      </c>
      <c r="D1256" s="6">
        <f t="shared" si="38"/>
        <v>-2.0284671171505776E-2</v>
      </c>
    </row>
    <row r="1257" spans="1:4" x14ac:dyDescent="0.25">
      <c r="A1257" t="s">
        <v>1304</v>
      </c>
      <c r="B1257">
        <v>94.62</v>
      </c>
      <c r="C1257" s="6">
        <f t="shared" si="39"/>
        <v>-6.7184547554062224E-3</v>
      </c>
      <c r="D1257" s="6">
        <f t="shared" si="38"/>
        <v>-6.7411251697122813E-3</v>
      </c>
    </row>
    <row r="1258" spans="1:4" x14ac:dyDescent="0.25">
      <c r="A1258" t="s">
        <v>1305</v>
      </c>
      <c r="B1258">
        <v>95.26</v>
      </c>
      <c r="C1258" s="6">
        <f t="shared" si="39"/>
        <v>2.9479890503263384E-3</v>
      </c>
      <c r="D1258" s="6">
        <f t="shared" si="38"/>
        <v>2.9436522517385052E-3</v>
      </c>
    </row>
    <row r="1259" spans="1:4" x14ac:dyDescent="0.25">
      <c r="A1259" t="s">
        <v>1306</v>
      </c>
      <c r="B1259">
        <v>94.98</v>
      </c>
      <c r="C1259" s="6">
        <f t="shared" si="39"/>
        <v>-2.1833161688980307E-2</v>
      </c>
      <c r="D1259" s="6">
        <f t="shared" si="38"/>
        <v>-2.2075032176303317E-2</v>
      </c>
    </row>
    <row r="1260" spans="1:4" x14ac:dyDescent="0.25">
      <c r="A1260" t="s">
        <v>1307</v>
      </c>
      <c r="B1260">
        <v>97.1</v>
      </c>
      <c r="C1260" s="6" t="e">
        <f t="shared" si="39"/>
        <v>#DIV/0!</v>
      </c>
      <c r="D1260" s="6" t="e">
        <f t="shared" si="38"/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0"/>
  <sheetViews>
    <sheetView zoomScale="80" workbookViewId="0">
      <selection activeCell="C5" sqref="C5"/>
    </sheetView>
  </sheetViews>
  <sheetFormatPr baseColWidth="10" defaultRowHeight="15" x14ac:dyDescent="0.25"/>
  <cols>
    <col min="1" max="1" width="13" customWidth="1"/>
    <col min="3" max="5" width="11.42578125" style="6"/>
    <col min="6" max="6" width="27.7109375" style="6" customWidth="1"/>
    <col min="7" max="7" width="15.140625" style="6" customWidth="1"/>
    <col min="8" max="8" width="11.42578125" style="6" customWidth="1"/>
    <col min="9" max="16384" width="11.42578125" style="6"/>
  </cols>
  <sheetData>
    <row r="1" spans="1:8" x14ac:dyDescent="0.25">
      <c r="A1" s="21" t="s">
        <v>48</v>
      </c>
      <c r="B1" s="21" t="s">
        <v>1308</v>
      </c>
      <c r="C1" s="20" t="s">
        <v>1</v>
      </c>
      <c r="D1" s="20" t="s">
        <v>2</v>
      </c>
      <c r="F1" s="18" t="s">
        <v>3</v>
      </c>
      <c r="G1" s="8">
        <f>B2</f>
        <v>7.14</v>
      </c>
    </row>
    <row r="2" spans="1:8" x14ac:dyDescent="0.25">
      <c r="A2" t="s">
        <v>49</v>
      </c>
      <c r="B2">
        <v>7.14</v>
      </c>
      <c r="C2" s="6">
        <f>(B2/B3)-1</f>
        <v>-1.3812154696132617E-2</v>
      </c>
      <c r="D2" s="6">
        <f>LN(B2/B3)</f>
        <v>-1.3908430046132E-2</v>
      </c>
      <c r="F2" s="18" t="s">
        <v>4</v>
      </c>
      <c r="G2" s="8">
        <f>MIN(B2:B1260)</f>
        <v>6.62</v>
      </c>
    </row>
    <row r="3" spans="1:8" x14ac:dyDescent="0.25">
      <c r="A3" t="s">
        <v>50</v>
      </c>
      <c r="B3">
        <v>7.24</v>
      </c>
      <c r="C3" s="6">
        <f t="shared" ref="C3:C66" si="0">(B3/B4)-1</f>
        <v>-6.5806451612903216E-2</v>
      </c>
      <c r="D3" s="6">
        <f t="shared" ref="D3:D66" si="1">LN(B3/B4)</f>
        <v>-6.8071636967630619E-2</v>
      </c>
      <c r="F3" s="18" t="s">
        <v>5</v>
      </c>
      <c r="G3" s="8">
        <f>MAX(B2:B1260)</f>
        <v>59.59</v>
      </c>
    </row>
    <row r="4" spans="1:8" x14ac:dyDescent="0.25">
      <c r="A4" t="s">
        <v>51</v>
      </c>
      <c r="B4">
        <v>7.75</v>
      </c>
      <c r="C4" s="6">
        <f t="shared" si="0"/>
        <v>-6.4102564102563875E-3</v>
      </c>
      <c r="D4" s="6">
        <f t="shared" si="1"/>
        <v>-6.4308903302904025E-3</v>
      </c>
      <c r="F4" s="18" t="s">
        <v>6</v>
      </c>
      <c r="G4" s="12">
        <f>AVERAGE(B2:B1260)</f>
        <v>24.473518665607656</v>
      </c>
    </row>
    <row r="5" spans="1:8" x14ac:dyDescent="0.25">
      <c r="A5" t="s">
        <v>52</v>
      </c>
      <c r="B5">
        <v>7.8</v>
      </c>
      <c r="C5" s="6">
        <f t="shared" si="0"/>
        <v>2.7667984189723382E-2</v>
      </c>
      <c r="D5" s="6">
        <f t="shared" si="1"/>
        <v>2.7292142288007554E-2</v>
      </c>
      <c r="F5" s="18" t="s">
        <v>7</v>
      </c>
      <c r="G5" s="13">
        <f>STDEVA(B2:B1260)</f>
        <v>14.626227572366563</v>
      </c>
    </row>
    <row r="6" spans="1:8" x14ac:dyDescent="0.25">
      <c r="A6" t="s">
        <v>53</v>
      </c>
      <c r="B6">
        <v>7.59</v>
      </c>
      <c r="C6" s="6">
        <f t="shared" si="0"/>
        <v>-7.8431372549020439E-3</v>
      </c>
      <c r="D6" s="6">
        <f t="shared" si="1"/>
        <v>-7.8740564309059957E-3</v>
      </c>
    </row>
    <row r="7" spans="1:8" x14ac:dyDescent="0.25">
      <c r="A7" t="s">
        <v>54</v>
      </c>
      <c r="B7">
        <v>7.65</v>
      </c>
      <c r="C7" s="6">
        <f t="shared" si="0"/>
        <v>4.6511627906976827E-2</v>
      </c>
      <c r="D7" s="6">
        <f t="shared" si="1"/>
        <v>4.5462374076757413E-2</v>
      </c>
    </row>
    <row r="8" spans="1:8" x14ac:dyDescent="0.25">
      <c r="A8" t="s">
        <v>55</v>
      </c>
      <c r="B8">
        <v>7.31</v>
      </c>
      <c r="C8" s="6">
        <f t="shared" si="0"/>
        <v>1.6689847009735637E-2</v>
      </c>
      <c r="D8" s="6">
        <f t="shared" si="1"/>
        <v>1.6552102028731711E-2</v>
      </c>
      <c r="F8" s="20" t="s">
        <v>8</v>
      </c>
      <c r="G8" s="20" t="s">
        <v>9</v>
      </c>
      <c r="H8" s="20" t="s">
        <v>0</v>
      </c>
    </row>
    <row r="9" spans="1:8" x14ac:dyDescent="0.25">
      <c r="A9" t="s">
        <v>56</v>
      </c>
      <c r="B9">
        <v>7.19</v>
      </c>
      <c r="C9" s="6">
        <f t="shared" si="0"/>
        <v>2.1306818181818121E-2</v>
      </c>
      <c r="D9" s="6">
        <f t="shared" si="1"/>
        <v>2.1083001563004227E-2</v>
      </c>
      <c r="F9" s="18" t="s">
        <v>4</v>
      </c>
      <c r="G9" s="9">
        <f>MIN(C2:C1259)</f>
        <v>-0.10045203415369164</v>
      </c>
      <c r="H9" s="9">
        <f>MIN(D2:D1259)</f>
        <v>-0.10586290200348454</v>
      </c>
    </row>
    <row r="10" spans="1:8" x14ac:dyDescent="0.25">
      <c r="A10" t="s">
        <v>57</v>
      </c>
      <c r="B10">
        <v>7.04</v>
      </c>
      <c r="C10" s="6">
        <f t="shared" si="0"/>
        <v>1.0043041606886627E-2</v>
      </c>
      <c r="D10" s="6">
        <f t="shared" si="1"/>
        <v>9.9929453975184865E-3</v>
      </c>
      <c r="F10" s="18" t="s">
        <v>5</v>
      </c>
      <c r="G10" s="9">
        <f>MAX(C2:C1259)</f>
        <v>0.22848007870142673</v>
      </c>
      <c r="H10" s="9">
        <f>MAX(D2:D1259)</f>
        <v>0.20577769689436215</v>
      </c>
    </row>
    <row r="11" spans="1:8" x14ac:dyDescent="0.25">
      <c r="A11" t="s">
        <v>58</v>
      </c>
      <c r="B11">
        <v>6.97</v>
      </c>
      <c r="C11" s="6">
        <f t="shared" si="0"/>
        <v>1.1611030478954953E-2</v>
      </c>
      <c r="D11" s="6">
        <f t="shared" si="1"/>
        <v>1.1544139746865261E-2</v>
      </c>
      <c r="F11" s="19" t="s">
        <v>47</v>
      </c>
      <c r="G11" s="16">
        <f>AVERAGE(C2:C1259)</f>
        <v>-6.3173612568370426E-4</v>
      </c>
      <c r="H11" s="16">
        <f>AVERAGE(D2:D1259)</f>
        <v>-1.0153180634816664E-3</v>
      </c>
    </row>
    <row r="12" spans="1:8" x14ac:dyDescent="0.25">
      <c r="A12" t="s">
        <v>59</v>
      </c>
      <c r="B12">
        <v>6.89</v>
      </c>
      <c r="C12" s="6">
        <f t="shared" si="0"/>
        <v>7.309941520467822E-3</v>
      </c>
      <c r="D12" s="6">
        <f t="shared" si="1"/>
        <v>7.2833533911080941E-3</v>
      </c>
      <c r="F12" s="18" t="s">
        <v>10</v>
      </c>
      <c r="G12" s="10">
        <f>G11*252</f>
        <v>-0.15919750367229346</v>
      </c>
      <c r="H12" s="8">
        <f>H11*252</f>
        <v>-0.25586015199737994</v>
      </c>
    </row>
    <row r="13" spans="1:8" x14ac:dyDescent="0.25">
      <c r="A13" t="s">
        <v>60</v>
      </c>
      <c r="B13">
        <v>6.84</v>
      </c>
      <c r="C13" s="6">
        <f t="shared" si="0"/>
        <v>1.7857142857142794E-2</v>
      </c>
      <c r="D13" s="6">
        <f t="shared" si="1"/>
        <v>1.7699577099400857E-2</v>
      </c>
      <c r="F13" s="18" t="s">
        <v>7</v>
      </c>
      <c r="G13" s="10">
        <f>STDEVA(C2:C1259)</f>
        <v>2.7896638000486605E-2</v>
      </c>
      <c r="H13" s="10">
        <f>STDEVA(D2:D1259)</f>
        <v>2.7605638623298231E-2</v>
      </c>
    </row>
    <row r="14" spans="1:8" x14ac:dyDescent="0.25">
      <c r="A14" t="s">
        <v>61</v>
      </c>
      <c r="B14">
        <v>6.72</v>
      </c>
      <c r="C14" s="6">
        <f t="shared" si="0"/>
        <v>-4.1369472182596345E-2</v>
      </c>
      <c r="D14" s="6">
        <f t="shared" si="1"/>
        <v>-4.2249546511440604E-2</v>
      </c>
      <c r="F14" s="18" t="s">
        <v>12</v>
      </c>
      <c r="G14" s="11">
        <f>G13*SQRT(252)</f>
        <v>0.4428453993844903</v>
      </c>
      <c r="H14" s="11">
        <f>H13*(252)^(1/2)</f>
        <v>0.43822592748219957</v>
      </c>
    </row>
    <row r="15" spans="1:8" x14ac:dyDescent="0.25">
      <c r="A15" t="s">
        <v>62</v>
      </c>
      <c r="B15">
        <v>7.01</v>
      </c>
      <c r="C15" s="6">
        <f t="shared" si="0"/>
        <v>5.0974512743628075E-2</v>
      </c>
      <c r="D15" s="6">
        <f t="shared" si="1"/>
        <v>4.9717841118966266E-2</v>
      </c>
      <c r="F15" s="19" t="s">
        <v>14</v>
      </c>
      <c r="G15" s="14">
        <f>VARA(C2:C1259)</f>
        <v>7.7822241173019331E-4</v>
      </c>
      <c r="H15" s="14">
        <f>VARA(D2:D1259)</f>
        <v>7.6207128380013499E-4</v>
      </c>
    </row>
    <row r="16" spans="1:8" x14ac:dyDescent="0.25">
      <c r="A16" t="s">
        <v>63</v>
      </c>
      <c r="B16">
        <v>6.67</v>
      </c>
      <c r="C16" s="6">
        <f t="shared" si="0"/>
        <v>7.5528700906344337E-3</v>
      </c>
      <c r="D16" s="6">
        <f t="shared" si="1"/>
        <v>7.5244899786155008E-3</v>
      </c>
      <c r="F16" s="19" t="s">
        <v>34</v>
      </c>
      <c r="G16" s="15">
        <f>SQRT(G15)</f>
        <v>2.7896638000486605E-2</v>
      </c>
      <c r="H16" s="15">
        <f>SQRT(H15)</f>
        <v>2.7605638623298231E-2</v>
      </c>
    </row>
    <row r="17" spans="1:4" x14ac:dyDescent="0.25">
      <c r="A17" t="s">
        <v>64</v>
      </c>
      <c r="B17">
        <v>6.62</v>
      </c>
      <c r="C17" s="6">
        <f t="shared" si="0"/>
        <v>-2.9325513196480912E-2</v>
      </c>
      <c r="D17" s="6">
        <f t="shared" si="1"/>
        <v>-2.9764101906453861E-2</v>
      </c>
    </row>
    <row r="18" spans="1:4" x14ac:dyDescent="0.25">
      <c r="A18" t="s">
        <v>65</v>
      </c>
      <c r="B18">
        <v>6.82</v>
      </c>
      <c r="C18" s="6">
        <f t="shared" si="0"/>
        <v>-2.2922636103151928E-2</v>
      </c>
      <c r="D18" s="6">
        <f t="shared" si="1"/>
        <v>-2.3189444918910441E-2</v>
      </c>
    </row>
    <row r="19" spans="1:4" x14ac:dyDescent="0.25">
      <c r="A19" t="s">
        <v>66</v>
      </c>
      <c r="B19">
        <v>6.98</v>
      </c>
      <c r="C19" s="6">
        <f t="shared" si="0"/>
        <v>-3.7241379310344769E-2</v>
      </c>
      <c r="D19" s="6">
        <f t="shared" si="1"/>
        <v>-3.7952552092302243E-2</v>
      </c>
    </row>
    <row r="20" spans="1:4" x14ac:dyDescent="0.25">
      <c r="A20" t="s">
        <v>67</v>
      </c>
      <c r="B20">
        <v>7.25</v>
      </c>
      <c r="C20" s="6">
        <f t="shared" si="0"/>
        <v>1.1157601115760141E-2</v>
      </c>
      <c r="D20" s="6">
        <f t="shared" si="1"/>
        <v>1.1095814255054447E-2</v>
      </c>
    </row>
    <row r="21" spans="1:4" x14ac:dyDescent="0.25">
      <c r="A21" t="s">
        <v>68</v>
      </c>
      <c r="B21">
        <v>7.17</v>
      </c>
      <c r="C21" s="6">
        <f t="shared" si="0"/>
        <v>1.2711864406779627E-2</v>
      </c>
      <c r="D21" s="6">
        <f t="shared" si="1"/>
        <v>1.2631746905900564E-2</v>
      </c>
    </row>
    <row r="22" spans="1:4" x14ac:dyDescent="0.25">
      <c r="A22" t="s">
        <v>69</v>
      </c>
      <c r="B22">
        <v>7.08</v>
      </c>
      <c r="C22" s="6">
        <f t="shared" si="0"/>
        <v>5.6818181818181213E-3</v>
      </c>
      <c r="D22" s="6">
        <f t="shared" si="1"/>
        <v>5.6657375356772999E-3</v>
      </c>
    </row>
    <row r="23" spans="1:4" x14ac:dyDescent="0.25">
      <c r="A23" t="s">
        <v>70</v>
      </c>
      <c r="B23">
        <v>7.04</v>
      </c>
      <c r="C23" s="6">
        <f t="shared" si="0"/>
        <v>-2.4930747922437657E-2</v>
      </c>
      <c r="D23" s="6">
        <f t="shared" si="1"/>
        <v>-2.5246782734783813E-2</v>
      </c>
    </row>
    <row r="24" spans="1:4" x14ac:dyDescent="0.25">
      <c r="A24" t="s">
        <v>71</v>
      </c>
      <c r="B24">
        <v>7.22</v>
      </c>
      <c r="C24" s="6">
        <f t="shared" si="0"/>
        <v>1.5471167369901506E-2</v>
      </c>
      <c r="D24" s="6">
        <f t="shared" si="1"/>
        <v>1.5352709089585312E-2</v>
      </c>
    </row>
    <row r="25" spans="1:4" x14ac:dyDescent="0.25">
      <c r="A25" t="s">
        <v>72</v>
      </c>
      <c r="B25">
        <v>7.11</v>
      </c>
      <c r="C25" s="6">
        <f t="shared" si="0"/>
        <v>-2.2008253094910502E-2</v>
      </c>
      <c r="D25" s="6">
        <f t="shared" si="1"/>
        <v>-2.2254047730278396E-2</v>
      </c>
    </row>
    <row r="26" spans="1:4" x14ac:dyDescent="0.25">
      <c r="A26" t="s">
        <v>73</v>
      </c>
      <c r="B26">
        <v>7.27</v>
      </c>
      <c r="C26" s="6">
        <f t="shared" si="0"/>
        <v>3.7089871611982961E-2</v>
      </c>
      <c r="D26" s="6">
        <f t="shared" si="1"/>
        <v>3.641859049892935E-2</v>
      </c>
    </row>
    <row r="27" spans="1:4" x14ac:dyDescent="0.25">
      <c r="A27" t="s">
        <v>74</v>
      </c>
      <c r="B27">
        <v>7.01</v>
      </c>
      <c r="C27" s="6">
        <f t="shared" si="0"/>
        <v>2.7859237536656867E-2</v>
      </c>
      <c r="D27" s="6">
        <f t="shared" si="1"/>
        <v>2.7478229191127967E-2</v>
      </c>
    </row>
    <row r="28" spans="1:4" x14ac:dyDescent="0.25">
      <c r="A28" t="s">
        <v>75</v>
      </c>
      <c r="B28">
        <v>6.82</v>
      </c>
      <c r="C28" s="6">
        <f t="shared" si="0"/>
        <v>-1.1594202898550732E-2</v>
      </c>
      <c r="D28" s="6">
        <f t="shared" si="1"/>
        <v>-1.1661939747842975E-2</v>
      </c>
    </row>
    <row r="29" spans="1:4" x14ac:dyDescent="0.25">
      <c r="A29" t="s">
        <v>76</v>
      </c>
      <c r="B29">
        <v>6.9</v>
      </c>
      <c r="C29" s="6">
        <f t="shared" si="0"/>
        <v>3.1390134529148073E-2</v>
      </c>
      <c r="D29" s="6">
        <f t="shared" si="1"/>
        <v>3.0907537463076704E-2</v>
      </c>
    </row>
    <row r="30" spans="1:4" x14ac:dyDescent="0.25">
      <c r="A30" t="s">
        <v>77</v>
      </c>
      <c r="B30">
        <v>6.69</v>
      </c>
      <c r="C30" s="6">
        <f t="shared" si="0"/>
        <v>-2.0497803806734938E-2</v>
      </c>
      <c r="D30" s="6">
        <f t="shared" si="1"/>
        <v>-2.0710799442561559E-2</v>
      </c>
    </row>
    <row r="31" spans="1:4" x14ac:dyDescent="0.25">
      <c r="A31" t="s">
        <v>78</v>
      </c>
      <c r="B31">
        <v>6.83</v>
      </c>
      <c r="C31" s="6">
        <f t="shared" si="0"/>
        <v>-3.667136812411842E-2</v>
      </c>
      <c r="D31" s="6">
        <f t="shared" si="1"/>
        <v>-3.7360666961337378E-2</v>
      </c>
    </row>
    <row r="32" spans="1:4" x14ac:dyDescent="0.25">
      <c r="A32" t="s">
        <v>79</v>
      </c>
      <c r="B32">
        <v>7.09</v>
      </c>
      <c r="C32" s="6">
        <f t="shared" si="0"/>
        <v>4.2492917847025691E-3</v>
      </c>
      <c r="D32" s="6">
        <f t="shared" si="1"/>
        <v>4.2402890388854421E-3</v>
      </c>
    </row>
    <row r="33" spans="1:4" x14ac:dyDescent="0.25">
      <c r="A33" t="s">
        <v>80</v>
      </c>
      <c r="B33">
        <v>7.06</v>
      </c>
      <c r="C33" s="6">
        <f t="shared" si="0"/>
        <v>-5.6149732620320969E-2</v>
      </c>
      <c r="D33" s="6">
        <f t="shared" si="1"/>
        <v>-5.7787740481235285E-2</v>
      </c>
    </row>
    <row r="34" spans="1:4" x14ac:dyDescent="0.25">
      <c r="A34" t="s">
        <v>81</v>
      </c>
      <c r="B34">
        <v>7.48</v>
      </c>
      <c r="C34" s="6">
        <f t="shared" si="0"/>
        <v>-6.1480552070263372E-2</v>
      </c>
      <c r="D34" s="6">
        <f t="shared" si="1"/>
        <v>-6.3451700815737672E-2</v>
      </c>
    </row>
    <row r="35" spans="1:4" x14ac:dyDescent="0.25">
      <c r="A35" t="s">
        <v>82</v>
      </c>
      <c r="B35">
        <v>7.97</v>
      </c>
      <c r="C35" s="6">
        <f t="shared" si="0"/>
        <v>-2.2085889570552242E-2</v>
      </c>
      <c r="D35" s="6">
        <f t="shared" si="1"/>
        <v>-2.2333434450647765E-2</v>
      </c>
    </row>
    <row r="36" spans="1:4" x14ac:dyDescent="0.25">
      <c r="A36" t="s">
        <v>83</v>
      </c>
      <c r="B36">
        <v>8.15</v>
      </c>
      <c r="C36" s="6">
        <f t="shared" si="0"/>
        <v>-2.511961722488032E-2</v>
      </c>
      <c r="D36" s="6">
        <f t="shared" si="1"/>
        <v>-2.5440499843838848E-2</v>
      </c>
    </row>
    <row r="37" spans="1:4" x14ac:dyDescent="0.25">
      <c r="A37" t="s">
        <v>84</v>
      </c>
      <c r="B37">
        <v>8.36</v>
      </c>
      <c r="C37" s="6">
        <f t="shared" si="0"/>
        <v>2.7027027027026973E-2</v>
      </c>
      <c r="D37" s="6">
        <f t="shared" si="1"/>
        <v>2.6668247082161273E-2</v>
      </c>
    </row>
    <row r="38" spans="1:4" x14ac:dyDescent="0.25">
      <c r="A38" t="s">
        <v>85</v>
      </c>
      <c r="B38">
        <v>8.14</v>
      </c>
      <c r="C38" s="6">
        <f t="shared" si="0"/>
        <v>2.518891687657443E-2</v>
      </c>
      <c r="D38" s="6">
        <f t="shared" si="1"/>
        <v>2.4876904755404695E-2</v>
      </c>
    </row>
    <row r="39" spans="1:4" x14ac:dyDescent="0.25">
      <c r="A39" t="s">
        <v>86</v>
      </c>
      <c r="B39">
        <v>7.94</v>
      </c>
      <c r="C39" s="6">
        <f t="shared" si="0"/>
        <v>1.5345268542199531E-2</v>
      </c>
      <c r="D39" s="6">
        <f t="shared" si="1"/>
        <v>1.5228720701824683E-2</v>
      </c>
    </row>
    <row r="40" spans="1:4" x14ac:dyDescent="0.25">
      <c r="A40" t="s">
        <v>87</v>
      </c>
      <c r="B40">
        <v>7.82</v>
      </c>
      <c r="C40" s="6">
        <f t="shared" si="0"/>
        <v>-2.5510204081632404E-3</v>
      </c>
      <c r="D40" s="6">
        <f t="shared" si="1"/>
        <v>-2.5542798050967423E-3</v>
      </c>
    </row>
    <row r="41" spans="1:4" x14ac:dyDescent="0.25">
      <c r="A41" t="s">
        <v>88</v>
      </c>
      <c r="B41">
        <v>7.84</v>
      </c>
      <c r="C41" s="6">
        <f t="shared" si="0"/>
        <v>-2.0000000000000018E-2</v>
      </c>
      <c r="D41" s="6">
        <f t="shared" si="1"/>
        <v>-2.0202707317519466E-2</v>
      </c>
    </row>
    <row r="42" spans="1:4" x14ac:dyDescent="0.25">
      <c r="A42" t="s">
        <v>89</v>
      </c>
      <c r="B42">
        <v>8</v>
      </c>
      <c r="C42" s="6">
        <f t="shared" si="0"/>
        <v>2.695763799743256E-2</v>
      </c>
      <c r="D42" s="6">
        <f t="shared" si="1"/>
        <v>2.6600681797178987E-2</v>
      </c>
    </row>
    <row r="43" spans="1:4" x14ac:dyDescent="0.25">
      <c r="A43" t="s">
        <v>90</v>
      </c>
      <c r="B43">
        <v>7.79</v>
      </c>
      <c r="C43" s="6">
        <f t="shared" si="0"/>
        <v>-2.0125786163522008E-2</v>
      </c>
      <c r="D43" s="6">
        <f t="shared" si="1"/>
        <v>-2.0331068783583633E-2</v>
      </c>
    </row>
    <row r="44" spans="1:4" x14ac:dyDescent="0.25">
      <c r="A44" t="s">
        <v>91</v>
      </c>
      <c r="B44">
        <v>7.95</v>
      </c>
      <c r="C44" s="6">
        <f t="shared" si="0"/>
        <v>-3.7593984962406291E-3</v>
      </c>
      <c r="D44" s="6">
        <f t="shared" si="1"/>
        <v>-3.7664827954768934E-3</v>
      </c>
    </row>
    <row r="45" spans="1:4" x14ac:dyDescent="0.25">
      <c r="A45" t="s">
        <v>92</v>
      </c>
      <c r="B45">
        <v>7.98</v>
      </c>
      <c r="C45" s="6">
        <f t="shared" si="0"/>
        <v>1.2547051442912682E-3</v>
      </c>
      <c r="D45" s="6">
        <f t="shared" si="1"/>
        <v>1.2539186595939031E-3</v>
      </c>
    </row>
    <row r="46" spans="1:4" x14ac:dyDescent="0.25">
      <c r="A46" t="s">
        <v>93</v>
      </c>
      <c r="B46">
        <v>7.97</v>
      </c>
      <c r="C46" s="6">
        <f t="shared" si="0"/>
        <v>1.1421319796954377E-2</v>
      </c>
      <c r="D46" s="6">
        <f t="shared" si="1"/>
        <v>1.1356588932335975E-2</v>
      </c>
    </row>
    <row r="47" spans="1:4" x14ac:dyDescent="0.25">
      <c r="A47" t="s">
        <v>94</v>
      </c>
      <c r="B47">
        <v>7.88</v>
      </c>
      <c r="C47" s="6">
        <f t="shared" si="0"/>
        <v>-4.7158403869407506E-2</v>
      </c>
      <c r="D47" s="6">
        <f t="shared" si="1"/>
        <v>-4.83066051658122E-2</v>
      </c>
    </row>
    <row r="48" spans="1:4" x14ac:dyDescent="0.25">
      <c r="A48" t="s">
        <v>95</v>
      </c>
      <c r="B48">
        <v>8.27</v>
      </c>
      <c r="C48" s="6">
        <f t="shared" si="0"/>
        <v>-9.5808383233533245E-3</v>
      </c>
      <c r="D48" s="6">
        <f t="shared" si="1"/>
        <v>-9.6270298271641987E-3</v>
      </c>
    </row>
    <row r="49" spans="1:4" x14ac:dyDescent="0.25">
      <c r="A49" t="s">
        <v>96</v>
      </c>
      <c r="B49">
        <v>8.35</v>
      </c>
      <c r="C49" s="6">
        <f t="shared" si="0"/>
        <v>-2.7939464493597188E-2</v>
      </c>
      <c r="D49" s="6">
        <f t="shared" si="1"/>
        <v>-2.8337197133399872E-2</v>
      </c>
    </row>
    <row r="50" spans="1:4" x14ac:dyDescent="0.25">
      <c r="A50" t="s">
        <v>97</v>
      </c>
      <c r="B50">
        <v>8.59</v>
      </c>
      <c r="C50" s="6">
        <f t="shared" si="0"/>
        <v>-1.2643678160919491E-2</v>
      </c>
      <c r="D50" s="6">
        <f t="shared" si="1"/>
        <v>-1.2724289664373983E-2</v>
      </c>
    </row>
    <row r="51" spans="1:4" x14ac:dyDescent="0.25">
      <c r="A51" t="s">
        <v>98</v>
      </c>
      <c r="B51">
        <v>8.6999999999999993</v>
      </c>
      <c r="C51" s="6">
        <f t="shared" si="0"/>
        <v>-3.4364261168385868E-3</v>
      </c>
      <c r="D51" s="6">
        <f t="shared" si="1"/>
        <v>-3.4423441909729015E-3</v>
      </c>
    </row>
    <row r="52" spans="1:4" x14ac:dyDescent="0.25">
      <c r="A52" t="s">
        <v>99</v>
      </c>
      <c r="B52">
        <v>8.73</v>
      </c>
      <c r="C52" s="6">
        <f t="shared" si="0"/>
        <v>3.4482758620690834E-3</v>
      </c>
      <c r="D52" s="6">
        <f t="shared" si="1"/>
        <v>3.4423441909729197E-3</v>
      </c>
    </row>
    <row r="53" spans="1:4" x14ac:dyDescent="0.25">
      <c r="A53" t="s">
        <v>100</v>
      </c>
      <c r="B53">
        <v>8.6999999999999993</v>
      </c>
      <c r="C53" s="6">
        <f t="shared" si="0"/>
        <v>2.1126760563380254E-2</v>
      </c>
      <c r="D53" s="6">
        <f t="shared" si="1"/>
        <v>2.0906684819313643E-2</v>
      </c>
    </row>
    <row r="54" spans="1:4" x14ac:dyDescent="0.25">
      <c r="A54" t="s">
        <v>101</v>
      </c>
      <c r="B54">
        <v>8.52</v>
      </c>
      <c r="C54" s="6">
        <f t="shared" si="0"/>
        <v>4.5398773006134929E-2</v>
      </c>
      <c r="D54" s="6">
        <f t="shared" si="1"/>
        <v>4.4398413588452985E-2</v>
      </c>
    </row>
    <row r="55" spans="1:4" x14ac:dyDescent="0.25">
      <c r="A55" t="s">
        <v>102</v>
      </c>
      <c r="B55">
        <v>8.15</v>
      </c>
      <c r="C55" s="6">
        <f t="shared" si="0"/>
        <v>9.9132589838910601E-3</v>
      </c>
      <c r="D55" s="6">
        <f t="shared" si="1"/>
        <v>9.8644449709140158E-3</v>
      </c>
    </row>
    <row r="56" spans="1:4" x14ac:dyDescent="0.25">
      <c r="A56" t="s">
        <v>103</v>
      </c>
      <c r="B56">
        <v>8.07</v>
      </c>
      <c r="C56" s="6">
        <f t="shared" si="0"/>
        <v>7.4906367041198685E-3</v>
      </c>
      <c r="D56" s="6">
        <f t="shared" si="1"/>
        <v>7.4627212015895943E-3</v>
      </c>
    </row>
    <row r="57" spans="1:4" x14ac:dyDescent="0.25">
      <c r="A57" t="s">
        <v>104</v>
      </c>
      <c r="B57">
        <v>8.01</v>
      </c>
      <c r="C57" s="6">
        <f t="shared" si="0"/>
        <v>7.547169811320753E-3</v>
      </c>
      <c r="D57" s="6">
        <f t="shared" si="1"/>
        <v>7.518832414027319E-3</v>
      </c>
    </row>
    <row r="58" spans="1:4" x14ac:dyDescent="0.25">
      <c r="A58" t="s">
        <v>105</v>
      </c>
      <c r="B58">
        <v>7.95</v>
      </c>
      <c r="C58" s="6">
        <f t="shared" si="0"/>
        <v>-2.6927784577723379E-2</v>
      </c>
      <c r="D58" s="6">
        <f t="shared" si="1"/>
        <v>-2.7296980205670986E-2</v>
      </c>
    </row>
    <row r="59" spans="1:4" x14ac:dyDescent="0.25">
      <c r="A59" t="s">
        <v>106</v>
      </c>
      <c r="B59">
        <v>8.17</v>
      </c>
      <c r="C59" s="6">
        <f t="shared" si="0"/>
        <v>1.225490196078427E-3</v>
      </c>
      <c r="D59" s="6">
        <f t="shared" si="1"/>
        <v>1.2247398958958697E-3</v>
      </c>
    </row>
    <row r="60" spans="1:4" x14ac:dyDescent="0.25">
      <c r="A60" t="s">
        <v>107</v>
      </c>
      <c r="B60">
        <v>8.16</v>
      </c>
      <c r="C60" s="6">
        <f t="shared" si="0"/>
        <v>3.2911392405063244E-2</v>
      </c>
      <c r="D60" s="6">
        <f t="shared" si="1"/>
        <v>3.2381409503039783E-2</v>
      </c>
    </row>
    <row r="61" spans="1:4" x14ac:dyDescent="0.25">
      <c r="A61" t="s">
        <v>108</v>
      </c>
      <c r="B61">
        <v>7.9</v>
      </c>
      <c r="C61" s="6">
        <f t="shared" si="0"/>
        <v>1.0230179028132946E-2</v>
      </c>
      <c r="D61" s="6">
        <f t="shared" si="1"/>
        <v>1.0178204915756052E-2</v>
      </c>
    </row>
    <row r="62" spans="1:4" x14ac:dyDescent="0.25">
      <c r="A62" t="s">
        <v>109</v>
      </c>
      <c r="B62">
        <v>7.82</v>
      </c>
      <c r="C62" s="6">
        <f t="shared" si="0"/>
        <v>3.1662269129287601E-2</v>
      </c>
      <c r="D62" s="6">
        <f t="shared" si="1"/>
        <v>3.1171354902939426E-2</v>
      </c>
    </row>
    <row r="63" spans="1:4" x14ac:dyDescent="0.25">
      <c r="A63" t="s">
        <v>110</v>
      </c>
      <c r="B63">
        <v>7.58</v>
      </c>
      <c r="C63" s="6">
        <f t="shared" si="0"/>
        <v>2.5710419485791558E-2</v>
      </c>
      <c r="D63" s="6">
        <f t="shared" si="1"/>
        <v>2.5385464694169833E-2</v>
      </c>
    </row>
    <row r="64" spans="1:4" x14ac:dyDescent="0.25">
      <c r="A64" t="s">
        <v>111</v>
      </c>
      <c r="B64">
        <v>7.39</v>
      </c>
      <c r="C64" s="6">
        <f t="shared" si="0"/>
        <v>1.9310344827586201E-2</v>
      </c>
      <c r="D64" s="6">
        <f t="shared" si="1"/>
        <v>1.9126266093526991E-2</v>
      </c>
    </row>
    <row r="65" spans="1:4" x14ac:dyDescent="0.25">
      <c r="A65" t="s">
        <v>112</v>
      </c>
      <c r="B65">
        <v>7.25</v>
      </c>
      <c r="C65" s="6">
        <f t="shared" si="0"/>
        <v>-1.8944519621109546E-2</v>
      </c>
      <c r="D65" s="6">
        <f t="shared" si="1"/>
        <v>-1.9126266093526936E-2</v>
      </c>
    </row>
    <row r="66" spans="1:4" x14ac:dyDescent="0.25">
      <c r="A66" t="s">
        <v>113</v>
      </c>
      <c r="B66">
        <v>7.39</v>
      </c>
      <c r="C66" s="6">
        <f t="shared" si="0"/>
        <v>5.4421768707482165E-3</v>
      </c>
      <c r="D66" s="6">
        <f t="shared" si="1"/>
        <v>5.4274217353650154E-3</v>
      </c>
    </row>
    <row r="67" spans="1:4" x14ac:dyDescent="0.25">
      <c r="A67" t="s">
        <v>114</v>
      </c>
      <c r="B67">
        <v>7.35</v>
      </c>
      <c r="C67" s="6">
        <f t="shared" ref="C67:C130" si="2">(B67/B68)-1</f>
        <v>4.098360655737654E-3</v>
      </c>
      <c r="D67" s="6">
        <f t="shared" ref="D67:D130" si="3">LN(B67/B68)</f>
        <v>4.0899852515250664E-3</v>
      </c>
    </row>
    <row r="68" spans="1:4" x14ac:dyDescent="0.25">
      <c r="A68" t="s">
        <v>115</v>
      </c>
      <c r="B68">
        <v>7.32</v>
      </c>
      <c r="C68" s="6">
        <f t="shared" si="2"/>
        <v>2.2346368715083775E-2</v>
      </c>
      <c r="D68" s="6">
        <f t="shared" si="3"/>
        <v>2.2100347000665922E-2</v>
      </c>
    </row>
    <row r="69" spans="1:4" x14ac:dyDescent="0.25">
      <c r="A69" t="s">
        <v>116</v>
      </c>
      <c r="B69">
        <v>7.16</v>
      </c>
      <c r="C69" s="6">
        <f t="shared" si="2"/>
        <v>4.2075736325386526E-3</v>
      </c>
      <c r="D69" s="6">
        <f t="shared" si="3"/>
        <v>4.1987465463497612E-3</v>
      </c>
    </row>
    <row r="70" spans="1:4" x14ac:dyDescent="0.25">
      <c r="A70" t="s">
        <v>117</v>
      </c>
      <c r="B70">
        <v>7.13</v>
      </c>
      <c r="C70" s="6">
        <f t="shared" si="2"/>
        <v>7.0621468926552744E-3</v>
      </c>
      <c r="D70" s="6">
        <f t="shared" si="3"/>
        <v>7.037326720576084E-3</v>
      </c>
    </row>
    <row r="71" spans="1:4" x14ac:dyDescent="0.25">
      <c r="A71" t="s">
        <v>118</v>
      </c>
      <c r="B71">
        <v>7.08</v>
      </c>
      <c r="C71" s="6">
        <f t="shared" si="2"/>
        <v>1.4144271570013522E-3</v>
      </c>
      <c r="D71" s="6">
        <f t="shared" si="3"/>
        <v>1.4134277971469427E-3</v>
      </c>
    </row>
    <row r="72" spans="1:4" x14ac:dyDescent="0.25">
      <c r="A72" t="s">
        <v>119</v>
      </c>
      <c r="B72">
        <v>7.07</v>
      </c>
      <c r="C72" s="6">
        <f t="shared" si="2"/>
        <v>-1.4124293785310327E-3</v>
      </c>
      <c r="D72" s="6">
        <f t="shared" si="3"/>
        <v>-1.413427797146964E-3</v>
      </c>
    </row>
    <row r="73" spans="1:4" x14ac:dyDescent="0.25">
      <c r="A73" t="s">
        <v>120</v>
      </c>
      <c r="B73">
        <v>7.08</v>
      </c>
      <c r="C73" s="6">
        <f t="shared" si="2"/>
        <v>4.2553191489362874E-3</v>
      </c>
      <c r="D73" s="6">
        <f t="shared" si="3"/>
        <v>4.2462908814512243E-3</v>
      </c>
    </row>
    <row r="74" spans="1:4" x14ac:dyDescent="0.25">
      <c r="A74" t="s">
        <v>121</v>
      </c>
      <c r="B74">
        <v>7.05</v>
      </c>
      <c r="C74" s="6">
        <f t="shared" si="2"/>
        <v>-1.4164305949008194E-3</v>
      </c>
      <c r="D74" s="6">
        <f t="shared" si="3"/>
        <v>-1.4174346809733935E-3</v>
      </c>
    </row>
    <row r="75" spans="1:4" x14ac:dyDescent="0.25">
      <c r="A75" t="s">
        <v>122</v>
      </c>
      <c r="B75">
        <v>7.06</v>
      </c>
      <c r="C75" s="6">
        <f t="shared" si="2"/>
        <v>-4.7233468286099978E-2</v>
      </c>
      <c r="D75" s="6">
        <f t="shared" si="3"/>
        <v>-4.8385387802844931E-2</v>
      </c>
    </row>
    <row r="76" spans="1:4" x14ac:dyDescent="0.25">
      <c r="A76" t="s">
        <v>123</v>
      </c>
      <c r="B76">
        <v>7.41</v>
      </c>
      <c r="C76" s="6">
        <f t="shared" si="2"/>
        <v>-2.371541501976282E-2</v>
      </c>
      <c r="D76" s="6">
        <f t="shared" si="3"/>
        <v>-2.4001152099543014E-2</v>
      </c>
    </row>
    <row r="77" spans="1:4" x14ac:dyDescent="0.25">
      <c r="A77" t="s">
        <v>124</v>
      </c>
      <c r="B77">
        <v>7.59</v>
      </c>
      <c r="C77" s="6">
        <f t="shared" si="2"/>
        <v>1.3192612137202797E-3</v>
      </c>
      <c r="D77" s="6">
        <f t="shared" si="3"/>
        <v>1.3183917532582322E-3</v>
      </c>
    </row>
    <row r="78" spans="1:4" x14ac:dyDescent="0.25">
      <c r="A78" t="s">
        <v>125</v>
      </c>
      <c r="B78">
        <v>7.58</v>
      </c>
      <c r="C78" s="6">
        <f t="shared" si="2"/>
        <v>-3.8071065989847663E-2</v>
      </c>
      <c r="D78" s="6">
        <f t="shared" si="3"/>
        <v>-3.8814704215507416E-2</v>
      </c>
    </row>
    <row r="79" spans="1:4" x14ac:dyDescent="0.25">
      <c r="A79" t="s">
        <v>126</v>
      </c>
      <c r="B79">
        <v>7.88</v>
      </c>
      <c r="C79" s="6">
        <f t="shared" si="2"/>
        <v>4.2328042328042326E-2</v>
      </c>
      <c r="D79" s="6">
        <f t="shared" si="3"/>
        <v>4.1456713678346128E-2</v>
      </c>
    </row>
    <row r="80" spans="1:4" x14ac:dyDescent="0.25">
      <c r="A80" t="s">
        <v>127</v>
      </c>
      <c r="B80">
        <v>7.56</v>
      </c>
      <c r="C80" s="6">
        <f t="shared" si="2"/>
        <v>7.5391180654338363E-2</v>
      </c>
      <c r="D80" s="6">
        <f t="shared" si="3"/>
        <v>7.2684484368867916E-2</v>
      </c>
    </row>
    <row r="81" spans="1:4" x14ac:dyDescent="0.25">
      <c r="A81" t="s">
        <v>128</v>
      </c>
      <c r="B81">
        <v>7.03</v>
      </c>
      <c r="C81" s="6">
        <f t="shared" si="2"/>
        <v>-7.0621468926553854E-3</v>
      </c>
      <c r="D81" s="6">
        <f t="shared" si="3"/>
        <v>-7.0872018830548745E-3</v>
      </c>
    </row>
    <row r="82" spans="1:4" x14ac:dyDescent="0.25">
      <c r="A82" t="s">
        <v>129</v>
      </c>
      <c r="B82">
        <v>7.08</v>
      </c>
      <c r="C82" s="6">
        <f t="shared" si="2"/>
        <v>2.460202604920414E-2</v>
      </c>
      <c r="D82" s="6">
        <f t="shared" si="3"/>
        <v>2.4304269926049948E-2</v>
      </c>
    </row>
    <row r="83" spans="1:4" x14ac:dyDescent="0.25">
      <c r="A83" t="s">
        <v>130</v>
      </c>
      <c r="B83">
        <v>6.91</v>
      </c>
      <c r="C83" s="6">
        <f t="shared" si="2"/>
        <v>-2.8860028860028253E-3</v>
      </c>
      <c r="D83" s="6">
        <f t="shared" si="3"/>
        <v>-2.8901754222332744E-3</v>
      </c>
    </row>
    <row r="84" spans="1:4" x14ac:dyDescent="0.25">
      <c r="A84" t="s">
        <v>131</v>
      </c>
      <c r="B84">
        <v>6.93</v>
      </c>
      <c r="C84" s="6">
        <f t="shared" si="2"/>
        <v>-1.8413597733710985E-2</v>
      </c>
      <c r="D84" s="6">
        <f t="shared" si="3"/>
        <v>-1.8585238303338782E-2</v>
      </c>
    </row>
    <row r="85" spans="1:4" x14ac:dyDescent="0.25">
      <c r="A85" t="s">
        <v>132</v>
      </c>
      <c r="B85">
        <v>7.06</v>
      </c>
      <c r="C85" s="6">
        <f t="shared" si="2"/>
        <v>4.2674253200567502E-3</v>
      </c>
      <c r="D85" s="6">
        <f t="shared" si="3"/>
        <v>4.2583456825770246E-3</v>
      </c>
    </row>
    <row r="86" spans="1:4" x14ac:dyDescent="0.25">
      <c r="A86" t="s">
        <v>133</v>
      </c>
      <c r="B86">
        <v>7.03</v>
      </c>
      <c r="C86" s="6">
        <f t="shared" si="2"/>
        <v>1.4245014245015675E-3</v>
      </c>
      <c r="D86" s="6">
        <f t="shared" si="3"/>
        <v>1.4234877848539275E-3</v>
      </c>
    </row>
    <row r="87" spans="1:4" x14ac:dyDescent="0.25">
      <c r="A87" t="s">
        <v>134</v>
      </c>
      <c r="B87">
        <v>7.02</v>
      </c>
      <c r="C87" s="6">
        <f t="shared" si="2"/>
        <v>-4.2553191489361764E-3</v>
      </c>
      <c r="D87" s="6">
        <f t="shared" si="3"/>
        <v>-4.2643987864575397E-3</v>
      </c>
    </row>
    <row r="88" spans="1:4" x14ac:dyDescent="0.25">
      <c r="A88" t="s">
        <v>135</v>
      </c>
      <c r="B88">
        <v>7.05</v>
      </c>
      <c r="C88" s="6">
        <f t="shared" si="2"/>
        <v>1.0028653295128809E-2</v>
      </c>
      <c r="D88" s="6">
        <f t="shared" si="3"/>
        <v>9.9787000498960509E-3</v>
      </c>
    </row>
    <row r="89" spans="1:4" x14ac:dyDescent="0.25">
      <c r="A89" t="s">
        <v>136</v>
      </c>
      <c r="B89">
        <v>6.98</v>
      </c>
      <c r="C89" s="6">
        <f t="shared" si="2"/>
        <v>-1.6901408450704092E-2</v>
      </c>
      <c r="D89" s="6">
        <f t="shared" si="3"/>
        <v>-1.7045867272988496E-2</v>
      </c>
    </row>
    <row r="90" spans="1:4" x14ac:dyDescent="0.25">
      <c r="A90" t="s">
        <v>137</v>
      </c>
      <c r="B90">
        <v>7.1</v>
      </c>
      <c r="C90" s="6">
        <f t="shared" si="2"/>
        <v>-1.5256588072122046E-2</v>
      </c>
      <c r="D90" s="6">
        <f t="shared" si="3"/>
        <v>-1.5374167249587964E-2</v>
      </c>
    </row>
    <row r="91" spans="1:4" x14ac:dyDescent="0.25">
      <c r="A91" t="s">
        <v>138</v>
      </c>
      <c r="B91">
        <v>7.21</v>
      </c>
      <c r="C91" s="6">
        <f t="shared" si="2"/>
        <v>-2.5675675675675746E-2</v>
      </c>
      <c r="D91" s="6">
        <f t="shared" si="3"/>
        <v>-2.6011048913266433E-2</v>
      </c>
    </row>
    <row r="92" spans="1:4" x14ac:dyDescent="0.25">
      <c r="A92" t="s">
        <v>139</v>
      </c>
      <c r="B92">
        <v>7.4</v>
      </c>
      <c r="C92" s="6">
        <f t="shared" si="2"/>
        <v>-2.5032938076416267E-2</v>
      </c>
      <c r="D92" s="6">
        <f t="shared" si="3"/>
        <v>-2.5351591197414418E-2</v>
      </c>
    </row>
    <row r="93" spans="1:4" x14ac:dyDescent="0.25">
      <c r="A93" t="s">
        <v>140</v>
      </c>
      <c r="B93">
        <v>7.59</v>
      </c>
      <c r="C93" s="6">
        <f t="shared" si="2"/>
        <v>-3.1887755102040782E-2</v>
      </c>
      <c r="D93" s="6">
        <f t="shared" si="3"/>
        <v>-3.2407242954777885E-2</v>
      </c>
    </row>
    <row r="94" spans="1:4" x14ac:dyDescent="0.25">
      <c r="A94" t="s">
        <v>141</v>
      </c>
      <c r="B94">
        <v>7.84</v>
      </c>
      <c r="C94" s="6">
        <f t="shared" si="2"/>
        <v>2.0833333333333259E-2</v>
      </c>
      <c r="D94" s="6">
        <f t="shared" si="3"/>
        <v>2.061928720273561E-2</v>
      </c>
    </row>
    <row r="95" spans="1:4" x14ac:dyDescent="0.25">
      <c r="A95" t="s">
        <v>142</v>
      </c>
      <c r="B95">
        <v>7.68</v>
      </c>
      <c r="C95" s="6">
        <f t="shared" si="2"/>
        <v>-1.3003901170351995E-3</v>
      </c>
      <c r="D95" s="6">
        <f t="shared" si="3"/>
        <v>-1.3012363579718968E-3</v>
      </c>
    </row>
    <row r="96" spans="1:4" x14ac:dyDescent="0.25">
      <c r="A96" t="s">
        <v>143</v>
      </c>
      <c r="B96">
        <v>7.69</v>
      </c>
      <c r="C96" s="6">
        <f t="shared" si="2"/>
        <v>-2.6582278481012689E-2</v>
      </c>
      <c r="D96" s="6">
        <f t="shared" si="3"/>
        <v>-2.6941975955423234E-2</v>
      </c>
    </row>
    <row r="97" spans="1:4" x14ac:dyDescent="0.25">
      <c r="A97" t="s">
        <v>144</v>
      </c>
      <c r="B97">
        <v>7.9</v>
      </c>
      <c r="C97" s="6">
        <f t="shared" si="2"/>
        <v>3.8119440914867742E-3</v>
      </c>
      <c r="D97" s="6">
        <f t="shared" si="3"/>
        <v>3.8046970436640664E-3</v>
      </c>
    </row>
    <row r="98" spans="1:4" x14ac:dyDescent="0.25">
      <c r="A98" t="s">
        <v>145</v>
      </c>
      <c r="B98">
        <v>7.87</v>
      </c>
      <c r="C98" s="6">
        <f t="shared" si="2"/>
        <v>-1.1306532663316604E-2</v>
      </c>
      <c r="D98" s="6">
        <f t="shared" si="3"/>
        <v>-1.1370937426979809E-2</v>
      </c>
    </row>
    <row r="99" spans="1:4" x14ac:dyDescent="0.25">
      <c r="A99" t="s">
        <v>146</v>
      </c>
      <c r="B99">
        <v>7.96</v>
      </c>
      <c r="C99" s="6">
        <f t="shared" si="2"/>
        <v>2.5188916876572875E-3</v>
      </c>
      <c r="D99" s="6">
        <f t="shared" si="3"/>
        <v>2.5157245972471489E-3</v>
      </c>
    </row>
    <row r="100" spans="1:4" x14ac:dyDescent="0.25">
      <c r="A100" t="s">
        <v>147</v>
      </c>
      <c r="B100">
        <v>7.94</v>
      </c>
      <c r="C100" s="6">
        <f t="shared" si="2"/>
        <v>-7.4999999999999512E-3</v>
      </c>
      <c r="D100" s="6">
        <f t="shared" si="3"/>
        <v>-7.5282664207915245E-3</v>
      </c>
    </row>
    <row r="101" spans="1:4" x14ac:dyDescent="0.25">
      <c r="A101" t="s">
        <v>148</v>
      </c>
      <c r="B101">
        <v>8</v>
      </c>
      <c r="C101" s="6">
        <f t="shared" si="2"/>
        <v>-3.7359900373598043E-3</v>
      </c>
      <c r="D101" s="6">
        <f t="shared" si="3"/>
        <v>-3.7429862788342805E-3</v>
      </c>
    </row>
    <row r="102" spans="1:4" x14ac:dyDescent="0.25">
      <c r="A102" t="s">
        <v>149</v>
      </c>
      <c r="B102">
        <v>8.0299999999999994</v>
      </c>
      <c r="C102" s="6">
        <f t="shared" si="2"/>
        <v>1.0062893081761004E-2</v>
      </c>
      <c r="D102" s="6">
        <f t="shared" si="3"/>
        <v>1.001259929242977E-2</v>
      </c>
    </row>
    <row r="103" spans="1:4" x14ac:dyDescent="0.25">
      <c r="A103" t="s">
        <v>150</v>
      </c>
      <c r="B103">
        <v>7.95</v>
      </c>
      <c r="C103" s="6">
        <f t="shared" si="2"/>
        <v>-9.9626400996263298E-3</v>
      </c>
      <c r="D103" s="6">
        <f t="shared" si="3"/>
        <v>-1.0012599292429701E-2</v>
      </c>
    </row>
    <row r="104" spans="1:4" x14ac:dyDescent="0.25">
      <c r="A104" t="s">
        <v>151</v>
      </c>
      <c r="B104">
        <v>8.0299999999999994</v>
      </c>
      <c r="C104" s="6">
        <f t="shared" si="2"/>
        <v>1.9035532994923887E-2</v>
      </c>
      <c r="D104" s="6">
        <f t="shared" si="3"/>
        <v>1.8856624088882577E-2</v>
      </c>
    </row>
    <row r="105" spans="1:4" x14ac:dyDescent="0.25">
      <c r="A105" t="s">
        <v>152</v>
      </c>
      <c r="B105">
        <v>7.88</v>
      </c>
      <c r="C105" s="6">
        <f t="shared" si="2"/>
        <v>-5.050505050505083E-3</v>
      </c>
      <c r="D105" s="6">
        <f t="shared" si="3"/>
        <v>-5.063301956546762E-3</v>
      </c>
    </row>
    <row r="106" spans="1:4" x14ac:dyDescent="0.25">
      <c r="A106" t="s">
        <v>153</v>
      </c>
      <c r="B106">
        <v>7.92</v>
      </c>
      <c r="C106" s="6">
        <f t="shared" si="2"/>
        <v>-1.0000000000000009E-2</v>
      </c>
      <c r="D106" s="6">
        <f t="shared" si="3"/>
        <v>-1.0050335853501451E-2</v>
      </c>
    </row>
    <row r="107" spans="1:4" x14ac:dyDescent="0.25">
      <c r="A107" t="s">
        <v>154</v>
      </c>
      <c r="B107">
        <v>8</v>
      </c>
      <c r="C107" s="6">
        <f t="shared" si="2"/>
        <v>-4.8751486325802618E-2</v>
      </c>
      <c r="D107" s="6">
        <f t="shared" si="3"/>
        <v>-4.9979932305020763E-2</v>
      </c>
    </row>
    <row r="108" spans="1:4" x14ac:dyDescent="0.25">
      <c r="A108" t="s">
        <v>155</v>
      </c>
      <c r="B108">
        <v>8.41</v>
      </c>
      <c r="C108" s="6">
        <f t="shared" si="2"/>
        <v>1.9393939393939519E-2</v>
      </c>
      <c r="D108" s="6">
        <f t="shared" si="3"/>
        <v>1.9208273638267191E-2</v>
      </c>
    </row>
    <row r="109" spans="1:4" x14ac:dyDescent="0.25">
      <c r="A109" t="s">
        <v>156</v>
      </c>
      <c r="B109">
        <v>8.25</v>
      </c>
      <c r="C109" s="6">
        <f t="shared" si="2"/>
        <v>2.7397260273972712E-2</v>
      </c>
      <c r="D109" s="6">
        <f t="shared" si="3"/>
        <v>2.7028672387919419E-2</v>
      </c>
    </row>
    <row r="110" spans="1:4" x14ac:dyDescent="0.25">
      <c r="A110" t="s">
        <v>157</v>
      </c>
      <c r="B110">
        <v>8.0299999999999994</v>
      </c>
      <c r="C110" s="6">
        <f t="shared" si="2"/>
        <v>-3.7220843672457482E-3</v>
      </c>
      <c r="D110" s="6">
        <f t="shared" si="3"/>
        <v>-3.7290285598667091E-3</v>
      </c>
    </row>
    <row r="111" spans="1:4" x14ac:dyDescent="0.25">
      <c r="A111" t="s">
        <v>158</v>
      </c>
      <c r="B111">
        <v>8.06</v>
      </c>
      <c r="C111" s="6">
        <f t="shared" si="2"/>
        <v>-5.3990610328638389E-2</v>
      </c>
      <c r="D111" s="6">
        <f t="shared" si="3"/>
        <v>-5.5502784322687328E-2</v>
      </c>
    </row>
    <row r="112" spans="1:4" x14ac:dyDescent="0.25">
      <c r="A112" t="s">
        <v>159</v>
      </c>
      <c r="B112">
        <v>8.52</v>
      </c>
      <c r="C112" s="6">
        <f t="shared" si="2"/>
        <v>-3.8374717832957095E-2</v>
      </c>
      <c r="D112" s="6">
        <f t="shared" si="3"/>
        <v>-3.91304237757652E-2</v>
      </c>
    </row>
    <row r="113" spans="1:4" x14ac:dyDescent="0.25">
      <c r="A113" t="s">
        <v>160</v>
      </c>
      <c r="B113">
        <v>8.86</v>
      </c>
      <c r="C113" s="6">
        <f t="shared" si="2"/>
        <v>3.3975084937711841E-3</v>
      </c>
      <c r="D113" s="6">
        <f t="shared" si="3"/>
        <v>3.391750001120884E-3</v>
      </c>
    </row>
    <row r="114" spans="1:4" x14ac:dyDescent="0.25">
      <c r="A114" t="s">
        <v>161</v>
      </c>
      <c r="B114">
        <v>8.83</v>
      </c>
      <c r="C114" s="6">
        <f t="shared" si="2"/>
        <v>1.1337868480725266E-3</v>
      </c>
      <c r="D114" s="6">
        <f t="shared" si="3"/>
        <v>1.1331445971686754E-3</v>
      </c>
    </row>
    <row r="115" spans="1:4" x14ac:dyDescent="0.25">
      <c r="A115" t="s">
        <v>162</v>
      </c>
      <c r="B115">
        <v>8.82</v>
      </c>
      <c r="C115" s="6">
        <f t="shared" si="2"/>
        <v>-1.2318029115341522E-2</v>
      </c>
      <c r="D115" s="6">
        <f t="shared" si="3"/>
        <v>-1.2394524869707721E-2</v>
      </c>
    </row>
    <row r="116" spans="1:4" x14ac:dyDescent="0.25">
      <c r="A116" t="s">
        <v>163</v>
      </c>
      <c r="B116">
        <v>8.93</v>
      </c>
      <c r="C116" s="6">
        <f t="shared" si="2"/>
        <v>-7.2689511941848473E-2</v>
      </c>
      <c r="D116" s="6">
        <f t="shared" si="3"/>
        <v>-7.5466830921626593E-2</v>
      </c>
    </row>
    <row r="117" spans="1:4" x14ac:dyDescent="0.25">
      <c r="A117" t="s">
        <v>164</v>
      </c>
      <c r="B117">
        <v>9.6300000000000008</v>
      </c>
      <c r="C117" s="6">
        <f t="shared" si="2"/>
        <v>1.1554621848739677E-2</v>
      </c>
      <c r="D117" s="6">
        <f t="shared" si="3"/>
        <v>1.1488377006760421E-2</v>
      </c>
    </row>
    <row r="118" spans="1:4" x14ac:dyDescent="0.25">
      <c r="A118" t="s">
        <v>165</v>
      </c>
      <c r="B118">
        <v>9.52</v>
      </c>
      <c r="C118" s="6">
        <f t="shared" si="2"/>
        <v>-3.8383838383838409E-2</v>
      </c>
      <c r="D118" s="6">
        <f t="shared" si="3"/>
        <v>-3.9139908337270324E-2</v>
      </c>
    </row>
    <row r="119" spans="1:4" x14ac:dyDescent="0.25">
      <c r="A119" t="s">
        <v>166</v>
      </c>
      <c r="B119">
        <v>9.9</v>
      </c>
      <c r="C119" s="6">
        <f t="shared" si="2"/>
        <v>1.3306038894575378E-2</v>
      </c>
      <c r="D119" s="6">
        <f t="shared" si="3"/>
        <v>1.3218291085853016E-2</v>
      </c>
    </row>
    <row r="120" spans="1:4" x14ac:dyDescent="0.25">
      <c r="A120" t="s">
        <v>167</v>
      </c>
      <c r="B120">
        <v>9.77</v>
      </c>
      <c r="C120" s="6">
        <f t="shared" si="2"/>
        <v>8.2559339525283271E-3</v>
      </c>
      <c r="D120" s="6">
        <f t="shared" si="3"/>
        <v>8.2220401520164566E-3</v>
      </c>
    </row>
    <row r="121" spans="1:4" x14ac:dyDescent="0.25">
      <c r="A121" t="s">
        <v>168</v>
      </c>
      <c r="B121">
        <v>9.69</v>
      </c>
      <c r="C121" s="6">
        <f t="shared" si="2"/>
        <v>-3.3898305084745783E-2</v>
      </c>
      <c r="D121" s="6">
        <f t="shared" si="3"/>
        <v>-3.4486176071169321E-2</v>
      </c>
    </row>
    <row r="122" spans="1:4" x14ac:dyDescent="0.25">
      <c r="A122" t="s">
        <v>169</v>
      </c>
      <c r="B122">
        <v>10.029999999999999</v>
      </c>
      <c r="C122" s="6">
        <f t="shared" si="2"/>
        <v>7.0281124497990621E-3</v>
      </c>
      <c r="D122" s="6">
        <f t="shared" si="3"/>
        <v>7.0035303773371632E-3</v>
      </c>
    </row>
    <row r="123" spans="1:4" x14ac:dyDescent="0.25">
      <c r="A123" t="s">
        <v>170</v>
      </c>
      <c r="B123">
        <v>9.9600000000000009</v>
      </c>
      <c r="C123" s="6">
        <f t="shared" si="2"/>
        <v>6.0606060606060996E-3</v>
      </c>
      <c r="D123" s="6">
        <f t="shared" si="3"/>
        <v>6.0423144559626617E-3</v>
      </c>
    </row>
    <row r="124" spans="1:4" x14ac:dyDescent="0.25">
      <c r="A124" t="s">
        <v>171</v>
      </c>
      <c r="B124">
        <v>9.9</v>
      </c>
      <c r="C124" s="6">
        <f t="shared" si="2"/>
        <v>1.0204081632652962E-2</v>
      </c>
      <c r="D124" s="6">
        <f t="shared" si="3"/>
        <v>1.0152371464017908E-2</v>
      </c>
    </row>
    <row r="125" spans="1:4" x14ac:dyDescent="0.25">
      <c r="A125" t="s">
        <v>172</v>
      </c>
      <c r="B125">
        <v>9.8000000000000007</v>
      </c>
      <c r="C125" s="6">
        <f t="shared" si="2"/>
        <v>0.13821138211382133</v>
      </c>
      <c r="D125" s="6">
        <f t="shared" si="3"/>
        <v>0.12945806723688696</v>
      </c>
    </row>
    <row r="126" spans="1:4" x14ac:dyDescent="0.25">
      <c r="A126" t="s">
        <v>173</v>
      </c>
      <c r="B126">
        <v>8.61</v>
      </c>
      <c r="C126" s="6">
        <f t="shared" si="2"/>
        <v>2.1352313167259718E-2</v>
      </c>
      <c r="D126" s="6">
        <f t="shared" si="3"/>
        <v>2.1127546425875277E-2</v>
      </c>
    </row>
    <row r="127" spans="1:4" x14ac:dyDescent="0.25">
      <c r="A127" t="s">
        <v>174</v>
      </c>
      <c r="B127">
        <v>8.43</v>
      </c>
      <c r="C127" s="6">
        <f t="shared" si="2"/>
        <v>-8.8648648648648631E-2</v>
      </c>
      <c r="D127" s="6">
        <f t="shared" si="3"/>
        <v>-9.2826779510569724E-2</v>
      </c>
    </row>
    <row r="128" spans="1:4" x14ac:dyDescent="0.25">
      <c r="A128" t="s">
        <v>175</v>
      </c>
      <c r="B128">
        <v>9.25</v>
      </c>
      <c r="C128" s="6">
        <f t="shared" si="2"/>
        <v>3.121516164994409E-2</v>
      </c>
      <c r="D128" s="6">
        <f t="shared" si="3"/>
        <v>3.073787545362891E-2</v>
      </c>
    </row>
    <row r="129" spans="1:4" x14ac:dyDescent="0.25">
      <c r="A129" t="s">
        <v>176</v>
      </c>
      <c r="B129">
        <v>8.9700000000000006</v>
      </c>
      <c r="C129" s="6">
        <f t="shared" si="2"/>
        <v>-3.9614561027837225E-2</v>
      </c>
      <c r="D129" s="6">
        <f t="shared" si="3"/>
        <v>-4.042057617004647E-2</v>
      </c>
    </row>
    <row r="130" spans="1:4" x14ac:dyDescent="0.25">
      <c r="A130" t="s">
        <v>177</v>
      </c>
      <c r="B130">
        <v>9.34</v>
      </c>
      <c r="C130" s="6">
        <f t="shared" si="2"/>
        <v>0</v>
      </c>
      <c r="D130" s="6">
        <f t="shared" si="3"/>
        <v>0</v>
      </c>
    </row>
    <row r="131" spans="1:4" x14ac:dyDescent="0.25">
      <c r="A131" t="s">
        <v>178</v>
      </c>
      <c r="B131">
        <v>9.34</v>
      </c>
      <c r="C131" s="6">
        <f t="shared" ref="C131:C194" si="4">(B131/B132)-1</f>
        <v>-1.5806111696522684E-2</v>
      </c>
      <c r="D131" s="6">
        <f t="shared" ref="D131:D194" si="5">LN(B131/B132)</f>
        <v>-1.5932360381085274E-2</v>
      </c>
    </row>
    <row r="132" spans="1:4" x14ac:dyDescent="0.25">
      <c r="A132" t="s">
        <v>179</v>
      </c>
      <c r="B132">
        <v>9.49</v>
      </c>
      <c r="C132" s="6">
        <f t="shared" si="4"/>
        <v>1.8240343347639465E-2</v>
      </c>
      <c r="D132" s="6">
        <f t="shared" si="5"/>
        <v>1.807598392433666E-2</v>
      </c>
    </row>
    <row r="133" spans="1:4" x14ac:dyDescent="0.25">
      <c r="A133" t="s">
        <v>180</v>
      </c>
      <c r="B133">
        <v>9.32</v>
      </c>
      <c r="C133" s="6">
        <f t="shared" si="4"/>
        <v>4.0178571428571397E-2</v>
      </c>
      <c r="D133" s="6">
        <f t="shared" si="5"/>
        <v>3.9392401710660684E-2</v>
      </c>
    </row>
    <row r="134" spans="1:4" x14ac:dyDescent="0.25">
      <c r="A134" t="s">
        <v>181</v>
      </c>
      <c r="B134">
        <v>8.9600000000000009</v>
      </c>
      <c r="C134" s="6">
        <f t="shared" si="4"/>
        <v>4.1860465116279277E-2</v>
      </c>
      <c r="D134" s="6">
        <f t="shared" si="5"/>
        <v>4.1008023727377253E-2</v>
      </c>
    </row>
    <row r="135" spans="1:4" x14ac:dyDescent="0.25">
      <c r="A135" t="s">
        <v>182</v>
      </c>
      <c r="B135">
        <v>8.6</v>
      </c>
      <c r="C135" s="6">
        <f t="shared" si="4"/>
        <v>-3.0439684329199523E-2</v>
      </c>
      <c r="D135" s="6">
        <f t="shared" si="5"/>
        <v>-3.0912593062026046E-2</v>
      </c>
    </row>
    <row r="136" spans="1:4" x14ac:dyDescent="0.25">
      <c r="A136" t="s">
        <v>183</v>
      </c>
      <c r="B136">
        <v>8.8699999999999992</v>
      </c>
      <c r="C136" s="6">
        <f t="shared" si="4"/>
        <v>-5.7385759829968186E-2</v>
      </c>
      <c r="D136" s="6">
        <f t="shared" si="5"/>
        <v>-5.9098157275800214E-2</v>
      </c>
    </row>
    <row r="137" spans="1:4" x14ac:dyDescent="0.25">
      <c r="A137" t="s">
        <v>184</v>
      </c>
      <c r="B137">
        <v>9.41</v>
      </c>
      <c r="C137" s="6">
        <f t="shared" si="4"/>
        <v>-9.4736842105263008E-3</v>
      </c>
      <c r="D137" s="6">
        <f t="shared" si="5"/>
        <v>-9.5188450092068694E-3</v>
      </c>
    </row>
    <row r="138" spans="1:4" x14ac:dyDescent="0.25">
      <c r="A138" t="s">
        <v>185</v>
      </c>
      <c r="B138">
        <v>9.5</v>
      </c>
      <c r="C138" s="6">
        <f t="shared" si="4"/>
        <v>-2.4640657084188944E-2</v>
      </c>
      <c r="D138" s="6">
        <f t="shared" si="5"/>
        <v>-2.4949319047948615E-2</v>
      </c>
    </row>
    <row r="139" spans="1:4" x14ac:dyDescent="0.25">
      <c r="A139" t="s">
        <v>186</v>
      </c>
      <c r="B139">
        <v>9.74</v>
      </c>
      <c r="C139" s="6">
        <f t="shared" si="4"/>
        <v>-1.4170040485830038E-2</v>
      </c>
      <c r="D139" s="6">
        <f t="shared" si="5"/>
        <v>-1.4271394105332794E-2</v>
      </c>
    </row>
    <row r="140" spans="1:4" x14ac:dyDescent="0.25">
      <c r="A140" t="s">
        <v>187</v>
      </c>
      <c r="B140">
        <v>9.8800000000000008</v>
      </c>
      <c r="C140" s="6">
        <f t="shared" si="4"/>
        <v>8.1632653061225469E-3</v>
      </c>
      <c r="D140" s="6">
        <f t="shared" si="5"/>
        <v>8.1301260832503091E-3</v>
      </c>
    </row>
    <row r="141" spans="1:4" x14ac:dyDescent="0.25">
      <c r="A141" t="s">
        <v>188</v>
      </c>
      <c r="B141">
        <v>9.8000000000000007</v>
      </c>
      <c r="C141" s="6">
        <f t="shared" si="4"/>
        <v>-1.7051153460381108E-2</v>
      </c>
      <c r="D141" s="6">
        <f t="shared" si="5"/>
        <v>-1.719819829722069E-2</v>
      </c>
    </row>
    <row r="142" spans="1:4" x14ac:dyDescent="0.25">
      <c r="A142" t="s">
        <v>189</v>
      </c>
      <c r="B142">
        <v>9.9700000000000006</v>
      </c>
      <c r="C142" s="6">
        <f t="shared" si="4"/>
        <v>0</v>
      </c>
      <c r="D142" s="6">
        <f t="shared" si="5"/>
        <v>0</v>
      </c>
    </row>
    <row r="143" spans="1:4" x14ac:dyDescent="0.25">
      <c r="A143" t="s">
        <v>190</v>
      </c>
      <c r="B143">
        <v>9.9700000000000006</v>
      </c>
      <c r="C143" s="6">
        <f t="shared" si="4"/>
        <v>-3.2977691561590694E-2</v>
      </c>
      <c r="D143" s="6">
        <f t="shared" si="5"/>
        <v>-3.3533714055121601E-2</v>
      </c>
    </row>
    <row r="144" spans="1:4" x14ac:dyDescent="0.25">
      <c r="A144" t="s">
        <v>191</v>
      </c>
      <c r="B144">
        <v>10.31</v>
      </c>
      <c r="C144" s="6">
        <f t="shared" si="4"/>
        <v>3.4102306920762215E-2</v>
      </c>
      <c r="D144" s="6">
        <f t="shared" si="5"/>
        <v>3.3533714055121525E-2</v>
      </c>
    </row>
    <row r="145" spans="1:4" x14ac:dyDescent="0.25">
      <c r="A145" t="s">
        <v>192</v>
      </c>
      <c r="B145">
        <v>9.9700000000000006</v>
      </c>
      <c r="C145" s="6">
        <f t="shared" si="4"/>
        <v>2.9958677685950619E-2</v>
      </c>
      <c r="D145" s="6">
        <f t="shared" si="5"/>
        <v>2.9518682685261515E-2</v>
      </c>
    </row>
    <row r="146" spans="1:4" x14ac:dyDescent="0.25">
      <c r="A146" t="s">
        <v>193</v>
      </c>
      <c r="B146">
        <v>9.68</v>
      </c>
      <c r="C146" s="6">
        <f t="shared" si="4"/>
        <v>2.9787234042553123E-2</v>
      </c>
      <c r="D146" s="6">
        <f t="shared" si="5"/>
        <v>2.9352212012527371E-2</v>
      </c>
    </row>
    <row r="147" spans="1:4" x14ac:dyDescent="0.25">
      <c r="A147" t="s">
        <v>194</v>
      </c>
      <c r="B147">
        <v>9.4</v>
      </c>
      <c r="C147" s="6">
        <f t="shared" si="4"/>
        <v>4.2128603104212958E-2</v>
      </c>
      <c r="D147" s="6">
        <f t="shared" si="5"/>
        <v>4.1265355201426018E-2</v>
      </c>
    </row>
    <row r="148" spans="1:4" x14ac:dyDescent="0.25">
      <c r="A148" t="s">
        <v>195</v>
      </c>
      <c r="B148">
        <v>9.02</v>
      </c>
      <c r="C148" s="6">
        <f t="shared" si="4"/>
        <v>1.8058690744920947E-2</v>
      </c>
      <c r="D148" s="6">
        <f t="shared" si="5"/>
        <v>1.7897569457542666E-2</v>
      </c>
    </row>
    <row r="149" spans="1:4" x14ac:dyDescent="0.25">
      <c r="A149" t="s">
        <v>196</v>
      </c>
      <c r="B149">
        <v>8.86</v>
      </c>
      <c r="C149" s="6">
        <f t="shared" si="4"/>
        <v>3.7470725995316201E-2</v>
      </c>
      <c r="D149" s="6">
        <f t="shared" si="5"/>
        <v>3.6785756816511125E-2</v>
      </c>
    </row>
    <row r="150" spans="1:4" x14ac:dyDescent="0.25">
      <c r="A150" t="s">
        <v>197</v>
      </c>
      <c r="B150">
        <v>8.5399999999999991</v>
      </c>
      <c r="C150" s="6">
        <f t="shared" si="4"/>
        <v>2.3980815347721673E-2</v>
      </c>
      <c r="D150" s="6">
        <f t="shared" si="5"/>
        <v>2.3697791429822961E-2</v>
      </c>
    </row>
    <row r="151" spans="1:4" x14ac:dyDescent="0.25">
      <c r="A151" t="s">
        <v>198</v>
      </c>
      <c r="B151">
        <v>8.34</v>
      </c>
      <c r="C151" s="6">
        <f t="shared" si="4"/>
        <v>-5.227272727272736E-2</v>
      </c>
      <c r="D151" s="6">
        <f t="shared" si="5"/>
        <v>-5.3688505113505487E-2</v>
      </c>
    </row>
    <row r="152" spans="1:4" x14ac:dyDescent="0.25">
      <c r="A152" t="s">
        <v>199</v>
      </c>
      <c r="B152">
        <v>8.8000000000000007</v>
      </c>
      <c r="C152" s="6">
        <f t="shared" si="4"/>
        <v>7.8431372549019773E-2</v>
      </c>
      <c r="D152" s="6">
        <f t="shared" si="5"/>
        <v>7.5507552508145295E-2</v>
      </c>
    </row>
    <row r="153" spans="1:4" x14ac:dyDescent="0.25">
      <c r="A153" t="s">
        <v>200</v>
      </c>
      <c r="B153">
        <v>8.16</v>
      </c>
      <c r="C153" s="6">
        <f t="shared" si="4"/>
        <v>7.3684210526315796E-2</v>
      </c>
      <c r="D153" s="6">
        <f t="shared" si="5"/>
        <v>7.1095921683730259E-2</v>
      </c>
    </row>
    <row r="154" spans="1:4" x14ac:dyDescent="0.25">
      <c r="A154" t="s">
        <v>201</v>
      </c>
      <c r="B154">
        <v>7.6</v>
      </c>
      <c r="C154" s="6">
        <f t="shared" si="4"/>
        <v>6.5918653576437558E-2</v>
      </c>
      <c r="D154" s="6">
        <f t="shared" si="5"/>
        <v>6.3837012866080803E-2</v>
      </c>
    </row>
    <row r="155" spans="1:4" x14ac:dyDescent="0.25">
      <c r="A155" t="s">
        <v>202</v>
      </c>
      <c r="B155">
        <v>7.13</v>
      </c>
      <c r="C155" s="6">
        <f t="shared" si="4"/>
        <v>-1.4005602240896309E-3</v>
      </c>
      <c r="D155" s="6">
        <f t="shared" si="5"/>
        <v>-1.4015419252884445E-3</v>
      </c>
    </row>
    <row r="156" spans="1:4" x14ac:dyDescent="0.25">
      <c r="A156" t="s">
        <v>203</v>
      </c>
      <c r="B156">
        <v>7.14</v>
      </c>
      <c r="C156" s="6">
        <f t="shared" si="4"/>
        <v>-3.6437246963562764E-2</v>
      </c>
      <c r="D156" s="6">
        <f t="shared" si="5"/>
        <v>-3.7117662956502512E-2</v>
      </c>
    </row>
    <row r="157" spans="1:4" x14ac:dyDescent="0.25">
      <c r="A157" t="s">
        <v>204</v>
      </c>
      <c r="B157">
        <v>7.41</v>
      </c>
      <c r="C157" s="6">
        <f t="shared" si="4"/>
        <v>-1.3477088948786742E-3</v>
      </c>
      <c r="D157" s="6">
        <f t="shared" si="5"/>
        <v>-1.3486178712935292E-3</v>
      </c>
    </row>
    <row r="158" spans="1:4" x14ac:dyDescent="0.25">
      <c r="A158" t="s">
        <v>205</v>
      </c>
      <c r="B158">
        <v>7.42</v>
      </c>
      <c r="C158" s="6">
        <f t="shared" si="4"/>
        <v>1.0899182561307841E-2</v>
      </c>
      <c r="D158" s="6">
        <f t="shared" si="5"/>
        <v>1.0840214552864807E-2</v>
      </c>
    </row>
    <row r="159" spans="1:4" x14ac:dyDescent="0.25">
      <c r="A159" t="s">
        <v>206</v>
      </c>
      <c r="B159">
        <v>7.34</v>
      </c>
      <c r="C159" s="6">
        <f t="shared" si="4"/>
        <v>5.479452054794498E-3</v>
      </c>
      <c r="D159" s="6">
        <f t="shared" si="5"/>
        <v>5.4644944720787453E-3</v>
      </c>
    </row>
    <row r="160" spans="1:4" x14ac:dyDescent="0.25">
      <c r="A160" t="s">
        <v>207</v>
      </c>
      <c r="B160">
        <v>7.3</v>
      </c>
      <c r="C160" s="6">
        <f t="shared" si="4"/>
        <v>2.9619181946403339E-2</v>
      </c>
      <c r="D160" s="6">
        <f t="shared" si="5"/>
        <v>2.9189007610309268E-2</v>
      </c>
    </row>
    <row r="161" spans="1:4" x14ac:dyDescent="0.25">
      <c r="A161" t="s">
        <v>208</v>
      </c>
      <c r="B161">
        <v>7.09</v>
      </c>
      <c r="C161" s="6">
        <f t="shared" si="4"/>
        <v>-7.0028011204481544E-3</v>
      </c>
      <c r="D161" s="6">
        <f t="shared" si="5"/>
        <v>-7.0274358074568621E-3</v>
      </c>
    </row>
    <row r="162" spans="1:4" x14ac:dyDescent="0.25">
      <c r="A162" t="s">
        <v>209</v>
      </c>
      <c r="B162">
        <v>7.14</v>
      </c>
      <c r="C162" s="6">
        <f t="shared" si="4"/>
        <v>0</v>
      </c>
      <c r="D162" s="6">
        <f t="shared" si="5"/>
        <v>0</v>
      </c>
    </row>
    <row r="163" spans="1:4" x14ac:dyDescent="0.25">
      <c r="A163" t="s">
        <v>210</v>
      </c>
      <c r="B163">
        <v>7.14</v>
      </c>
      <c r="C163" s="6">
        <f t="shared" si="4"/>
        <v>-5.0531914893616969E-2</v>
      </c>
      <c r="D163" s="6">
        <f t="shared" si="5"/>
        <v>-5.1853361610255382E-2</v>
      </c>
    </row>
    <row r="164" spans="1:4" x14ac:dyDescent="0.25">
      <c r="A164" t="s">
        <v>211</v>
      </c>
      <c r="B164">
        <v>7.52</v>
      </c>
      <c r="C164" s="6">
        <f t="shared" si="4"/>
        <v>-4.5685279187817285E-2</v>
      </c>
      <c r="D164" s="6">
        <f t="shared" si="5"/>
        <v>-4.6761765908039328E-2</v>
      </c>
    </row>
    <row r="165" spans="1:4" x14ac:dyDescent="0.25">
      <c r="A165" t="s">
        <v>212</v>
      </c>
      <c r="B165">
        <v>7.88</v>
      </c>
      <c r="C165" s="6">
        <f t="shared" si="4"/>
        <v>-5.050505050505083E-3</v>
      </c>
      <c r="D165" s="6">
        <f t="shared" si="5"/>
        <v>-5.063301956546762E-3</v>
      </c>
    </row>
    <row r="166" spans="1:4" x14ac:dyDescent="0.25">
      <c r="A166" t="s">
        <v>213</v>
      </c>
      <c r="B166">
        <v>7.92</v>
      </c>
      <c r="C166" s="6">
        <f t="shared" si="4"/>
        <v>2.5316455696202667E-3</v>
      </c>
      <c r="D166" s="6">
        <f t="shared" si="5"/>
        <v>2.5284463533586906E-3</v>
      </c>
    </row>
    <row r="167" spans="1:4" x14ac:dyDescent="0.25">
      <c r="A167" t="s">
        <v>214</v>
      </c>
      <c r="B167">
        <v>7.9</v>
      </c>
      <c r="C167" s="6">
        <f t="shared" si="4"/>
        <v>-3.7831021437577661E-3</v>
      </c>
      <c r="D167" s="6">
        <f t="shared" si="5"/>
        <v>-3.7902761737806908E-3</v>
      </c>
    </row>
    <row r="168" spans="1:4" x14ac:dyDescent="0.25">
      <c r="A168" t="s">
        <v>215</v>
      </c>
      <c r="B168">
        <v>7.93</v>
      </c>
      <c r="C168" s="6">
        <f t="shared" si="4"/>
        <v>1.5364916773367598E-2</v>
      </c>
      <c r="D168" s="6">
        <f t="shared" si="5"/>
        <v>1.5248071795162138E-2</v>
      </c>
    </row>
    <row r="169" spans="1:4" x14ac:dyDescent="0.25">
      <c r="A169" t="s">
        <v>216</v>
      </c>
      <c r="B169">
        <v>7.81</v>
      </c>
      <c r="C169" s="6">
        <f t="shared" si="4"/>
        <v>7.7419354838708099E-3</v>
      </c>
      <c r="D169" s="6">
        <f t="shared" si="5"/>
        <v>7.7121204863388132E-3</v>
      </c>
    </row>
    <row r="170" spans="1:4" x14ac:dyDescent="0.25">
      <c r="A170" t="s">
        <v>217</v>
      </c>
      <c r="B170">
        <v>7.75</v>
      </c>
      <c r="C170" s="6">
        <f t="shared" si="4"/>
        <v>1.2919896640826156E-3</v>
      </c>
      <c r="D170" s="6">
        <f t="shared" si="5"/>
        <v>1.2911557636198078E-3</v>
      </c>
    </row>
    <row r="171" spans="1:4" x14ac:dyDescent="0.25">
      <c r="A171" t="s">
        <v>218</v>
      </c>
      <c r="B171">
        <v>7.74</v>
      </c>
      <c r="C171" s="6">
        <f t="shared" si="4"/>
        <v>-6.4184852374838952E-3</v>
      </c>
      <c r="D171" s="6">
        <f t="shared" si="5"/>
        <v>-6.4391722810210892E-3</v>
      </c>
    </row>
    <row r="172" spans="1:4" x14ac:dyDescent="0.25">
      <c r="A172" t="s">
        <v>219</v>
      </c>
      <c r="B172">
        <v>7.79</v>
      </c>
      <c r="C172" s="6">
        <f t="shared" si="4"/>
        <v>-5.1085568326947328E-3</v>
      </c>
      <c r="D172" s="6">
        <f t="shared" si="5"/>
        <v>-5.1216501200548065E-3</v>
      </c>
    </row>
    <row r="173" spans="1:4" x14ac:dyDescent="0.25">
      <c r="A173" t="s">
        <v>220</v>
      </c>
      <c r="B173">
        <v>7.83</v>
      </c>
      <c r="C173" s="6">
        <f t="shared" si="4"/>
        <v>4.2609853528628561E-2</v>
      </c>
      <c r="D173" s="6">
        <f t="shared" si="5"/>
        <v>4.1727044226668418E-2</v>
      </c>
    </row>
    <row r="174" spans="1:4" x14ac:dyDescent="0.25">
      <c r="A174" t="s">
        <v>221</v>
      </c>
      <c r="B174">
        <v>7.51</v>
      </c>
      <c r="C174" s="6">
        <f t="shared" si="4"/>
        <v>1.8995929443690551E-2</v>
      </c>
      <c r="D174" s="6">
        <f t="shared" si="5"/>
        <v>1.8817759574798056E-2</v>
      </c>
    </row>
    <row r="175" spans="1:4" x14ac:dyDescent="0.25">
      <c r="A175" t="s">
        <v>222</v>
      </c>
      <c r="B175">
        <v>7.37</v>
      </c>
      <c r="C175" s="6">
        <f t="shared" si="4"/>
        <v>-1.3386880856760319E-2</v>
      </c>
      <c r="D175" s="6">
        <f t="shared" si="5"/>
        <v>-1.3477292943480646E-2</v>
      </c>
    </row>
    <row r="176" spans="1:4" x14ac:dyDescent="0.25">
      <c r="A176" t="s">
        <v>223</v>
      </c>
      <c r="B176">
        <v>7.47</v>
      </c>
      <c r="C176" s="6">
        <f t="shared" si="4"/>
        <v>6.7385444743934819E-3</v>
      </c>
      <c r="D176" s="6">
        <f t="shared" si="5"/>
        <v>6.7159419654368091E-3</v>
      </c>
    </row>
    <row r="177" spans="1:4" x14ac:dyDescent="0.25">
      <c r="A177" t="s">
        <v>224</v>
      </c>
      <c r="B177">
        <v>7.42</v>
      </c>
      <c r="C177" s="6">
        <f t="shared" si="4"/>
        <v>-4.1343669250646031E-2</v>
      </c>
      <c r="D177" s="6">
        <f t="shared" si="5"/>
        <v>-4.2222630422346703E-2</v>
      </c>
    </row>
    <row r="178" spans="1:4" x14ac:dyDescent="0.25">
      <c r="A178" t="s">
        <v>225</v>
      </c>
      <c r="B178">
        <v>7.74</v>
      </c>
      <c r="C178" s="6">
        <f t="shared" si="4"/>
        <v>-2.5773195876288568E-3</v>
      </c>
      <c r="D178" s="6">
        <f t="shared" si="5"/>
        <v>-2.5806465934916254E-3</v>
      </c>
    </row>
    <row r="179" spans="1:4" x14ac:dyDescent="0.25">
      <c r="A179" t="s">
        <v>226</v>
      </c>
      <c r="B179">
        <v>7.76</v>
      </c>
      <c r="C179" s="6">
        <f t="shared" si="4"/>
        <v>-1.1464968152866239E-2</v>
      </c>
      <c r="D179" s="6">
        <f t="shared" si="5"/>
        <v>-1.1531197599189679E-2</v>
      </c>
    </row>
    <row r="180" spans="1:4" x14ac:dyDescent="0.25">
      <c r="A180" t="s">
        <v>227</v>
      </c>
      <c r="B180">
        <v>7.85</v>
      </c>
      <c r="C180" s="6">
        <f t="shared" si="4"/>
        <v>2.5542784163472554E-3</v>
      </c>
      <c r="D180" s="6">
        <f t="shared" si="5"/>
        <v>2.5510217916052047E-3</v>
      </c>
    </row>
    <row r="181" spans="1:4" x14ac:dyDescent="0.25">
      <c r="A181" t="s">
        <v>228</v>
      </c>
      <c r="B181">
        <v>7.83</v>
      </c>
      <c r="C181" s="6">
        <f t="shared" si="4"/>
        <v>1.2936610608020649E-2</v>
      </c>
      <c r="D181" s="6">
        <f t="shared" si="5"/>
        <v>1.285364740338109E-2</v>
      </c>
    </row>
    <row r="182" spans="1:4" x14ac:dyDescent="0.25">
      <c r="A182" t="s">
        <v>229</v>
      </c>
      <c r="B182">
        <v>7.73</v>
      </c>
      <c r="C182" s="6">
        <f t="shared" si="4"/>
        <v>-2.580645161290307E-3</v>
      </c>
      <c r="D182" s="6">
        <f t="shared" si="5"/>
        <v>-2.5839807659250179E-3</v>
      </c>
    </row>
    <row r="183" spans="1:4" x14ac:dyDescent="0.25">
      <c r="A183" t="s">
        <v>230</v>
      </c>
      <c r="B183">
        <v>7.75</v>
      </c>
      <c r="C183" s="6">
        <f t="shared" si="4"/>
        <v>1.4397905759162333E-2</v>
      </c>
      <c r="D183" s="6">
        <f t="shared" si="5"/>
        <v>1.4295240186826532E-2</v>
      </c>
    </row>
    <row r="184" spans="1:4" x14ac:dyDescent="0.25">
      <c r="A184" t="s">
        <v>231</v>
      </c>
      <c r="B184">
        <v>7.64</v>
      </c>
      <c r="C184" s="6">
        <f t="shared" si="4"/>
        <v>-7.7922077922079058E-3</v>
      </c>
      <c r="D184" s="6">
        <f t="shared" si="5"/>
        <v>-7.8227256812091559E-3</v>
      </c>
    </row>
    <row r="185" spans="1:4" x14ac:dyDescent="0.25">
      <c r="A185" t="s">
        <v>232</v>
      </c>
      <c r="B185">
        <v>7.7</v>
      </c>
      <c r="C185" s="6">
        <f t="shared" si="4"/>
        <v>-3.6295369211514439E-2</v>
      </c>
      <c r="D185" s="6">
        <f t="shared" si="5"/>
        <v>-3.6970430918545183E-2</v>
      </c>
    </row>
    <row r="186" spans="1:4" x14ac:dyDescent="0.25">
      <c r="A186" t="s">
        <v>233</v>
      </c>
      <c r="B186">
        <v>7.99</v>
      </c>
      <c r="C186" s="6">
        <f t="shared" si="4"/>
        <v>-2.9161603888213872E-2</v>
      </c>
      <c r="D186" s="6">
        <f t="shared" si="5"/>
        <v>-2.9595254910795166E-2</v>
      </c>
    </row>
    <row r="187" spans="1:4" x14ac:dyDescent="0.25">
      <c r="A187" t="s">
        <v>234</v>
      </c>
      <c r="B187">
        <v>8.23</v>
      </c>
      <c r="C187" s="6">
        <f t="shared" si="4"/>
        <v>1.2165450121655041E-3</v>
      </c>
      <c r="D187" s="6">
        <f t="shared" si="5"/>
        <v>1.2158056208899498E-3</v>
      </c>
    </row>
    <row r="188" spans="1:4" x14ac:dyDescent="0.25">
      <c r="A188" t="s">
        <v>235</v>
      </c>
      <c r="B188">
        <v>8.2200000000000006</v>
      </c>
      <c r="C188" s="6">
        <f t="shared" si="4"/>
        <v>-6.0459492140264581E-3</v>
      </c>
      <c r="D188" s="6">
        <f t="shared" si="5"/>
        <v>-6.0642999675112538E-3</v>
      </c>
    </row>
    <row r="189" spans="1:4" x14ac:dyDescent="0.25">
      <c r="A189" t="s">
        <v>236</v>
      </c>
      <c r="B189">
        <v>8.27</v>
      </c>
      <c r="C189" s="6">
        <f t="shared" si="4"/>
        <v>-6.0096153846154188E-3</v>
      </c>
      <c r="D189" s="6">
        <f t="shared" si="5"/>
        <v>-6.0277457975173128E-3</v>
      </c>
    </row>
    <row r="190" spans="1:4" x14ac:dyDescent="0.25">
      <c r="A190" t="s">
        <v>237</v>
      </c>
      <c r="B190">
        <v>8.32</v>
      </c>
      <c r="C190" s="6">
        <f t="shared" si="4"/>
        <v>2.4096385542167198E-3</v>
      </c>
      <c r="D190" s="6">
        <f t="shared" si="5"/>
        <v>2.4067400305648376E-3</v>
      </c>
    </row>
    <row r="191" spans="1:4" x14ac:dyDescent="0.25">
      <c r="A191" t="s">
        <v>238</v>
      </c>
      <c r="B191">
        <v>8.3000000000000007</v>
      </c>
      <c r="C191" s="6">
        <f t="shared" si="4"/>
        <v>-1.3079667063020106E-2</v>
      </c>
      <c r="D191" s="6">
        <f t="shared" si="5"/>
        <v>-1.3165959182304338E-2</v>
      </c>
    </row>
    <row r="192" spans="1:4" x14ac:dyDescent="0.25">
      <c r="A192" t="s">
        <v>239</v>
      </c>
      <c r="B192">
        <v>8.41</v>
      </c>
      <c r="C192" s="6">
        <f t="shared" si="4"/>
        <v>-7.0838252656435508E-3</v>
      </c>
      <c r="D192" s="6">
        <f t="shared" si="5"/>
        <v>-7.1090346791064431E-3</v>
      </c>
    </row>
    <row r="193" spans="1:4" x14ac:dyDescent="0.25">
      <c r="A193" t="s">
        <v>240</v>
      </c>
      <c r="B193">
        <v>8.4700000000000006</v>
      </c>
      <c r="C193" s="6">
        <f t="shared" si="4"/>
        <v>-2.3068050749711522E-2</v>
      </c>
      <c r="D193" s="6">
        <f t="shared" si="5"/>
        <v>-2.3338282128487327E-2</v>
      </c>
    </row>
    <row r="194" spans="1:4" x14ac:dyDescent="0.25">
      <c r="A194" t="s">
        <v>241</v>
      </c>
      <c r="B194">
        <v>8.67</v>
      </c>
      <c r="C194" s="6">
        <f t="shared" si="4"/>
        <v>-3.4482758620688614E-3</v>
      </c>
      <c r="D194" s="6">
        <f t="shared" si="5"/>
        <v>-3.4542348680874461E-3</v>
      </c>
    </row>
    <row r="195" spans="1:4" x14ac:dyDescent="0.25">
      <c r="A195" t="s">
        <v>242</v>
      </c>
      <c r="B195">
        <v>8.6999999999999993</v>
      </c>
      <c r="C195" s="6">
        <f t="shared" ref="C195:C258" si="6">(B195/B196)-1</f>
        <v>-4.5766590389016981E-3</v>
      </c>
      <c r="D195" s="6">
        <f t="shared" ref="D195:D258" si="7">LN(B195/B196)</f>
        <v>-4.5871640069061539E-3</v>
      </c>
    </row>
    <row r="196" spans="1:4" x14ac:dyDescent="0.25">
      <c r="A196" t="s">
        <v>243</v>
      </c>
      <c r="B196">
        <v>8.74</v>
      </c>
      <c r="C196" s="6">
        <f t="shared" si="6"/>
        <v>-9.0702947845805459E-3</v>
      </c>
      <c r="D196" s="6">
        <f t="shared" si="7"/>
        <v>-9.1116803512558894E-3</v>
      </c>
    </row>
    <row r="197" spans="1:4" x14ac:dyDescent="0.25">
      <c r="A197" t="s">
        <v>244</v>
      </c>
      <c r="B197">
        <v>8.82</v>
      </c>
      <c r="C197" s="6">
        <f t="shared" si="6"/>
        <v>-3.7117903930131035E-2</v>
      </c>
      <c r="D197" s="6">
        <f t="shared" si="7"/>
        <v>-3.7824308667338997E-2</v>
      </c>
    </row>
    <row r="198" spans="1:4" x14ac:dyDescent="0.25">
      <c r="A198" t="s">
        <v>245</v>
      </c>
      <c r="B198">
        <v>9.16</v>
      </c>
      <c r="C198" s="6">
        <f t="shared" si="6"/>
        <v>8.8105726872247381E-3</v>
      </c>
      <c r="D198" s="6">
        <f t="shared" si="7"/>
        <v>8.7719860728370409E-3</v>
      </c>
    </row>
    <row r="199" spans="1:4" x14ac:dyDescent="0.25">
      <c r="A199" t="s">
        <v>246</v>
      </c>
      <c r="B199">
        <v>9.08</v>
      </c>
      <c r="C199" s="6">
        <f t="shared" si="6"/>
        <v>-1.7316017316017285E-2</v>
      </c>
      <c r="D199" s="6">
        <f t="shared" si="7"/>
        <v>-1.7467693040390832E-2</v>
      </c>
    </row>
    <row r="200" spans="1:4" x14ac:dyDescent="0.25">
      <c r="A200" t="s">
        <v>247</v>
      </c>
      <c r="B200">
        <v>9.24</v>
      </c>
      <c r="C200" s="6">
        <f t="shared" si="6"/>
        <v>7.6335877862596657E-3</v>
      </c>
      <c r="D200" s="6">
        <f t="shared" si="7"/>
        <v>7.6045993852194328E-3</v>
      </c>
    </row>
    <row r="201" spans="1:4" x14ac:dyDescent="0.25">
      <c r="A201" t="s">
        <v>248</v>
      </c>
      <c r="B201">
        <v>9.17</v>
      </c>
      <c r="C201" s="6">
        <f t="shared" si="6"/>
        <v>-1.1853448275861989E-2</v>
      </c>
      <c r="D201" s="6">
        <f t="shared" si="7"/>
        <v>-1.1924260529735643E-2</v>
      </c>
    </row>
    <row r="202" spans="1:4" x14ac:dyDescent="0.25">
      <c r="A202" t="s">
        <v>249</v>
      </c>
      <c r="B202">
        <v>9.2799999999999994</v>
      </c>
      <c r="C202" s="6">
        <f t="shared" si="6"/>
        <v>-3.4339229968782581E-2</v>
      </c>
      <c r="D202" s="6">
        <f t="shared" si="7"/>
        <v>-3.4942676184091984E-2</v>
      </c>
    </row>
    <row r="203" spans="1:4" x14ac:dyDescent="0.25">
      <c r="A203" t="s">
        <v>250</v>
      </c>
      <c r="B203">
        <v>9.61</v>
      </c>
      <c r="C203" s="6">
        <f t="shared" si="6"/>
        <v>-1.1316872427983626E-2</v>
      </c>
      <c r="D203" s="6">
        <f t="shared" si="7"/>
        <v>-1.1381395490146672E-2</v>
      </c>
    </row>
    <row r="204" spans="1:4" x14ac:dyDescent="0.25">
      <c r="A204" t="s">
        <v>251</v>
      </c>
      <c r="B204">
        <v>9.7200000000000006</v>
      </c>
      <c r="C204" s="6">
        <f t="shared" si="6"/>
        <v>2.423603793466822E-2</v>
      </c>
      <c r="D204" s="6">
        <f t="shared" si="7"/>
        <v>2.3947005850511356E-2</v>
      </c>
    </row>
    <row r="205" spans="1:4" x14ac:dyDescent="0.25">
      <c r="A205" t="s">
        <v>252</v>
      </c>
      <c r="B205">
        <v>9.49</v>
      </c>
      <c r="C205" s="6">
        <f t="shared" si="6"/>
        <v>-2.1649484536082397E-2</v>
      </c>
      <c r="D205" s="6">
        <f t="shared" si="7"/>
        <v>-2.1887272887500562E-2</v>
      </c>
    </row>
    <row r="206" spans="1:4" x14ac:dyDescent="0.25">
      <c r="A206" t="s">
        <v>253</v>
      </c>
      <c r="B206">
        <v>9.6999999999999993</v>
      </c>
      <c r="C206" s="6">
        <f t="shared" si="6"/>
        <v>1.2526096033402823E-2</v>
      </c>
      <c r="D206" s="6">
        <f t="shared" si="7"/>
        <v>1.2448293526567863E-2</v>
      </c>
    </row>
    <row r="207" spans="1:4" x14ac:dyDescent="0.25">
      <c r="A207" t="s">
        <v>254</v>
      </c>
      <c r="B207">
        <v>9.58</v>
      </c>
      <c r="C207" s="6">
        <f t="shared" si="6"/>
        <v>0</v>
      </c>
      <c r="D207" s="6">
        <f t="shared" si="7"/>
        <v>0</v>
      </c>
    </row>
    <row r="208" spans="1:4" x14ac:dyDescent="0.25">
      <c r="A208" t="s">
        <v>255</v>
      </c>
      <c r="B208">
        <v>9.58</v>
      </c>
      <c r="C208" s="6">
        <f t="shared" si="6"/>
        <v>-3.7185929648241078E-2</v>
      </c>
      <c r="D208" s="6">
        <f t="shared" si="7"/>
        <v>-3.7894959187732093E-2</v>
      </c>
    </row>
    <row r="209" spans="1:4" x14ac:dyDescent="0.25">
      <c r="A209" t="s">
        <v>256</v>
      </c>
      <c r="B209">
        <v>9.9499999999999993</v>
      </c>
      <c r="C209" s="6">
        <f t="shared" si="6"/>
        <v>-5.0000000000001155E-3</v>
      </c>
      <c r="D209" s="6">
        <f t="shared" si="7"/>
        <v>-5.0125418235443982E-3</v>
      </c>
    </row>
    <row r="210" spans="1:4" x14ac:dyDescent="0.25">
      <c r="A210" t="s">
        <v>257</v>
      </c>
      <c r="B210">
        <v>10</v>
      </c>
      <c r="C210" s="6">
        <f t="shared" si="6"/>
        <v>4.0160642570279403E-3</v>
      </c>
      <c r="D210" s="6">
        <f t="shared" si="7"/>
        <v>4.0080213975386466E-3</v>
      </c>
    </row>
    <row r="211" spans="1:4" x14ac:dyDescent="0.25">
      <c r="A211" t="s">
        <v>258</v>
      </c>
      <c r="B211">
        <v>9.9600000000000009</v>
      </c>
      <c r="C211" s="6">
        <f t="shared" si="6"/>
        <v>-1.0030090270811698E-3</v>
      </c>
      <c r="D211" s="6">
        <f t="shared" si="7"/>
        <v>-1.0035123772400224E-3</v>
      </c>
    </row>
    <row r="212" spans="1:4" x14ac:dyDescent="0.25">
      <c r="A212" t="s">
        <v>259</v>
      </c>
      <c r="B212">
        <v>9.9700000000000006</v>
      </c>
      <c r="C212" s="6">
        <f t="shared" si="6"/>
        <v>2.5720164609053464E-2</v>
      </c>
      <c r="D212" s="6">
        <f t="shared" si="7"/>
        <v>2.5394965501399223E-2</v>
      </c>
    </row>
    <row r="213" spans="1:4" x14ac:dyDescent="0.25">
      <c r="A213" t="s">
        <v>260</v>
      </c>
      <c r="B213">
        <v>9.7200000000000006</v>
      </c>
      <c r="C213" s="6">
        <f t="shared" si="6"/>
        <v>-2.7999999999999914E-2</v>
      </c>
      <c r="D213" s="6">
        <f t="shared" si="7"/>
        <v>-2.8399474521697887E-2</v>
      </c>
    </row>
    <row r="214" spans="1:4" x14ac:dyDescent="0.25">
      <c r="A214" t="s">
        <v>261</v>
      </c>
      <c r="B214">
        <v>10</v>
      </c>
      <c r="C214" s="6">
        <f t="shared" si="6"/>
        <v>7.0493454179254567E-3</v>
      </c>
      <c r="D214" s="6">
        <f t="shared" si="7"/>
        <v>7.0246149369644385E-3</v>
      </c>
    </row>
    <row r="215" spans="1:4" x14ac:dyDescent="0.25">
      <c r="A215" t="s">
        <v>262</v>
      </c>
      <c r="B215">
        <v>9.93</v>
      </c>
      <c r="C215" s="6">
        <f t="shared" si="6"/>
        <v>-5.6083650190114076E-2</v>
      </c>
      <c r="D215" s="6">
        <f t="shared" si="7"/>
        <v>-5.7717729252482586E-2</v>
      </c>
    </row>
    <row r="216" spans="1:4" x14ac:dyDescent="0.25">
      <c r="A216" t="s">
        <v>263</v>
      </c>
      <c r="B216">
        <v>10.52</v>
      </c>
      <c r="C216" s="6">
        <f t="shared" si="6"/>
        <v>4.8853439680957234E-2</v>
      </c>
      <c r="D216" s="6">
        <f t="shared" si="7"/>
        <v>4.7697605335719741E-2</v>
      </c>
    </row>
    <row r="217" spans="1:4" x14ac:dyDescent="0.25">
      <c r="A217" t="s">
        <v>264</v>
      </c>
      <c r="B217">
        <v>10.029999999999999</v>
      </c>
      <c r="C217" s="6">
        <f t="shared" si="6"/>
        <v>-6.9306930693069368E-3</v>
      </c>
      <c r="D217" s="6">
        <f t="shared" si="7"/>
        <v>-6.9548218733696101E-3</v>
      </c>
    </row>
    <row r="218" spans="1:4" x14ac:dyDescent="0.25">
      <c r="A218" t="s">
        <v>265</v>
      </c>
      <c r="B218">
        <v>10.1</v>
      </c>
      <c r="C218" s="6">
        <f t="shared" si="6"/>
        <v>2.3302938196555267E-2</v>
      </c>
      <c r="D218" s="6">
        <f t="shared" si="7"/>
        <v>2.30355704018236E-2</v>
      </c>
    </row>
    <row r="219" spans="1:4" x14ac:dyDescent="0.25">
      <c r="A219" t="s">
        <v>266</v>
      </c>
      <c r="B219">
        <v>9.8699999999999992</v>
      </c>
      <c r="C219" s="6">
        <f t="shared" si="6"/>
        <v>7.1428571428568954E-3</v>
      </c>
      <c r="D219" s="6">
        <f t="shared" si="7"/>
        <v>7.1174677688637337E-3</v>
      </c>
    </row>
    <row r="220" spans="1:4" x14ac:dyDescent="0.25">
      <c r="A220" t="s">
        <v>267</v>
      </c>
      <c r="B220">
        <v>9.8000000000000007</v>
      </c>
      <c r="C220" s="6">
        <f t="shared" si="6"/>
        <v>0</v>
      </c>
      <c r="D220" s="6">
        <f t="shared" si="7"/>
        <v>0</v>
      </c>
    </row>
    <row r="221" spans="1:4" x14ac:dyDescent="0.25">
      <c r="A221" t="s">
        <v>268</v>
      </c>
      <c r="B221">
        <v>9.8000000000000007</v>
      </c>
      <c r="C221" s="6">
        <f t="shared" si="6"/>
        <v>-4.0156709108716937E-2</v>
      </c>
      <c r="D221" s="6">
        <f t="shared" si="7"/>
        <v>-4.0985246500047944E-2</v>
      </c>
    </row>
    <row r="222" spans="1:4" x14ac:dyDescent="0.25">
      <c r="A222" t="s">
        <v>269</v>
      </c>
      <c r="B222">
        <v>10.210000000000001</v>
      </c>
      <c r="C222" s="6">
        <f t="shared" si="6"/>
        <v>-2.57633587786259E-2</v>
      </c>
      <c r="D222" s="6">
        <f t="shared" si="7"/>
        <v>-2.6101046716321862E-2</v>
      </c>
    </row>
    <row r="223" spans="1:4" x14ac:dyDescent="0.25">
      <c r="A223" t="s">
        <v>270</v>
      </c>
      <c r="B223">
        <v>10.48</v>
      </c>
      <c r="C223" s="6">
        <f t="shared" si="6"/>
        <v>1.1583011583011782E-2</v>
      </c>
      <c r="D223" s="6">
        <f t="shared" si="7"/>
        <v>1.1516442061559301E-2</v>
      </c>
    </row>
    <row r="224" spans="1:4" x14ac:dyDescent="0.25">
      <c r="A224" t="s">
        <v>271</v>
      </c>
      <c r="B224">
        <v>10.36</v>
      </c>
      <c r="C224" s="6">
        <f t="shared" si="6"/>
        <v>-7.6628352490420992E-3</v>
      </c>
      <c r="D224" s="6">
        <f t="shared" si="7"/>
        <v>-7.6923456231556137E-3</v>
      </c>
    </row>
    <row r="225" spans="1:4" x14ac:dyDescent="0.25">
      <c r="A225" t="s">
        <v>272</v>
      </c>
      <c r="B225">
        <v>10.44</v>
      </c>
      <c r="C225" s="6">
        <f t="shared" si="6"/>
        <v>-1.3232514177693777E-2</v>
      </c>
      <c r="D225" s="6">
        <f t="shared" si="7"/>
        <v>-1.3320843975660678E-2</v>
      </c>
    </row>
    <row r="226" spans="1:4" x14ac:dyDescent="0.25">
      <c r="A226" t="s">
        <v>273</v>
      </c>
      <c r="B226">
        <v>10.58</v>
      </c>
      <c r="C226" s="6">
        <f t="shared" si="6"/>
        <v>2.8436018957345155E-3</v>
      </c>
      <c r="D226" s="6">
        <f t="shared" si="7"/>
        <v>2.8395665080777391E-3</v>
      </c>
    </row>
    <row r="227" spans="1:4" x14ac:dyDescent="0.25">
      <c r="A227" t="s">
        <v>274</v>
      </c>
      <c r="B227">
        <v>10.55</v>
      </c>
      <c r="C227" s="6">
        <f t="shared" si="6"/>
        <v>-1.217228464419462E-2</v>
      </c>
      <c r="D227" s="6">
        <f t="shared" si="7"/>
        <v>-1.2246973609973139E-2</v>
      </c>
    </row>
    <row r="228" spans="1:4" x14ac:dyDescent="0.25">
      <c r="A228" t="s">
        <v>275</v>
      </c>
      <c r="B228">
        <v>10.68</v>
      </c>
      <c r="C228" s="6">
        <f t="shared" si="6"/>
        <v>7.547169811320753E-3</v>
      </c>
      <c r="D228" s="6">
        <f t="shared" si="7"/>
        <v>7.518832414027319E-3</v>
      </c>
    </row>
    <row r="229" spans="1:4" x14ac:dyDescent="0.25">
      <c r="A229" t="s">
        <v>276</v>
      </c>
      <c r="B229">
        <v>10.6</v>
      </c>
      <c r="C229" s="6">
        <f t="shared" si="6"/>
        <v>-4.5904590459045935E-2</v>
      </c>
      <c r="D229" s="6">
        <f t="shared" si="7"/>
        <v>-4.6991602533517196E-2</v>
      </c>
    </row>
    <row r="230" spans="1:4" x14ac:dyDescent="0.25">
      <c r="A230" t="s">
        <v>277</v>
      </c>
      <c r="B230">
        <v>11.11</v>
      </c>
      <c r="C230" s="6">
        <f t="shared" si="6"/>
        <v>1.8034265103696878E-3</v>
      </c>
      <c r="D230" s="6">
        <f t="shared" si="7"/>
        <v>1.8018022892629455E-3</v>
      </c>
    </row>
    <row r="231" spans="1:4" x14ac:dyDescent="0.25">
      <c r="A231" t="s">
        <v>278</v>
      </c>
      <c r="B231">
        <v>11.09</v>
      </c>
      <c r="C231" s="6">
        <f t="shared" si="6"/>
        <v>1.4638609332113361E-2</v>
      </c>
      <c r="D231" s="6">
        <f t="shared" si="7"/>
        <v>1.4532499173828388E-2</v>
      </c>
    </row>
    <row r="232" spans="1:4" x14ac:dyDescent="0.25">
      <c r="A232" t="s">
        <v>279</v>
      </c>
      <c r="B232">
        <v>10.93</v>
      </c>
      <c r="C232" s="6">
        <f t="shared" si="6"/>
        <v>2.5328330206378924E-2</v>
      </c>
      <c r="D232" s="6">
        <f t="shared" si="7"/>
        <v>2.501288345074865E-2</v>
      </c>
    </row>
    <row r="233" spans="1:4" x14ac:dyDescent="0.25">
      <c r="A233" t="s">
        <v>280</v>
      </c>
      <c r="B233">
        <v>10.66</v>
      </c>
      <c r="C233" s="6">
        <f t="shared" si="6"/>
        <v>-1.1131725417439675E-2</v>
      </c>
      <c r="D233" s="6">
        <f t="shared" si="7"/>
        <v>-1.1194146743152587E-2</v>
      </c>
    </row>
    <row r="234" spans="1:4" x14ac:dyDescent="0.25">
      <c r="A234" t="s">
        <v>281</v>
      </c>
      <c r="B234">
        <v>10.78</v>
      </c>
      <c r="C234" s="6">
        <f t="shared" si="6"/>
        <v>1.8903591682419618E-2</v>
      </c>
      <c r="D234" s="6">
        <f t="shared" si="7"/>
        <v>1.8727139050697731E-2</v>
      </c>
    </row>
    <row r="235" spans="1:4" x14ac:dyDescent="0.25">
      <c r="A235" t="s">
        <v>282</v>
      </c>
      <c r="B235">
        <v>10.58</v>
      </c>
      <c r="C235" s="6">
        <f t="shared" si="6"/>
        <v>-7.5046904315196894E-3</v>
      </c>
      <c r="D235" s="6">
        <f t="shared" si="7"/>
        <v>-7.5329923075451478E-3</v>
      </c>
    </row>
    <row r="236" spans="1:4" x14ac:dyDescent="0.25">
      <c r="A236" t="s">
        <v>283</v>
      </c>
      <c r="B236">
        <v>10.66</v>
      </c>
      <c r="C236" s="6">
        <f t="shared" si="6"/>
        <v>-8.3720930232558111E-3</v>
      </c>
      <c r="D236" s="6">
        <f t="shared" si="7"/>
        <v>-8.4073358359733202E-3</v>
      </c>
    </row>
    <row r="237" spans="1:4" x14ac:dyDescent="0.25">
      <c r="A237" t="s">
        <v>284</v>
      </c>
      <c r="B237">
        <v>10.75</v>
      </c>
      <c r="C237" s="6">
        <f t="shared" si="6"/>
        <v>-1.9160583941605913E-2</v>
      </c>
      <c r="D237" s="6">
        <f t="shared" si="7"/>
        <v>-1.9346526946197744E-2</v>
      </c>
    </row>
    <row r="238" spans="1:4" x14ac:dyDescent="0.25">
      <c r="A238" t="s">
        <v>285</v>
      </c>
      <c r="B238">
        <v>10.96</v>
      </c>
      <c r="C238" s="6">
        <f t="shared" si="6"/>
        <v>-2.8368794326240954E-2</v>
      </c>
      <c r="D238" s="6">
        <f t="shared" si="7"/>
        <v>-2.8778964550043175E-2</v>
      </c>
    </row>
    <row r="239" spans="1:4" x14ac:dyDescent="0.25">
      <c r="A239" t="s">
        <v>286</v>
      </c>
      <c r="B239">
        <v>11.28</v>
      </c>
      <c r="C239" s="6">
        <f t="shared" si="6"/>
        <v>1.8970189701897011E-2</v>
      </c>
      <c r="D239" s="6">
        <f t="shared" si="7"/>
        <v>1.879249934936732E-2</v>
      </c>
    </row>
    <row r="240" spans="1:4" x14ac:dyDescent="0.25">
      <c r="A240" t="s">
        <v>287</v>
      </c>
      <c r="B240">
        <v>11.07</v>
      </c>
      <c r="C240" s="6">
        <f t="shared" si="6"/>
        <v>-3.6003600360035026E-3</v>
      </c>
      <c r="D240" s="6">
        <f t="shared" si="7"/>
        <v>-3.6068569309930187E-3</v>
      </c>
    </row>
    <row r="241" spans="1:4" x14ac:dyDescent="0.25">
      <c r="A241" t="s">
        <v>288</v>
      </c>
      <c r="B241">
        <v>11.11</v>
      </c>
      <c r="C241" s="6">
        <f t="shared" si="6"/>
        <v>-2.6929982046679513E-3</v>
      </c>
      <c r="D241" s="6">
        <f t="shared" si="7"/>
        <v>-2.6966308475994244E-3</v>
      </c>
    </row>
    <row r="242" spans="1:4" x14ac:dyDescent="0.25">
      <c r="A242" t="s">
        <v>289</v>
      </c>
      <c r="B242">
        <v>11.14</v>
      </c>
      <c r="C242" s="6">
        <f t="shared" si="6"/>
        <v>6.3233965672990777E-3</v>
      </c>
      <c r="D242" s="6">
        <f t="shared" si="7"/>
        <v>6.3034877785925246E-3</v>
      </c>
    </row>
    <row r="243" spans="1:4" x14ac:dyDescent="0.25">
      <c r="A243" t="s">
        <v>290</v>
      </c>
      <c r="B243">
        <v>11.07</v>
      </c>
      <c r="C243" s="6">
        <f t="shared" si="6"/>
        <v>-7.1748878923766357E-3</v>
      </c>
      <c r="D243" s="6">
        <f t="shared" si="7"/>
        <v>-7.2007511855822093E-3</v>
      </c>
    </row>
    <row r="244" spans="1:4" x14ac:dyDescent="0.25">
      <c r="A244" t="s">
        <v>291</v>
      </c>
      <c r="B244">
        <v>11.15</v>
      </c>
      <c r="C244" s="6">
        <f t="shared" si="6"/>
        <v>3.6003600360037247E-3</v>
      </c>
      <c r="D244" s="6">
        <f t="shared" si="7"/>
        <v>3.5938942545892623E-3</v>
      </c>
    </row>
    <row r="245" spans="1:4" x14ac:dyDescent="0.25">
      <c r="A245" t="s">
        <v>292</v>
      </c>
      <c r="B245">
        <v>11.11</v>
      </c>
      <c r="C245" s="6">
        <f t="shared" si="6"/>
        <v>-2.6929982046679513E-3</v>
      </c>
      <c r="D245" s="6">
        <f t="shared" si="7"/>
        <v>-2.6966308475994244E-3</v>
      </c>
    </row>
    <row r="246" spans="1:4" x14ac:dyDescent="0.25">
      <c r="A246" t="s">
        <v>293</v>
      </c>
      <c r="B246">
        <v>11.14</v>
      </c>
      <c r="C246" s="6">
        <f t="shared" si="6"/>
        <v>1.5496809480401108E-2</v>
      </c>
      <c r="D246" s="6">
        <f t="shared" si="7"/>
        <v>1.53779602119991E-2</v>
      </c>
    </row>
    <row r="247" spans="1:4" x14ac:dyDescent="0.25">
      <c r="A247" t="s">
        <v>294</v>
      </c>
      <c r="B247">
        <v>10.97</v>
      </c>
      <c r="C247" s="6">
        <f t="shared" si="6"/>
        <v>-1.3489208633093441E-2</v>
      </c>
      <c r="D247" s="6">
        <f t="shared" si="7"/>
        <v>-1.3581014535297354E-2</v>
      </c>
    </row>
    <row r="248" spans="1:4" x14ac:dyDescent="0.25">
      <c r="A248" t="s">
        <v>295</v>
      </c>
      <c r="B248">
        <v>11.12</v>
      </c>
      <c r="C248" s="6">
        <f t="shared" si="6"/>
        <v>7.2463768115942351E-3</v>
      </c>
      <c r="D248" s="6">
        <f t="shared" si="7"/>
        <v>7.2202479734870973E-3</v>
      </c>
    </row>
    <row r="249" spans="1:4" x14ac:dyDescent="0.25">
      <c r="A249" t="s">
        <v>296</v>
      </c>
      <c r="B249">
        <v>11.04</v>
      </c>
      <c r="C249" s="6">
        <f t="shared" si="6"/>
        <v>2.0332717190387983E-2</v>
      </c>
      <c r="D249" s="6">
        <f t="shared" si="7"/>
        <v>2.0128767430613606E-2</v>
      </c>
    </row>
    <row r="250" spans="1:4" x14ac:dyDescent="0.25">
      <c r="A250" t="s">
        <v>297</v>
      </c>
      <c r="B250">
        <v>10.82</v>
      </c>
      <c r="C250" s="6">
        <f t="shared" si="6"/>
        <v>5.4580896686159841E-2</v>
      </c>
      <c r="D250" s="6">
        <f t="shared" si="7"/>
        <v>5.3143433675711983E-2</v>
      </c>
    </row>
    <row r="251" spans="1:4" x14ac:dyDescent="0.25">
      <c r="A251" t="s">
        <v>298</v>
      </c>
      <c r="B251">
        <v>10.26</v>
      </c>
      <c r="C251" s="6">
        <f t="shared" si="6"/>
        <v>1.2833168805528095E-2</v>
      </c>
      <c r="D251" s="6">
        <f t="shared" si="7"/>
        <v>1.2751521482031423E-2</v>
      </c>
    </row>
    <row r="252" spans="1:4" x14ac:dyDescent="0.25">
      <c r="A252" t="s">
        <v>299</v>
      </c>
      <c r="B252">
        <v>10.130000000000001</v>
      </c>
      <c r="C252" s="6">
        <f t="shared" si="6"/>
        <v>-6.0296846011131611E-2</v>
      </c>
      <c r="D252" s="6">
        <f t="shared" si="7"/>
        <v>-6.2191247220258962E-2</v>
      </c>
    </row>
    <row r="253" spans="1:4" x14ac:dyDescent="0.25">
      <c r="A253" t="s">
        <v>300</v>
      </c>
      <c r="B253">
        <v>10.78</v>
      </c>
      <c r="C253" s="6">
        <f t="shared" si="6"/>
        <v>9.2850510677799925E-4</v>
      </c>
      <c r="D253" s="6">
        <f t="shared" si="7"/>
        <v>9.2807431255381126E-4</v>
      </c>
    </row>
    <row r="254" spans="1:4" x14ac:dyDescent="0.25">
      <c r="A254" t="s">
        <v>301</v>
      </c>
      <c r="B254">
        <v>10.77</v>
      </c>
      <c r="C254" s="6">
        <f t="shared" si="6"/>
        <v>6.2130177514792884E-2</v>
      </c>
      <c r="D254" s="6">
        <f t="shared" si="7"/>
        <v>6.0276493005260078E-2</v>
      </c>
    </row>
    <row r="255" spans="1:4" x14ac:dyDescent="0.25">
      <c r="A255" t="s">
        <v>302</v>
      </c>
      <c r="B255">
        <v>10.14</v>
      </c>
      <c r="C255" s="6">
        <f t="shared" si="6"/>
        <v>2.0120724346076591E-2</v>
      </c>
      <c r="D255" s="6">
        <f t="shared" si="7"/>
        <v>1.9920977494554567E-2</v>
      </c>
    </row>
    <row r="256" spans="1:4" x14ac:dyDescent="0.25">
      <c r="A256" t="s">
        <v>303</v>
      </c>
      <c r="B256">
        <v>9.94</v>
      </c>
      <c r="C256" s="6">
        <f t="shared" si="6"/>
        <v>-1.6815034619188873E-2</v>
      </c>
      <c r="D256" s="6">
        <f t="shared" si="7"/>
        <v>-1.695801236389733E-2</v>
      </c>
    </row>
    <row r="257" spans="1:4" x14ac:dyDescent="0.25">
      <c r="A257" t="s">
        <v>304</v>
      </c>
      <c r="B257">
        <v>10.11</v>
      </c>
      <c r="C257" s="6">
        <f t="shared" si="6"/>
        <v>2.535496957403649E-2</v>
      </c>
      <c r="D257" s="6">
        <f t="shared" si="7"/>
        <v>2.5038864417835979E-2</v>
      </c>
    </row>
    <row r="258" spans="1:4" x14ac:dyDescent="0.25">
      <c r="A258" t="s">
        <v>305</v>
      </c>
      <c r="B258">
        <v>9.86</v>
      </c>
      <c r="C258" s="6">
        <f t="shared" si="6"/>
        <v>3.3542976939203495E-2</v>
      </c>
      <c r="D258" s="6">
        <f t="shared" si="7"/>
        <v>3.2992683154349028E-2</v>
      </c>
    </row>
    <row r="259" spans="1:4" x14ac:dyDescent="0.25">
      <c r="A259" t="s">
        <v>306</v>
      </c>
      <c r="B259">
        <v>9.5399999999999991</v>
      </c>
      <c r="C259" s="6">
        <f t="shared" ref="C259:C322" si="8">(B259/B260)-1</f>
        <v>-1.9527235354573569E-2</v>
      </c>
      <c r="D259" s="6">
        <f t="shared" ref="D259:D322" si="9">LN(B259/B260)</f>
        <v>-1.9720410737718623E-2</v>
      </c>
    </row>
    <row r="260" spans="1:4" x14ac:dyDescent="0.25">
      <c r="A260" t="s">
        <v>307</v>
      </c>
      <c r="B260">
        <v>9.73</v>
      </c>
      <c r="C260" s="6">
        <f t="shared" si="8"/>
        <v>-9.164969450101812E-3</v>
      </c>
      <c r="D260" s="6">
        <f t="shared" si="9"/>
        <v>-9.207226168460805E-3</v>
      </c>
    </row>
    <row r="261" spans="1:4" x14ac:dyDescent="0.25">
      <c r="A261" t="s">
        <v>308</v>
      </c>
      <c r="B261">
        <v>9.82</v>
      </c>
      <c r="C261" s="6">
        <f t="shared" si="8"/>
        <v>-4.9370764762826647E-2</v>
      </c>
      <c r="D261" s="6">
        <f t="shared" si="9"/>
        <v>-5.0631160765172586E-2</v>
      </c>
    </row>
    <row r="262" spans="1:4" x14ac:dyDescent="0.25">
      <c r="A262" t="s">
        <v>309</v>
      </c>
      <c r="B262">
        <v>10.33</v>
      </c>
      <c r="C262" s="6">
        <f t="shared" si="8"/>
        <v>-3.0956848030018747E-2</v>
      </c>
      <c r="D262" s="6">
        <f t="shared" si="9"/>
        <v>-3.1446135606151289E-2</v>
      </c>
    </row>
    <row r="263" spans="1:4" x14ac:dyDescent="0.25">
      <c r="A263" t="s">
        <v>310</v>
      </c>
      <c r="B263">
        <v>10.66</v>
      </c>
      <c r="C263" s="6">
        <f t="shared" si="8"/>
        <v>-1.5697137580794052E-2</v>
      </c>
      <c r="D263" s="6">
        <f t="shared" si="9"/>
        <v>-1.5821642275200724E-2</v>
      </c>
    </row>
    <row r="264" spans="1:4" x14ac:dyDescent="0.25">
      <c r="A264" t="s">
        <v>311</v>
      </c>
      <c r="B264">
        <v>10.83</v>
      </c>
      <c r="C264" s="6">
        <f t="shared" si="8"/>
        <v>-2.0795660036166397E-2</v>
      </c>
      <c r="D264" s="6">
        <f t="shared" si="9"/>
        <v>-2.1014935081289529E-2</v>
      </c>
    </row>
    <row r="265" spans="1:4" x14ac:dyDescent="0.25">
      <c r="A265" t="s">
        <v>312</v>
      </c>
      <c r="B265">
        <v>11.06</v>
      </c>
      <c r="C265" s="6">
        <f t="shared" si="8"/>
        <v>1.3748854262144894E-2</v>
      </c>
      <c r="D265" s="6">
        <f t="shared" si="9"/>
        <v>1.3655196249209361E-2</v>
      </c>
    </row>
    <row r="266" spans="1:4" x14ac:dyDescent="0.25">
      <c r="A266" t="s">
        <v>313</v>
      </c>
      <c r="B266">
        <v>10.91</v>
      </c>
      <c r="C266" s="6">
        <f t="shared" si="8"/>
        <v>9.1743119266052275E-4</v>
      </c>
      <c r="D266" s="6">
        <f t="shared" si="9"/>
        <v>9.1701060988140645E-4</v>
      </c>
    </row>
    <row r="267" spans="1:4" x14ac:dyDescent="0.25">
      <c r="A267" t="s">
        <v>314</v>
      </c>
      <c r="B267">
        <v>10.9</v>
      </c>
      <c r="C267" s="6">
        <f t="shared" si="8"/>
        <v>-8.1892629663330441E-3</v>
      </c>
      <c r="D267" s="6">
        <f t="shared" si="9"/>
        <v>-8.2229791804319923E-3</v>
      </c>
    </row>
    <row r="268" spans="1:4" x14ac:dyDescent="0.25">
      <c r="A268" t="s">
        <v>315</v>
      </c>
      <c r="B268">
        <v>10.99</v>
      </c>
      <c r="C268" s="6">
        <f t="shared" si="8"/>
        <v>1.2903225806451646E-2</v>
      </c>
      <c r="D268" s="6">
        <f t="shared" si="9"/>
        <v>1.2820688429061469E-2</v>
      </c>
    </row>
    <row r="269" spans="1:4" x14ac:dyDescent="0.25">
      <c r="A269" t="s">
        <v>316</v>
      </c>
      <c r="B269">
        <v>10.85</v>
      </c>
      <c r="C269" s="6">
        <f t="shared" si="8"/>
        <v>3.7002775208139216E-3</v>
      </c>
      <c r="D269" s="6">
        <f t="shared" si="9"/>
        <v>3.6934483353515089E-3</v>
      </c>
    </row>
    <row r="270" spans="1:4" x14ac:dyDescent="0.25">
      <c r="A270" t="s">
        <v>317</v>
      </c>
      <c r="B270">
        <v>10.81</v>
      </c>
      <c r="C270" s="6">
        <f t="shared" si="8"/>
        <v>-9.1659028414298183E-3</v>
      </c>
      <c r="D270" s="6">
        <f t="shared" si="9"/>
        <v>-9.2081681938624774E-3</v>
      </c>
    </row>
    <row r="271" spans="1:4" x14ac:dyDescent="0.25">
      <c r="A271" t="s">
        <v>318</v>
      </c>
      <c r="B271">
        <v>10.91</v>
      </c>
      <c r="C271" s="6">
        <f t="shared" si="8"/>
        <v>5.2073288331726308E-2</v>
      </c>
      <c r="D271" s="6">
        <f t="shared" si="9"/>
        <v>5.0762777603543655E-2</v>
      </c>
    </row>
    <row r="272" spans="1:4" x14ac:dyDescent="0.25">
      <c r="A272" t="s">
        <v>319</v>
      </c>
      <c r="B272">
        <v>10.37</v>
      </c>
      <c r="C272" s="6">
        <f t="shared" si="8"/>
        <v>-9.6339113680166122E-4</v>
      </c>
      <c r="D272" s="6">
        <f t="shared" si="9"/>
        <v>-9.6385549630673866E-4</v>
      </c>
    </row>
    <row r="273" spans="1:4" x14ac:dyDescent="0.25">
      <c r="A273" t="s">
        <v>320</v>
      </c>
      <c r="B273">
        <v>10.38</v>
      </c>
      <c r="C273" s="6">
        <f t="shared" si="8"/>
        <v>0</v>
      </c>
      <c r="D273" s="6">
        <f t="shared" si="9"/>
        <v>0</v>
      </c>
    </row>
    <row r="274" spans="1:4" x14ac:dyDescent="0.25">
      <c r="A274" t="s">
        <v>321</v>
      </c>
      <c r="B274">
        <v>10.38</v>
      </c>
      <c r="C274" s="6">
        <f t="shared" si="8"/>
        <v>2.8985507246377384E-3</v>
      </c>
      <c r="D274" s="6">
        <f t="shared" si="9"/>
        <v>2.8943580263645565E-3</v>
      </c>
    </row>
    <row r="275" spans="1:4" x14ac:dyDescent="0.25">
      <c r="A275" t="s">
        <v>322</v>
      </c>
      <c r="B275">
        <v>10.35</v>
      </c>
      <c r="C275" s="6">
        <f t="shared" si="8"/>
        <v>9.7560975609756184E-3</v>
      </c>
      <c r="D275" s="6">
        <f t="shared" si="9"/>
        <v>9.7088141269609032E-3</v>
      </c>
    </row>
    <row r="276" spans="1:4" x14ac:dyDescent="0.25">
      <c r="A276" t="s">
        <v>323</v>
      </c>
      <c r="B276">
        <v>10.25</v>
      </c>
      <c r="C276" s="6">
        <f t="shared" si="8"/>
        <v>2.2954091816367317E-2</v>
      </c>
      <c r="D276" s="6">
        <f t="shared" si="9"/>
        <v>2.2694609927698495E-2</v>
      </c>
    </row>
    <row r="277" spans="1:4" x14ac:dyDescent="0.25">
      <c r="A277" t="s">
        <v>324</v>
      </c>
      <c r="B277">
        <v>10.02</v>
      </c>
      <c r="C277" s="6">
        <f t="shared" si="8"/>
        <v>1.7258883248731038E-2</v>
      </c>
      <c r="D277" s="6">
        <f t="shared" si="9"/>
        <v>1.71116404727213E-2</v>
      </c>
    </row>
    <row r="278" spans="1:4" x14ac:dyDescent="0.25">
      <c r="A278" t="s">
        <v>325</v>
      </c>
      <c r="B278">
        <v>9.85</v>
      </c>
      <c r="C278" s="6">
        <f t="shared" si="8"/>
        <v>-9.0543259557344102E-3</v>
      </c>
      <c r="D278" s="6">
        <f t="shared" si="9"/>
        <v>-9.0955654844851585E-3</v>
      </c>
    </row>
    <row r="279" spans="1:4" x14ac:dyDescent="0.25">
      <c r="A279" t="s">
        <v>326</v>
      </c>
      <c r="B279">
        <v>9.94</v>
      </c>
      <c r="C279" s="6">
        <f t="shared" si="8"/>
        <v>2.5799793601651189E-2</v>
      </c>
      <c r="D279" s="6">
        <f t="shared" si="9"/>
        <v>2.5472594765807807E-2</v>
      </c>
    </row>
    <row r="280" spans="1:4" x14ac:dyDescent="0.25">
      <c r="A280" t="s">
        <v>327</v>
      </c>
      <c r="B280">
        <v>9.69</v>
      </c>
      <c r="C280" s="6">
        <f t="shared" si="8"/>
        <v>1.572327044025168E-2</v>
      </c>
      <c r="D280" s="6">
        <f t="shared" si="9"/>
        <v>1.560094044247981E-2</v>
      </c>
    </row>
    <row r="281" spans="1:4" x14ac:dyDescent="0.25">
      <c r="A281" t="s">
        <v>328</v>
      </c>
      <c r="B281">
        <v>9.5399999999999991</v>
      </c>
      <c r="C281" s="6">
        <f t="shared" si="8"/>
        <v>-1.4462809917355379E-2</v>
      </c>
      <c r="D281" s="6">
        <f t="shared" si="9"/>
        <v>-1.4568415828290498E-2</v>
      </c>
    </row>
    <row r="282" spans="1:4" x14ac:dyDescent="0.25">
      <c r="A282" t="s">
        <v>329</v>
      </c>
      <c r="B282">
        <v>9.68</v>
      </c>
      <c r="C282" s="6">
        <f t="shared" si="8"/>
        <v>-1.5259409969481164E-2</v>
      </c>
      <c r="D282" s="6">
        <f t="shared" si="9"/>
        <v>-1.5377032870589519E-2</v>
      </c>
    </row>
    <row r="283" spans="1:4" x14ac:dyDescent="0.25">
      <c r="A283" t="s">
        <v>330</v>
      </c>
      <c r="B283">
        <v>9.83</v>
      </c>
      <c r="C283" s="6">
        <f t="shared" si="8"/>
        <v>1.1316872427983515E-2</v>
      </c>
      <c r="D283" s="6">
        <f t="shared" si="9"/>
        <v>1.1253315686727453E-2</v>
      </c>
    </row>
    <row r="284" spans="1:4" x14ac:dyDescent="0.25">
      <c r="A284" t="s">
        <v>331</v>
      </c>
      <c r="B284">
        <v>9.7200000000000006</v>
      </c>
      <c r="C284" s="6">
        <f t="shared" si="8"/>
        <v>-2.605210420841686E-2</v>
      </c>
      <c r="D284" s="6">
        <f t="shared" si="9"/>
        <v>-2.6397471851024926E-2</v>
      </c>
    </row>
    <row r="285" spans="1:4" x14ac:dyDescent="0.25">
      <c r="A285" t="s">
        <v>332</v>
      </c>
      <c r="B285">
        <v>9.98</v>
      </c>
      <c r="C285" s="6">
        <f t="shared" si="8"/>
        <v>4.0241448692153181E-3</v>
      </c>
      <c r="D285" s="6">
        <f t="shared" si="9"/>
        <v>4.0160696548899649E-3</v>
      </c>
    </row>
    <row r="286" spans="1:4" x14ac:dyDescent="0.25">
      <c r="A286" t="s">
        <v>333</v>
      </c>
      <c r="B286">
        <v>9.94</v>
      </c>
      <c r="C286" s="6">
        <f t="shared" si="8"/>
        <v>0</v>
      </c>
      <c r="D286" s="6">
        <f t="shared" si="9"/>
        <v>0</v>
      </c>
    </row>
    <row r="287" spans="1:4" x14ac:dyDescent="0.25">
      <c r="A287" t="s">
        <v>334</v>
      </c>
      <c r="B287">
        <v>9.94</v>
      </c>
      <c r="C287" s="6">
        <f t="shared" si="8"/>
        <v>-5.0050050050051142E-3</v>
      </c>
      <c r="D287" s="6">
        <f t="shared" si="9"/>
        <v>-5.0175719919795924E-3</v>
      </c>
    </row>
    <row r="288" spans="1:4" x14ac:dyDescent="0.25">
      <c r="A288" t="s">
        <v>335</v>
      </c>
      <c r="B288">
        <v>9.99</v>
      </c>
      <c r="C288" s="6">
        <f t="shared" si="8"/>
        <v>-6.958250497017926E-3</v>
      </c>
      <c r="D288" s="6">
        <f t="shared" si="9"/>
        <v>-6.9825720111310313E-3</v>
      </c>
    </row>
    <row r="289" spans="1:4" x14ac:dyDescent="0.25">
      <c r="A289" t="s">
        <v>336</v>
      </c>
      <c r="B289">
        <v>10.06</v>
      </c>
      <c r="C289" s="6">
        <f t="shared" si="8"/>
        <v>-9.930486593843213E-4</v>
      </c>
      <c r="D289" s="6">
        <f t="shared" si="9"/>
        <v>-9.9354205887778983E-4</v>
      </c>
    </row>
    <row r="290" spans="1:4" x14ac:dyDescent="0.25">
      <c r="A290" t="s">
        <v>337</v>
      </c>
      <c r="B290">
        <v>10.07</v>
      </c>
      <c r="C290" s="6">
        <f t="shared" si="8"/>
        <v>-7.8817733990147465E-3</v>
      </c>
      <c r="D290" s="6">
        <f t="shared" si="9"/>
        <v>-7.9129987573253804E-3</v>
      </c>
    </row>
    <row r="291" spans="1:4" x14ac:dyDescent="0.25">
      <c r="A291" t="s">
        <v>338</v>
      </c>
      <c r="B291">
        <v>10.15</v>
      </c>
      <c r="C291" s="6">
        <f t="shared" si="8"/>
        <v>-3.9254170755641526E-3</v>
      </c>
      <c r="D291" s="6">
        <f t="shared" si="9"/>
        <v>-3.9331417468369797E-3</v>
      </c>
    </row>
    <row r="292" spans="1:4" x14ac:dyDescent="0.25">
      <c r="A292" t="s">
        <v>339</v>
      </c>
      <c r="B292">
        <v>10.19</v>
      </c>
      <c r="C292" s="6">
        <f t="shared" si="8"/>
        <v>6.9169960474309011E-3</v>
      </c>
      <c r="D292" s="6">
        <f t="shared" si="9"/>
        <v>6.8931833753140305E-3</v>
      </c>
    </row>
    <row r="293" spans="1:4" x14ac:dyDescent="0.25">
      <c r="A293" t="s">
        <v>340</v>
      </c>
      <c r="B293">
        <v>10.119999999999999</v>
      </c>
      <c r="C293" s="6">
        <f t="shared" si="8"/>
        <v>-5.7728119180633253E-2</v>
      </c>
      <c r="D293" s="6">
        <f t="shared" si="9"/>
        <v>-5.9461425221399258E-2</v>
      </c>
    </row>
    <row r="294" spans="1:4" x14ac:dyDescent="0.25">
      <c r="A294" t="s">
        <v>341</v>
      </c>
      <c r="B294">
        <v>10.74</v>
      </c>
      <c r="C294" s="6">
        <f t="shared" si="8"/>
        <v>-1.0138248847926246E-2</v>
      </c>
      <c r="D294" s="6">
        <f t="shared" si="9"/>
        <v>-1.0189990905749907E-2</v>
      </c>
    </row>
    <row r="295" spans="1:4" x14ac:dyDescent="0.25">
      <c r="A295" t="s">
        <v>342</v>
      </c>
      <c r="B295">
        <v>10.85</v>
      </c>
      <c r="C295" s="6">
        <f t="shared" si="8"/>
        <v>-8.2266910420475403E-3</v>
      </c>
      <c r="D295" s="6">
        <f t="shared" si="9"/>
        <v>-8.2607170073665977E-3</v>
      </c>
    </row>
    <row r="296" spans="1:4" x14ac:dyDescent="0.25">
      <c r="A296" t="s">
        <v>343</v>
      </c>
      <c r="B296">
        <v>10.94</v>
      </c>
      <c r="C296" s="6">
        <f t="shared" si="8"/>
        <v>0</v>
      </c>
      <c r="D296" s="6">
        <f t="shared" si="9"/>
        <v>0</v>
      </c>
    </row>
    <row r="297" spans="1:4" x14ac:dyDescent="0.25">
      <c r="A297" t="s">
        <v>344</v>
      </c>
      <c r="B297">
        <v>10.94</v>
      </c>
      <c r="C297" s="6">
        <f t="shared" si="8"/>
        <v>-4.119193689745837E-2</v>
      </c>
      <c r="D297" s="6">
        <f t="shared" si="9"/>
        <v>-4.2064366880149126E-2</v>
      </c>
    </row>
    <row r="298" spans="1:4" x14ac:dyDescent="0.25">
      <c r="A298" t="s">
        <v>345</v>
      </c>
      <c r="B298">
        <v>11.41</v>
      </c>
      <c r="C298" s="6">
        <f t="shared" si="8"/>
        <v>2.14861235452104E-2</v>
      </c>
      <c r="D298" s="6">
        <f t="shared" si="9"/>
        <v>2.1258550792874947E-2</v>
      </c>
    </row>
    <row r="299" spans="1:4" x14ac:dyDescent="0.25">
      <c r="A299" t="s">
        <v>346</v>
      </c>
      <c r="B299">
        <v>11.17</v>
      </c>
      <c r="C299" s="6">
        <f t="shared" si="8"/>
        <v>2.8545119705340793E-2</v>
      </c>
      <c r="D299" s="6">
        <f t="shared" si="9"/>
        <v>2.8145298575320051E-2</v>
      </c>
    </row>
    <row r="300" spans="1:4" x14ac:dyDescent="0.25">
      <c r="A300" t="s">
        <v>347</v>
      </c>
      <c r="B300">
        <v>10.86</v>
      </c>
      <c r="C300" s="6">
        <f t="shared" si="8"/>
        <v>0</v>
      </c>
      <c r="D300" s="6">
        <f t="shared" si="9"/>
        <v>0</v>
      </c>
    </row>
    <row r="301" spans="1:4" x14ac:dyDescent="0.25">
      <c r="A301" t="s">
        <v>348</v>
      </c>
      <c r="B301">
        <v>10.86</v>
      </c>
      <c r="C301" s="6">
        <f t="shared" si="8"/>
        <v>0.10030395136778125</v>
      </c>
      <c r="D301" s="6">
        <f t="shared" si="9"/>
        <v>9.5586461060399253E-2</v>
      </c>
    </row>
    <row r="302" spans="1:4" x14ac:dyDescent="0.25">
      <c r="A302" t="s">
        <v>349</v>
      </c>
      <c r="B302">
        <v>9.8699999999999992</v>
      </c>
      <c r="C302" s="6">
        <f t="shared" si="8"/>
        <v>8.1716036772216949E-3</v>
      </c>
      <c r="D302" s="6">
        <f t="shared" si="9"/>
        <v>8.1383969029712403E-3</v>
      </c>
    </row>
    <row r="303" spans="1:4" x14ac:dyDescent="0.25">
      <c r="A303" t="s">
        <v>350</v>
      </c>
      <c r="B303">
        <v>9.7899999999999991</v>
      </c>
      <c r="C303" s="6">
        <f t="shared" si="8"/>
        <v>-1.0204081632654294E-3</v>
      </c>
      <c r="D303" s="6">
        <f t="shared" si="9"/>
        <v>-1.0209291341073447E-3</v>
      </c>
    </row>
    <row r="304" spans="1:4" x14ac:dyDescent="0.25">
      <c r="A304" t="s">
        <v>351</v>
      </c>
      <c r="B304">
        <v>9.8000000000000007</v>
      </c>
      <c r="C304" s="6">
        <f t="shared" si="8"/>
        <v>-1.4084507042253391E-2</v>
      </c>
      <c r="D304" s="6">
        <f t="shared" si="9"/>
        <v>-1.41846349919563E-2</v>
      </c>
    </row>
    <row r="305" spans="1:4" x14ac:dyDescent="0.25">
      <c r="A305" t="s">
        <v>352</v>
      </c>
      <c r="B305">
        <v>9.94</v>
      </c>
      <c r="C305" s="6">
        <f t="shared" si="8"/>
        <v>2.3686920700308756E-2</v>
      </c>
      <c r="D305" s="6">
        <f t="shared" si="9"/>
        <v>2.3410738365248925E-2</v>
      </c>
    </row>
    <row r="306" spans="1:4" x14ac:dyDescent="0.25">
      <c r="A306" t="s">
        <v>353</v>
      </c>
      <c r="B306">
        <v>9.7100000000000009</v>
      </c>
      <c r="C306" s="6">
        <f t="shared" si="8"/>
        <v>-1.6210739614994751E-2</v>
      </c>
      <c r="D306" s="6">
        <f t="shared" si="9"/>
        <v>-1.6343571142156486E-2</v>
      </c>
    </row>
    <row r="307" spans="1:4" x14ac:dyDescent="0.25">
      <c r="A307" t="s">
        <v>354</v>
      </c>
      <c r="B307">
        <v>9.8699999999999992</v>
      </c>
      <c r="C307" s="6">
        <f t="shared" si="8"/>
        <v>-4.5454545454545525E-2</v>
      </c>
      <c r="D307" s="6">
        <f t="shared" si="9"/>
        <v>-4.6520015634892928E-2</v>
      </c>
    </row>
    <row r="308" spans="1:4" x14ac:dyDescent="0.25">
      <c r="A308" t="s">
        <v>355</v>
      </c>
      <c r="B308">
        <v>10.34</v>
      </c>
      <c r="C308" s="6">
        <f t="shared" si="8"/>
        <v>9.765625E-3</v>
      </c>
      <c r="D308" s="6">
        <f t="shared" si="9"/>
        <v>9.7182494689213462E-3</v>
      </c>
    </row>
    <row r="309" spans="1:4" x14ac:dyDescent="0.25">
      <c r="A309" t="s">
        <v>356</v>
      </c>
      <c r="B309">
        <v>10.24</v>
      </c>
      <c r="C309" s="6">
        <f t="shared" si="8"/>
        <v>9.8619329388560661E-3</v>
      </c>
      <c r="D309" s="6">
        <f t="shared" si="9"/>
        <v>9.8136214483246706E-3</v>
      </c>
    </row>
    <row r="310" spans="1:4" x14ac:dyDescent="0.25">
      <c r="A310" t="s">
        <v>357</v>
      </c>
      <c r="B310">
        <v>10.14</v>
      </c>
      <c r="C310" s="6">
        <f t="shared" si="8"/>
        <v>1.4000000000000012E-2</v>
      </c>
      <c r="D310" s="6">
        <f t="shared" si="9"/>
        <v>1.3902905168991434E-2</v>
      </c>
    </row>
    <row r="311" spans="1:4" x14ac:dyDescent="0.25">
      <c r="A311" t="s">
        <v>358</v>
      </c>
      <c r="B311">
        <v>10</v>
      </c>
      <c r="C311" s="6">
        <f t="shared" si="8"/>
        <v>1.4198782961460488E-2</v>
      </c>
      <c r="D311" s="6">
        <f t="shared" si="9"/>
        <v>1.4098924379501675E-2</v>
      </c>
    </row>
    <row r="312" spans="1:4" x14ac:dyDescent="0.25">
      <c r="A312" t="s">
        <v>359</v>
      </c>
      <c r="B312">
        <v>9.86</v>
      </c>
      <c r="C312" s="6">
        <f t="shared" si="8"/>
        <v>-4.0856031128404635E-2</v>
      </c>
      <c r="D312" s="6">
        <f t="shared" si="9"/>
        <v>-4.1714091412474966E-2</v>
      </c>
    </row>
    <row r="313" spans="1:4" x14ac:dyDescent="0.25">
      <c r="A313" t="s">
        <v>360</v>
      </c>
      <c r="B313">
        <v>10.28</v>
      </c>
      <c r="C313" s="6">
        <f t="shared" si="8"/>
        <v>-1.4381591562799612E-2</v>
      </c>
      <c r="D313" s="6">
        <f t="shared" si="9"/>
        <v>-1.4486008985662024E-2</v>
      </c>
    </row>
    <row r="314" spans="1:4" x14ac:dyDescent="0.25">
      <c r="A314" t="s">
        <v>361</v>
      </c>
      <c r="B314">
        <v>10.43</v>
      </c>
      <c r="C314" s="6">
        <f t="shared" si="8"/>
        <v>0</v>
      </c>
      <c r="D314" s="6">
        <f t="shared" si="9"/>
        <v>0</v>
      </c>
    </row>
    <row r="315" spans="1:4" x14ac:dyDescent="0.25">
      <c r="A315" t="s">
        <v>362</v>
      </c>
      <c r="B315">
        <v>10.43</v>
      </c>
      <c r="C315" s="6">
        <f t="shared" si="8"/>
        <v>8.3073727933540953E-2</v>
      </c>
      <c r="D315" s="6">
        <f t="shared" si="9"/>
        <v>7.9803043202646834E-2</v>
      </c>
    </row>
    <row r="316" spans="1:4" x14ac:dyDescent="0.25">
      <c r="A316" t="s">
        <v>363</v>
      </c>
      <c r="B316">
        <v>9.6300000000000008</v>
      </c>
      <c r="C316" s="6">
        <f t="shared" si="8"/>
        <v>2.5559105431310014E-2</v>
      </c>
      <c r="D316" s="6">
        <f t="shared" si="9"/>
        <v>2.5237932589862754E-2</v>
      </c>
    </row>
    <row r="317" spans="1:4" x14ac:dyDescent="0.25">
      <c r="A317" t="s">
        <v>364</v>
      </c>
      <c r="B317">
        <v>9.39</v>
      </c>
      <c r="C317" s="6">
        <f t="shared" si="8"/>
        <v>-1.5723270440251458E-2</v>
      </c>
      <c r="D317" s="6">
        <f t="shared" si="9"/>
        <v>-1.5848192240023502E-2</v>
      </c>
    </row>
    <row r="318" spans="1:4" x14ac:dyDescent="0.25">
      <c r="A318" t="s">
        <v>365</v>
      </c>
      <c r="B318">
        <v>9.5399999999999991</v>
      </c>
      <c r="C318" s="6">
        <f t="shared" si="8"/>
        <v>2.1413276231263323E-2</v>
      </c>
      <c r="D318" s="6">
        <f t="shared" si="9"/>
        <v>2.1187233219443845E-2</v>
      </c>
    </row>
    <row r="319" spans="1:4" x14ac:dyDescent="0.25">
      <c r="A319" t="s">
        <v>366</v>
      </c>
      <c r="B319">
        <v>9.34</v>
      </c>
      <c r="C319" s="6">
        <f t="shared" si="8"/>
        <v>2.9768467475192795E-2</v>
      </c>
      <c r="D319" s="6">
        <f t="shared" si="9"/>
        <v>2.9333988113705873E-2</v>
      </c>
    </row>
    <row r="320" spans="1:4" x14ac:dyDescent="0.25">
      <c r="A320" t="s">
        <v>367</v>
      </c>
      <c r="B320">
        <v>9.07</v>
      </c>
      <c r="C320" s="6">
        <f t="shared" si="8"/>
        <v>7.2104018912529488E-2</v>
      </c>
      <c r="D320" s="6">
        <f t="shared" si="9"/>
        <v>6.9623090508913271E-2</v>
      </c>
    </row>
    <row r="321" spans="1:4" x14ac:dyDescent="0.25">
      <c r="A321" t="s">
        <v>368</v>
      </c>
      <c r="B321">
        <v>8.4600000000000009</v>
      </c>
      <c r="C321" s="6">
        <f t="shared" si="8"/>
        <v>-1.1682242990654124E-2</v>
      </c>
      <c r="D321" s="6">
        <f t="shared" si="9"/>
        <v>-1.175101653551874E-2</v>
      </c>
    </row>
    <row r="322" spans="1:4" x14ac:dyDescent="0.25">
      <c r="A322" t="s">
        <v>369</v>
      </c>
      <c r="B322">
        <v>8.56</v>
      </c>
      <c r="C322" s="6">
        <f t="shared" si="8"/>
        <v>-3.4949267192784572E-2</v>
      </c>
      <c r="D322" s="6">
        <f t="shared" si="9"/>
        <v>-3.5574606167837287E-2</v>
      </c>
    </row>
    <row r="323" spans="1:4" x14ac:dyDescent="0.25">
      <c r="A323" t="s">
        <v>370</v>
      </c>
      <c r="B323">
        <v>8.8699999999999992</v>
      </c>
      <c r="C323" s="6">
        <f t="shared" ref="C323:C386" si="10">(B323/B324)-1</f>
        <v>-1.9889502762431066E-2</v>
      </c>
      <c r="D323" s="6">
        <f t="shared" ref="D323:D386" si="11">LN(B323/B324)</f>
        <v>-2.0089961390346762E-2</v>
      </c>
    </row>
    <row r="324" spans="1:4" x14ac:dyDescent="0.25">
      <c r="A324" t="s">
        <v>371</v>
      </c>
      <c r="B324">
        <v>9.0500000000000007</v>
      </c>
      <c r="C324" s="6">
        <f t="shared" si="10"/>
        <v>1.2304250559284302E-2</v>
      </c>
      <c r="D324" s="6">
        <f t="shared" si="11"/>
        <v>1.2229168526412162E-2</v>
      </c>
    </row>
    <row r="325" spans="1:4" x14ac:dyDescent="0.25">
      <c r="A325" t="s">
        <v>372</v>
      </c>
      <c r="B325">
        <v>8.94</v>
      </c>
      <c r="C325" s="6">
        <f t="shared" si="10"/>
        <v>-7.769145394006638E-3</v>
      </c>
      <c r="D325" s="6">
        <f t="shared" si="11"/>
        <v>-7.7994824348237507E-3</v>
      </c>
    </row>
    <row r="326" spans="1:4" x14ac:dyDescent="0.25">
      <c r="A326" t="s">
        <v>373</v>
      </c>
      <c r="B326">
        <v>9.01</v>
      </c>
      <c r="C326" s="6">
        <f t="shared" si="10"/>
        <v>-2.4891774891774965E-2</v>
      </c>
      <c r="D326" s="6">
        <f t="shared" si="11"/>
        <v>-2.520681403334632E-2</v>
      </c>
    </row>
    <row r="327" spans="1:4" x14ac:dyDescent="0.25">
      <c r="A327" t="s">
        <v>374</v>
      </c>
      <c r="B327">
        <v>9.24</v>
      </c>
      <c r="C327" s="6">
        <f t="shared" si="10"/>
        <v>-2.8391167192428957E-2</v>
      </c>
      <c r="D327" s="6">
        <f t="shared" si="11"/>
        <v>-2.8801990903706078E-2</v>
      </c>
    </row>
    <row r="328" spans="1:4" x14ac:dyDescent="0.25">
      <c r="A328" t="s">
        <v>375</v>
      </c>
      <c r="B328">
        <v>9.51</v>
      </c>
      <c r="C328" s="6">
        <f t="shared" si="10"/>
        <v>-3.9393939393939426E-2</v>
      </c>
      <c r="D328" s="6">
        <f t="shared" si="11"/>
        <v>-4.0190880583245339E-2</v>
      </c>
    </row>
    <row r="329" spans="1:4" x14ac:dyDescent="0.25">
      <c r="A329" t="s">
        <v>376</v>
      </c>
      <c r="B329">
        <v>9.9</v>
      </c>
      <c r="C329" s="6">
        <f t="shared" si="10"/>
        <v>-1.0000000000000009E-2</v>
      </c>
      <c r="D329" s="6">
        <f t="shared" si="11"/>
        <v>-1.0050335853501451E-2</v>
      </c>
    </row>
    <row r="330" spans="1:4" x14ac:dyDescent="0.25">
      <c r="A330" t="s">
        <v>377</v>
      </c>
      <c r="B330">
        <v>10</v>
      </c>
      <c r="C330" s="6">
        <f t="shared" si="10"/>
        <v>-2.8182701652089359E-2</v>
      </c>
      <c r="D330" s="6">
        <f t="shared" si="11"/>
        <v>-2.8587456851912506E-2</v>
      </c>
    </row>
    <row r="331" spans="1:4" x14ac:dyDescent="0.25">
      <c r="A331" t="s">
        <v>378</v>
      </c>
      <c r="B331">
        <v>10.29</v>
      </c>
      <c r="C331" s="6">
        <f t="shared" si="10"/>
        <v>-2.6490066225165698E-2</v>
      </c>
      <c r="D331" s="6">
        <f t="shared" si="11"/>
        <v>-2.6847250036188167E-2</v>
      </c>
    </row>
    <row r="332" spans="1:4" x14ac:dyDescent="0.25">
      <c r="A332" t="s">
        <v>379</v>
      </c>
      <c r="B332">
        <v>10.57</v>
      </c>
      <c r="C332" s="6">
        <f t="shared" si="10"/>
        <v>-2.8492647058823595E-2</v>
      </c>
      <c r="D332" s="6">
        <f t="shared" si="11"/>
        <v>-2.890644154565037E-2</v>
      </c>
    </row>
    <row r="333" spans="1:4" x14ac:dyDescent="0.25">
      <c r="A333" t="s">
        <v>380</v>
      </c>
      <c r="B333">
        <v>10.88</v>
      </c>
      <c r="C333" s="6">
        <f t="shared" si="10"/>
        <v>1.0213556174559102E-2</v>
      </c>
      <c r="D333" s="6">
        <f t="shared" si="11"/>
        <v>1.0161750259499513E-2</v>
      </c>
    </row>
    <row r="334" spans="1:4" x14ac:dyDescent="0.25">
      <c r="A334" t="s">
        <v>381</v>
      </c>
      <c r="B334">
        <v>10.77</v>
      </c>
      <c r="C334" s="6">
        <f t="shared" si="10"/>
        <v>-8.2872928176795924E-3</v>
      </c>
      <c r="D334" s="6">
        <f t="shared" si="11"/>
        <v>-8.3218233374922172E-3</v>
      </c>
    </row>
    <row r="335" spans="1:4" x14ac:dyDescent="0.25">
      <c r="A335" t="s">
        <v>382</v>
      </c>
      <c r="B335">
        <v>10.86</v>
      </c>
      <c r="C335" s="6">
        <f t="shared" si="10"/>
        <v>9.2936802973977439E-3</v>
      </c>
      <c r="D335" s="6">
        <f t="shared" si="11"/>
        <v>9.2507597721509967E-3</v>
      </c>
    </row>
    <row r="336" spans="1:4" x14ac:dyDescent="0.25">
      <c r="A336" t="s">
        <v>383</v>
      </c>
      <c r="B336">
        <v>10.76</v>
      </c>
      <c r="C336" s="6">
        <f t="shared" si="10"/>
        <v>1.8621973929235924E-3</v>
      </c>
      <c r="D336" s="6">
        <f t="shared" si="11"/>
        <v>1.8604656529196708E-3</v>
      </c>
    </row>
    <row r="337" spans="1:4" x14ac:dyDescent="0.25">
      <c r="A337" t="s">
        <v>384</v>
      </c>
      <c r="B337">
        <v>10.74</v>
      </c>
      <c r="C337" s="6">
        <f t="shared" si="10"/>
        <v>-2.2747952684258443E-2</v>
      </c>
      <c r="D337" s="6">
        <f t="shared" si="11"/>
        <v>-2.3010679334811393E-2</v>
      </c>
    </row>
    <row r="338" spans="1:4" x14ac:dyDescent="0.25">
      <c r="A338" t="s">
        <v>385</v>
      </c>
      <c r="B338">
        <v>10.99</v>
      </c>
      <c r="C338" s="6">
        <f t="shared" si="10"/>
        <v>-9.0171325518484391E-3</v>
      </c>
      <c r="D338" s="6">
        <f t="shared" si="11"/>
        <v>-9.0580329467455992E-3</v>
      </c>
    </row>
    <row r="339" spans="1:4" x14ac:dyDescent="0.25">
      <c r="A339" t="s">
        <v>386</v>
      </c>
      <c r="B339">
        <v>11.09</v>
      </c>
      <c r="C339" s="6">
        <f t="shared" si="10"/>
        <v>2.7803521779425466E-2</v>
      </c>
      <c r="D339" s="6">
        <f t="shared" si="11"/>
        <v>2.7424022092232447E-2</v>
      </c>
    </row>
    <row r="340" spans="1:4" x14ac:dyDescent="0.25">
      <c r="A340" t="s">
        <v>387</v>
      </c>
      <c r="B340">
        <v>10.79</v>
      </c>
      <c r="C340" s="6">
        <f t="shared" si="10"/>
        <v>-2.7726432532348966E-3</v>
      </c>
      <c r="D340" s="6">
        <f t="shared" si="11"/>
        <v>-2.7764941482923181E-3</v>
      </c>
    </row>
    <row r="341" spans="1:4" x14ac:dyDescent="0.25">
      <c r="A341" t="s">
        <v>388</v>
      </c>
      <c r="B341">
        <v>10.82</v>
      </c>
      <c r="C341" s="6">
        <f t="shared" si="10"/>
        <v>1.2160898035547207E-2</v>
      </c>
      <c r="D341" s="6">
        <f t="shared" si="11"/>
        <v>1.2087548381381572E-2</v>
      </c>
    </row>
    <row r="342" spans="1:4" x14ac:dyDescent="0.25">
      <c r="A342" t="s">
        <v>389</v>
      </c>
      <c r="B342">
        <v>10.69</v>
      </c>
      <c r="C342" s="6">
        <f t="shared" si="10"/>
        <v>-1.201478743068396E-2</v>
      </c>
      <c r="D342" s="6">
        <f t="shared" si="11"/>
        <v>-1.2087548381381647E-2</v>
      </c>
    </row>
    <row r="343" spans="1:4" x14ac:dyDescent="0.25">
      <c r="A343" t="s">
        <v>390</v>
      </c>
      <c r="B343">
        <v>10.82</v>
      </c>
      <c r="C343" s="6">
        <f t="shared" si="10"/>
        <v>-1.5468607825295688E-2</v>
      </c>
      <c r="D343" s="6">
        <f t="shared" si="11"/>
        <v>-1.5589494997194496E-2</v>
      </c>
    </row>
    <row r="344" spans="1:4" x14ac:dyDescent="0.25">
      <c r="A344" t="s">
        <v>391</v>
      </c>
      <c r="B344">
        <v>10.99</v>
      </c>
      <c r="C344" s="6">
        <f t="shared" si="10"/>
        <v>4.4676806083650211E-2</v>
      </c>
      <c r="D344" s="6">
        <f t="shared" si="11"/>
        <v>4.3707561105966214E-2</v>
      </c>
    </row>
    <row r="345" spans="1:4" x14ac:dyDescent="0.25">
      <c r="A345" t="s">
        <v>392</v>
      </c>
      <c r="B345">
        <v>10.52</v>
      </c>
      <c r="C345" s="6">
        <f t="shared" si="10"/>
        <v>4.7755491881564804E-3</v>
      </c>
      <c r="D345" s="6">
        <f t="shared" si="11"/>
        <v>4.7641824271181582E-3</v>
      </c>
    </row>
    <row r="346" spans="1:4" x14ac:dyDescent="0.25">
      <c r="A346" t="s">
        <v>393</v>
      </c>
      <c r="B346">
        <v>10.47</v>
      </c>
      <c r="C346" s="6">
        <f t="shared" si="10"/>
        <v>-7.5829383886255597E-3</v>
      </c>
      <c r="D346" s="6">
        <f t="shared" si="11"/>
        <v>-7.6118350396299824E-3</v>
      </c>
    </row>
    <row r="347" spans="1:4" x14ac:dyDescent="0.25">
      <c r="A347" t="s">
        <v>394</v>
      </c>
      <c r="B347">
        <v>10.55</v>
      </c>
      <c r="C347" s="6">
        <f t="shared" si="10"/>
        <v>0</v>
      </c>
      <c r="D347" s="6">
        <f t="shared" si="11"/>
        <v>0</v>
      </c>
    </row>
    <row r="348" spans="1:4" x14ac:dyDescent="0.25">
      <c r="A348" t="s">
        <v>395</v>
      </c>
      <c r="B348">
        <v>10.55</v>
      </c>
      <c r="C348" s="6">
        <f t="shared" si="10"/>
        <v>-1.7690875232774572E-2</v>
      </c>
      <c r="D348" s="6">
        <f t="shared" si="11"/>
        <v>-1.7849229158643024E-2</v>
      </c>
    </row>
    <row r="349" spans="1:4" x14ac:dyDescent="0.25">
      <c r="A349" t="s">
        <v>396</v>
      </c>
      <c r="B349">
        <v>10.74</v>
      </c>
      <c r="C349" s="6">
        <f t="shared" si="10"/>
        <v>-1.0138248847926246E-2</v>
      </c>
      <c r="D349" s="6">
        <f t="shared" si="11"/>
        <v>-1.0189990905749907E-2</v>
      </c>
    </row>
    <row r="350" spans="1:4" x14ac:dyDescent="0.25">
      <c r="A350" t="s">
        <v>397</v>
      </c>
      <c r="B350">
        <v>10.85</v>
      </c>
      <c r="C350" s="6">
        <f t="shared" si="10"/>
        <v>-3.383793410507574E-2</v>
      </c>
      <c r="D350" s="6">
        <f t="shared" si="11"/>
        <v>-3.4423688763883305E-2</v>
      </c>
    </row>
    <row r="351" spans="1:4" x14ac:dyDescent="0.25">
      <c r="A351" t="s">
        <v>398</v>
      </c>
      <c r="B351">
        <v>11.23</v>
      </c>
      <c r="C351" s="6">
        <f t="shared" si="10"/>
        <v>4.8552754435107426E-2</v>
      </c>
      <c r="D351" s="6">
        <f t="shared" si="11"/>
        <v>4.7410884290694462E-2</v>
      </c>
    </row>
    <row r="352" spans="1:4" x14ac:dyDescent="0.25">
      <c r="A352" t="s">
        <v>399</v>
      </c>
      <c r="B352">
        <v>10.71</v>
      </c>
      <c r="C352" s="6">
        <f t="shared" si="10"/>
        <v>2.0000000000000018E-2</v>
      </c>
      <c r="D352" s="6">
        <f t="shared" si="11"/>
        <v>1.980262729617973E-2</v>
      </c>
    </row>
    <row r="353" spans="1:4" x14ac:dyDescent="0.25">
      <c r="A353" t="s">
        <v>400</v>
      </c>
      <c r="B353">
        <v>10.5</v>
      </c>
      <c r="C353" s="6">
        <f t="shared" si="10"/>
        <v>0.10759493670886067</v>
      </c>
      <c r="D353" s="6">
        <f t="shared" si="11"/>
        <v>0.10219094089654716</v>
      </c>
    </row>
    <row r="354" spans="1:4" x14ac:dyDescent="0.25">
      <c r="A354" t="s">
        <v>401</v>
      </c>
      <c r="B354">
        <v>9.48</v>
      </c>
      <c r="C354" s="6">
        <f t="shared" si="10"/>
        <v>9.3425605536332279E-2</v>
      </c>
      <c r="D354" s="6">
        <f t="shared" si="11"/>
        <v>8.9315525474480045E-2</v>
      </c>
    </row>
    <row r="355" spans="1:4" x14ac:dyDescent="0.25">
      <c r="A355" t="s">
        <v>402</v>
      </c>
      <c r="B355">
        <v>8.67</v>
      </c>
      <c r="C355" s="6">
        <f t="shared" si="10"/>
        <v>4.7101449275362306E-2</v>
      </c>
      <c r="D355" s="6">
        <f t="shared" si="11"/>
        <v>4.6025822395282148E-2</v>
      </c>
    </row>
    <row r="356" spans="1:4" x14ac:dyDescent="0.25">
      <c r="A356" t="s">
        <v>403</v>
      </c>
      <c r="B356">
        <v>8.2799999999999994</v>
      </c>
      <c r="C356" s="6">
        <f t="shared" si="10"/>
        <v>-1.2062726176115257E-3</v>
      </c>
      <c r="D356" s="6">
        <f t="shared" si="11"/>
        <v>-1.2070007500352277E-3</v>
      </c>
    </row>
    <row r="357" spans="1:4" x14ac:dyDescent="0.25">
      <c r="A357" t="s">
        <v>404</v>
      </c>
      <c r="B357">
        <v>8.2899999999999991</v>
      </c>
      <c r="C357" s="6">
        <f t="shared" si="10"/>
        <v>8.7926509186351476E-2</v>
      </c>
      <c r="D357" s="6">
        <f t="shared" si="11"/>
        <v>8.4273599448648484E-2</v>
      </c>
    </row>
    <row r="358" spans="1:4" x14ac:dyDescent="0.25">
      <c r="A358" t="s">
        <v>405</v>
      </c>
      <c r="B358">
        <v>7.62</v>
      </c>
      <c r="C358" s="6">
        <f t="shared" si="10"/>
        <v>-7.63636363636363E-2</v>
      </c>
      <c r="D358" s="6">
        <f t="shared" si="11"/>
        <v>-7.943683064803464E-2</v>
      </c>
    </row>
    <row r="359" spans="1:4" x14ac:dyDescent="0.25">
      <c r="A359" t="s">
        <v>406</v>
      </c>
      <c r="B359">
        <v>8.25</v>
      </c>
      <c r="C359" s="6">
        <f t="shared" si="10"/>
        <v>-5.6064073226544608E-2</v>
      </c>
      <c r="D359" s="6">
        <f t="shared" si="11"/>
        <v>-5.7696989320854458E-2</v>
      </c>
    </row>
    <row r="360" spans="1:4" x14ac:dyDescent="0.25">
      <c r="A360" t="s">
        <v>407</v>
      </c>
      <c r="B360">
        <v>8.74</v>
      </c>
      <c r="C360" s="6">
        <f t="shared" si="10"/>
        <v>0.15303430079155667</v>
      </c>
      <c r="D360" s="6">
        <f t="shared" si="11"/>
        <v>0.14239699001316375</v>
      </c>
    </row>
    <row r="361" spans="1:4" x14ac:dyDescent="0.25">
      <c r="A361" t="s">
        <v>408</v>
      </c>
      <c r="B361">
        <v>7.58</v>
      </c>
      <c r="C361" s="6">
        <f t="shared" si="10"/>
        <v>-2.8205128205128216E-2</v>
      </c>
      <c r="D361" s="6">
        <f t="shared" si="11"/>
        <v>-2.8610534041265775E-2</v>
      </c>
    </row>
    <row r="362" spans="1:4" x14ac:dyDescent="0.25">
      <c r="A362" t="s">
        <v>409</v>
      </c>
      <c r="B362">
        <v>7.8</v>
      </c>
      <c r="C362" s="6">
        <f t="shared" si="10"/>
        <v>-2.2556390977443663E-2</v>
      </c>
      <c r="D362" s="6">
        <f t="shared" si="11"/>
        <v>-2.2814677766171399E-2</v>
      </c>
    </row>
    <row r="363" spans="1:4" x14ac:dyDescent="0.25">
      <c r="A363" t="s">
        <v>410</v>
      </c>
      <c r="B363">
        <v>7.98</v>
      </c>
      <c r="C363" s="6">
        <f t="shared" si="10"/>
        <v>-1.8450184501845102E-2</v>
      </c>
      <c r="D363" s="6">
        <f t="shared" si="11"/>
        <v>-1.8622512098001909E-2</v>
      </c>
    </row>
    <row r="364" spans="1:4" x14ac:dyDescent="0.25">
      <c r="A364" t="s">
        <v>411</v>
      </c>
      <c r="B364">
        <v>8.1300000000000008</v>
      </c>
      <c r="C364" s="6">
        <f t="shared" si="10"/>
        <v>2.3929471032745564E-2</v>
      </c>
      <c r="D364" s="6">
        <f t="shared" si="11"/>
        <v>2.3647648300674843E-2</v>
      </c>
    </row>
    <row r="365" spans="1:4" x14ac:dyDescent="0.25">
      <c r="A365" t="s">
        <v>412</v>
      </c>
      <c r="B365">
        <v>7.94</v>
      </c>
      <c r="C365" s="6">
        <f t="shared" si="10"/>
        <v>-7.4999999999999512E-3</v>
      </c>
      <c r="D365" s="6">
        <f t="shared" si="11"/>
        <v>-7.5282664207915245E-3</v>
      </c>
    </row>
    <row r="366" spans="1:4" x14ac:dyDescent="0.25">
      <c r="A366" t="s">
        <v>413</v>
      </c>
      <c r="B366">
        <v>8</v>
      </c>
      <c r="C366" s="6">
        <f t="shared" si="10"/>
        <v>-1.1124845488257096E-2</v>
      </c>
      <c r="D366" s="6">
        <f t="shared" si="11"/>
        <v>-1.1187189390564381E-2</v>
      </c>
    </row>
    <row r="367" spans="1:4" x14ac:dyDescent="0.25">
      <c r="A367" t="s">
        <v>414</v>
      </c>
      <c r="B367">
        <v>8.09</v>
      </c>
      <c r="C367" s="6">
        <f t="shared" si="10"/>
        <v>-8.5784313725491002E-3</v>
      </c>
      <c r="D367" s="6">
        <f t="shared" si="11"/>
        <v>-8.6154379056154005E-3</v>
      </c>
    </row>
    <row r="368" spans="1:4" x14ac:dyDescent="0.25">
      <c r="A368" t="s">
        <v>415</v>
      </c>
      <c r="B368">
        <v>8.16</v>
      </c>
      <c r="C368" s="6">
        <f t="shared" si="10"/>
        <v>-2.1582733812949617E-2</v>
      </c>
      <c r="D368" s="6">
        <f t="shared" si="11"/>
        <v>-2.1819047394639725E-2</v>
      </c>
    </row>
    <row r="369" spans="1:4" x14ac:dyDescent="0.25">
      <c r="A369" t="s">
        <v>416</v>
      </c>
      <c r="B369">
        <v>8.34</v>
      </c>
      <c r="C369" s="6">
        <f t="shared" si="10"/>
        <v>-2.3419203747072515E-2</v>
      </c>
      <c r="D369" s="6">
        <f t="shared" si="11"/>
        <v>-2.3697791429823017E-2</v>
      </c>
    </row>
    <row r="370" spans="1:4" x14ac:dyDescent="0.25">
      <c r="A370" t="s">
        <v>417</v>
      </c>
      <c r="B370">
        <v>8.5399999999999991</v>
      </c>
      <c r="C370" s="6">
        <f t="shared" si="10"/>
        <v>1.545778834720557E-2</v>
      </c>
      <c r="D370" s="6">
        <f t="shared" si="11"/>
        <v>1.5339533815621673E-2</v>
      </c>
    </row>
    <row r="371" spans="1:4" x14ac:dyDescent="0.25">
      <c r="A371" t="s">
        <v>418</v>
      </c>
      <c r="B371">
        <v>8.41</v>
      </c>
      <c r="C371" s="6">
        <f t="shared" si="10"/>
        <v>6.0529634300126256E-2</v>
      </c>
      <c r="D371" s="6">
        <f t="shared" si="11"/>
        <v>5.8768438338100214E-2</v>
      </c>
    </row>
    <row r="372" spans="1:4" x14ac:dyDescent="0.25">
      <c r="A372" t="s">
        <v>419</v>
      </c>
      <c r="B372">
        <v>7.93</v>
      </c>
      <c r="C372" s="6">
        <f t="shared" si="10"/>
        <v>1.0191082802547768E-2</v>
      </c>
      <c r="D372" s="6">
        <f t="shared" si="11"/>
        <v>1.0139503852439551E-2</v>
      </c>
    </row>
    <row r="373" spans="1:4" x14ac:dyDescent="0.25">
      <c r="A373" t="s">
        <v>420</v>
      </c>
      <c r="B373">
        <v>7.85</v>
      </c>
      <c r="C373" s="6">
        <f t="shared" si="10"/>
        <v>4.5272969374167804E-2</v>
      </c>
      <c r="D373" s="6">
        <f t="shared" si="11"/>
        <v>4.4278066018273714E-2</v>
      </c>
    </row>
    <row r="374" spans="1:4" x14ac:dyDescent="0.25">
      <c r="A374" t="s">
        <v>421</v>
      </c>
      <c r="B374">
        <v>7.51</v>
      </c>
      <c r="C374" s="6">
        <f t="shared" si="10"/>
        <v>-7.169344870210137E-2</v>
      </c>
      <c r="D374" s="6">
        <f t="shared" si="11"/>
        <v>-7.4393265294356956E-2</v>
      </c>
    </row>
    <row r="375" spans="1:4" x14ac:dyDescent="0.25">
      <c r="A375" t="s">
        <v>422</v>
      </c>
      <c r="B375">
        <v>8.09</v>
      </c>
      <c r="C375" s="6">
        <f t="shared" si="10"/>
        <v>1.3784461152882121E-2</v>
      </c>
      <c r="D375" s="6">
        <f t="shared" si="11"/>
        <v>1.3690319608682841E-2</v>
      </c>
    </row>
    <row r="376" spans="1:4" x14ac:dyDescent="0.25">
      <c r="A376" t="s">
        <v>423</v>
      </c>
      <c r="B376">
        <v>7.98</v>
      </c>
      <c r="C376" s="6">
        <f t="shared" si="10"/>
        <v>-1.4814814814814725E-2</v>
      </c>
      <c r="D376" s="6">
        <f t="shared" si="11"/>
        <v>-1.4925650216675593E-2</v>
      </c>
    </row>
    <row r="377" spans="1:4" x14ac:dyDescent="0.25">
      <c r="A377" t="s">
        <v>424</v>
      </c>
      <c r="B377">
        <v>8.1</v>
      </c>
      <c r="C377" s="6">
        <f t="shared" si="10"/>
        <v>-1.3398294762484886E-2</v>
      </c>
      <c r="D377" s="6">
        <f t="shared" si="11"/>
        <v>-1.3488861785943884E-2</v>
      </c>
    </row>
    <row r="378" spans="1:4" x14ac:dyDescent="0.25">
      <c r="A378" t="s">
        <v>425</v>
      </c>
      <c r="B378">
        <v>8.2100000000000009</v>
      </c>
      <c r="C378" s="6">
        <f t="shared" si="10"/>
        <v>1.2330456226880671E-2</v>
      </c>
      <c r="D378" s="6">
        <f t="shared" si="11"/>
        <v>1.2255055337015573E-2</v>
      </c>
    </row>
    <row r="379" spans="1:4" x14ac:dyDescent="0.25">
      <c r="A379" t="s">
        <v>426</v>
      </c>
      <c r="B379">
        <v>8.11</v>
      </c>
      <c r="C379" s="6">
        <f t="shared" si="10"/>
        <v>-1.2180267965895442E-2</v>
      </c>
      <c r="D379" s="6">
        <f t="shared" si="11"/>
        <v>-1.2255055337015494E-2</v>
      </c>
    </row>
    <row r="380" spans="1:4" x14ac:dyDescent="0.25">
      <c r="A380" t="s">
        <v>427</v>
      </c>
      <c r="B380">
        <v>8.2100000000000009</v>
      </c>
      <c r="C380" s="6">
        <f t="shared" si="10"/>
        <v>-1.3221153846153744E-2</v>
      </c>
      <c r="D380" s="6">
        <f t="shared" si="11"/>
        <v>-1.3309331368780267E-2</v>
      </c>
    </row>
    <row r="381" spans="1:4" x14ac:dyDescent="0.25">
      <c r="A381" t="s">
        <v>428</v>
      </c>
      <c r="B381">
        <v>8.32</v>
      </c>
      <c r="C381" s="6">
        <f t="shared" si="10"/>
        <v>-7.3496659242761719E-2</v>
      </c>
      <c r="D381" s="6">
        <f t="shared" si="11"/>
        <v>-7.6337627480991044E-2</v>
      </c>
    </row>
    <row r="382" spans="1:4" x14ac:dyDescent="0.25">
      <c r="A382" t="s">
        <v>429</v>
      </c>
      <c r="B382">
        <v>8.98</v>
      </c>
      <c r="C382" s="6">
        <f t="shared" si="10"/>
        <v>-3.3296337402884957E-3</v>
      </c>
      <c r="D382" s="6">
        <f t="shared" si="11"/>
        <v>-3.335189306138239E-3</v>
      </c>
    </row>
    <row r="383" spans="1:4" x14ac:dyDescent="0.25">
      <c r="A383" t="s">
        <v>430</v>
      </c>
      <c r="B383">
        <v>9.01</v>
      </c>
      <c r="C383" s="6">
        <f t="shared" si="10"/>
        <v>-7.7789150460593648E-2</v>
      </c>
      <c r="D383" s="6">
        <f t="shared" si="11"/>
        <v>-8.0981394434444826E-2</v>
      </c>
    </row>
    <row r="384" spans="1:4" x14ac:dyDescent="0.25">
      <c r="A384" t="s">
        <v>431</v>
      </c>
      <c r="B384">
        <v>9.77</v>
      </c>
      <c r="C384" s="6">
        <f t="shared" si="10"/>
        <v>3.3862433862433816E-2</v>
      </c>
      <c r="D384" s="6">
        <f t="shared" si="11"/>
        <v>3.3301724549039943E-2</v>
      </c>
    </row>
    <row r="385" spans="1:4" x14ac:dyDescent="0.25">
      <c r="A385" t="s">
        <v>432</v>
      </c>
      <c r="B385">
        <v>9.4499999999999993</v>
      </c>
      <c r="C385" s="6">
        <f t="shared" si="10"/>
        <v>-4.0609137055837574E-2</v>
      </c>
      <c r="D385" s="6">
        <f t="shared" si="11"/>
        <v>-4.1456713678346135E-2</v>
      </c>
    </row>
    <row r="386" spans="1:4" x14ac:dyDescent="0.25">
      <c r="A386" t="s">
        <v>433</v>
      </c>
      <c r="B386">
        <v>9.85</v>
      </c>
      <c r="C386" s="6">
        <f t="shared" si="10"/>
        <v>-4.9227799227799185E-2</v>
      </c>
      <c r="D386" s="6">
        <f t="shared" si="11"/>
        <v>-5.0480781647339441E-2</v>
      </c>
    </row>
    <row r="387" spans="1:4" x14ac:dyDescent="0.25">
      <c r="A387" t="s">
        <v>434</v>
      </c>
      <c r="B387">
        <v>10.36</v>
      </c>
      <c r="C387" s="6">
        <f t="shared" ref="C387:C450" si="12">(B387/B388)-1</f>
        <v>-1.9267822736032114E-3</v>
      </c>
      <c r="D387" s="6">
        <f t="shared" ref="D387:D450" si="13">LN(B387/B388)</f>
        <v>-1.9286409064057082E-3</v>
      </c>
    </row>
    <row r="388" spans="1:4" x14ac:dyDescent="0.25">
      <c r="A388" t="s">
        <v>435</v>
      </c>
      <c r="B388">
        <v>10.38</v>
      </c>
      <c r="C388" s="6">
        <f t="shared" si="12"/>
        <v>4.8484848484848575E-2</v>
      </c>
      <c r="D388" s="6">
        <f t="shared" si="13"/>
        <v>4.7346120597198421E-2</v>
      </c>
    </row>
    <row r="389" spans="1:4" x14ac:dyDescent="0.25">
      <c r="A389" t="s">
        <v>436</v>
      </c>
      <c r="B389">
        <v>9.9</v>
      </c>
      <c r="C389" s="6">
        <f t="shared" si="12"/>
        <v>-1.0090817356205317E-3</v>
      </c>
      <c r="D389" s="6">
        <f t="shared" si="13"/>
        <v>-1.0095912013523254E-3</v>
      </c>
    </row>
    <row r="390" spans="1:4" x14ac:dyDescent="0.25">
      <c r="A390" t="s">
        <v>437</v>
      </c>
      <c r="B390">
        <v>9.91</v>
      </c>
      <c r="C390" s="6">
        <f t="shared" si="12"/>
        <v>-5.020080321285203E-3</v>
      </c>
      <c r="D390" s="6">
        <f t="shared" si="13"/>
        <v>-5.032723254610307E-3</v>
      </c>
    </row>
    <row r="391" spans="1:4" x14ac:dyDescent="0.25">
      <c r="A391" t="s">
        <v>438</v>
      </c>
      <c r="B391">
        <v>9.9600000000000009</v>
      </c>
      <c r="C391" s="6">
        <f t="shared" si="12"/>
        <v>7.0778564206268602E-3</v>
      </c>
      <c r="D391" s="6">
        <f t="shared" si="13"/>
        <v>7.0529259618860836E-3</v>
      </c>
    </row>
    <row r="392" spans="1:4" x14ac:dyDescent="0.25">
      <c r="A392" t="s">
        <v>439</v>
      </c>
      <c r="B392">
        <v>9.89</v>
      </c>
      <c r="C392" s="6">
        <f t="shared" si="12"/>
        <v>-2.0181634712411745E-3</v>
      </c>
      <c r="D392" s="6">
        <f t="shared" si="13"/>
        <v>-2.0202027072758794E-3</v>
      </c>
    </row>
    <row r="393" spans="1:4" x14ac:dyDescent="0.25">
      <c r="A393" t="s">
        <v>440</v>
      </c>
      <c r="B393">
        <v>9.91</v>
      </c>
      <c r="C393" s="6">
        <f t="shared" si="12"/>
        <v>-3.7864077669902962E-2</v>
      </c>
      <c r="D393" s="6">
        <f t="shared" si="13"/>
        <v>-3.8599546893693513E-2</v>
      </c>
    </row>
    <row r="394" spans="1:4" x14ac:dyDescent="0.25">
      <c r="A394" t="s">
        <v>441</v>
      </c>
      <c r="B394">
        <v>10.3</v>
      </c>
      <c r="C394" s="6">
        <f t="shared" si="12"/>
        <v>2.3856858846918572E-2</v>
      </c>
      <c r="D394" s="6">
        <f t="shared" si="13"/>
        <v>2.357673056399702E-2</v>
      </c>
    </row>
    <row r="395" spans="1:4" x14ac:dyDescent="0.25">
      <c r="A395" t="s">
        <v>442</v>
      </c>
      <c r="B395">
        <v>10.06</v>
      </c>
      <c r="C395" s="6">
        <f t="shared" si="12"/>
        <v>-3.0828516377649384E-2</v>
      </c>
      <c r="D395" s="6">
        <f t="shared" si="13"/>
        <v>-3.1313713066149496E-2</v>
      </c>
    </row>
    <row r="396" spans="1:4" x14ac:dyDescent="0.25">
      <c r="A396" t="s">
        <v>443</v>
      </c>
      <c r="B396">
        <v>10.38</v>
      </c>
      <c r="C396" s="6">
        <f t="shared" si="12"/>
        <v>-1.6113744075829328E-2</v>
      </c>
      <c r="D396" s="6">
        <f t="shared" si="13"/>
        <v>-1.6244982184332867E-2</v>
      </c>
    </row>
    <row r="397" spans="1:4" x14ac:dyDescent="0.25">
      <c r="A397" t="s">
        <v>444</v>
      </c>
      <c r="B397">
        <v>10.55</v>
      </c>
      <c r="C397" s="6">
        <f t="shared" si="12"/>
        <v>4.8707753479125371E-2</v>
      </c>
      <c r="D397" s="6">
        <f t="shared" si="13"/>
        <v>4.7558695250482473E-2</v>
      </c>
    </row>
    <row r="398" spans="1:4" x14ac:dyDescent="0.25">
      <c r="A398" t="s">
        <v>445</v>
      </c>
      <c r="B398">
        <v>10.06</v>
      </c>
      <c r="C398" s="6">
        <f t="shared" si="12"/>
        <v>1.9920318725101804E-3</v>
      </c>
      <c r="D398" s="6">
        <f t="shared" si="13"/>
        <v>1.9900504080102308E-3</v>
      </c>
    </row>
    <row r="399" spans="1:4" x14ac:dyDescent="0.25">
      <c r="A399" t="s">
        <v>446</v>
      </c>
      <c r="B399">
        <v>10.039999999999999</v>
      </c>
      <c r="C399" s="6">
        <f t="shared" si="12"/>
        <v>-4.562737642585557E-2</v>
      </c>
      <c r="D399" s="6">
        <f t="shared" si="13"/>
        <v>-4.6701093045980725E-2</v>
      </c>
    </row>
    <row r="400" spans="1:4" x14ac:dyDescent="0.25">
      <c r="A400" t="s">
        <v>447</v>
      </c>
      <c r="B400">
        <v>10.52</v>
      </c>
      <c r="C400" s="6">
        <f t="shared" si="12"/>
        <v>-1.8656716417910557E-2</v>
      </c>
      <c r="D400" s="6">
        <f t="shared" si="13"/>
        <v>-1.883294833309224E-2</v>
      </c>
    </row>
    <row r="401" spans="1:4" x14ac:dyDescent="0.25">
      <c r="A401" t="s">
        <v>448</v>
      </c>
      <c r="B401">
        <v>10.72</v>
      </c>
      <c r="C401" s="6">
        <f t="shared" si="12"/>
        <v>-2.1897810218978075E-2</v>
      </c>
      <c r="D401" s="6">
        <f t="shared" si="13"/>
        <v>-2.2141125877213518E-2</v>
      </c>
    </row>
    <row r="402" spans="1:4" x14ac:dyDescent="0.25">
      <c r="A402" t="s">
        <v>449</v>
      </c>
      <c r="B402">
        <v>10.96</v>
      </c>
      <c r="C402" s="6">
        <f t="shared" si="12"/>
        <v>-9.1157702825883646E-4</v>
      </c>
      <c r="D402" s="6">
        <f t="shared" si="13"/>
        <v>-9.1199276726935084E-4</v>
      </c>
    </row>
    <row r="403" spans="1:4" x14ac:dyDescent="0.25">
      <c r="A403" t="s">
        <v>450</v>
      </c>
      <c r="B403">
        <v>10.97</v>
      </c>
      <c r="C403" s="6">
        <f t="shared" si="12"/>
        <v>1.4801110083256352E-2</v>
      </c>
      <c r="D403" s="6">
        <f t="shared" si="13"/>
        <v>1.4692642636022074E-2</v>
      </c>
    </row>
    <row r="404" spans="1:4" x14ac:dyDescent="0.25">
      <c r="A404" t="s">
        <v>451</v>
      </c>
      <c r="B404">
        <v>10.81</v>
      </c>
      <c r="C404" s="6">
        <f t="shared" si="12"/>
        <v>1.3120899718837897E-2</v>
      </c>
      <c r="D404" s="6">
        <f t="shared" si="13"/>
        <v>1.3035566337454944E-2</v>
      </c>
    </row>
    <row r="405" spans="1:4" x14ac:dyDescent="0.25">
      <c r="A405" t="s">
        <v>452</v>
      </c>
      <c r="B405">
        <v>10.67</v>
      </c>
      <c r="C405" s="6">
        <f t="shared" si="12"/>
        <v>-5.4078014184397061E-2</v>
      </c>
      <c r="D405" s="6">
        <f t="shared" si="13"/>
        <v>-5.559518075625073E-2</v>
      </c>
    </row>
    <row r="406" spans="1:4" x14ac:dyDescent="0.25">
      <c r="A406" t="s">
        <v>453</v>
      </c>
      <c r="B406">
        <v>11.28</v>
      </c>
      <c r="C406" s="6">
        <f t="shared" si="12"/>
        <v>-4.4130626654899086E-3</v>
      </c>
      <c r="D406" s="6">
        <f t="shared" si="13"/>
        <v>-4.4228289700021673E-3</v>
      </c>
    </row>
    <row r="407" spans="1:4" x14ac:dyDescent="0.25">
      <c r="A407" t="s">
        <v>454</v>
      </c>
      <c r="B407">
        <v>11.33</v>
      </c>
      <c r="C407" s="6">
        <f t="shared" si="12"/>
        <v>-3.7383177570093462E-2</v>
      </c>
      <c r="D407" s="6">
        <f t="shared" si="13"/>
        <v>-3.8099846232270404E-2</v>
      </c>
    </row>
    <row r="408" spans="1:4" x14ac:dyDescent="0.25">
      <c r="A408" t="s">
        <v>455</v>
      </c>
      <c r="B408">
        <v>11.77</v>
      </c>
      <c r="C408" s="6">
        <f t="shared" si="12"/>
        <v>-4.619124797406815E-2</v>
      </c>
      <c r="D408" s="6">
        <f t="shared" si="13"/>
        <v>-4.7292097205056491E-2</v>
      </c>
    </row>
    <row r="409" spans="1:4" x14ac:dyDescent="0.25">
      <c r="A409" t="s">
        <v>456</v>
      </c>
      <c r="B409">
        <v>12.34</v>
      </c>
      <c r="C409" s="6">
        <f t="shared" si="12"/>
        <v>-6.0167555217060187E-2</v>
      </c>
      <c r="D409" s="6">
        <f t="shared" si="13"/>
        <v>-6.2053669837463084E-2</v>
      </c>
    </row>
    <row r="410" spans="1:4" x14ac:dyDescent="0.25">
      <c r="A410" t="s">
        <v>457</v>
      </c>
      <c r="B410">
        <v>13.13</v>
      </c>
      <c r="C410" s="6">
        <f t="shared" si="12"/>
        <v>3.8226299694190669E-3</v>
      </c>
      <c r="D410" s="6">
        <f t="shared" si="13"/>
        <v>3.8153422856522824E-3</v>
      </c>
    </row>
    <row r="411" spans="1:4" x14ac:dyDescent="0.25">
      <c r="A411" t="s">
        <v>458</v>
      </c>
      <c r="B411">
        <v>13.08</v>
      </c>
      <c r="C411" s="6">
        <f t="shared" si="12"/>
        <v>-2.5335320417287588E-2</v>
      </c>
      <c r="D411" s="6">
        <f t="shared" si="13"/>
        <v>-2.5661785514483049E-2</v>
      </c>
    </row>
    <row r="412" spans="1:4" x14ac:dyDescent="0.25">
      <c r="A412" t="s">
        <v>459</v>
      </c>
      <c r="B412">
        <v>13.42</v>
      </c>
      <c r="C412" s="6">
        <f t="shared" si="12"/>
        <v>6.7516879219804427E-3</v>
      </c>
      <c r="D412" s="6">
        <f t="shared" si="13"/>
        <v>6.7289973529183807E-3</v>
      </c>
    </row>
    <row r="413" spans="1:4" x14ac:dyDescent="0.25">
      <c r="A413" t="s">
        <v>460</v>
      </c>
      <c r="B413">
        <v>13.33</v>
      </c>
      <c r="C413" s="6">
        <f t="shared" si="12"/>
        <v>-3.0545454545454542E-2</v>
      </c>
      <c r="D413" s="6">
        <f t="shared" si="13"/>
        <v>-3.1021689921962994E-2</v>
      </c>
    </row>
    <row r="414" spans="1:4" x14ac:dyDescent="0.25">
      <c r="A414" t="s">
        <v>461</v>
      </c>
      <c r="B414">
        <v>13.75</v>
      </c>
      <c r="C414" s="6">
        <f t="shared" si="12"/>
        <v>-1.2212643678160884E-2</v>
      </c>
      <c r="D414" s="6">
        <f t="shared" si="13"/>
        <v>-1.2287830793693253E-2</v>
      </c>
    </row>
    <row r="415" spans="1:4" x14ac:dyDescent="0.25">
      <c r="A415" t="s">
        <v>462</v>
      </c>
      <c r="B415">
        <v>13.92</v>
      </c>
      <c r="C415" s="6">
        <f t="shared" si="12"/>
        <v>-3.1315240083507279E-2</v>
      </c>
      <c r="D415" s="6">
        <f t="shared" si="13"/>
        <v>-3.1816045184659941E-2</v>
      </c>
    </row>
    <row r="416" spans="1:4" x14ac:dyDescent="0.25">
      <c r="A416" t="s">
        <v>463</v>
      </c>
      <c r="B416">
        <v>14.37</v>
      </c>
      <c r="C416" s="6">
        <f t="shared" si="12"/>
        <v>-1.9112627986348163E-2</v>
      </c>
      <c r="D416" s="6">
        <f t="shared" si="13"/>
        <v>-1.9297635372142796E-2</v>
      </c>
    </row>
    <row r="417" spans="1:4" x14ac:dyDescent="0.25">
      <c r="A417" t="s">
        <v>464</v>
      </c>
      <c r="B417">
        <v>14.65</v>
      </c>
      <c r="C417" s="6">
        <f t="shared" si="12"/>
        <v>1.5950069348127593E-2</v>
      </c>
      <c r="D417" s="6">
        <f t="shared" si="13"/>
        <v>1.5824203606273287E-2</v>
      </c>
    </row>
    <row r="418" spans="1:4" x14ac:dyDescent="0.25">
      <c r="A418" t="s">
        <v>465</v>
      </c>
      <c r="B418">
        <v>14.42</v>
      </c>
      <c r="C418" s="6">
        <f t="shared" si="12"/>
        <v>9.0972708187544438E-3</v>
      </c>
      <c r="D418" s="6">
        <f t="shared" si="13"/>
        <v>9.0561399150270484E-3</v>
      </c>
    </row>
    <row r="419" spans="1:4" x14ac:dyDescent="0.25">
      <c r="A419" t="s">
        <v>466</v>
      </c>
      <c r="B419">
        <v>14.29</v>
      </c>
      <c r="C419" s="6">
        <f t="shared" si="12"/>
        <v>2.0714285714285685E-2</v>
      </c>
      <c r="D419" s="6">
        <f t="shared" si="13"/>
        <v>2.0502662326517394E-2</v>
      </c>
    </row>
    <row r="420" spans="1:4" x14ac:dyDescent="0.25">
      <c r="A420" t="s">
        <v>467</v>
      </c>
      <c r="B420">
        <v>14</v>
      </c>
      <c r="C420" s="6">
        <f t="shared" si="12"/>
        <v>-2.9126213592232997E-2</v>
      </c>
      <c r="D420" s="6">
        <f t="shared" si="13"/>
        <v>-2.9558802241544391E-2</v>
      </c>
    </row>
    <row r="421" spans="1:4" x14ac:dyDescent="0.25">
      <c r="A421" t="s">
        <v>468</v>
      </c>
      <c r="B421">
        <v>14.42</v>
      </c>
      <c r="C421" s="6">
        <f t="shared" si="12"/>
        <v>-1.4354066985646008E-2</v>
      </c>
      <c r="D421" s="6">
        <f t="shared" si="13"/>
        <v>-1.4458083175230001E-2</v>
      </c>
    </row>
    <row r="422" spans="1:4" x14ac:dyDescent="0.25">
      <c r="A422" t="s">
        <v>469</v>
      </c>
      <c r="B422">
        <v>14.63</v>
      </c>
      <c r="C422" s="6">
        <f t="shared" si="12"/>
        <v>6.8823124569856731E-3</v>
      </c>
      <c r="D422" s="6">
        <f t="shared" si="13"/>
        <v>6.8587374498415305E-3</v>
      </c>
    </row>
    <row r="423" spans="1:4" x14ac:dyDescent="0.25">
      <c r="A423" t="s">
        <v>470</v>
      </c>
      <c r="B423">
        <v>14.53</v>
      </c>
      <c r="C423" s="6">
        <f t="shared" si="12"/>
        <v>-2.2207267833109001E-2</v>
      </c>
      <c r="D423" s="6">
        <f t="shared" si="13"/>
        <v>-2.2457561707421553E-2</v>
      </c>
    </row>
    <row r="424" spans="1:4" x14ac:dyDescent="0.25">
      <c r="A424" t="s">
        <v>471</v>
      </c>
      <c r="B424">
        <v>14.86</v>
      </c>
      <c r="C424" s="6">
        <f t="shared" si="12"/>
        <v>-1.3934970139349745E-2</v>
      </c>
      <c r="D424" s="6">
        <f t="shared" si="13"/>
        <v>-1.403297334879103E-2</v>
      </c>
    </row>
    <row r="425" spans="1:4" x14ac:dyDescent="0.25">
      <c r="A425" t="s">
        <v>472</v>
      </c>
      <c r="B425">
        <v>15.07</v>
      </c>
      <c r="C425" s="6">
        <f t="shared" si="12"/>
        <v>4.6666666666665968E-3</v>
      </c>
      <c r="D425" s="6">
        <f t="shared" si="13"/>
        <v>4.6558115361939557E-3</v>
      </c>
    </row>
    <row r="426" spans="1:4" x14ac:dyDescent="0.25">
      <c r="A426" t="s">
        <v>473</v>
      </c>
      <c r="B426">
        <v>15</v>
      </c>
      <c r="C426" s="6">
        <f t="shared" si="12"/>
        <v>-2.0887728459530019E-2</v>
      </c>
      <c r="D426" s="6">
        <f t="shared" si="13"/>
        <v>-2.1108963210235168E-2</v>
      </c>
    </row>
    <row r="427" spans="1:4" x14ac:dyDescent="0.25">
      <c r="A427" t="s">
        <v>474</v>
      </c>
      <c r="B427">
        <v>15.32</v>
      </c>
      <c r="C427" s="6">
        <f t="shared" si="12"/>
        <v>-6.5231572080881595E-4</v>
      </c>
      <c r="D427" s="6">
        <f t="shared" si="13"/>
        <v>-6.5252857127746119E-4</v>
      </c>
    </row>
    <row r="428" spans="1:4" x14ac:dyDescent="0.25">
      <c r="A428" t="s">
        <v>475</v>
      </c>
      <c r="B428">
        <v>15.33</v>
      </c>
      <c r="C428" s="6">
        <f t="shared" si="12"/>
        <v>6.5659881812212273E-3</v>
      </c>
      <c r="D428" s="6">
        <f t="shared" si="13"/>
        <v>6.5445259766522684E-3</v>
      </c>
    </row>
    <row r="429" spans="1:4" x14ac:dyDescent="0.25">
      <c r="A429" t="s">
        <v>476</v>
      </c>
      <c r="B429">
        <v>15.23</v>
      </c>
      <c r="C429" s="6">
        <f t="shared" si="12"/>
        <v>-1.3601036269429989E-2</v>
      </c>
      <c r="D429" s="6">
        <f t="shared" si="13"/>
        <v>-1.3694377689559606E-2</v>
      </c>
    </row>
    <row r="430" spans="1:4" x14ac:dyDescent="0.25">
      <c r="A430" t="s">
        <v>477</v>
      </c>
      <c r="B430">
        <v>15.44</v>
      </c>
      <c r="C430" s="6">
        <f t="shared" si="12"/>
        <v>-1.5933715742511123E-2</v>
      </c>
      <c r="D430" s="6">
        <f t="shared" si="13"/>
        <v>-1.6062022148311081E-2</v>
      </c>
    </row>
    <row r="431" spans="1:4" x14ac:dyDescent="0.25">
      <c r="A431" t="s">
        <v>478</v>
      </c>
      <c r="B431">
        <v>15.69</v>
      </c>
      <c r="C431" s="6">
        <f t="shared" si="12"/>
        <v>-2.3646546359676446E-2</v>
      </c>
      <c r="D431" s="6">
        <f t="shared" si="13"/>
        <v>-2.3930613004480024E-2</v>
      </c>
    </row>
    <row r="432" spans="1:4" x14ac:dyDescent="0.25">
      <c r="A432" t="s">
        <v>479</v>
      </c>
      <c r="B432">
        <v>16.07</v>
      </c>
      <c r="C432" s="6">
        <f t="shared" si="12"/>
        <v>5.0031269543464596E-3</v>
      </c>
      <c r="D432" s="6">
        <f t="shared" si="13"/>
        <v>4.9906529035583479E-3</v>
      </c>
    </row>
    <row r="433" spans="1:4" x14ac:dyDescent="0.25">
      <c r="A433" t="s">
        <v>480</v>
      </c>
      <c r="B433">
        <v>15.99</v>
      </c>
      <c r="C433" s="6">
        <f t="shared" si="12"/>
        <v>8.8328075709780407E-3</v>
      </c>
      <c r="D433" s="6">
        <f t="shared" si="13"/>
        <v>8.7940265225733647E-3</v>
      </c>
    </row>
    <row r="434" spans="1:4" x14ac:dyDescent="0.25">
      <c r="A434" t="s">
        <v>481</v>
      </c>
      <c r="B434">
        <v>15.85</v>
      </c>
      <c r="C434" s="6">
        <f t="shared" si="12"/>
        <v>-7.5140889167188973E-3</v>
      </c>
      <c r="D434" s="6">
        <f t="shared" si="13"/>
        <v>-7.5424619036314946E-3</v>
      </c>
    </row>
    <row r="435" spans="1:4" x14ac:dyDescent="0.25">
      <c r="A435" t="s">
        <v>482</v>
      </c>
      <c r="B435">
        <v>15.97</v>
      </c>
      <c r="C435" s="6">
        <f t="shared" si="12"/>
        <v>8.8439671509792372E-3</v>
      </c>
      <c r="D435" s="6">
        <f t="shared" si="13"/>
        <v>8.8050883340003681E-3</v>
      </c>
    </row>
    <row r="436" spans="1:4" x14ac:dyDescent="0.25">
      <c r="A436" t="s">
        <v>483</v>
      </c>
      <c r="B436">
        <v>15.83</v>
      </c>
      <c r="C436" s="6">
        <f t="shared" si="12"/>
        <v>1.5394483643361045E-2</v>
      </c>
      <c r="D436" s="6">
        <f t="shared" si="13"/>
        <v>1.5277190823235547E-2</v>
      </c>
    </row>
    <row r="437" spans="1:4" x14ac:dyDescent="0.25">
      <c r="A437" t="s">
        <v>484</v>
      </c>
      <c r="B437">
        <v>15.59</v>
      </c>
      <c r="C437" s="6">
        <f t="shared" si="12"/>
        <v>-4.3558282208589039E-2</v>
      </c>
      <c r="D437" s="6">
        <f t="shared" si="13"/>
        <v>-4.4535424743031585E-2</v>
      </c>
    </row>
    <row r="438" spans="1:4" x14ac:dyDescent="0.25">
      <c r="A438" t="s">
        <v>485</v>
      </c>
      <c r="B438">
        <v>16.3</v>
      </c>
      <c r="C438" s="6">
        <f t="shared" si="12"/>
        <v>-3.1491384432560721E-2</v>
      </c>
      <c r="D438" s="6">
        <f t="shared" si="13"/>
        <v>-3.1997900389997801E-2</v>
      </c>
    </row>
    <row r="439" spans="1:4" x14ac:dyDescent="0.25">
      <c r="A439" t="s">
        <v>486</v>
      </c>
      <c r="B439">
        <v>16.829999999999998</v>
      </c>
      <c r="C439" s="6">
        <f t="shared" si="12"/>
        <v>3.1882280809319319E-2</v>
      </c>
      <c r="D439" s="6">
        <f t="shared" si="13"/>
        <v>3.1384591569792022E-2</v>
      </c>
    </row>
    <row r="440" spans="1:4" x14ac:dyDescent="0.25">
      <c r="A440" t="s">
        <v>487</v>
      </c>
      <c r="B440">
        <v>16.309999999999999</v>
      </c>
      <c r="C440" s="6">
        <f t="shared" si="12"/>
        <v>2.5786163522012462E-2</v>
      </c>
      <c r="D440" s="6">
        <f t="shared" si="13"/>
        <v>2.5459307406736548E-2</v>
      </c>
    </row>
    <row r="441" spans="1:4" x14ac:dyDescent="0.25">
      <c r="A441" t="s">
        <v>488</v>
      </c>
      <c r="B441">
        <v>15.9</v>
      </c>
      <c r="C441" s="6">
        <f t="shared" si="12"/>
        <v>5.8588548601864243E-2</v>
      </c>
      <c r="D441" s="6">
        <f t="shared" si="13"/>
        <v>5.6936462890197215E-2</v>
      </c>
    </row>
    <row r="442" spans="1:4" x14ac:dyDescent="0.25">
      <c r="A442" t="s">
        <v>489</v>
      </c>
      <c r="B442">
        <v>15.02</v>
      </c>
      <c r="C442" s="6">
        <f t="shared" si="12"/>
        <v>3.3400133600534065E-3</v>
      </c>
      <c r="D442" s="6">
        <f t="shared" si="13"/>
        <v>3.3344479044516632E-3</v>
      </c>
    </row>
    <row r="443" spans="1:4" x14ac:dyDescent="0.25">
      <c r="A443" t="s">
        <v>490</v>
      </c>
      <c r="B443">
        <v>14.97</v>
      </c>
      <c r="C443" s="6">
        <f t="shared" si="12"/>
        <v>-3.4193548387096762E-2</v>
      </c>
      <c r="D443" s="6">
        <f t="shared" si="13"/>
        <v>-3.4791825493663935E-2</v>
      </c>
    </row>
    <row r="444" spans="1:4" x14ac:dyDescent="0.25">
      <c r="A444" t="s">
        <v>491</v>
      </c>
      <c r="B444">
        <v>15.5</v>
      </c>
      <c r="C444" s="6">
        <f t="shared" si="12"/>
        <v>-8.3173384516954663E-3</v>
      </c>
      <c r="D444" s="6">
        <f t="shared" si="13"/>
        <v>-8.3521205081843134E-3</v>
      </c>
    </row>
    <row r="445" spans="1:4" x14ac:dyDescent="0.25">
      <c r="A445" t="s">
        <v>492</v>
      </c>
      <c r="B445">
        <v>15.63</v>
      </c>
      <c r="C445" s="6">
        <f t="shared" si="12"/>
        <v>-6.3938618925829527E-4</v>
      </c>
      <c r="D445" s="6">
        <f t="shared" si="13"/>
        <v>-6.395906837797636E-4</v>
      </c>
    </row>
    <row r="446" spans="1:4" x14ac:dyDescent="0.25">
      <c r="A446" t="s">
        <v>493</v>
      </c>
      <c r="B446">
        <v>15.64</v>
      </c>
      <c r="C446" s="6">
        <f t="shared" si="12"/>
        <v>-1.0752688172043001E-2</v>
      </c>
      <c r="D446" s="6">
        <f t="shared" si="13"/>
        <v>-1.0810916104215617E-2</v>
      </c>
    </row>
    <row r="447" spans="1:4" x14ac:dyDescent="0.25">
      <c r="A447" t="s">
        <v>494</v>
      </c>
      <c r="B447">
        <v>15.81</v>
      </c>
      <c r="C447" s="6">
        <f t="shared" si="12"/>
        <v>8.2908163265307255E-3</v>
      </c>
      <c r="D447" s="6">
        <f t="shared" si="13"/>
        <v>8.2566362991189721E-3</v>
      </c>
    </row>
    <row r="448" spans="1:4" x14ac:dyDescent="0.25">
      <c r="A448" t="s">
        <v>495</v>
      </c>
      <c r="B448">
        <v>15.68</v>
      </c>
      <c r="C448" s="6">
        <f t="shared" si="12"/>
        <v>2.6850032743942487E-2</v>
      </c>
      <c r="D448" s="6">
        <f t="shared" si="13"/>
        <v>2.6495895691720835E-2</v>
      </c>
    </row>
    <row r="449" spans="1:4" x14ac:dyDescent="0.25">
      <c r="A449" t="s">
        <v>496</v>
      </c>
      <c r="B449">
        <v>15.27</v>
      </c>
      <c r="C449" s="6">
        <f t="shared" si="12"/>
        <v>-3.9138943248532287E-3</v>
      </c>
      <c r="D449" s="6">
        <f t="shared" si="13"/>
        <v>-3.9215736531816913E-3</v>
      </c>
    </row>
    <row r="450" spans="1:4" x14ac:dyDescent="0.25">
      <c r="A450" t="s">
        <v>497</v>
      </c>
      <c r="B450">
        <v>15.33</v>
      </c>
      <c r="C450" s="6">
        <f t="shared" si="12"/>
        <v>-5.1361386138613851E-2</v>
      </c>
      <c r="D450" s="6">
        <f t="shared" si="13"/>
        <v>-5.2727360209226554E-2</v>
      </c>
    </row>
    <row r="451" spans="1:4" x14ac:dyDescent="0.25">
      <c r="A451" t="s">
        <v>498</v>
      </c>
      <c r="B451">
        <v>16.16</v>
      </c>
      <c r="C451" s="6">
        <f t="shared" ref="C451:C514" si="14">(B451/B452)-1</f>
        <v>6.2266500622665255E-3</v>
      </c>
      <c r="D451" s="6">
        <f t="shared" ref="D451:D514" si="15">LN(B451/B452)</f>
        <v>6.2073445743337308E-3</v>
      </c>
    </row>
    <row r="452" spans="1:4" x14ac:dyDescent="0.25">
      <c r="A452" t="s">
        <v>499</v>
      </c>
      <c r="B452">
        <v>16.059999999999999</v>
      </c>
      <c r="C452" s="6">
        <f t="shared" si="14"/>
        <v>6.2656641604008634E-3</v>
      </c>
      <c r="D452" s="6">
        <f t="shared" si="15"/>
        <v>6.2461164969527692E-3</v>
      </c>
    </row>
    <row r="453" spans="1:4" x14ac:dyDescent="0.25">
      <c r="A453" t="s">
        <v>500</v>
      </c>
      <c r="B453">
        <v>15.96</v>
      </c>
      <c r="C453" s="6">
        <f t="shared" si="14"/>
        <v>6.3051702395966469E-3</v>
      </c>
      <c r="D453" s="6">
        <f t="shared" si="15"/>
        <v>6.2853758149609574E-3</v>
      </c>
    </row>
    <row r="454" spans="1:4" x14ac:dyDescent="0.25">
      <c r="A454" t="s">
        <v>501</v>
      </c>
      <c r="B454">
        <v>15.86</v>
      </c>
      <c r="C454" s="6">
        <f t="shared" si="14"/>
        <v>-1.6129032258064613E-2</v>
      </c>
      <c r="D454" s="6">
        <f t="shared" si="15"/>
        <v>-1.6260520871780405E-2</v>
      </c>
    </row>
    <row r="455" spans="1:4" x14ac:dyDescent="0.25">
      <c r="A455" t="s">
        <v>502</v>
      </c>
      <c r="B455">
        <v>16.12</v>
      </c>
      <c r="C455" s="6">
        <f t="shared" si="14"/>
        <v>-3.7082818294189579E-3</v>
      </c>
      <c r="D455" s="6">
        <f t="shared" si="15"/>
        <v>-3.7151745518633197E-3</v>
      </c>
    </row>
    <row r="456" spans="1:4" x14ac:dyDescent="0.25">
      <c r="A456" t="s">
        <v>503</v>
      </c>
      <c r="B456">
        <v>16.18</v>
      </c>
      <c r="C456" s="6">
        <f t="shared" si="14"/>
        <v>-3.4029850746268631E-2</v>
      </c>
      <c r="D456" s="6">
        <f t="shared" si="15"/>
        <v>-3.462234664072978E-2</v>
      </c>
    </row>
    <row r="457" spans="1:4" x14ac:dyDescent="0.25">
      <c r="A457" t="s">
        <v>504</v>
      </c>
      <c r="B457">
        <v>16.75</v>
      </c>
      <c r="C457" s="6">
        <f t="shared" si="14"/>
        <v>-1.3545347467608937E-2</v>
      </c>
      <c r="D457" s="6">
        <f t="shared" si="15"/>
        <v>-1.3637922612125802E-2</v>
      </c>
    </row>
    <row r="458" spans="1:4" x14ac:dyDescent="0.25">
      <c r="A458" t="s">
        <v>505</v>
      </c>
      <c r="B458">
        <v>16.98</v>
      </c>
      <c r="C458" s="6">
        <f t="shared" si="14"/>
        <v>-2.0196191575302835E-2</v>
      </c>
      <c r="D458" s="6">
        <f t="shared" si="15"/>
        <v>-2.0402922844313345E-2</v>
      </c>
    </row>
    <row r="459" spans="1:4" x14ac:dyDescent="0.25">
      <c r="A459" t="s">
        <v>506</v>
      </c>
      <c r="B459">
        <v>17.329999999999998</v>
      </c>
      <c r="C459" s="6">
        <f t="shared" si="14"/>
        <v>3.6483253588516673E-2</v>
      </c>
      <c r="D459" s="6">
        <f t="shared" si="15"/>
        <v>3.5833496070959078E-2</v>
      </c>
    </row>
    <row r="460" spans="1:4" x14ac:dyDescent="0.25">
      <c r="A460" t="s">
        <v>507</v>
      </c>
      <c r="B460">
        <v>16.72</v>
      </c>
      <c r="C460" s="6">
        <f t="shared" si="14"/>
        <v>-8.3036773428233346E-3</v>
      </c>
      <c r="D460" s="6">
        <f t="shared" si="15"/>
        <v>-8.3383449171539181E-3</v>
      </c>
    </row>
    <row r="461" spans="1:4" x14ac:dyDescent="0.25">
      <c r="A461" t="s">
        <v>508</v>
      </c>
      <c r="B461">
        <v>16.86</v>
      </c>
      <c r="C461" s="6">
        <f t="shared" si="14"/>
        <v>1.7825311942960553E-3</v>
      </c>
      <c r="D461" s="6">
        <f t="shared" si="15"/>
        <v>1.7809443709949136E-3</v>
      </c>
    </row>
    <row r="462" spans="1:4" x14ac:dyDescent="0.25">
      <c r="A462" t="s">
        <v>509</v>
      </c>
      <c r="B462">
        <v>16.829999999999998</v>
      </c>
      <c r="C462" s="6">
        <f t="shared" si="14"/>
        <v>-1.5213575190169748E-2</v>
      </c>
      <c r="D462" s="6">
        <f t="shared" si="15"/>
        <v>-1.5330488924784941E-2</v>
      </c>
    </row>
    <row r="463" spans="1:4" x14ac:dyDescent="0.25">
      <c r="A463" t="s">
        <v>510</v>
      </c>
      <c r="B463">
        <v>17.09</v>
      </c>
      <c r="C463" s="6">
        <f t="shared" si="14"/>
        <v>3.1382015691007847E-2</v>
      </c>
      <c r="D463" s="6">
        <f t="shared" si="15"/>
        <v>3.089966568902798E-2</v>
      </c>
    </row>
    <row r="464" spans="1:4" x14ac:dyDescent="0.25">
      <c r="A464" t="s">
        <v>511</v>
      </c>
      <c r="B464">
        <v>16.57</v>
      </c>
      <c r="C464" s="6">
        <f t="shared" si="14"/>
        <v>1.3455657492354778E-2</v>
      </c>
      <c r="D464" s="6">
        <f t="shared" si="15"/>
        <v>1.3365934095209182E-2</v>
      </c>
    </row>
    <row r="465" spans="1:4" x14ac:dyDescent="0.25">
      <c r="A465" t="s">
        <v>512</v>
      </c>
      <c r="B465">
        <v>16.350000000000001</v>
      </c>
      <c r="C465" s="6">
        <f t="shared" si="14"/>
        <v>-1.2084592145015116E-2</v>
      </c>
      <c r="D465" s="6">
        <f t="shared" si="15"/>
        <v>-1.2158204479809519E-2</v>
      </c>
    </row>
    <row r="466" spans="1:4" x14ac:dyDescent="0.25">
      <c r="A466" t="s">
        <v>513</v>
      </c>
      <c r="B466">
        <v>16.55</v>
      </c>
      <c r="C466" s="6">
        <f t="shared" si="14"/>
        <v>-7.7937649880095439E-3</v>
      </c>
      <c r="D466" s="6">
        <f t="shared" si="15"/>
        <v>-7.8242951075287431E-3</v>
      </c>
    </row>
    <row r="467" spans="1:4" x14ac:dyDescent="0.25">
      <c r="A467" t="s">
        <v>514</v>
      </c>
      <c r="B467">
        <v>16.68</v>
      </c>
      <c r="C467" s="6">
        <f t="shared" si="14"/>
        <v>-2.2847100175746982E-2</v>
      </c>
      <c r="D467" s="6">
        <f t="shared" si="15"/>
        <v>-2.3112139875748602E-2</v>
      </c>
    </row>
    <row r="468" spans="1:4" x14ac:dyDescent="0.25">
      <c r="A468" t="s">
        <v>515</v>
      </c>
      <c r="B468">
        <v>17.07</v>
      </c>
      <c r="C468" s="6">
        <f t="shared" si="14"/>
        <v>6.4858490566037652E-3</v>
      </c>
      <c r="D468" s="6">
        <f t="shared" si="15"/>
        <v>6.4649064425922227E-3</v>
      </c>
    </row>
    <row r="469" spans="1:4" x14ac:dyDescent="0.25">
      <c r="A469" t="s">
        <v>516</v>
      </c>
      <c r="B469">
        <v>16.96</v>
      </c>
      <c r="C469" s="6">
        <f t="shared" si="14"/>
        <v>-1.5098722415795462E-2</v>
      </c>
      <c r="D469" s="6">
        <f t="shared" si="15"/>
        <v>-1.5213868635827603E-2</v>
      </c>
    </row>
    <row r="470" spans="1:4" x14ac:dyDescent="0.25">
      <c r="A470" t="s">
        <v>517</v>
      </c>
      <c r="B470">
        <v>17.22</v>
      </c>
      <c r="C470" s="6">
        <f t="shared" si="14"/>
        <v>-1.4874141876430325E-2</v>
      </c>
      <c r="D470" s="6">
        <f t="shared" si="15"/>
        <v>-1.498587122780478E-2</v>
      </c>
    </row>
    <row r="471" spans="1:4" x14ac:dyDescent="0.25">
      <c r="A471" t="s">
        <v>518</v>
      </c>
      <c r="B471">
        <v>17.48</v>
      </c>
      <c r="C471" s="6">
        <f t="shared" si="14"/>
        <v>9.8209127671866625E-3</v>
      </c>
      <c r="D471" s="6">
        <f t="shared" si="15"/>
        <v>9.7730010392715807E-3</v>
      </c>
    </row>
    <row r="472" spans="1:4" x14ac:dyDescent="0.25">
      <c r="A472" t="s">
        <v>519</v>
      </c>
      <c r="B472">
        <v>17.309999999999999</v>
      </c>
      <c r="C472" s="6">
        <f t="shared" si="14"/>
        <v>2.3049645390070816E-2</v>
      </c>
      <c r="D472" s="6">
        <f t="shared" si="15"/>
        <v>2.278801501004056E-2</v>
      </c>
    </row>
    <row r="473" spans="1:4" x14ac:dyDescent="0.25">
      <c r="A473" t="s">
        <v>520</v>
      </c>
      <c r="B473">
        <v>16.920000000000002</v>
      </c>
      <c r="C473" s="6">
        <f t="shared" si="14"/>
        <v>1.8663455749548641E-2</v>
      </c>
      <c r="D473" s="6">
        <f t="shared" si="15"/>
        <v>1.8491430552873889E-2</v>
      </c>
    </row>
    <row r="474" spans="1:4" x14ac:dyDescent="0.25">
      <c r="A474" t="s">
        <v>521</v>
      </c>
      <c r="B474">
        <v>16.61</v>
      </c>
      <c r="C474" s="6">
        <f t="shared" si="14"/>
        <v>1.218769043266299E-2</v>
      </c>
      <c r="D474" s="6">
        <f t="shared" si="15"/>
        <v>1.2114018523203955E-2</v>
      </c>
    </row>
    <row r="475" spans="1:4" x14ac:dyDescent="0.25">
      <c r="A475" t="s">
        <v>522</v>
      </c>
      <c r="B475">
        <v>16.41</v>
      </c>
      <c r="C475" s="6">
        <f t="shared" si="14"/>
        <v>-2.8994082840236635E-2</v>
      </c>
      <c r="D475" s="6">
        <f t="shared" si="15"/>
        <v>-2.9422716827028204E-2</v>
      </c>
    </row>
    <row r="476" spans="1:4" x14ac:dyDescent="0.25">
      <c r="A476" t="s">
        <v>523</v>
      </c>
      <c r="B476">
        <v>16.899999999999999</v>
      </c>
      <c r="C476" s="6">
        <f t="shared" si="14"/>
        <v>-2.9498525073746729E-3</v>
      </c>
      <c r="D476" s="6">
        <f t="shared" si="15"/>
        <v>-2.9542118974315201E-3</v>
      </c>
    </row>
    <row r="477" spans="1:4" x14ac:dyDescent="0.25">
      <c r="A477" t="s">
        <v>524</v>
      </c>
      <c r="B477">
        <v>16.95</v>
      </c>
      <c r="C477" s="6">
        <f t="shared" si="14"/>
        <v>-1.2237762237762295E-2</v>
      </c>
      <c r="D477" s="6">
        <f t="shared" si="15"/>
        <v>-1.2313260233357014E-2</v>
      </c>
    </row>
    <row r="478" spans="1:4" x14ac:dyDescent="0.25">
      <c r="A478" t="s">
        <v>525</v>
      </c>
      <c r="B478">
        <v>17.16</v>
      </c>
      <c r="C478" s="6">
        <f t="shared" si="14"/>
        <v>4.1262135922329968E-2</v>
      </c>
      <c r="D478" s="6">
        <f t="shared" si="15"/>
        <v>4.0433569578490459E-2</v>
      </c>
    </row>
    <row r="479" spans="1:4" x14ac:dyDescent="0.25">
      <c r="A479" t="s">
        <v>526</v>
      </c>
      <c r="B479">
        <v>16.48</v>
      </c>
      <c r="C479" s="6">
        <f t="shared" si="14"/>
        <v>1.980198019801982E-2</v>
      </c>
      <c r="D479" s="6">
        <f t="shared" si="15"/>
        <v>1.9608471388376337E-2</v>
      </c>
    </row>
    <row r="480" spans="1:4" x14ac:dyDescent="0.25">
      <c r="A480" t="s">
        <v>527</v>
      </c>
      <c r="B480">
        <v>16.16</v>
      </c>
      <c r="C480" s="6">
        <f t="shared" si="14"/>
        <v>3.1269942565411712E-2</v>
      </c>
      <c r="D480" s="6">
        <f t="shared" si="15"/>
        <v>3.0790996725019955E-2</v>
      </c>
    </row>
    <row r="481" spans="1:4" x14ac:dyDescent="0.25">
      <c r="A481" t="s">
        <v>528</v>
      </c>
      <c r="B481">
        <v>15.67</v>
      </c>
      <c r="C481" s="6">
        <f t="shared" si="14"/>
        <v>-2.6103169670602888E-2</v>
      </c>
      <c r="D481" s="6">
        <f t="shared" si="15"/>
        <v>-2.644990463636241E-2</v>
      </c>
    </row>
    <row r="482" spans="1:4" x14ac:dyDescent="0.25">
      <c r="A482" t="s">
        <v>529</v>
      </c>
      <c r="B482">
        <v>16.09</v>
      </c>
      <c r="C482" s="6">
        <f t="shared" si="14"/>
        <v>5.6249999999999911E-3</v>
      </c>
      <c r="D482" s="6">
        <f t="shared" si="15"/>
        <v>5.6092387645105945E-3</v>
      </c>
    </row>
    <row r="483" spans="1:4" x14ac:dyDescent="0.25">
      <c r="A483" t="s">
        <v>530</v>
      </c>
      <c r="B483">
        <v>16</v>
      </c>
      <c r="C483" s="6">
        <f t="shared" si="14"/>
        <v>1.8785222291797243E-3</v>
      </c>
      <c r="D483" s="6">
        <f t="shared" si="15"/>
        <v>1.8767600128601842E-3</v>
      </c>
    </row>
    <row r="484" spans="1:4" x14ac:dyDescent="0.25">
      <c r="A484" t="s">
        <v>531</v>
      </c>
      <c r="B484">
        <v>15.97</v>
      </c>
      <c r="C484" s="6">
        <f t="shared" si="14"/>
        <v>-8.690254500310246E-3</v>
      </c>
      <c r="D484" s="6">
        <f t="shared" si="15"/>
        <v>-8.7282349619618241E-3</v>
      </c>
    </row>
    <row r="485" spans="1:4" x14ac:dyDescent="0.25">
      <c r="A485" t="s">
        <v>532</v>
      </c>
      <c r="B485">
        <v>16.11</v>
      </c>
      <c r="C485" s="6">
        <f t="shared" si="14"/>
        <v>2.0265991133628924E-2</v>
      </c>
      <c r="D485" s="6">
        <f t="shared" si="15"/>
        <v>2.0063368921332331E-2</v>
      </c>
    </row>
    <row r="486" spans="1:4" x14ac:dyDescent="0.25">
      <c r="A486" t="s">
        <v>533</v>
      </c>
      <c r="B486">
        <v>15.79</v>
      </c>
      <c r="C486" s="6">
        <f t="shared" si="14"/>
        <v>-1.3125000000000053E-2</v>
      </c>
      <c r="D486" s="6">
        <f t="shared" si="15"/>
        <v>-1.3211893972230569E-2</v>
      </c>
    </row>
    <row r="487" spans="1:4" x14ac:dyDescent="0.25">
      <c r="A487" t="s">
        <v>534</v>
      </c>
      <c r="B487">
        <v>16</v>
      </c>
      <c r="C487" s="6">
        <f t="shared" si="14"/>
        <v>-1.5990159901599132E-2</v>
      </c>
      <c r="D487" s="6">
        <f t="shared" si="15"/>
        <v>-1.6119381879883415E-2</v>
      </c>
    </row>
    <row r="488" spans="1:4" x14ac:dyDescent="0.25">
      <c r="A488" t="s">
        <v>535</v>
      </c>
      <c r="B488">
        <v>16.260000000000002</v>
      </c>
      <c r="C488" s="6">
        <f t="shared" si="14"/>
        <v>-9.74421437271622E-3</v>
      </c>
      <c r="D488" s="6">
        <f t="shared" si="15"/>
        <v>-9.7919999046176508E-3</v>
      </c>
    </row>
    <row r="489" spans="1:4" x14ac:dyDescent="0.25">
      <c r="A489" t="s">
        <v>536</v>
      </c>
      <c r="B489">
        <v>16.420000000000002</v>
      </c>
      <c r="C489" s="6">
        <f t="shared" si="14"/>
        <v>-2.203692674210822E-2</v>
      </c>
      <c r="D489" s="6">
        <f t="shared" si="15"/>
        <v>-2.2283367065167106E-2</v>
      </c>
    </row>
    <row r="490" spans="1:4" x14ac:dyDescent="0.25">
      <c r="A490" t="s">
        <v>537</v>
      </c>
      <c r="B490">
        <v>16.79</v>
      </c>
      <c r="C490" s="6">
        <f t="shared" si="14"/>
        <v>-5.9206631142688648E-3</v>
      </c>
      <c r="D490" s="6">
        <f t="shared" si="15"/>
        <v>-5.9382597302593204E-3</v>
      </c>
    </row>
    <row r="491" spans="1:4" x14ac:dyDescent="0.25">
      <c r="A491" t="s">
        <v>538</v>
      </c>
      <c r="B491">
        <v>16.89</v>
      </c>
      <c r="C491" s="6">
        <f t="shared" si="14"/>
        <v>1.7469879518072329E-2</v>
      </c>
      <c r="D491" s="6">
        <f t="shared" si="15"/>
        <v>1.7319035457211196E-2</v>
      </c>
    </row>
    <row r="492" spans="1:4" x14ac:dyDescent="0.25">
      <c r="A492" t="s">
        <v>539</v>
      </c>
      <c r="B492">
        <v>16.600000000000001</v>
      </c>
      <c r="C492" s="6">
        <f t="shared" si="14"/>
        <v>1.71568627450982E-2</v>
      </c>
      <c r="D492" s="6">
        <f t="shared" si="15"/>
        <v>1.7011345826536756E-2</v>
      </c>
    </row>
    <row r="493" spans="1:4" x14ac:dyDescent="0.25">
      <c r="A493" t="s">
        <v>540</v>
      </c>
      <c r="B493">
        <v>16.32</v>
      </c>
      <c r="C493" s="6">
        <f t="shared" si="14"/>
        <v>1.0526315789473717E-2</v>
      </c>
      <c r="D493" s="6">
        <f t="shared" si="15"/>
        <v>1.0471299867295437E-2</v>
      </c>
    </row>
    <row r="494" spans="1:4" x14ac:dyDescent="0.25">
      <c r="A494" t="s">
        <v>541</v>
      </c>
      <c r="B494">
        <v>16.149999999999999</v>
      </c>
      <c r="C494" s="6">
        <f t="shared" si="14"/>
        <v>-2.4706609017913772E-3</v>
      </c>
      <c r="D494" s="6">
        <f t="shared" si="15"/>
        <v>-2.4737180208783639E-3</v>
      </c>
    </row>
    <row r="495" spans="1:4" x14ac:dyDescent="0.25">
      <c r="A495" t="s">
        <v>542</v>
      </c>
      <c r="B495">
        <v>16.190000000000001</v>
      </c>
      <c r="C495" s="6">
        <f t="shared" si="14"/>
        <v>-1.2338062924120985E-3</v>
      </c>
      <c r="D495" s="6">
        <f t="shared" si="15"/>
        <v>-1.2345680580409795E-3</v>
      </c>
    </row>
    <row r="496" spans="1:4" x14ac:dyDescent="0.25">
      <c r="A496" t="s">
        <v>543</v>
      </c>
      <c r="B496">
        <v>16.21</v>
      </c>
      <c r="C496" s="6">
        <f t="shared" si="14"/>
        <v>-6.1312078479459631E-3</v>
      </c>
      <c r="D496" s="6">
        <f t="shared" si="15"/>
        <v>-6.1500808853376847E-3</v>
      </c>
    </row>
    <row r="497" spans="1:4" x14ac:dyDescent="0.25">
      <c r="A497" t="s">
        <v>544</v>
      </c>
      <c r="B497">
        <v>16.309999999999999</v>
      </c>
      <c r="C497" s="6">
        <f t="shared" si="14"/>
        <v>-1.2711864406779738E-2</v>
      </c>
      <c r="D497" s="6">
        <f t="shared" si="15"/>
        <v>-1.2793351459909582E-2</v>
      </c>
    </row>
    <row r="498" spans="1:4" x14ac:dyDescent="0.25">
      <c r="A498" t="s">
        <v>545</v>
      </c>
      <c r="B498">
        <v>16.52</v>
      </c>
      <c r="C498" s="6">
        <f t="shared" si="14"/>
        <v>1.8192844147968401E-3</v>
      </c>
      <c r="D498" s="6">
        <f t="shared" si="15"/>
        <v>1.8176315213244657E-3</v>
      </c>
    </row>
    <row r="499" spans="1:4" x14ac:dyDescent="0.25">
      <c r="A499" t="s">
        <v>546</v>
      </c>
      <c r="B499">
        <v>16.489999999999998</v>
      </c>
      <c r="C499" s="6">
        <f t="shared" si="14"/>
        <v>3.6518563603165077E-3</v>
      </c>
      <c r="D499" s="6">
        <f t="shared" si="15"/>
        <v>3.6452045223308357E-3</v>
      </c>
    </row>
    <row r="500" spans="1:4" x14ac:dyDescent="0.25">
      <c r="A500" t="s">
        <v>547</v>
      </c>
      <c r="B500">
        <v>16.43</v>
      </c>
      <c r="C500" s="6">
        <f t="shared" si="14"/>
        <v>1.1076923076922984E-2</v>
      </c>
      <c r="D500" s="6">
        <f t="shared" si="15"/>
        <v>1.1016023273430129E-2</v>
      </c>
    </row>
    <row r="501" spans="1:4" x14ac:dyDescent="0.25">
      <c r="A501" t="s">
        <v>548</v>
      </c>
      <c r="B501">
        <v>16.25</v>
      </c>
      <c r="C501" s="6">
        <f t="shared" si="14"/>
        <v>-1.3956310679611672E-2</v>
      </c>
      <c r="D501" s="6">
        <f t="shared" si="15"/>
        <v>-1.4054615705579171E-2</v>
      </c>
    </row>
    <row r="502" spans="1:4" x14ac:dyDescent="0.25">
      <c r="A502" t="s">
        <v>549</v>
      </c>
      <c r="B502">
        <v>16.48</v>
      </c>
      <c r="C502" s="6">
        <f t="shared" si="14"/>
        <v>-2.3117960877297006E-2</v>
      </c>
      <c r="D502" s="6">
        <f t="shared" si="15"/>
        <v>-2.3389372076551323E-2</v>
      </c>
    </row>
    <row r="503" spans="1:4" x14ac:dyDescent="0.25">
      <c r="A503" t="s">
        <v>550</v>
      </c>
      <c r="B503">
        <v>16.87</v>
      </c>
      <c r="C503" s="6">
        <f t="shared" si="14"/>
        <v>-2.5981524249422572E-2</v>
      </c>
      <c r="D503" s="6">
        <f t="shared" si="15"/>
        <v>-2.6325006576412104E-2</v>
      </c>
    </row>
    <row r="504" spans="1:4" x14ac:dyDescent="0.25">
      <c r="A504" t="s">
        <v>551</v>
      </c>
      <c r="B504">
        <v>17.32</v>
      </c>
      <c r="C504" s="6">
        <f t="shared" si="14"/>
        <v>2.4852071005917242E-2</v>
      </c>
      <c r="D504" s="6">
        <f t="shared" si="15"/>
        <v>2.4548281205261389E-2</v>
      </c>
    </row>
    <row r="505" spans="1:4" x14ac:dyDescent="0.25">
      <c r="A505" t="s">
        <v>552</v>
      </c>
      <c r="B505">
        <v>16.899999999999999</v>
      </c>
      <c r="C505" s="6">
        <f t="shared" si="14"/>
        <v>4.5792079207920722E-2</v>
      </c>
      <c r="D505" s="6">
        <f t="shared" si="15"/>
        <v>4.4774568836078402E-2</v>
      </c>
    </row>
    <row r="506" spans="1:4" x14ac:dyDescent="0.25">
      <c r="A506" t="s">
        <v>553</v>
      </c>
      <c r="B506">
        <v>16.16</v>
      </c>
      <c r="C506" s="6">
        <f t="shared" si="14"/>
        <v>-2.4691358024691024E-3</v>
      </c>
      <c r="D506" s="6">
        <f t="shared" si="15"/>
        <v>-2.4721891453890368E-3</v>
      </c>
    </row>
    <row r="507" spans="1:4" x14ac:dyDescent="0.25">
      <c r="A507" t="s">
        <v>554</v>
      </c>
      <c r="B507">
        <v>16.2</v>
      </c>
      <c r="C507" s="6">
        <f t="shared" si="14"/>
        <v>-3.167961745367609E-2</v>
      </c>
      <c r="D507" s="6">
        <f t="shared" si="15"/>
        <v>-3.2192272760394276E-2</v>
      </c>
    </row>
    <row r="508" spans="1:4" x14ac:dyDescent="0.25">
      <c r="A508" t="s">
        <v>555</v>
      </c>
      <c r="B508">
        <v>16.73</v>
      </c>
      <c r="C508" s="6">
        <f t="shared" si="14"/>
        <v>5.9808612440193087E-4</v>
      </c>
      <c r="D508" s="6">
        <f t="shared" si="15"/>
        <v>5.9790734217705672E-4</v>
      </c>
    </row>
    <row r="509" spans="1:4" x14ac:dyDescent="0.25">
      <c r="A509" t="s">
        <v>556</v>
      </c>
      <c r="B509">
        <v>16.72</v>
      </c>
      <c r="C509" s="6">
        <f t="shared" si="14"/>
        <v>-1.0650887573964485E-2</v>
      </c>
      <c r="D509" s="6">
        <f t="shared" si="15"/>
        <v>-1.0708014272472212E-2</v>
      </c>
    </row>
    <row r="510" spans="1:4" x14ac:dyDescent="0.25">
      <c r="A510" t="s">
        <v>557</v>
      </c>
      <c r="B510">
        <v>16.899999999999999</v>
      </c>
      <c r="C510" s="6">
        <f t="shared" si="14"/>
        <v>-8.2159624413146171E-3</v>
      </c>
      <c r="D510" s="6">
        <f t="shared" si="15"/>
        <v>-8.2498994721419486E-3</v>
      </c>
    </row>
    <row r="511" spans="1:4" x14ac:dyDescent="0.25">
      <c r="A511" t="s">
        <v>558</v>
      </c>
      <c r="B511">
        <v>17.04</v>
      </c>
      <c r="C511" s="6">
        <f t="shared" si="14"/>
        <v>-3.7288135593220306E-2</v>
      </c>
      <c r="D511" s="6">
        <f t="shared" si="15"/>
        <v>-3.8001118178613749E-2</v>
      </c>
    </row>
    <row r="512" spans="1:4" x14ac:dyDescent="0.25">
      <c r="A512" t="s">
        <v>559</v>
      </c>
      <c r="B512">
        <v>17.7</v>
      </c>
      <c r="C512" s="6">
        <f t="shared" si="14"/>
        <v>-3.3315128345166589E-2</v>
      </c>
      <c r="D512" s="6">
        <f t="shared" si="15"/>
        <v>-3.38827191066359E-2</v>
      </c>
    </row>
    <row r="513" spans="1:4" x14ac:dyDescent="0.25">
      <c r="A513" t="s">
        <v>560</v>
      </c>
      <c r="B513">
        <v>18.309999999999999</v>
      </c>
      <c r="C513" s="6">
        <f t="shared" si="14"/>
        <v>-9.1991341991343178E-3</v>
      </c>
      <c r="D513" s="6">
        <f t="shared" si="15"/>
        <v>-9.2417075271188764E-3</v>
      </c>
    </row>
    <row r="514" spans="1:4" x14ac:dyDescent="0.25">
      <c r="A514" t="s">
        <v>561</v>
      </c>
      <c r="B514">
        <v>18.48</v>
      </c>
      <c r="C514" s="6">
        <f t="shared" si="14"/>
        <v>-1.4399999999999968E-2</v>
      </c>
      <c r="D514" s="6">
        <f t="shared" si="15"/>
        <v>-1.4504686202881688E-2</v>
      </c>
    </row>
    <row r="515" spans="1:4" x14ac:dyDescent="0.25">
      <c r="A515" t="s">
        <v>562</v>
      </c>
      <c r="B515">
        <v>18.75</v>
      </c>
      <c r="C515" s="6">
        <f t="shared" ref="C515:C578" si="16">(B515/B516)-1</f>
        <v>1.846822379141777E-2</v>
      </c>
      <c r="D515" s="6">
        <f t="shared" ref="D515:D578" si="17">LN(B515/B516)</f>
        <v>1.8299757171433395E-2</v>
      </c>
    </row>
    <row r="516" spans="1:4" x14ac:dyDescent="0.25">
      <c r="A516" t="s">
        <v>563</v>
      </c>
      <c r="B516">
        <v>18.41</v>
      </c>
      <c r="C516" s="6">
        <f t="shared" si="16"/>
        <v>-4.9070247933884259E-2</v>
      </c>
      <c r="D516" s="6">
        <f t="shared" si="17"/>
        <v>-5.0315086603444428E-2</v>
      </c>
    </row>
    <row r="517" spans="1:4" x14ac:dyDescent="0.25">
      <c r="A517" t="s">
        <v>564</v>
      </c>
      <c r="B517">
        <v>19.36</v>
      </c>
      <c r="C517" s="6">
        <f t="shared" si="16"/>
        <v>2.4880889359449432E-2</v>
      </c>
      <c r="D517" s="6">
        <f t="shared" si="17"/>
        <v>2.4576400335012762E-2</v>
      </c>
    </row>
    <row r="518" spans="1:4" x14ac:dyDescent="0.25">
      <c r="A518" t="s">
        <v>565</v>
      </c>
      <c r="B518">
        <v>18.89</v>
      </c>
      <c r="C518" s="6">
        <f t="shared" si="16"/>
        <v>5.5897149245388578E-2</v>
      </c>
      <c r="D518" s="6">
        <f t="shared" si="17"/>
        <v>5.439078399279048E-2</v>
      </c>
    </row>
    <row r="519" spans="1:4" x14ac:dyDescent="0.25">
      <c r="A519" t="s">
        <v>566</v>
      </c>
      <c r="B519">
        <v>17.89</v>
      </c>
      <c r="C519" s="6">
        <f t="shared" si="16"/>
        <v>-2.2404371584699434E-2</v>
      </c>
      <c r="D519" s="6">
        <f t="shared" si="17"/>
        <v>-2.2659162326747445E-2</v>
      </c>
    </row>
    <row r="520" spans="1:4" x14ac:dyDescent="0.25">
      <c r="A520" t="s">
        <v>567</v>
      </c>
      <c r="B520">
        <v>18.3</v>
      </c>
      <c r="C520" s="6">
        <f t="shared" si="16"/>
        <v>2.5784753363228718E-2</v>
      </c>
      <c r="D520" s="6">
        <f t="shared" si="17"/>
        <v>2.5457932695511956E-2</v>
      </c>
    </row>
    <row r="521" spans="1:4" x14ac:dyDescent="0.25">
      <c r="A521" t="s">
        <v>568</v>
      </c>
      <c r="B521">
        <v>17.84</v>
      </c>
      <c r="C521" s="6">
        <f t="shared" si="16"/>
        <v>-1.4908890115957973E-2</v>
      </c>
      <c r="D521" s="6">
        <f t="shared" si="17"/>
        <v>-1.5021144743458633E-2</v>
      </c>
    </row>
    <row r="522" spans="1:4" x14ac:dyDescent="0.25">
      <c r="A522" t="s">
        <v>569</v>
      </c>
      <c r="B522">
        <v>18.11</v>
      </c>
      <c r="C522" s="6">
        <f t="shared" si="16"/>
        <v>-1.2540894220283594E-2</v>
      </c>
      <c r="D522" s="6">
        <f t="shared" si="17"/>
        <v>-1.2620194932996837E-2</v>
      </c>
    </row>
    <row r="523" spans="1:4" x14ac:dyDescent="0.25">
      <c r="A523" t="s">
        <v>570</v>
      </c>
      <c r="B523">
        <v>18.34</v>
      </c>
      <c r="C523" s="6">
        <f t="shared" si="16"/>
        <v>3.0916245081506588E-2</v>
      </c>
      <c r="D523" s="6">
        <f t="shared" si="17"/>
        <v>3.0447965150575136E-2</v>
      </c>
    </row>
    <row r="524" spans="1:4" x14ac:dyDescent="0.25">
      <c r="A524" t="s">
        <v>571</v>
      </c>
      <c r="B524">
        <v>17.79</v>
      </c>
      <c r="C524" s="6">
        <f t="shared" si="16"/>
        <v>4.7086521483225452E-2</v>
      </c>
      <c r="D524" s="6">
        <f t="shared" si="17"/>
        <v>4.6011565993903145E-2</v>
      </c>
    </row>
    <row r="525" spans="1:4" x14ac:dyDescent="0.25">
      <c r="A525" t="s">
        <v>572</v>
      </c>
      <c r="B525">
        <v>16.989999999999998</v>
      </c>
      <c r="C525" s="6">
        <f t="shared" si="16"/>
        <v>1.0707911957168248E-2</v>
      </c>
      <c r="D525" s="6">
        <f t="shared" si="17"/>
        <v>1.0650988263316313E-2</v>
      </c>
    </row>
    <row r="526" spans="1:4" x14ac:dyDescent="0.25">
      <c r="A526" t="s">
        <v>573</v>
      </c>
      <c r="B526">
        <v>16.809999999999999</v>
      </c>
      <c r="C526" s="6">
        <f t="shared" si="16"/>
        <v>1.5096618357487879E-2</v>
      </c>
      <c r="D526" s="6">
        <f t="shared" si="17"/>
        <v>1.4983798463410563E-2</v>
      </c>
    </row>
    <row r="527" spans="1:4" x14ac:dyDescent="0.25">
      <c r="A527" t="s">
        <v>574</v>
      </c>
      <c r="B527">
        <v>16.559999999999999</v>
      </c>
      <c r="C527" s="6">
        <f t="shared" si="16"/>
        <v>1.1606597434330901E-2</v>
      </c>
      <c r="D527" s="6">
        <f t="shared" si="17"/>
        <v>1.1539757574069907E-2</v>
      </c>
    </row>
    <row r="528" spans="1:4" x14ac:dyDescent="0.25">
      <c r="A528" t="s">
        <v>575</v>
      </c>
      <c r="B528">
        <v>16.37</v>
      </c>
      <c r="C528" s="6">
        <f t="shared" si="16"/>
        <v>-6.1050061050049731E-4</v>
      </c>
      <c r="D528" s="6">
        <f t="shared" si="17"/>
        <v>-6.1068704187971677E-4</v>
      </c>
    </row>
    <row r="529" spans="1:4" x14ac:dyDescent="0.25">
      <c r="A529" t="s">
        <v>576</v>
      </c>
      <c r="B529">
        <v>16.38</v>
      </c>
      <c r="C529" s="6">
        <f t="shared" si="16"/>
        <v>-1.1466505733252919E-2</v>
      </c>
      <c r="D529" s="6">
        <f t="shared" si="17"/>
        <v>-1.1532753013548232E-2</v>
      </c>
    </row>
    <row r="530" spans="1:4" x14ac:dyDescent="0.25">
      <c r="A530" t="s">
        <v>577</v>
      </c>
      <c r="B530">
        <v>16.57</v>
      </c>
      <c r="C530" s="6">
        <f t="shared" si="16"/>
        <v>1.159951159951178E-2</v>
      </c>
      <c r="D530" s="6">
        <f t="shared" si="17"/>
        <v>1.1532753013548357E-2</v>
      </c>
    </row>
    <row r="531" spans="1:4" x14ac:dyDescent="0.25">
      <c r="A531" t="s">
        <v>578</v>
      </c>
      <c r="B531">
        <v>16.38</v>
      </c>
      <c r="C531" s="6">
        <f t="shared" si="16"/>
        <v>-5.464480874316946E-3</v>
      </c>
      <c r="D531" s="6">
        <f t="shared" si="17"/>
        <v>-5.4794657646255957E-3</v>
      </c>
    </row>
    <row r="532" spans="1:4" x14ac:dyDescent="0.25">
      <c r="A532" t="s">
        <v>579</v>
      </c>
      <c r="B532">
        <v>16.47</v>
      </c>
      <c r="C532" s="6">
        <f t="shared" si="16"/>
        <v>-1.0216346153846256E-2</v>
      </c>
      <c r="D532" s="6">
        <f t="shared" si="17"/>
        <v>-1.0268891203513682E-2</v>
      </c>
    </row>
    <row r="533" spans="1:4" x14ac:dyDescent="0.25">
      <c r="A533" t="s">
        <v>580</v>
      </c>
      <c r="B533">
        <v>16.64</v>
      </c>
      <c r="C533" s="6">
        <f t="shared" si="16"/>
        <v>-6.0060060060052045E-4</v>
      </c>
      <c r="D533" s="6">
        <f t="shared" si="17"/>
        <v>-6.0078103339021962E-4</v>
      </c>
    </row>
    <row r="534" spans="1:4" x14ac:dyDescent="0.25">
      <c r="A534" t="s">
        <v>581</v>
      </c>
      <c r="B534">
        <v>16.649999999999999</v>
      </c>
      <c r="C534" s="6">
        <f t="shared" si="16"/>
        <v>-1.8278301886792581E-2</v>
      </c>
      <c r="D534" s="6">
        <f t="shared" si="17"/>
        <v>-1.844741393730431E-2</v>
      </c>
    </row>
    <row r="535" spans="1:4" x14ac:dyDescent="0.25">
      <c r="A535" t="s">
        <v>582</v>
      </c>
      <c r="B535">
        <v>16.96</v>
      </c>
      <c r="C535" s="6">
        <f t="shared" si="16"/>
        <v>-2.9394473838918467E-3</v>
      </c>
      <c r="D535" s="6">
        <f t="shared" si="17"/>
        <v>-2.9437760440133992E-3</v>
      </c>
    </row>
    <row r="536" spans="1:4" x14ac:dyDescent="0.25">
      <c r="A536" t="s">
        <v>583</v>
      </c>
      <c r="B536">
        <v>17.010000000000002</v>
      </c>
      <c r="C536" s="6">
        <f t="shared" si="16"/>
        <v>-3.0216647662485663E-2</v>
      </c>
      <c r="D536" s="6">
        <f t="shared" si="17"/>
        <v>-3.0682580536266501E-2</v>
      </c>
    </row>
    <row r="537" spans="1:4" x14ac:dyDescent="0.25">
      <c r="A537" t="s">
        <v>584</v>
      </c>
      <c r="B537">
        <v>17.54</v>
      </c>
      <c r="C537" s="6">
        <f t="shared" si="16"/>
        <v>-2.8254847645429404E-2</v>
      </c>
      <c r="D537" s="6">
        <f t="shared" si="17"/>
        <v>-2.8661697834852989E-2</v>
      </c>
    </row>
    <row r="538" spans="1:4" x14ac:dyDescent="0.25">
      <c r="A538" t="s">
        <v>585</v>
      </c>
      <c r="B538">
        <v>18.05</v>
      </c>
      <c r="C538" s="6">
        <f t="shared" si="16"/>
        <v>-1.0416666666666519E-2</v>
      </c>
      <c r="D538" s="6">
        <f t="shared" si="17"/>
        <v>-1.0471299867295255E-2</v>
      </c>
    </row>
    <row r="539" spans="1:4" x14ac:dyDescent="0.25">
      <c r="A539" t="s">
        <v>586</v>
      </c>
      <c r="B539">
        <v>18.239999999999998</v>
      </c>
      <c r="C539" s="6">
        <f t="shared" si="16"/>
        <v>-2.2508038585209111E-2</v>
      </c>
      <c r="D539" s="6">
        <f t="shared" si="17"/>
        <v>-2.2765210773012547E-2</v>
      </c>
    </row>
    <row r="540" spans="1:4" x14ac:dyDescent="0.25">
      <c r="A540" t="s">
        <v>587</v>
      </c>
      <c r="B540">
        <v>18.66</v>
      </c>
      <c r="C540" s="6">
        <f t="shared" si="16"/>
        <v>1.0286951813752054E-2</v>
      </c>
      <c r="D540" s="6">
        <f t="shared" si="17"/>
        <v>1.0234401208049197E-2</v>
      </c>
    </row>
    <row r="541" spans="1:4" x14ac:dyDescent="0.25">
      <c r="A541" t="s">
        <v>588</v>
      </c>
      <c r="B541">
        <v>18.47</v>
      </c>
      <c r="C541" s="6">
        <f t="shared" si="16"/>
        <v>2.3835920177383674E-2</v>
      </c>
      <c r="D541" s="6">
        <f t="shared" si="17"/>
        <v>2.3556279576671075E-2</v>
      </c>
    </row>
    <row r="542" spans="1:4" x14ac:dyDescent="0.25">
      <c r="A542" t="s">
        <v>589</v>
      </c>
      <c r="B542">
        <v>18.04</v>
      </c>
      <c r="C542" s="6">
        <f t="shared" si="16"/>
        <v>2.8506271379703518E-2</v>
      </c>
      <c r="D542" s="6">
        <f t="shared" si="17"/>
        <v>2.8107527690440601E-2</v>
      </c>
    </row>
    <row r="543" spans="1:4" x14ac:dyDescent="0.25">
      <c r="A543" t="s">
        <v>590</v>
      </c>
      <c r="B543">
        <v>17.54</v>
      </c>
      <c r="C543" s="6">
        <f t="shared" si="16"/>
        <v>8.6256469235190814E-3</v>
      </c>
      <c r="D543" s="6">
        <f t="shared" si="17"/>
        <v>8.5886585778451371E-3</v>
      </c>
    </row>
    <row r="544" spans="1:4" x14ac:dyDescent="0.25">
      <c r="A544" t="s">
        <v>591</v>
      </c>
      <c r="B544">
        <v>17.39</v>
      </c>
      <c r="C544" s="6">
        <f t="shared" si="16"/>
        <v>-4.7645125958378998E-2</v>
      </c>
      <c r="D544" s="6">
        <f t="shared" si="17"/>
        <v>-4.8817546800630773E-2</v>
      </c>
    </row>
    <row r="545" spans="1:4" x14ac:dyDescent="0.25">
      <c r="A545" t="s">
        <v>592</v>
      </c>
      <c r="B545">
        <v>18.260000000000002</v>
      </c>
      <c r="C545" s="6">
        <f t="shared" si="16"/>
        <v>1.9542155220547253E-2</v>
      </c>
      <c r="D545" s="6">
        <f t="shared" si="17"/>
        <v>1.9353659094202069E-2</v>
      </c>
    </row>
    <row r="546" spans="1:4" x14ac:dyDescent="0.25">
      <c r="A546" t="s">
        <v>593</v>
      </c>
      <c r="B546">
        <v>17.91</v>
      </c>
      <c r="C546" s="6">
        <f t="shared" si="16"/>
        <v>-0.10045203415369164</v>
      </c>
      <c r="D546" s="6">
        <f t="shared" si="17"/>
        <v>-0.10586290200348454</v>
      </c>
    </row>
    <row r="547" spans="1:4" x14ac:dyDescent="0.25">
      <c r="A547" t="s">
        <v>594</v>
      </c>
      <c r="B547">
        <v>19.91</v>
      </c>
      <c r="C547" s="6">
        <f t="shared" si="16"/>
        <v>7.0814365199798335E-3</v>
      </c>
      <c r="D547" s="6">
        <f t="shared" si="17"/>
        <v>7.0564808935794461E-3</v>
      </c>
    </row>
    <row r="548" spans="1:4" x14ac:dyDescent="0.25">
      <c r="A548" t="s">
        <v>595</v>
      </c>
      <c r="B548">
        <v>19.77</v>
      </c>
      <c r="C548" s="6">
        <f t="shared" si="16"/>
        <v>1.1253196930946174E-2</v>
      </c>
      <c r="D548" s="6">
        <f t="shared" si="17"/>
        <v>1.1190350751150649E-2</v>
      </c>
    </row>
    <row r="549" spans="1:4" x14ac:dyDescent="0.25">
      <c r="A549" t="s">
        <v>596</v>
      </c>
      <c r="B549">
        <v>19.55</v>
      </c>
      <c r="C549" s="6">
        <f t="shared" si="16"/>
        <v>-5.6922334780511341E-2</v>
      </c>
      <c r="D549" s="6">
        <f t="shared" si="17"/>
        <v>-5.8606640016313445E-2</v>
      </c>
    </row>
    <row r="550" spans="1:4" x14ac:dyDescent="0.25">
      <c r="A550" t="s">
        <v>597</v>
      </c>
      <c r="B550">
        <v>20.73</v>
      </c>
      <c r="C550" s="6">
        <f t="shared" si="16"/>
        <v>1.6674840608141173E-2</v>
      </c>
      <c r="D550" s="6">
        <f t="shared" si="17"/>
        <v>1.6537341861324339E-2</v>
      </c>
    </row>
    <row r="551" spans="1:4" x14ac:dyDescent="0.25">
      <c r="A551" t="s">
        <v>598</v>
      </c>
      <c r="B551">
        <v>20.39</v>
      </c>
      <c r="C551" s="6">
        <f t="shared" si="16"/>
        <v>-6.3352826510720828E-3</v>
      </c>
      <c r="D551" s="6">
        <f t="shared" si="17"/>
        <v>-6.3554357162049352E-3</v>
      </c>
    </row>
    <row r="552" spans="1:4" x14ac:dyDescent="0.25">
      <c r="A552" t="s">
        <v>599</v>
      </c>
      <c r="B552">
        <v>20.52</v>
      </c>
      <c r="C552" s="6">
        <f t="shared" si="16"/>
        <v>1.0339734121122657E-2</v>
      </c>
      <c r="D552" s="6">
        <f t="shared" si="17"/>
        <v>1.0286644710275525E-2</v>
      </c>
    </row>
    <row r="553" spans="1:4" x14ac:dyDescent="0.25">
      <c r="A553" t="s">
        <v>600</v>
      </c>
      <c r="B553">
        <v>20.309999999999999</v>
      </c>
      <c r="C553" s="6">
        <f t="shared" si="16"/>
        <v>4.9261083743834533E-4</v>
      </c>
      <c r="D553" s="6">
        <f t="shared" si="17"/>
        <v>4.9248954455159005E-4</v>
      </c>
    </row>
    <row r="554" spans="1:4" x14ac:dyDescent="0.25">
      <c r="A554" t="s">
        <v>601</v>
      </c>
      <c r="B554">
        <v>20.3</v>
      </c>
      <c r="C554" s="6">
        <f t="shared" si="16"/>
        <v>-1.9323671497584516E-2</v>
      </c>
      <c r="D554" s="6">
        <f t="shared" si="17"/>
        <v>-1.9512814223581715E-2</v>
      </c>
    </row>
    <row r="555" spans="1:4" x14ac:dyDescent="0.25">
      <c r="A555" t="s">
        <v>602</v>
      </c>
      <c r="B555">
        <v>20.7</v>
      </c>
      <c r="C555" s="6">
        <f t="shared" si="16"/>
        <v>2.933863749378407E-2</v>
      </c>
      <c r="D555" s="6">
        <f t="shared" si="17"/>
        <v>2.8916496486762599E-2</v>
      </c>
    </row>
    <row r="556" spans="1:4" x14ac:dyDescent="0.25">
      <c r="A556" t="s">
        <v>603</v>
      </c>
      <c r="B556">
        <v>20.11</v>
      </c>
      <c r="C556" s="6">
        <f t="shared" si="16"/>
        <v>-8.3826429980277117E-3</v>
      </c>
      <c r="D556" s="6">
        <f t="shared" si="17"/>
        <v>-8.417974938421835E-3</v>
      </c>
    </row>
    <row r="557" spans="1:4" x14ac:dyDescent="0.25">
      <c r="A557" t="s">
        <v>604</v>
      </c>
      <c r="B557">
        <v>20.28</v>
      </c>
      <c r="C557" s="6">
        <f t="shared" si="16"/>
        <v>-2.0762916465475567E-2</v>
      </c>
      <c r="D557" s="6">
        <f t="shared" si="17"/>
        <v>-2.0981496684510329E-2</v>
      </c>
    </row>
    <row r="558" spans="1:4" x14ac:dyDescent="0.25">
      <c r="A558" t="s">
        <v>605</v>
      </c>
      <c r="B558">
        <v>20.71</v>
      </c>
      <c r="C558" s="6">
        <f t="shared" si="16"/>
        <v>-2.408477842003931E-3</v>
      </c>
      <c r="D558" s="6">
        <f t="shared" si="17"/>
        <v>-2.4113828901951742E-3</v>
      </c>
    </row>
    <row r="559" spans="1:4" x14ac:dyDescent="0.25">
      <c r="A559" t="s">
        <v>606</v>
      </c>
      <c r="B559">
        <v>20.76</v>
      </c>
      <c r="C559" s="6">
        <f t="shared" si="16"/>
        <v>-6.7385444743935263E-2</v>
      </c>
      <c r="D559" s="6">
        <f t="shared" si="17"/>
        <v>-6.976328754971084E-2</v>
      </c>
    </row>
    <row r="560" spans="1:4" x14ac:dyDescent="0.25">
      <c r="A560" t="s">
        <v>607</v>
      </c>
      <c r="B560">
        <v>22.26</v>
      </c>
      <c r="C560" s="6">
        <f t="shared" si="16"/>
        <v>-1.4171833480956408E-2</v>
      </c>
      <c r="D560" s="6">
        <f t="shared" si="17"/>
        <v>-1.4273212874116993E-2</v>
      </c>
    </row>
    <row r="561" spans="1:4" x14ac:dyDescent="0.25">
      <c r="A561" t="s">
        <v>608</v>
      </c>
      <c r="B561">
        <v>22.58</v>
      </c>
      <c r="C561" s="6">
        <f t="shared" si="16"/>
        <v>-1.6978667827601268E-2</v>
      </c>
      <c r="D561" s="6">
        <f t="shared" si="17"/>
        <v>-1.7124457979490974E-2</v>
      </c>
    </row>
    <row r="562" spans="1:4" x14ac:dyDescent="0.25">
      <c r="A562" t="s">
        <v>609</v>
      </c>
      <c r="B562">
        <v>22.97</v>
      </c>
      <c r="C562" s="6">
        <f t="shared" si="16"/>
        <v>5.0297210791037772E-2</v>
      </c>
      <c r="D562" s="6">
        <f t="shared" si="17"/>
        <v>4.9073182012330241E-2</v>
      </c>
    </row>
    <row r="563" spans="1:4" x14ac:dyDescent="0.25">
      <c r="A563" t="s">
        <v>610</v>
      </c>
      <c r="B563">
        <v>21.87</v>
      </c>
      <c r="C563" s="6">
        <f t="shared" si="16"/>
        <v>3.4531693472090952E-2</v>
      </c>
      <c r="D563" s="6">
        <f t="shared" si="17"/>
        <v>3.3948854246585024E-2</v>
      </c>
    </row>
    <row r="564" spans="1:4" x14ac:dyDescent="0.25">
      <c r="A564" t="s">
        <v>611</v>
      </c>
      <c r="B564">
        <v>21.14</v>
      </c>
      <c r="C564" s="6">
        <f t="shared" si="16"/>
        <v>-9.3720712277413076E-3</v>
      </c>
      <c r="D564" s="6">
        <f t="shared" si="17"/>
        <v>-9.4162654315157086E-3</v>
      </c>
    </row>
    <row r="565" spans="1:4" x14ac:dyDescent="0.25">
      <c r="A565" t="s">
        <v>612</v>
      </c>
      <c r="B565">
        <v>21.34</v>
      </c>
      <c r="C565" s="6">
        <f t="shared" si="16"/>
        <v>-2.3375409069659181E-3</v>
      </c>
      <c r="D565" s="6">
        <f t="shared" si="17"/>
        <v>-2.3402772207069987E-3</v>
      </c>
    </row>
    <row r="566" spans="1:4" x14ac:dyDescent="0.25">
      <c r="A566" t="s">
        <v>613</v>
      </c>
      <c r="B566">
        <v>21.39</v>
      </c>
      <c r="C566" s="6">
        <f t="shared" si="16"/>
        <v>1.5187470336972098E-2</v>
      </c>
      <c r="D566" s="6">
        <f t="shared" si="17"/>
        <v>1.5073295278216693E-2</v>
      </c>
    </row>
    <row r="567" spans="1:4" x14ac:dyDescent="0.25">
      <c r="A567" t="s">
        <v>614</v>
      </c>
      <c r="B567">
        <v>21.07</v>
      </c>
      <c r="C567" s="6">
        <f t="shared" si="16"/>
        <v>9.5831336847149728E-3</v>
      </c>
      <c r="D567" s="6">
        <f t="shared" si="17"/>
        <v>9.5375067269883561E-3</v>
      </c>
    </row>
    <row r="568" spans="1:4" x14ac:dyDescent="0.25">
      <c r="A568" t="s">
        <v>615</v>
      </c>
      <c r="B568">
        <v>20.87</v>
      </c>
      <c r="C568" s="6">
        <f t="shared" si="16"/>
        <v>-1.556603773584897E-2</v>
      </c>
      <c r="D568" s="6">
        <f t="shared" si="17"/>
        <v>-1.5688460588857301E-2</v>
      </c>
    </row>
    <row r="569" spans="1:4" x14ac:dyDescent="0.25">
      <c r="A569" t="s">
        <v>616</v>
      </c>
      <c r="B569">
        <v>21.2</v>
      </c>
      <c r="C569" s="6">
        <f t="shared" si="16"/>
        <v>1.6786570743405171E-2</v>
      </c>
      <c r="D569" s="6">
        <f t="shared" si="17"/>
        <v>1.664723343315621E-2</v>
      </c>
    </row>
    <row r="570" spans="1:4" x14ac:dyDescent="0.25">
      <c r="A570" t="s">
        <v>617</v>
      </c>
      <c r="B570">
        <v>20.85</v>
      </c>
      <c r="C570" s="6">
        <f t="shared" si="16"/>
        <v>8.2205029013540099E-3</v>
      </c>
      <c r="D570" s="6">
        <f t="shared" si="17"/>
        <v>8.1868986045821185E-3</v>
      </c>
    </row>
    <row r="571" spans="1:4" x14ac:dyDescent="0.25">
      <c r="A571" t="s">
        <v>618</v>
      </c>
      <c r="B571">
        <v>20.68</v>
      </c>
      <c r="C571" s="6">
        <f t="shared" si="16"/>
        <v>-1.9305019305019266E-3</v>
      </c>
      <c r="D571" s="6">
        <f t="shared" si="17"/>
        <v>-1.9323677510539241E-3</v>
      </c>
    </row>
    <row r="572" spans="1:4" x14ac:dyDescent="0.25">
      <c r="A572" t="s">
        <v>619</v>
      </c>
      <c r="B572">
        <v>20.72</v>
      </c>
      <c r="C572" s="6">
        <f t="shared" si="16"/>
        <v>2.5235032162295834E-2</v>
      </c>
      <c r="D572" s="6">
        <f t="shared" si="17"/>
        <v>2.4921885975752608E-2</v>
      </c>
    </row>
    <row r="573" spans="1:4" x14ac:dyDescent="0.25">
      <c r="A573" t="s">
        <v>620</v>
      </c>
      <c r="B573">
        <v>20.21</v>
      </c>
      <c r="C573" s="6">
        <f t="shared" si="16"/>
        <v>-1.4627011214041974E-2</v>
      </c>
      <c r="D573" s="6">
        <f t="shared" si="17"/>
        <v>-1.4735040668759644E-2</v>
      </c>
    </row>
    <row r="574" spans="1:4" x14ac:dyDescent="0.25">
      <c r="A574" t="s">
        <v>621</v>
      </c>
      <c r="B574">
        <v>20.51</v>
      </c>
      <c r="C574" s="6">
        <f t="shared" si="16"/>
        <v>2.0398009950248763E-2</v>
      </c>
      <c r="D574" s="6">
        <f t="shared" si="17"/>
        <v>2.0192757019259183E-2</v>
      </c>
    </row>
    <row r="575" spans="1:4" x14ac:dyDescent="0.25">
      <c r="A575" t="s">
        <v>622</v>
      </c>
      <c r="B575">
        <v>20.100000000000001</v>
      </c>
      <c r="C575" s="6">
        <f t="shared" si="16"/>
        <v>3.0769230769230882E-2</v>
      </c>
      <c r="D575" s="6">
        <f t="shared" si="17"/>
        <v>3.0305349495329058E-2</v>
      </c>
    </row>
    <row r="576" spans="1:4" x14ac:dyDescent="0.25">
      <c r="A576" t="s">
        <v>623</v>
      </c>
      <c r="B576">
        <v>19.5</v>
      </c>
      <c r="C576" s="6">
        <f t="shared" si="16"/>
        <v>2.0942408376963373E-2</v>
      </c>
      <c r="D576" s="6">
        <f t="shared" si="17"/>
        <v>2.0726130517116952E-2</v>
      </c>
    </row>
    <row r="577" spans="1:4" x14ac:dyDescent="0.25">
      <c r="A577" t="s">
        <v>624</v>
      </c>
      <c r="B577">
        <v>19.100000000000001</v>
      </c>
      <c r="C577" s="6">
        <f t="shared" si="16"/>
        <v>2.5778732545649774E-2</v>
      </c>
      <c r="D577" s="6">
        <f t="shared" si="17"/>
        <v>2.5452063203663115E-2</v>
      </c>
    </row>
    <row r="578" spans="1:4" x14ac:dyDescent="0.25">
      <c r="A578" t="s">
        <v>625</v>
      </c>
      <c r="B578">
        <v>18.62</v>
      </c>
      <c r="C578" s="6">
        <f t="shared" si="16"/>
        <v>9.761388286334105E-3</v>
      </c>
      <c r="D578" s="6">
        <f t="shared" si="17"/>
        <v>9.7140537204732907E-3</v>
      </c>
    </row>
    <row r="579" spans="1:4" x14ac:dyDescent="0.25">
      <c r="A579" t="s">
        <v>626</v>
      </c>
      <c r="B579">
        <v>18.440000000000001</v>
      </c>
      <c r="C579" s="6">
        <f t="shared" ref="C579:C625" si="18">(B579/B580)-1</f>
        <v>6.0010911074741546E-3</v>
      </c>
      <c r="D579" s="6">
        <f t="shared" ref="D579:D625" si="19">LN(B579/B580)</f>
        <v>5.9831562768341909E-3</v>
      </c>
    </row>
    <row r="580" spans="1:4" x14ac:dyDescent="0.25">
      <c r="A580" t="s">
        <v>627</v>
      </c>
      <c r="B580">
        <v>18.329999999999998</v>
      </c>
      <c r="C580" s="6">
        <f t="shared" si="18"/>
        <v>1.0474090407938119E-2</v>
      </c>
      <c r="D580" s="6">
        <f t="shared" si="19"/>
        <v>1.0419617164622965E-2</v>
      </c>
    </row>
    <row r="581" spans="1:4" x14ac:dyDescent="0.25">
      <c r="A581" t="s">
        <v>628</v>
      </c>
      <c r="B581">
        <v>18.14</v>
      </c>
      <c r="C581" s="6">
        <f t="shared" si="18"/>
        <v>1.6816143497757841E-2</v>
      </c>
      <c r="D581" s="6">
        <f t="shared" si="19"/>
        <v>1.667631753512722E-2</v>
      </c>
    </row>
    <row r="582" spans="1:4" x14ac:dyDescent="0.25">
      <c r="A582" t="s">
        <v>629</v>
      </c>
      <c r="B582">
        <v>17.84</v>
      </c>
      <c r="C582" s="6">
        <f t="shared" si="18"/>
        <v>4.4496487119437989E-2</v>
      </c>
      <c r="D582" s="6">
        <f t="shared" si="19"/>
        <v>4.3534938791439562E-2</v>
      </c>
    </row>
    <row r="583" spans="1:4" x14ac:dyDescent="0.25">
      <c r="A583" t="s">
        <v>630</v>
      </c>
      <c r="B583">
        <v>17.079999999999998</v>
      </c>
      <c r="C583" s="6">
        <f t="shared" si="18"/>
        <v>2.3474178403755097E-3</v>
      </c>
      <c r="D583" s="6">
        <f t="shared" si="19"/>
        <v>2.3446669592540547E-3</v>
      </c>
    </row>
    <row r="584" spans="1:4" x14ac:dyDescent="0.25">
      <c r="A584" t="s">
        <v>631</v>
      </c>
      <c r="B584">
        <v>17.04</v>
      </c>
      <c r="C584" s="6">
        <f t="shared" si="18"/>
        <v>1.2477718360071277E-2</v>
      </c>
      <c r="D584" s="6">
        <f t="shared" si="19"/>
        <v>1.240051319845501E-2</v>
      </c>
    </row>
    <row r="585" spans="1:4" x14ac:dyDescent="0.25">
      <c r="A585" t="s">
        <v>632</v>
      </c>
      <c r="B585">
        <v>16.829999999999998</v>
      </c>
      <c r="C585" s="6">
        <f t="shared" si="18"/>
        <v>-1.5213575190169748E-2</v>
      </c>
      <c r="D585" s="6">
        <f t="shared" si="19"/>
        <v>-1.5330488924784941E-2</v>
      </c>
    </row>
    <row r="586" spans="1:4" x14ac:dyDescent="0.25">
      <c r="A586" t="s">
        <v>633</v>
      </c>
      <c r="B586">
        <v>17.09</v>
      </c>
      <c r="C586" s="6">
        <f t="shared" si="18"/>
        <v>2.7660853878532787E-2</v>
      </c>
      <c r="D586" s="6">
        <f t="shared" si="19"/>
        <v>2.7285203922663228E-2</v>
      </c>
    </row>
    <row r="587" spans="1:4" x14ac:dyDescent="0.25">
      <c r="A587" t="s">
        <v>634</v>
      </c>
      <c r="B587">
        <v>16.63</v>
      </c>
      <c r="C587" s="6">
        <f t="shared" si="18"/>
        <v>-2.7485380116959224E-2</v>
      </c>
      <c r="D587" s="6">
        <f t="shared" si="19"/>
        <v>-2.7870170303778016E-2</v>
      </c>
    </row>
    <row r="588" spans="1:4" x14ac:dyDescent="0.25">
      <c r="A588" t="s">
        <v>635</v>
      </c>
      <c r="B588">
        <v>17.100000000000001</v>
      </c>
      <c r="C588" s="6">
        <f t="shared" si="18"/>
        <v>-1.6676250718803853E-2</v>
      </c>
      <c r="D588" s="6">
        <f t="shared" si="19"/>
        <v>-1.6816864857577447E-2</v>
      </c>
    </row>
    <row r="589" spans="1:4" x14ac:dyDescent="0.25">
      <c r="A589" t="s">
        <v>636</v>
      </c>
      <c r="B589">
        <v>17.39</v>
      </c>
      <c r="C589" s="6">
        <f t="shared" si="18"/>
        <v>-6.2857142857142279E-3</v>
      </c>
      <c r="D589" s="6">
        <f t="shared" si="19"/>
        <v>-6.3055525632766491E-3</v>
      </c>
    </row>
    <row r="590" spans="1:4" x14ac:dyDescent="0.25">
      <c r="A590" t="s">
        <v>637</v>
      </c>
      <c r="B590">
        <v>17.5</v>
      </c>
      <c r="C590" s="6">
        <f t="shared" si="18"/>
        <v>2.699530516431925E-2</v>
      </c>
      <c r="D590" s="6">
        <f t="shared" si="19"/>
        <v>2.6637359528298699E-2</v>
      </c>
    </row>
    <row r="591" spans="1:4" x14ac:dyDescent="0.25">
      <c r="A591" t="s">
        <v>638</v>
      </c>
      <c r="B591">
        <v>17.04</v>
      </c>
      <c r="C591" s="6">
        <f t="shared" si="18"/>
        <v>-2.9059829059829179E-2</v>
      </c>
      <c r="D591" s="6">
        <f t="shared" si="19"/>
        <v>-2.9490428510705265E-2</v>
      </c>
    </row>
    <row r="592" spans="1:4" x14ac:dyDescent="0.25">
      <c r="A592" t="s">
        <v>639</v>
      </c>
      <c r="B592">
        <v>17.55</v>
      </c>
      <c r="C592" s="6">
        <f t="shared" si="18"/>
        <v>4.5792787635947629E-3</v>
      </c>
      <c r="D592" s="6">
        <f t="shared" si="19"/>
        <v>4.5688257659096494E-3</v>
      </c>
    </row>
    <row r="593" spans="1:4" x14ac:dyDescent="0.25">
      <c r="A593" t="s">
        <v>640</v>
      </c>
      <c r="B593">
        <v>17.47</v>
      </c>
      <c r="C593" s="6">
        <f t="shared" si="18"/>
        <v>-1.4108352144469483E-2</v>
      </c>
      <c r="D593" s="6">
        <f t="shared" si="19"/>
        <v>-1.4208821030969649E-2</v>
      </c>
    </row>
    <row r="594" spans="1:4" x14ac:dyDescent="0.25">
      <c r="A594" t="s">
        <v>641</v>
      </c>
      <c r="B594">
        <v>17.72</v>
      </c>
      <c r="C594" s="6">
        <f t="shared" si="18"/>
        <v>-2.5302530253025313E-2</v>
      </c>
      <c r="D594" s="6">
        <f t="shared" si="19"/>
        <v>-2.5628143572397896E-2</v>
      </c>
    </row>
    <row r="595" spans="1:4" x14ac:dyDescent="0.25">
      <c r="A595" t="s">
        <v>642</v>
      </c>
      <c r="B595">
        <v>18.18</v>
      </c>
      <c r="C595" s="6">
        <f t="shared" si="18"/>
        <v>-6.5573770491803574E-3</v>
      </c>
      <c r="D595" s="6">
        <f t="shared" si="19"/>
        <v>-6.578971098042511E-3</v>
      </c>
    </row>
    <row r="596" spans="1:4" x14ac:dyDescent="0.25">
      <c r="A596" t="s">
        <v>643</v>
      </c>
      <c r="B596">
        <v>18.3</v>
      </c>
      <c r="C596" s="6">
        <f t="shared" si="18"/>
        <v>-4.8856548856548776E-2</v>
      </c>
      <c r="D596" s="6">
        <f t="shared" si="19"/>
        <v>-5.0090385390185094E-2</v>
      </c>
    </row>
    <row r="597" spans="1:4" x14ac:dyDescent="0.25">
      <c r="A597" t="s">
        <v>644</v>
      </c>
      <c r="B597">
        <v>19.239999999999998</v>
      </c>
      <c r="C597" s="6">
        <f t="shared" si="18"/>
        <v>-2.6808295397066306E-2</v>
      </c>
      <c r="D597" s="6">
        <f t="shared" si="19"/>
        <v>-2.7174191944965159E-2</v>
      </c>
    </row>
    <row r="598" spans="1:4" x14ac:dyDescent="0.25">
      <c r="A598" t="s">
        <v>645</v>
      </c>
      <c r="B598">
        <v>19.77</v>
      </c>
      <c r="C598" s="6">
        <f t="shared" si="18"/>
        <v>6.3474986551909529E-2</v>
      </c>
      <c r="D598" s="6">
        <f t="shared" si="19"/>
        <v>6.1541835449172799E-2</v>
      </c>
    </row>
    <row r="599" spans="1:4" x14ac:dyDescent="0.25">
      <c r="A599" t="s">
        <v>646</v>
      </c>
      <c r="B599">
        <v>18.59</v>
      </c>
      <c r="C599" s="6">
        <f t="shared" si="18"/>
        <v>-2.9242819843341983E-2</v>
      </c>
      <c r="D599" s="6">
        <f t="shared" si="19"/>
        <v>-2.9678913893302294E-2</v>
      </c>
    </row>
    <row r="600" spans="1:4" x14ac:dyDescent="0.25">
      <c r="A600" t="s">
        <v>647</v>
      </c>
      <c r="B600">
        <v>19.149999999999999</v>
      </c>
      <c r="C600" s="6">
        <f t="shared" si="18"/>
        <v>8.4254870984727948E-3</v>
      </c>
      <c r="D600" s="6">
        <f t="shared" si="19"/>
        <v>8.3901908024604007E-3</v>
      </c>
    </row>
    <row r="601" spans="1:4" x14ac:dyDescent="0.25">
      <c r="A601" t="s">
        <v>648</v>
      </c>
      <c r="B601">
        <v>18.989999999999998</v>
      </c>
      <c r="C601" s="6">
        <f t="shared" si="18"/>
        <v>-8.3550913838119634E-3</v>
      </c>
      <c r="D601" s="6">
        <f t="shared" si="19"/>
        <v>-8.3901908024604389E-3</v>
      </c>
    </row>
    <row r="602" spans="1:4" x14ac:dyDescent="0.25">
      <c r="A602" t="s">
        <v>649</v>
      </c>
      <c r="B602">
        <v>19.149999999999999</v>
      </c>
      <c r="C602" s="6">
        <f t="shared" si="18"/>
        <v>-8.2858622475401322E-3</v>
      </c>
      <c r="D602" s="6">
        <f t="shared" si="19"/>
        <v>-8.3203808137680742E-3</v>
      </c>
    </row>
    <row r="603" spans="1:4" x14ac:dyDescent="0.25">
      <c r="A603" t="s">
        <v>650</v>
      </c>
      <c r="B603">
        <v>19.309999999999999</v>
      </c>
      <c r="C603" s="6">
        <f t="shared" si="18"/>
        <v>-3.6119711042311708E-3</v>
      </c>
      <c r="D603" s="6">
        <f t="shared" si="19"/>
        <v>-3.6185100221971041E-3</v>
      </c>
    </row>
    <row r="604" spans="1:4" x14ac:dyDescent="0.25">
      <c r="A604" t="s">
        <v>651</v>
      </c>
      <c r="B604">
        <v>19.38</v>
      </c>
      <c r="C604" s="6">
        <f t="shared" si="18"/>
        <v>-3.5820895522388208E-2</v>
      </c>
      <c r="D604" s="6">
        <f t="shared" si="19"/>
        <v>-3.647820860241005E-2</v>
      </c>
    </row>
    <row r="605" spans="1:4" x14ac:dyDescent="0.25">
      <c r="A605" t="s">
        <v>652</v>
      </c>
      <c r="B605">
        <v>20.100000000000001</v>
      </c>
      <c r="C605" s="6">
        <f t="shared" si="18"/>
        <v>-9.9403578528822756E-4</v>
      </c>
      <c r="D605" s="6">
        <f t="shared" si="19"/>
        <v>-9.9453016650834724E-4</v>
      </c>
    </row>
    <row r="606" spans="1:4" x14ac:dyDescent="0.25">
      <c r="A606" t="s">
        <v>653</v>
      </c>
      <c r="B606">
        <v>20.12</v>
      </c>
      <c r="C606" s="6">
        <f t="shared" si="18"/>
        <v>2.4961793173713831E-2</v>
      </c>
      <c r="D606" s="6">
        <f t="shared" si="19"/>
        <v>2.4655336943168883E-2</v>
      </c>
    </row>
    <row r="607" spans="1:4" x14ac:dyDescent="0.25">
      <c r="A607" t="s">
        <v>654</v>
      </c>
      <c r="B607">
        <v>19.63</v>
      </c>
      <c r="C607" s="6">
        <f t="shared" si="18"/>
        <v>-5.2606177606177584E-2</v>
      </c>
      <c r="D607" s="6">
        <f t="shared" si="19"/>
        <v>-5.4040409102912593E-2</v>
      </c>
    </row>
    <row r="608" spans="1:4" x14ac:dyDescent="0.25">
      <c r="A608" t="s">
        <v>655</v>
      </c>
      <c r="B608">
        <v>20.72</v>
      </c>
      <c r="C608" s="6">
        <f t="shared" si="18"/>
        <v>-1.2863268222963242E-2</v>
      </c>
      <c r="D608" s="6">
        <f t="shared" si="19"/>
        <v>-1.2946716441259236E-2</v>
      </c>
    </row>
    <row r="609" spans="1:4" x14ac:dyDescent="0.25">
      <c r="A609" t="s">
        <v>656</v>
      </c>
      <c r="B609">
        <v>20.99</v>
      </c>
      <c r="C609" s="6">
        <f t="shared" si="18"/>
        <v>1.8932038834951204E-2</v>
      </c>
      <c r="D609" s="6">
        <f t="shared" si="19"/>
        <v>1.8755058037005976E-2</v>
      </c>
    </row>
    <row r="610" spans="1:4" x14ac:dyDescent="0.25">
      <c r="A610" t="s">
        <v>657</v>
      </c>
      <c r="B610">
        <v>20.6</v>
      </c>
      <c r="C610" s="6">
        <f t="shared" si="18"/>
        <v>3.5696329813976968E-2</v>
      </c>
      <c r="D610" s="6">
        <f t="shared" si="19"/>
        <v>3.5073982929654655E-2</v>
      </c>
    </row>
    <row r="611" spans="1:4" x14ac:dyDescent="0.25">
      <c r="A611" t="s">
        <v>658</v>
      </c>
      <c r="B611">
        <v>19.89</v>
      </c>
      <c r="C611" s="6">
        <f t="shared" si="18"/>
        <v>-2.1161417322834608E-2</v>
      </c>
      <c r="D611" s="6">
        <f t="shared" si="19"/>
        <v>-2.1388529844400272E-2</v>
      </c>
    </row>
    <row r="612" spans="1:4" x14ac:dyDescent="0.25">
      <c r="A612" t="s">
        <v>659</v>
      </c>
      <c r="B612">
        <v>20.32</v>
      </c>
      <c r="C612" s="6">
        <f t="shared" si="18"/>
        <v>1.54922538730633E-2</v>
      </c>
      <c r="D612" s="6">
        <f t="shared" si="19"/>
        <v>1.5373474114638935E-2</v>
      </c>
    </row>
    <row r="613" spans="1:4" x14ac:dyDescent="0.25">
      <c r="A613" t="s">
        <v>660</v>
      </c>
      <c r="B613">
        <v>20.010000000000002</v>
      </c>
      <c r="C613" s="6">
        <f t="shared" si="18"/>
        <v>-5.4671968190854736E-3</v>
      </c>
      <c r="D613" s="6">
        <f t="shared" si="19"/>
        <v>-5.4821966358964023E-3</v>
      </c>
    </row>
    <row r="614" spans="1:4" x14ac:dyDescent="0.25">
      <c r="A614" t="s">
        <v>661</v>
      </c>
      <c r="B614">
        <v>20.12</v>
      </c>
      <c r="C614" s="6">
        <f t="shared" si="18"/>
        <v>-3.7780966044954511E-2</v>
      </c>
      <c r="D614" s="6">
        <f t="shared" si="19"/>
        <v>-3.851316820900369E-2</v>
      </c>
    </row>
    <row r="615" spans="1:4" x14ac:dyDescent="0.25">
      <c r="A615" t="s">
        <v>662</v>
      </c>
      <c r="B615">
        <v>20.91</v>
      </c>
      <c r="C615" s="6">
        <f t="shared" si="18"/>
        <v>-1.3679245283018782E-2</v>
      </c>
      <c r="D615" s="6">
        <f t="shared" si="19"/>
        <v>-1.3773668237424474E-2</v>
      </c>
    </row>
    <row r="616" spans="1:4" x14ac:dyDescent="0.25">
      <c r="A616" t="s">
        <v>663</v>
      </c>
      <c r="B616">
        <v>21.2</v>
      </c>
      <c r="C616" s="6">
        <f t="shared" si="18"/>
        <v>-2.3529411764706687E-3</v>
      </c>
      <c r="D616" s="6">
        <f t="shared" si="19"/>
        <v>-2.3557136924591479E-3</v>
      </c>
    </row>
    <row r="617" spans="1:4" x14ac:dyDescent="0.25">
      <c r="A617" t="s">
        <v>664</v>
      </c>
      <c r="B617">
        <v>21.25</v>
      </c>
      <c r="C617" s="6">
        <f t="shared" si="18"/>
        <v>-1.0707635009311045E-2</v>
      </c>
      <c r="D617" s="6">
        <f t="shared" si="19"/>
        <v>-1.0765374270238161E-2</v>
      </c>
    </row>
    <row r="618" spans="1:4" x14ac:dyDescent="0.25">
      <c r="A618" t="s">
        <v>665</v>
      </c>
      <c r="B618">
        <v>21.48</v>
      </c>
      <c r="C618" s="6">
        <f t="shared" si="18"/>
        <v>9.5359510453850049E-2</v>
      </c>
      <c r="D618" s="6">
        <f t="shared" si="19"/>
        <v>9.108262943240901E-2</v>
      </c>
    </row>
    <row r="619" spans="1:4" x14ac:dyDescent="0.25">
      <c r="A619" t="s">
        <v>666</v>
      </c>
      <c r="B619">
        <v>19.61</v>
      </c>
      <c r="C619" s="6">
        <f t="shared" si="18"/>
        <v>2.2952529994783477E-2</v>
      </c>
      <c r="D619" s="6">
        <f t="shared" si="19"/>
        <v>2.2693083150701746E-2</v>
      </c>
    </row>
    <row r="620" spans="1:4" x14ac:dyDescent="0.25">
      <c r="A620" t="s">
        <v>667</v>
      </c>
      <c r="B620">
        <v>19.170000000000002</v>
      </c>
      <c r="C620" s="6">
        <f t="shared" si="18"/>
        <v>-3.2306915699141681E-2</v>
      </c>
      <c r="D620" s="6">
        <f t="shared" si="19"/>
        <v>-3.2840303652906265E-2</v>
      </c>
    </row>
    <row r="621" spans="1:4" x14ac:dyDescent="0.25">
      <c r="A621" t="s">
        <v>668</v>
      </c>
      <c r="B621">
        <v>19.809999999999999</v>
      </c>
      <c r="C621" s="6">
        <f t="shared" si="18"/>
        <v>2.3772609819121326E-2</v>
      </c>
      <c r="D621" s="6">
        <f t="shared" si="19"/>
        <v>2.349444123466863E-2</v>
      </c>
    </row>
    <row r="622" spans="1:4" x14ac:dyDescent="0.25">
      <c r="A622" t="s">
        <v>669</v>
      </c>
      <c r="B622">
        <v>19.350000000000001</v>
      </c>
      <c r="C622" s="6">
        <f t="shared" si="18"/>
        <v>5.1948051948051965E-3</v>
      </c>
      <c r="D622" s="6">
        <f t="shared" si="19"/>
        <v>5.1813587419975845E-3</v>
      </c>
    </row>
    <row r="623" spans="1:4" x14ac:dyDescent="0.25">
      <c r="A623" t="s">
        <v>670</v>
      </c>
      <c r="B623">
        <v>19.25</v>
      </c>
      <c r="C623" s="6">
        <f t="shared" si="18"/>
        <v>-2.0356234096692072E-2</v>
      </c>
      <c r="D623" s="6">
        <f t="shared" si="19"/>
        <v>-2.0566277581476972E-2</v>
      </c>
    </row>
    <row r="624" spans="1:4" x14ac:dyDescent="0.25">
      <c r="A624" t="s">
        <v>671</v>
      </c>
      <c r="B624">
        <v>19.649999999999999</v>
      </c>
      <c r="C624" s="6">
        <f t="shared" si="18"/>
        <v>-3.1065088757396553E-2</v>
      </c>
      <c r="D624" s="6">
        <f t="shared" si="19"/>
        <v>-3.1557840407712277E-2</v>
      </c>
    </row>
    <row r="625" spans="1:4" x14ac:dyDescent="0.25">
      <c r="A625" t="s">
        <v>672</v>
      </c>
      <c r="B625">
        <v>20.28</v>
      </c>
      <c r="C625" s="6">
        <f t="shared" si="18"/>
        <v>1.6032064128256529E-2</v>
      </c>
      <c r="D625" s="6">
        <f t="shared" si="19"/>
        <v>1.5904907839664514E-2</v>
      </c>
    </row>
    <row r="626" spans="1:4" x14ac:dyDescent="0.25">
      <c r="A626" t="s">
        <v>673</v>
      </c>
      <c r="B626">
        <v>19.96</v>
      </c>
      <c r="C626" s="6">
        <f>(B626/B627)-1</f>
        <v>8.5901970692270346E-3</v>
      </c>
      <c r="D626" s="6">
        <f>LN(B626/B627)</f>
        <v>8.5535112688437075E-3</v>
      </c>
    </row>
    <row r="627" spans="1:4" x14ac:dyDescent="0.25">
      <c r="A627" t="s">
        <v>674</v>
      </c>
      <c r="B627">
        <v>19.79</v>
      </c>
      <c r="C627" s="6">
        <f>(B627/B628)-1</f>
        <v>2.8051948051948106E-2</v>
      </c>
      <c r="D627" s="6">
        <f t="shared" ref="D627:D690" si="20">LN(B627/B628)</f>
        <v>2.766569888068118E-2</v>
      </c>
    </row>
    <row r="628" spans="1:4" x14ac:dyDescent="0.25">
      <c r="A628" t="s">
        <v>675</v>
      </c>
      <c r="B628">
        <v>19.25</v>
      </c>
      <c r="C628" s="6">
        <f t="shared" ref="C628:C691" si="21">(B628/B629)-1</f>
        <v>-2.7286508337544202E-2</v>
      </c>
      <c r="D628" s="6">
        <f t="shared" si="20"/>
        <v>-2.7665698880681117E-2</v>
      </c>
    </row>
    <row r="629" spans="1:4" x14ac:dyDescent="0.25">
      <c r="A629" t="s">
        <v>676</v>
      </c>
      <c r="B629">
        <v>19.79</v>
      </c>
      <c r="C629" s="6">
        <f t="shared" si="21"/>
        <v>-3.0226700251890781E-3</v>
      </c>
      <c r="D629" s="6">
        <f t="shared" si="20"/>
        <v>-3.0272475187252223E-3</v>
      </c>
    </row>
    <row r="630" spans="1:4" x14ac:dyDescent="0.25">
      <c r="A630" t="s">
        <v>677</v>
      </c>
      <c r="B630">
        <v>19.850000000000001</v>
      </c>
      <c r="C630" s="6">
        <f t="shared" si="21"/>
        <v>4.5546558704452345E-3</v>
      </c>
      <c r="D630" s="6">
        <f t="shared" si="20"/>
        <v>4.5443148134775542E-3</v>
      </c>
    </row>
    <row r="631" spans="1:4" x14ac:dyDescent="0.25">
      <c r="A631" t="s">
        <v>678</v>
      </c>
      <c r="B631">
        <v>19.760000000000002</v>
      </c>
      <c r="C631" s="6">
        <f t="shared" si="21"/>
        <v>-1.5936254980079556E-2</v>
      </c>
      <c r="D631" s="6">
        <f t="shared" si="20"/>
        <v>-1.6064602503806563E-2</v>
      </c>
    </row>
    <row r="632" spans="1:4" x14ac:dyDescent="0.25">
      <c r="A632" t="s">
        <v>679</v>
      </c>
      <c r="B632">
        <v>20.079999999999998</v>
      </c>
      <c r="C632" s="6">
        <f t="shared" si="21"/>
        <v>-2.9791459781530749E-3</v>
      </c>
      <c r="D632" s="6">
        <f t="shared" si="20"/>
        <v>-2.9835924668879348E-3</v>
      </c>
    </row>
    <row r="633" spans="1:4" x14ac:dyDescent="0.25">
      <c r="A633" t="s">
        <v>680</v>
      </c>
      <c r="B633">
        <v>20.14</v>
      </c>
      <c r="C633" s="6">
        <f t="shared" si="21"/>
        <v>2.0780537252914399E-2</v>
      </c>
      <c r="D633" s="6">
        <f t="shared" si="20"/>
        <v>2.0567567255892313E-2</v>
      </c>
    </row>
    <row r="634" spans="1:4" x14ac:dyDescent="0.25">
      <c r="A634" t="s">
        <v>681</v>
      </c>
      <c r="B634">
        <v>19.73</v>
      </c>
      <c r="C634" s="6">
        <f t="shared" si="21"/>
        <v>-1.8896071606166021E-2</v>
      </c>
      <c r="D634" s="6">
        <f t="shared" si="20"/>
        <v>-1.9076883750036633E-2</v>
      </c>
    </row>
    <row r="635" spans="1:4" x14ac:dyDescent="0.25">
      <c r="A635" t="s">
        <v>682</v>
      </c>
      <c r="B635">
        <v>20.11</v>
      </c>
      <c r="C635" s="6">
        <f t="shared" si="21"/>
        <v>-6.9135802469135754E-3</v>
      </c>
      <c r="D635" s="6">
        <f t="shared" si="20"/>
        <v>-6.9375897679874628E-3</v>
      </c>
    </row>
    <row r="636" spans="1:4" x14ac:dyDescent="0.25">
      <c r="A636" t="s">
        <v>683</v>
      </c>
      <c r="B636">
        <v>20.25</v>
      </c>
      <c r="C636" s="6">
        <f t="shared" si="21"/>
        <v>4.3276661514683123E-2</v>
      </c>
      <c r="D636" s="6">
        <f t="shared" si="20"/>
        <v>4.2366396371629228E-2</v>
      </c>
    </row>
    <row r="637" spans="1:4" x14ac:dyDescent="0.25">
      <c r="A637" t="s">
        <v>684</v>
      </c>
      <c r="B637">
        <v>19.41</v>
      </c>
      <c r="C637" s="6">
        <f t="shared" si="21"/>
        <v>-4.8529411764705821E-2</v>
      </c>
      <c r="D637" s="6">
        <f t="shared" si="20"/>
        <v>-4.9746503669251756E-2</v>
      </c>
    </row>
    <row r="638" spans="1:4" x14ac:dyDescent="0.25">
      <c r="A638" t="s">
        <v>685</v>
      </c>
      <c r="B638">
        <v>20.399999999999999</v>
      </c>
      <c r="C638" s="6">
        <f t="shared" si="21"/>
        <v>-1.468428781204123E-3</v>
      </c>
      <c r="D638" s="6">
        <f t="shared" si="20"/>
        <v>-1.4695079793599947E-3</v>
      </c>
    </row>
    <row r="639" spans="1:4" x14ac:dyDescent="0.25">
      <c r="A639" t="s">
        <v>686</v>
      </c>
      <c r="B639">
        <v>20.43</v>
      </c>
      <c r="C639" s="6">
        <f t="shared" si="21"/>
        <v>1.3895781637717208E-2</v>
      </c>
      <c r="D639" s="6">
        <f t="shared" si="20"/>
        <v>1.3800120436838786E-2</v>
      </c>
    </row>
    <row r="640" spans="1:4" x14ac:dyDescent="0.25">
      <c r="A640" t="s">
        <v>687</v>
      </c>
      <c r="B640">
        <v>20.149999999999999</v>
      </c>
      <c r="C640" s="6">
        <f t="shared" si="21"/>
        <v>-2.4752475247524774E-3</v>
      </c>
      <c r="D640" s="6">
        <f t="shared" si="20"/>
        <v>-2.4783160144670898E-3</v>
      </c>
    </row>
    <row r="641" spans="1:4" x14ac:dyDescent="0.25">
      <c r="A641" t="s">
        <v>688</v>
      </c>
      <c r="B641">
        <v>20.2</v>
      </c>
      <c r="C641" s="6">
        <f t="shared" si="21"/>
        <v>4.9751243781093191E-3</v>
      </c>
      <c r="D641" s="6">
        <f t="shared" si="20"/>
        <v>4.962789342128876E-3</v>
      </c>
    </row>
    <row r="642" spans="1:4" x14ac:dyDescent="0.25">
      <c r="A642" t="s">
        <v>689</v>
      </c>
      <c r="B642">
        <v>20.100000000000001</v>
      </c>
      <c r="C642" s="6">
        <f t="shared" si="21"/>
        <v>-2.5218234723569322E-2</v>
      </c>
      <c r="D642" s="6">
        <f t="shared" si="20"/>
        <v>-2.5541663523783769E-2</v>
      </c>
    </row>
    <row r="643" spans="1:4" x14ac:dyDescent="0.25">
      <c r="A643" t="s">
        <v>690</v>
      </c>
      <c r="B643">
        <v>20.62</v>
      </c>
      <c r="C643" s="6">
        <f t="shared" si="21"/>
        <v>-2.964705882352936E-2</v>
      </c>
      <c r="D643" s="6">
        <f t="shared" si="20"/>
        <v>-3.0095416781611917E-2</v>
      </c>
    </row>
    <row r="644" spans="1:4" x14ac:dyDescent="0.25">
      <c r="A644" t="s">
        <v>691</v>
      </c>
      <c r="B644">
        <v>21.25</v>
      </c>
      <c r="C644" s="6">
        <f t="shared" si="21"/>
        <v>-1.392111368909521E-2</v>
      </c>
      <c r="D644" s="6">
        <f t="shared" si="20"/>
        <v>-1.4018921179331041E-2</v>
      </c>
    </row>
    <row r="645" spans="1:4" x14ac:dyDescent="0.25">
      <c r="A645" t="s">
        <v>692</v>
      </c>
      <c r="B645">
        <v>21.55</v>
      </c>
      <c r="C645" s="6">
        <f t="shared" si="21"/>
        <v>3.9556198745779092E-2</v>
      </c>
      <c r="D645" s="6">
        <f t="shared" si="20"/>
        <v>3.8793890102068601E-2</v>
      </c>
    </row>
    <row r="646" spans="1:4" x14ac:dyDescent="0.25">
      <c r="A646" t="s">
        <v>693</v>
      </c>
      <c r="B646">
        <v>20.73</v>
      </c>
      <c r="C646" s="6">
        <f t="shared" si="21"/>
        <v>1.4492753623189802E-3</v>
      </c>
      <c r="D646" s="6">
        <f t="shared" si="20"/>
        <v>1.4482261763649699E-3</v>
      </c>
    </row>
    <row r="647" spans="1:4" x14ac:dyDescent="0.25">
      <c r="A647" t="s">
        <v>694</v>
      </c>
      <c r="B647">
        <v>20.7</v>
      </c>
      <c r="C647" s="6">
        <f t="shared" si="21"/>
        <v>-3.0898876404494402E-2</v>
      </c>
      <c r="D647" s="6">
        <f t="shared" si="20"/>
        <v>-3.1386313820670718E-2</v>
      </c>
    </row>
    <row r="648" spans="1:4" x14ac:dyDescent="0.25">
      <c r="A648" t="s">
        <v>695</v>
      </c>
      <c r="B648">
        <v>21.36</v>
      </c>
      <c r="C648" s="6">
        <f t="shared" si="21"/>
        <v>-1.9733822854520411E-2</v>
      </c>
      <c r="D648" s="6">
        <f t="shared" si="20"/>
        <v>-1.9931134864534406E-2</v>
      </c>
    </row>
    <row r="649" spans="1:4" x14ac:dyDescent="0.25">
      <c r="A649" t="s">
        <v>696</v>
      </c>
      <c r="B649">
        <v>21.79</v>
      </c>
      <c r="C649" s="6">
        <f t="shared" si="21"/>
        <v>2.783018867924536E-2</v>
      </c>
      <c r="D649" s="6">
        <f t="shared" si="20"/>
        <v>2.7449967278561815E-2</v>
      </c>
    </row>
    <row r="650" spans="1:4" x14ac:dyDescent="0.25">
      <c r="A650" t="s">
        <v>697</v>
      </c>
      <c r="B650">
        <v>21.2</v>
      </c>
      <c r="C650" s="6">
        <f t="shared" si="21"/>
        <v>1.290014333492584E-2</v>
      </c>
      <c r="D650" s="6">
        <f t="shared" si="20"/>
        <v>1.2817645220058302E-2</v>
      </c>
    </row>
    <row r="651" spans="1:4" x14ac:dyDescent="0.25">
      <c r="A651" t="s">
        <v>698</v>
      </c>
      <c r="B651">
        <v>20.93</v>
      </c>
      <c r="C651" s="6">
        <f t="shared" si="21"/>
        <v>-3.9467645709040822E-2</v>
      </c>
      <c r="D651" s="6">
        <f t="shared" si="20"/>
        <v>-4.0267612498620119E-2</v>
      </c>
    </row>
    <row r="652" spans="1:4" x14ac:dyDescent="0.25">
      <c r="A652" t="s">
        <v>699</v>
      </c>
      <c r="B652">
        <v>21.79</v>
      </c>
      <c r="C652" s="6">
        <f t="shared" si="21"/>
        <v>-1.134301270417426E-2</v>
      </c>
      <c r="D652" s="6">
        <f t="shared" si="20"/>
        <v>-1.1407835328185262E-2</v>
      </c>
    </row>
    <row r="653" spans="1:4" x14ac:dyDescent="0.25">
      <c r="A653" t="s">
        <v>700</v>
      </c>
      <c r="B653">
        <v>22.04</v>
      </c>
      <c r="C653" s="6">
        <f t="shared" si="21"/>
        <v>-1.1659192825112186E-2</v>
      </c>
      <c r="D653" s="6">
        <f t="shared" si="20"/>
        <v>-1.1727694181359416E-2</v>
      </c>
    </row>
    <row r="654" spans="1:4" x14ac:dyDescent="0.25">
      <c r="A654" t="s">
        <v>701</v>
      </c>
      <c r="B654">
        <v>22.3</v>
      </c>
      <c r="C654" s="6">
        <f t="shared" si="21"/>
        <v>-3.5467128027681705E-2</v>
      </c>
      <c r="D654" s="6">
        <f t="shared" si="20"/>
        <v>-3.611136533810369E-2</v>
      </c>
    </row>
    <row r="655" spans="1:4" x14ac:dyDescent="0.25">
      <c r="A655" t="s">
        <v>702</v>
      </c>
      <c r="B655">
        <v>23.12</v>
      </c>
      <c r="C655" s="6">
        <f t="shared" si="21"/>
        <v>-1.7271157167529916E-3</v>
      </c>
      <c r="D655" s="6">
        <f t="shared" si="20"/>
        <v>-1.7286089006177425E-3</v>
      </c>
    </row>
    <row r="656" spans="1:4" x14ac:dyDescent="0.25">
      <c r="A656" t="s">
        <v>703</v>
      </c>
      <c r="B656">
        <v>23.16</v>
      </c>
      <c r="C656" s="6">
        <f t="shared" si="21"/>
        <v>-1.4468085106382977E-2</v>
      </c>
      <c r="D656" s="6">
        <f t="shared" si="20"/>
        <v>-1.4573768445318783E-2</v>
      </c>
    </row>
    <row r="657" spans="1:4" x14ac:dyDescent="0.25">
      <c r="A657" t="s">
        <v>704</v>
      </c>
      <c r="B657">
        <v>23.5</v>
      </c>
      <c r="C657" s="6">
        <f t="shared" si="21"/>
        <v>-4.2535091450457418E-4</v>
      </c>
      <c r="D657" s="6">
        <f t="shared" si="20"/>
        <v>-4.2544140186497319E-4</v>
      </c>
    </row>
    <row r="658" spans="1:4" x14ac:dyDescent="0.25">
      <c r="A658" t="s">
        <v>705</v>
      </c>
      <c r="B658">
        <v>23.51</v>
      </c>
      <c r="C658" s="6">
        <f t="shared" si="21"/>
        <v>-3.09150865622424E-2</v>
      </c>
      <c r="D658" s="6">
        <f t="shared" si="20"/>
        <v>-3.1403040963925953E-2</v>
      </c>
    </row>
    <row r="659" spans="1:4" x14ac:dyDescent="0.25">
      <c r="A659" t="s">
        <v>706</v>
      </c>
      <c r="B659">
        <v>24.26</v>
      </c>
      <c r="C659" s="6">
        <f t="shared" si="21"/>
        <v>-2.8823058446757366E-2</v>
      </c>
      <c r="D659" s="6">
        <f t="shared" si="20"/>
        <v>-2.9246601181527502E-2</v>
      </c>
    </row>
    <row r="660" spans="1:4" x14ac:dyDescent="0.25">
      <c r="A660" t="s">
        <v>707</v>
      </c>
      <c r="B660">
        <v>24.98</v>
      </c>
      <c r="C660" s="6">
        <f t="shared" si="21"/>
        <v>3.1805039239983568E-2</v>
      </c>
      <c r="D660" s="6">
        <f t="shared" si="20"/>
        <v>3.1309733747464583E-2</v>
      </c>
    </row>
    <row r="661" spans="1:4" x14ac:dyDescent="0.25">
      <c r="A661" t="s">
        <v>708</v>
      </c>
      <c r="B661">
        <v>24.21</v>
      </c>
      <c r="C661" s="6">
        <f t="shared" si="21"/>
        <v>2.8899277518062094E-2</v>
      </c>
      <c r="D661" s="6">
        <f t="shared" si="20"/>
        <v>2.8489568210696051E-2</v>
      </c>
    </row>
    <row r="662" spans="1:4" x14ac:dyDescent="0.25">
      <c r="A662" t="s">
        <v>709</v>
      </c>
      <c r="B662">
        <v>23.53</v>
      </c>
      <c r="C662" s="6">
        <f t="shared" si="21"/>
        <v>-1.5481171548117012E-2</v>
      </c>
      <c r="D662" s="6">
        <f t="shared" si="20"/>
        <v>-1.5602256198193724E-2</v>
      </c>
    </row>
    <row r="663" spans="1:4" x14ac:dyDescent="0.25">
      <c r="A663" t="s">
        <v>710</v>
      </c>
      <c r="B663">
        <v>23.9</v>
      </c>
      <c r="C663" s="6">
        <f t="shared" si="21"/>
        <v>6.7396798652064049E-3</v>
      </c>
      <c r="D663" s="6">
        <f t="shared" si="20"/>
        <v>6.717069755943007E-3</v>
      </c>
    </row>
    <row r="664" spans="1:4" x14ac:dyDescent="0.25">
      <c r="A664" t="s">
        <v>711</v>
      </c>
      <c r="B664">
        <v>23.74</v>
      </c>
      <c r="C664" s="6">
        <f t="shared" si="21"/>
        <v>-1.7790649565577299E-2</v>
      </c>
      <c r="D664" s="6">
        <f t="shared" si="20"/>
        <v>-1.7950805533869806E-2</v>
      </c>
    </row>
    <row r="665" spans="1:4" x14ac:dyDescent="0.25">
      <c r="A665" t="s">
        <v>712</v>
      </c>
      <c r="B665">
        <v>24.17</v>
      </c>
      <c r="C665" s="6">
        <f t="shared" si="21"/>
        <v>4.1545492314083443E-3</v>
      </c>
      <c r="D665" s="6">
        <f t="shared" si="20"/>
        <v>4.1459429204110136E-3</v>
      </c>
    </row>
    <row r="666" spans="1:4" x14ac:dyDescent="0.25">
      <c r="A666" t="s">
        <v>713</v>
      </c>
      <c r="B666">
        <v>24.07</v>
      </c>
      <c r="C666" s="6">
        <f t="shared" si="21"/>
        <v>1.1769651113913371E-2</v>
      </c>
      <c r="D666" s="6">
        <f t="shared" si="20"/>
        <v>1.1700927480114236E-2</v>
      </c>
    </row>
    <row r="667" spans="1:4" x14ac:dyDescent="0.25">
      <c r="A667" t="s">
        <v>714</v>
      </c>
      <c r="B667">
        <v>23.79</v>
      </c>
      <c r="C667" s="6">
        <f t="shared" si="21"/>
        <v>-1.3272501036914131E-2</v>
      </c>
      <c r="D667" s="6">
        <f t="shared" si="20"/>
        <v>-1.336136787821336E-2</v>
      </c>
    </row>
    <row r="668" spans="1:4" x14ac:dyDescent="0.25">
      <c r="A668" t="s">
        <v>715</v>
      </c>
      <c r="B668">
        <v>24.11</v>
      </c>
      <c r="C668" s="6">
        <f t="shared" si="21"/>
        <v>-2.8605962933118456E-2</v>
      </c>
      <c r="D668" s="6">
        <f t="shared" si="20"/>
        <v>-2.9023087583381471E-2</v>
      </c>
    </row>
    <row r="669" spans="1:4" x14ac:dyDescent="0.25">
      <c r="A669" t="s">
        <v>716</v>
      </c>
      <c r="B669">
        <v>24.82</v>
      </c>
      <c r="C669" s="6">
        <f t="shared" si="21"/>
        <v>-1.8972332015810278E-2</v>
      </c>
      <c r="D669" s="6">
        <f t="shared" si="20"/>
        <v>-1.9154615957013402E-2</v>
      </c>
    </row>
    <row r="670" spans="1:4" x14ac:dyDescent="0.25">
      <c r="A670" t="s">
        <v>717</v>
      </c>
      <c r="B670">
        <v>25.3</v>
      </c>
      <c r="C670" s="6">
        <f t="shared" si="21"/>
        <v>-2.9163468917881685E-2</v>
      </c>
      <c r="D670" s="6">
        <f t="shared" si="20"/>
        <v>-2.9597175963224379E-2</v>
      </c>
    </row>
    <row r="671" spans="1:4" x14ac:dyDescent="0.25">
      <c r="A671" t="s">
        <v>718</v>
      </c>
      <c r="B671">
        <v>26.06</v>
      </c>
      <c r="C671" s="6">
        <f t="shared" si="21"/>
        <v>-7.6161462300077254E-3</v>
      </c>
      <c r="D671" s="6">
        <f t="shared" si="20"/>
        <v>-7.6452971779511795E-3</v>
      </c>
    </row>
    <row r="672" spans="1:4" x14ac:dyDescent="0.25">
      <c r="A672" t="s">
        <v>719</v>
      </c>
      <c r="B672">
        <v>26.26</v>
      </c>
      <c r="C672" s="6">
        <f t="shared" si="21"/>
        <v>1.4291232135959842E-2</v>
      </c>
      <c r="D672" s="6">
        <f t="shared" si="20"/>
        <v>1.4190075111203871E-2</v>
      </c>
    </row>
    <row r="673" spans="1:4" x14ac:dyDescent="0.25">
      <c r="A673" t="s">
        <v>720</v>
      </c>
      <c r="B673">
        <v>25.89</v>
      </c>
      <c r="C673" s="6">
        <f t="shared" si="21"/>
        <v>-1.542614731970704E-3</v>
      </c>
      <c r="D673" s="6">
        <f t="shared" si="20"/>
        <v>-1.5438057871267619E-3</v>
      </c>
    </row>
    <row r="674" spans="1:4" x14ac:dyDescent="0.25">
      <c r="A674" t="s">
        <v>721</v>
      </c>
      <c r="B674">
        <v>25.93</v>
      </c>
      <c r="C674" s="6">
        <f t="shared" si="21"/>
        <v>-3.8550501156520145E-4</v>
      </c>
      <c r="D674" s="6">
        <f t="shared" si="20"/>
        <v>-3.8557933772485756E-4</v>
      </c>
    </row>
    <row r="675" spans="1:4" x14ac:dyDescent="0.25">
      <c r="A675" t="s">
        <v>722</v>
      </c>
      <c r="B675">
        <v>25.94</v>
      </c>
      <c r="C675" s="6">
        <f t="shared" si="21"/>
        <v>-3.854707190511486E-2</v>
      </c>
      <c r="D675" s="6">
        <f t="shared" si="20"/>
        <v>-3.9309671891311959E-2</v>
      </c>
    </row>
    <row r="676" spans="1:4" x14ac:dyDescent="0.25">
      <c r="A676" t="s">
        <v>723</v>
      </c>
      <c r="B676">
        <v>26.98</v>
      </c>
      <c r="C676" s="6">
        <f t="shared" si="21"/>
        <v>-2.1400072542618775E-2</v>
      </c>
      <c r="D676" s="6">
        <f t="shared" si="20"/>
        <v>-2.1632374256095536E-2</v>
      </c>
    </row>
    <row r="677" spans="1:4" x14ac:dyDescent="0.25">
      <c r="A677" t="s">
        <v>724</v>
      </c>
      <c r="B677">
        <v>27.57</v>
      </c>
      <c r="C677" s="6">
        <f t="shared" si="21"/>
        <v>2.2626112759643879E-2</v>
      </c>
      <c r="D677" s="6">
        <f t="shared" si="20"/>
        <v>2.2373938991599052E-2</v>
      </c>
    </row>
    <row r="678" spans="1:4" x14ac:dyDescent="0.25">
      <c r="A678" t="s">
        <v>725</v>
      </c>
      <c r="B678">
        <v>26.96</v>
      </c>
      <c r="C678" s="6">
        <f t="shared" si="21"/>
        <v>-4.2953496627618049E-2</v>
      </c>
      <c r="D678" s="6">
        <f t="shared" si="20"/>
        <v>-4.3903295844174961E-2</v>
      </c>
    </row>
    <row r="679" spans="1:4" x14ac:dyDescent="0.25">
      <c r="A679" t="s">
        <v>726</v>
      </c>
      <c r="B679">
        <v>28.17</v>
      </c>
      <c r="C679" s="6">
        <f t="shared" si="21"/>
        <v>1.7780938833571458E-3</v>
      </c>
      <c r="D679" s="6">
        <f t="shared" si="20"/>
        <v>1.7765149458171805E-3</v>
      </c>
    </row>
    <row r="680" spans="1:4" x14ac:dyDescent="0.25">
      <c r="A680" t="s">
        <v>727</v>
      </c>
      <c r="B680">
        <v>28.12</v>
      </c>
      <c r="C680" s="6">
        <f t="shared" si="21"/>
        <v>0</v>
      </c>
      <c r="D680" s="6">
        <f t="shared" si="20"/>
        <v>0</v>
      </c>
    </row>
    <row r="681" spans="1:4" x14ac:dyDescent="0.25">
      <c r="A681" t="s">
        <v>728</v>
      </c>
      <c r="B681">
        <v>28.12</v>
      </c>
      <c r="C681" s="6">
        <f t="shared" si="21"/>
        <v>8.2466833990677557E-3</v>
      </c>
      <c r="D681" s="6">
        <f t="shared" si="20"/>
        <v>8.2128653030665594E-3</v>
      </c>
    </row>
    <row r="682" spans="1:4" x14ac:dyDescent="0.25">
      <c r="A682" t="s">
        <v>729</v>
      </c>
      <c r="B682">
        <v>27.89</v>
      </c>
      <c r="C682" s="6">
        <f t="shared" si="21"/>
        <v>-2.1746755524377437E-2</v>
      </c>
      <c r="D682" s="6">
        <f t="shared" si="20"/>
        <v>-2.1986701285183066E-2</v>
      </c>
    </row>
    <row r="683" spans="1:4" x14ac:dyDescent="0.25">
      <c r="A683" t="s">
        <v>730</v>
      </c>
      <c r="B683">
        <v>28.51</v>
      </c>
      <c r="C683" s="6">
        <f t="shared" si="21"/>
        <v>9.5609065155808359E-3</v>
      </c>
      <c r="D683" s="6">
        <f t="shared" si="20"/>
        <v>9.5154902995393947E-3</v>
      </c>
    </row>
    <row r="684" spans="1:4" x14ac:dyDescent="0.25">
      <c r="A684" t="s">
        <v>731</v>
      </c>
      <c r="B684">
        <v>28.24</v>
      </c>
      <c r="C684" s="6">
        <f t="shared" si="21"/>
        <v>-1.739735560194855E-2</v>
      </c>
      <c r="D684" s="6">
        <f t="shared" si="20"/>
        <v>-1.7550468025837589E-2</v>
      </c>
    </row>
    <row r="685" spans="1:4" x14ac:dyDescent="0.25">
      <c r="A685" t="s">
        <v>732</v>
      </c>
      <c r="B685">
        <v>28.74</v>
      </c>
      <c r="C685" s="6">
        <f t="shared" si="21"/>
        <v>1.1615628299894265E-2</v>
      </c>
      <c r="D685" s="6">
        <f t="shared" si="20"/>
        <v>1.1548684784782165E-2</v>
      </c>
    </row>
    <row r="686" spans="1:4" x14ac:dyDescent="0.25">
      <c r="A686" t="s">
        <v>733</v>
      </c>
      <c r="B686">
        <v>28.41</v>
      </c>
      <c r="C686" s="6">
        <f t="shared" si="21"/>
        <v>-2.1694214876033069E-2</v>
      </c>
      <c r="D686" s="6">
        <f t="shared" si="20"/>
        <v>-2.1932994090498783E-2</v>
      </c>
    </row>
    <row r="687" spans="1:4" x14ac:dyDescent="0.25">
      <c r="A687" t="s">
        <v>734</v>
      </c>
      <c r="B687">
        <v>29.04</v>
      </c>
      <c r="C687" s="6">
        <f t="shared" si="21"/>
        <v>-2.0618556701031965E-3</v>
      </c>
      <c r="D687" s="6">
        <f t="shared" si="20"/>
        <v>-2.0639842208515936E-3</v>
      </c>
    </row>
    <row r="688" spans="1:4" x14ac:dyDescent="0.25">
      <c r="A688" t="s">
        <v>735</v>
      </c>
      <c r="B688">
        <v>29.1</v>
      </c>
      <c r="C688" s="6">
        <f t="shared" si="21"/>
        <v>-1.0204081632652962E-2</v>
      </c>
      <c r="D688" s="6">
        <f t="shared" si="20"/>
        <v>-1.0256500167188997E-2</v>
      </c>
    </row>
    <row r="689" spans="1:4" x14ac:dyDescent="0.25">
      <c r="A689" t="s">
        <v>736</v>
      </c>
      <c r="B689">
        <v>29.4</v>
      </c>
      <c r="C689" s="6">
        <f t="shared" si="21"/>
        <v>-2.3904382470119612E-2</v>
      </c>
      <c r="D689" s="6">
        <f t="shared" si="20"/>
        <v>-2.4194728587056992E-2</v>
      </c>
    </row>
    <row r="690" spans="1:4" x14ac:dyDescent="0.25">
      <c r="A690" t="s">
        <v>737</v>
      </c>
      <c r="B690">
        <v>30.12</v>
      </c>
      <c r="C690" s="6">
        <f t="shared" si="21"/>
        <v>-1.3106159895150626E-2</v>
      </c>
      <c r="D690" s="6">
        <f t="shared" si="20"/>
        <v>-1.3192803484563332E-2</v>
      </c>
    </row>
    <row r="691" spans="1:4" x14ac:dyDescent="0.25">
      <c r="A691" t="s">
        <v>738</v>
      </c>
      <c r="B691">
        <v>30.52</v>
      </c>
      <c r="C691" s="6">
        <f t="shared" si="21"/>
        <v>-4.2414355628058731E-3</v>
      </c>
      <c r="D691" s="6">
        <f t="shared" ref="D691:D754" si="22">LN(B691/B692)</f>
        <v>-4.25045596596415E-3</v>
      </c>
    </row>
    <row r="692" spans="1:4" x14ac:dyDescent="0.25">
      <c r="A692" t="s">
        <v>739</v>
      </c>
      <c r="B692">
        <v>30.65</v>
      </c>
      <c r="C692" s="6">
        <f t="shared" ref="C692:C755" si="23">(B692/B693)-1</f>
        <v>3.4773801485482592E-2</v>
      </c>
      <c r="D692" s="6">
        <f t="shared" si="22"/>
        <v>3.4182853542567497E-2</v>
      </c>
    </row>
    <row r="693" spans="1:4" x14ac:dyDescent="0.25">
      <c r="A693" t="s">
        <v>740</v>
      </c>
      <c r="B693">
        <v>29.62</v>
      </c>
      <c r="C693" s="6">
        <f t="shared" si="23"/>
        <v>1.4036288942143038E-2</v>
      </c>
      <c r="D693" s="6">
        <f t="shared" si="22"/>
        <v>1.3938692440003066E-2</v>
      </c>
    </row>
    <row r="694" spans="1:4" x14ac:dyDescent="0.25">
      <c r="A694" t="s">
        <v>741</v>
      </c>
      <c r="B694">
        <v>29.21</v>
      </c>
      <c r="C694" s="6">
        <f t="shared" si="23"/>
        <v>-4.6048334421946446E-2</v>
      </c>
      <c r="D694" s="6">
        <f t="shared" si="22"/>
        <v>-4.7142273829888108E-2</v>
      </c>
    </row>
    <row r="695" spans="1:4" x14ac:dyDescent="0.25">
      <c r="A695" t="s">
        <v>742</v>
      </c>
      <c r="B695">
        <v>30.62</v>
      </c>
      <c r="C695" s="6">
        <f t="shared" si="23"/>
        <v>-9.0614886731390509E-3</v>
      </c>
      <c r="D695" s="6">
        <f t="shared" si="22"/>
        <v>-9.1027936741619742E-3</v>
      </c>
    </row>
    <row r="696" spans="1:4" x14ac:dyDescent="0.25">
      <c r="A696" t="s">
        <v>743</v>
      </c>
      <c r="B696">
        <v>30.9</v>
      </c>
      <c r="C696" s="6">
        <f t="shared" si="23"/>
        <v>-1.1200000000000099E-2</v>
      </c>
      <c r="D696" s="6">
        <f t="shared" si="22"/>
        <v>-1.1263192278710827E-2</v>
      </c>
    </row>
    <row r="697" spans="1:4" x14ac:dyDescent="0.25">
      <c r="A697" t="s">
        <v>744</v>
      </c>
      <c r="B697">
        <v>31.25</v>
      </c>
      <c r="C697" s="6">
        <f t="shared" si="23"/>
        <v>-4.7770700636942109E-3</v>
      </c>
      <c r="D697" s="6">
        <f t="shared" si="22"/>
        <v>-4.7885167317971208E-3</v>
      </c>
    </row>
    <row r="698" spans="1:4" x14ac:dyDescent="0.25">
      <c r="A698" t="s">
        <v>745</v>
      </c>
      <c r="B698">
        <v>31.4</v>
      </c>
      <c r="C698" s="6">
        <f t="shared" si="23"/>
        <v>4.1573393028462302E-3</v>
      </c>
      <c r="D698" s="6">
        <f t="shared" si="22"/>
        <v>4.148721444457818E-3</v>
      </c>
    </row>
    <row r="699" spans="1:4" x14ac:dyDescent="0.25">
      <c r="A699" t="s">
        <v>746</v>
      </c>
      <c r="B699">
        <v>31.27</v>
      </c>
      <c r="C699" s="6">
        <f t="shared" si="23"/>
        <v>6.1132561132561936E-3</v>
      </c>
      <c r="D699" s="6">
        <f t="shared" si="22"/>
        <v>6.0946459703033048E-3</v>
      </c>
    </row>
    <row r="700" spans="1:4" x14ac:dyDescent="0.25">
      <c r="A700" t="s">
        <v>747</v>
      </c>
      <c r="B700">
        <v>31.08</v>
      </c>
      <c r="C700" s="6">
        <f t="shared" si="23"/>
        <v>3.2278889606196515E-3</v>
      </c>
      <c r="D700" s="6">
        <f t="shared" si="22"/>
        <v>3.2226905107240163E-3</v>
      </c>
    </row>
    <row r="701" spans="1:4" x14ac:dyDescent="0.25">
      <c r="A701" t="s">
        <v>748</v>
      </c>
      <c r="B701">
        <v>30.98</v>
      </c>
      <c r="C701" s="6">
        <f t="shared" si="23"/>
        <v>3.5633300939423851E-3</v>
      </c>
      <c r="D701" s="6">
        <f t="shared" si="22"/>
        <v>3.5569964746546886E-3</v>
      </c>
    </row>
    <row r="702" spans="1:4" x14ac:dyDescent="0.25">
      <c r="A702" t="s">
        <v>749</v>
      </c>
      <c r="B702">
        <v>30.87</v>
      </c>
      <c r="C702" s="6">
        <f t="shared" si="23"/>
        <v>2.9239766081872176E-3</v>
      </c>
      <c r="D702" s="6">
        <f t="shared" si="22"/>
        <v>2.9197101033348462E-3</v>
      </c>
    </row>
    <row r="703" spans="1:4" x14ac:dyDescent="0.25">
      <c r="A703" t="s">
        <v>750</v>
      </c>
      <c r="B703">
        <v>30.78</v>
      </c>
      <c r="C703" s="6">
        <f t="shared" si="23"/>
        <v>-4.5278137128073048E-3</v>
      </c>
      <c r="D703" s="6">
        <f t="shared" si="22"/>
        <v>-4.5380953084881064E-3</v>
      </c>
    </row>
    <row r="704" spans="1:4" x14ac:dyDescent="0.25">
      <c r="A704" t="s">
        <v>751</v>
      </c>
      <c r="B704">
        <v>30.92</v>
      </c>
      <c r="C704" s="6">
        <f t="shared" si="23"/>
        <v>8.809135399673762E-3</v>
      </c>
      <c r="D704" s="6">
        <f t="shared" si="22"/>
        <v>8.7705613370008331E-3</v>
      </c>
    </row>
    <row r="705" spans="1:4" x14ac:dyDescent="0.25">
      <c r="A705" t="s">
        <v>752</v>
      </c>
      <c r="B705">
        <v>30.65</v>
      </c>
      <c r="C705" s="6">
        <f t="shared" si="23"/>
        <v>-1.7628205128205177E-2</v>
      </c>
      <c r="D705" s="6">
        <f t="shared" si="22"/>
        <v>-1.7785432433216314E-2</v>
      </c>
    </row>
    <row r="706" spans="1:4" x14ac:dyDescent="0.25">
      <c r="A706" t="s">
        <v>753</v>
      </c>
      <c r="B706">
        <v>31.2</v>
      </c>
      <c r="C706" s="6">
        <f t="shared" si="23"/>
        <v>-1.280409731113874E-3</v>
      </c>
      <c r="D706" s="6">
        <f t="shared" si="22"/>
        <v>-1.2812301560484619E-3</v>
      </c>
    </row>
    <row r="707" spans="1:4" x14ac:dyDescent="0.25">
      <c r="A707" t="s">
        <v>754</v>
      </c>
      <c r="B707">
        <v>31.24</v>
      </c>
      <c r="C707" s="6">
        <f t="shared" si="23"/>
        <v>-1.6682404784387872E-2</v>
      </c>
      <c r="D707" s="6">
        <f t="shared" si="22"/>
        <v>-1.6823123309939653E-2</v>
      </c>
    </row>
    <row r="708" spans="1:4" x14ac:dyDescent="0.25">
      <c r="A708" t="s">
        <v>755</v>
      </c>
      <c r="B708">
        <v>31.77</v>
      </c>
      <c r="C708" s="6">
        <f t="shared" si="23"/>
        <v>4.7438330170777032E-3</v>
      </c>
      <c r="D708" s="6">
        <f t="shared" si="22"/>
        <v>4.7326165000987283E-3</v>
      </c>
    </row>
    <row r="709" spans="1:4" x14ac:dyDescent="0.25">
      <c r="A709" t="s">
        <v>756</v>
      </c>
      <c r="B709">
        <v>31.62</v>
      </c>
      <c r="C709" s="6">
        <f t="shared" si="23"/>
        <v>4.7664442326025291E-3</v>
      </c>
      <c r="D709" s="6">
        <f t="shared" si="22"/>
        <v>4.7551207050105107E-3</v>
      </c>
    </row>
    <row r="710" spans="1:4" x14ac:dyDescent="0.25">
      <c r="A710" t="s">
        <v>757</v>
      </c>
      <c r="B710">
        <v>31.47</v>
      </c>
      <c r="C710" s="6">
        <f t="shared" si="23"/>
        <v>-7.2555205047318827E-3</v>
      </c>
      <c r="D710" s="6">
        <f t="shared" si="22"/>
        <v>-7.2819698069194532E-3</v>
      </c>
    </row>
    <row r="711" spans="1:4" x14ac:dyDescent="0.25">
      <c r="A711" t="s">
        <v>758</v>
      </c>
      <c r="B711">
        <v>31.7</v>
      </c>
      <c r="C711" s="6">
        <f t="shared" si="23"/>
        <v>1.1164274322168932E-2</v>
      </c>
      <c r="D711" s="6">
        <f t="shared" si="22"/>
        <v>1.1102413804305104E-2</v>
      </c>
    </row>
    <row r="712" spans="1:4" x14ac:dyDescent="0.25">
      <c r="A712" t="s">
        <v>759</v>
      </c>
      <c r="B712">
        <v>31.35</v>
      </c>
      <c r="C712" s="6">
        <f t="shared" si="23"/>
        <v>-5.4583835946923842E-2</v>
      </c>
      <c r="D712" s="6">
        <f t="shared" si="22"/>
        <v>-5.6130063188164353E-2</v>
      </c>
    </row>
    <row r="713" spans="1:4" x14ac:dyDescent="0.25">
      <c r="A713" t="s">
        <v>760</v>
      </c>
      <c r="B713">
        <v>33.159999999999997</v>
      </c>
      <c r="C713" s="6">
        <f t="shared" si="23"/>
        <v>-5.6971514242879495E-3</v>
      </c>
      <c r="D713" s="6">
        <f t="shared" si="22"/>
        <v>-5.7134420945385931E-3</v>
      </c>
    </row>
    <row r="714" spans="1:4" x14ac:dyDescent="0.25">
      <c r="A714" t="s">
        <v>761</v>
      </c>
      <c r="B714">
        <v>33.35</v>
      </c>
      <c r="C714" s="6">
        <f t="shared" si="23"/>
        <v>1.3986013986013957E-2</v>
      </c>
      <c r="D714" s="6">
        <f t="shared" si="22"/>
        <v>1.3889112160667093E-2</v>
      </c>
    </row>
    <row r="715" spans="1:4" x14ac:dyDescent="0.25">
      <c r="A715" t="s">
        <v>762</v>
      </c>
      <c r="B715">
        <v>32.89</v>
      </c>
      <c r="C715" s="6">
        <f t="shared" si="23"/>
        <v>-3.3333333333332993E-3</v>
      </c>
      <c r="D715" s="6">
        <f t="shared" si="22"/>
        <v>-3.3389012655145986E-3</v>
      </c>
    </row>
    <row r="716" spans="1:4" x14ac:dyDescent="0.25">
      <c r="A716" t="s">
        <v>763</v>
      </c>
      <c r="B716">
        <v>33</v>
      </c>
      <c r="C716" s="6">
        <f t="shared" si="23"/>
        <v>3.7409619616472822E-2</v>
      </c>
      <c r="D716" s="6">
        <f t="shared" si="22"/>
        <v>3.6726855705427511E-2</v>
      </c>
    </row>
    <row r="717" spans="1:4" x14ac:dyDescent="0.25">
      <c r="A717" t="s">
        <v>764</v>
      </c>
      <c r="B717">
        <v>31.81</v>
      </c>
      <c r="C717" s="6">
        <f t="shared" si="23"/>
        <v>-1.5170278637770873E-2</v>
      </c>
      <c r="D717" s="6">
        <f t="shared" si="22"/>
        <v>-1.528652446755809E-2</v>
      </c>
    </row>
    <row r="718" spans="1:4" x14ac:dyDescent="0.25">
      <c r="A718" t="s">
        <v>765</v>
      </c>
      <c r="B718">
        <v>32.299999999999997</v>
      </c>
      <c r="C718" s="6">
        <f t="shared" si="23"/>
        <v>-1.071975497702915E-2</v>
      </c>
      <c r="D718" s="6">
        <f t="shared" si="22"/>
        <v>-1.0777625493829266E-2</v>
      </c>
    </row>
    <row r="719" spans="1:4" x14ac:dyDescent="0.25">
      <c r="A719" t="s">
        <v>766</v>
      </c>
      <c r="B719">
        <v>32.65</v>
      </c>
      <c r="C719" s="6">
        <f t="shared" si="23"/>
        <v>1.2266176019626318E-3</v>
      </c>
      <c r="D719" s="6">
        <f t="shared" si="22"/>
        <v>1.2258659212123451E-3</v>
      </c>
    </row>
    <row r="720" spans="1:4" x14ac:dyDescent="0.25">
      <c r="A720" t="s">
        <v>767</v>
      </c>
      <c r="B720">
        <v>32.61</v>
      </c>
      <c r="C720" s="6">
        <f t="shared" si="23"/>
        <v>-4.5787545787545625E-3</v>
      </c>
      <c r="D720" s="6">
        <f t="shared" si="22"/>
        <v>-4.5892691836408915E-3</v>
      </c>
    </row>
    <row r="721" spans="1:4" x14ac:dyDescent="0.25">
      <c r="A721" t="s">
        <v>768</v>
      </c>
      <c r="B721">
        <v>32.76</v>
      </c>
      <c r="C721" s="6">
        <f t="shared" si="23"/>
        <v>4.5643153526971014E-2</v>
      </c>
      <c r="D721" s="6">
        <f t="shared" si="22"/>
        <v>4.4632154020768366E-2</v>
      </c>
    </row>
    <row r="722" spans="1:4" x14ac:dyDescent="0.25">
      <c r="A722" t="s">
        <v>769</v>
      </c>
      <c r="B722">
        <v>31.33</v>
      </c>
      <c r="C722" s="6">
        <f t="shared" si="23"/>
        <v>-1.3849543594586122E-2</v>
      </c>
      <c r="D722" s="6">
        <f t="shared" si="22"/>
        <v>-1.3946343317324453E-2</v>
      </c>
    </row>
    <row r="723" spans="1:4" x14ac:dyDescent="0.25">
      <c r="A723" t="s">
        <v>770</v>
      </c>
      <c r="B723">
        <v>31.77</v>
      </c>
      <c r="C723" s="6">
        <f t="shared" si="23"/>
        <v>9.212198221092649E-3</v>
      </c>
      <c r="D723" s="6">
        <f t="shared" si="22"/>
        <v>9.1700247322221966E-3</v>
      </c>
    </row>
    <row r="724" spans="1:4" x14ac:dyDescent="0.25">
      <c r="A724" t="s">
        <v>771</v>
      </c>
      <c r="B724">
        <v>31.48</v>
      </c>
      <c r="C724" s="6">
        <f t="shared" si="23"/>
        <v>-3.3466380104390514E-2</v>
      </c>
      <c r="D724" s="6">
        <f t="shared" si="22"/>
        <v>-3.4039195738939612E-2</v>
      </c>
    </row>
    <row r="725" spans="1:4" x14ac:dyDescent="0.25">
      <c r="A725" t="s">
        <v>772</v>
      </c>
      <c r="B725">
        <v>32.57</v>
      </c>
      <c r="C725" s="6">
        <f t="shared" si="23"/>
        <v>-2.1628116551516974E-2</v>
      </c>
      <c r="D725" s="6">
        <f t="shared" si="22"/>
        <v>-2.1865432298791454E-2</v>
      </c>
    </row>
    <row r="726" spans="1:4" x14ac:dyDescent="0.25">
      <c r="A726" t="s">
        <v>773</v>
      </c>
      <c r="B726">
        <v>33.29</v>
      </c>
      <c r="C726" s="6">
        <f t="shared" si="23"/>
        <v>-3.085880640465799E-2</v>
      </c>
      <c r="D726" s="6">
        <f t="shared" si="22"/>
        <v>-3.1344967081424834E-2</v>
      </c>
    </row>
    <row r="727" spans="1:4" x14ac:dyDescent="0.25">
      <c r="A727" t="s">
        <v>774</v>
      </c>
      <c r="B727">
        <v>34.35</v>
      </c>
      <c r="C727" s="6">
        <f t="shared" si="23"/>
        <v>-2.4701873935264018E-2</v>
      </c>
      <c r="D727" s="6">
        <f t="shared" si="22"/>
        <v>-2.5012084399701696E-2</v>
      </c>
    </row>
    <row r="728" spans="1:4" x14ac:dyDescent="0.25">
      <c r="A728" t="s">
        <v>775</v>
      </c>
      <c r="B728">
        <v>35.22</v>
      </c>
      <c r="C728" s="6">
        <f t="shared" si="23"/>
        <v>-6.4880112834979631E-3</v>
      </c>
      <c r="D728" s="6">
        <f t="shared" si="22"/>
        <v>-6.5091499100765043E-3</v>
      </c>
    </row>
    <row r="729" spans="1:4" x14ac:dyDescent="0.25">
      <c r="A729" t="s">
        <v>776</v>
      </c>
      <c r="B729">
        <v>35.450000000000003</v>
      </c>
      <c r="C729" s="6">
        <f t="shared" si="23"/>
        <v>1.6050444253367768E-2</v>
      </c>
      <c r="D729" s="6">
        <f t="shared" si="22"/>
        <v>1.5922997779453798E-2</v>
      </c>
    </row>
    <row r="730" spans="1:4" x14ac:dyDescent="0.25">
      <c r="A730" t="s">
        <v>777</v>
      </c>
      <c r="B730">
        <v>34.89</v>
      </c>
      <c r="C730" s="6">
        <f t="shared" si="23"/>
        <v>-3.0294608115619681E-2</v>
      </c>
      <c r="D730" s="6">
        <f t="shared" si="22"/>
        <v>-3.0762973323704184E-2</v>
      </c>
    </row>
    <row r="731" spans="1:4" x14ac:dyDescent="0.25">
      <c r="A731" t="s">
        <v>778</v>
      </c>
      <c r="B731">
        <v>35.979999999999997</v>
      </c>
      <c r="C731" s="6">
        <f t="shared" si="23"/>
        <v>-2.625169147496631E-2</v>
      </c>
      <c r="D731" s="6">
        <f t="shared" si="22"/>
        <v>-2.660241887182388E-2</v>
      </c>
    </row>
    <row r="732" spans="1:4" x14ac:dyDescent="0.25">
      <c r="A732" t="s">
        <v>779</v>
      </c>
      <c r="B732">
        <v>36.950000000000003</v>
      </c>
      <c r="C732" s="6">
        <f t="shared" si="23"/>
        <v>-1.9373673036093386E-2</v>
      </c>
      <c r="D732" s="6">
        <f t="shared" si="22"/>
        <v>-1.9563802313951495E-2</v>
      </c>
    </row>
    <row r="733" spans="1:4" x14ac:dyDescent="0.25">
      <c r="A733" t="s">
        <v>780</v>
      </c>
      <c r="B733">
        <v>37.68</v>
      </c>
      <c r="C733" s="6">
        <f t="shared" si="23"/>
        <v>-1.4901960784313717E-2</v>
      </c>
      <c r="D733" s="6">
        <f t="shared" si="22"/>
        <v>-1.5014110564382526E-2</v>
      </c>
    </row>
    <row r="734" spans="1:4" x14ac:dyDescent="0.25">
      <c r="A734" t="s">
        <v>781</v>
      </c>
      <c r="B734">
        <v>38.25</v>
      </c>
      <c r="C734" s="6">
        <f t="shared" si="23"/>
        <v>7.905138339920903E-3</v>
      </c>
      <c r="D734" s="6">
        <f t="shared" si="22"/>
        <v>7.8740564309058656E-3</v>
      </c>
    </row>
    <row r="735" spans="1:4" x14ac:dyDescent="0.25">
      <c r="A735" t="s">
        <v>782</v>
      </c>
      <c r="B735">
        <v>37.950000000000003</v>
      </c>
      <c r="C735" s="6">
        <f t="shared" si="23"/>
        <v>2.4844720496894457E-2</v>
      </c>
      <c r="D735" s="6">
        <f t="shared" si="22"/>
        <v>2.454110891611766E-2</v>
      </c>
    </row>
    <row r="736" spans="1:4" x14ac:dyDescent="0.25">
      <c r="A736" t="s">
        <v>783</v>
      </c>
      <c r="B736">
        <v>37.03</v>
      </c>
      <c r="C736" s="6">
        <f t="shared" si="23"/>
        <v>5.403944879762701E-4</v>
      </c>
      <c r="D736" s="6">
        <f t="shared" si="22"/>
        <v>5.4024852745675862E-4</v>
      </c>
    </row>
    <row r="737" spans="1:4" x14ac:dyDescent="0.25">
      <c r="A737" t="s">
        <v>784</v>
      </c>
      <c r="B737">
        <v>37.01</v>
      </c>
      <c r="C737" s="6">
        <f t="shared" si="23"/>
        <v>5.1719238420005587E-2</v>
      </c>
      <c r="D737" s="6">
        <f t="shared" si="22"/>
        <v>5.0426195064570731E-2</v>
      </c>
    </row>
    <row r="738" spans="1:4" x14ac:dyDescent="0.25">
      <c r="A738" t="s">
        <v>785</v>
      </c>
      <c r="B738">
        <v>35.19</v>
      </c>
      <c r="C738" s="6">
        <f t="shared" si="23"/>
        <v>6.5789473684210176E-3</v>
      </c>
      <c r="D738" s="6">
        <f t="shared" si="22"/>
        <v>6.5574005461590396E-3</v>
      </c>
    </row>
    <row r="739" spans="1:4" x14ac:dyDescent="0.25">
      <c r="A739" t="s">
        <v>786</v>
      </c>
      <c r="B739">
        <v>34.96</v>
      </c>
      <c r="C739" s="6">
        <f t="shared" si="23"/>
        <v>-8.2269503546098521E-3</v>
      </c>
      <c r="D739" s="6">
        <f t="shared" si="22"/>
        <v>-8.2609784709428702E-3</v>
      </c>
    </row>
    <row r="740" spans="1:4" x14ac:dyDescent="0.25">
      <c r="A740" t="s">
        <v>787</v>
      </c>
      <c r="B740">
        <v>35.25</v>
      </c>
      <c r="C740" s="6">
        <f t="shared" si="23"/>
        <v>2.0851433536055675E-2</v>
      </c>
      <c r="D740" s="6">
        <f t="shared" si="22"/>
        <v>2.0637017856376762E-2</v>
      </c>
    </row>
    <row r="741" spans="1:4" x14ac:dyDescent="0.25">
      <c r="A741" t="s">
        <v>788</v>
      </c>
      <c r="B741">
        <v>34.53</v>
      </c>
      <c r="C741" s="6">
        <f t="shared" si="23"/>
        <v>4.1943270971635416E-2</v>
      </c>
      <c r="D741" s="6">
        <f t="shared" si="22"/>
        <v>4.1087499403484044E-2</v>
      </c>
    </row>
    <row r="742" spans="1:4" x14ac:dyDescent="0.25">
      <c r="A742" t="s">
        <v>789</v>
      </c>
      <c r="B742">
        <v>33.14</v>
      </c>
      <c r="C742" s="6">
        <f t="shared" si="23"/>
        <v>1.1908396946564981E-2</v>
      </c>
      <c r="D742" s="6">
        <f t="shared" si="22"/>
        <v>1.1838049917156023E-2</v>
      </c>
    </row>
    <row r="743" spans="1:4" x14ac:dyDescent="0.25">
      <c r="A743" t="s">
        <v>790</v>
      </c>
      <c r="B743">
        <v>32.75</v>
      </c>
      <c r="C743" s="6">
        <f t="shared" si="23"/>
        <v>-3.3353010625737922E-2</v>
      </c>
      <c r="D743" s="6">
        <f t="shared" si="22"/>
        <v>-3.3921907702592742E-2</v>
      </c>
    </row>
    <row r="744" spans="1:4" x14ac:dyDescent="0.25">
      <c r="A744" t="s">
        <v>791</v>
      </c>
      <c r="B744">
        <v>33.880000000000003</v>
      </c>
      <c r="C744" s="6">
        <f t="shared" si="23"/>
        <v>3.1040779062690316E-2</v>
      </c>
      <c r="D744" s="6">
        <f t="shared" si="22"/>
        <v>3.0568757174731735E-2</v>
      </c>
    </row>
    <row r="745" spans="1:4" x14ac:dyDescent="0.25">
      <c r="A745" t="s">
        <v>792</v>
      </c>
      <c r="B745">
        <v>32.86</v>
      </c>
      <c r="C745" s="6">
        <f t="shared" si="23"/>
        <v>1.0144482016599898E-2</v>
      </c>
      <c r="D745" s="6">
        <f t="shared" si="22"/>
        <v>1.0093372123861773E-2</v>
      </c>
    </row>
    <row r="746" spans="1:4" x14ac:dyDescent="0.25">
      <c r="A746" t="s">
        <v>793</v>
      </c>
      <c r="B746">
        <v>32.53</v>
      </c>
      <c r="C746" s="6">
        <f t="shared" si="23"/>
        <v>2.2634391700723011E-2</v>
      </c>
      <c r="D746" s="6">
        <f t="shared" si="22"/>
        <v>2.2382034724207314E-2</v>
      </c>
    </row>
    <row r="747" spans="1:4" x14ac:dyDescent="0.25">
      <c r="A747" t="s">
        <v>794</v>
      </c>
      <c r="B747">
        <v>31.81</v>
      </c>
      <c r="C747" s="6">
        <f t="shared" si="23"/>
        <v>2.9116790682626847E-2</v>
      </c>
      <c r="D747" s="6">
        <f t="shared" si="22"/>
        <v>2.8700949617027668E-2</v>
      </c>
    </row>
    <row r="748" spans="1:4" x14ac:dyDescent="0.25">
      <c r="A748" t="s">
        <v>795</v>
      </c>
      <c r="B748">
        <v>30.91</v>
      </c>
      <c r="C748" s="6">
        <f t="shared" si="23"/>
        <v>-8.6593970493906713E-3</v>
      </c>
      <c r="D748" s="6">
        <f t="shared" si="22"/>
        <v>-8.6971074856055566E-3</v>
      </c>
    </row>
    <row r="749" spans="1:4" x14ac:dyDescent="0.25">
      <c r="A749" t="s">
        <v>796</v>
      </c>
      <c r="B749">
        <v>31.18</v>
      </c>
      <c r="C749" s="6">
        <f t="shared" si="23"/>
        <v>5.1579626047710825E-3</v>
      </c>
      <c r="D749" s="6">
        <f t="shared" si="22"/>
        <v>5.1447058812376647E-3</v>
      </c>
    </row>
    <row r="750" spans="1:4" x14ac:dyDescent="0.25">
      <c r="A750" t="s">
        <v>797</v>
      </c>
      <c r="B750">
        <v>31.02</v>
      </c>
      <c r="C750" s="6">
        <f t="shared" si="23"/>
        <v>-2.6365348399246646E-2</v>
      </c>
      <c r="D750" s="6">
        <f t="shared" si="22"/>
        <v>-2.6719146733509645E-2</v>
      </c>
    </row>
    <row r="751" spans="1:4" x14ac:dyDescent="0.25">
      <c r="A751" t="s">
        <v>798</v>
      </c>
      <c r="B751">
        <v>31.86</v>
      </c>
      <c r="C751" s="6">
        <f t="shared" si="23"/>
        <v>-4.4391121775644971E-2</v>
      </c>
      <c r="D751" s="6">
        <f t="shared" si="22"/>
        <v>-4.5406572840745583E-2</v>
      </c>
    </row>
    <row r="752" spans="1:4" x14ac:dyDescent="0.25">
      <c r="A752" t="s">
        <v>799</v>
      </c>
      <c r="B752">
        <v>33.340000000000003</v>
      </c>
      <c r="C752" s="6">
        <f t="shared" si="23"/>
        <v>-4.7700656955155574E-2</v>
      </c>
      <c r="D752" s="6">
        <f t="shared" si="22"/>
        <v>-4.8875857643926261E-2</v>
      </c>
    </row>
    <row r="753" spans="1:4" x14ac:dyDescent="0.25">
      <c r="A753" t="s">
        <v>800</v>
      </c>
      <c r="B753">
        <v>35.01</v>
      </c>
      <c r="C753" s="6">
        <f t="shared" si="23"/>
        <v>-3.8714991762767825E-2</v>
      </c>
      <c r="D753" s="6">
        <f t="shared" si="22"/>
        <v>-3.9484339332887704E-2</v>
      </c>
    </row>
    <row r="754" spans="1:4" x14ac:dyDescent="0.25">
      <c r="A754" t="s">
        <v>801</v>
      </c>
      <c r="B754">
        <v>36.42</v>
      </c>
      <c r="C754" s="6">
        <f t="shared" si="23"/>
        <v>8.0265707168558631E-3</v>
      </c>
      <c r="D754" s="6">
        <f t="shared" si="22"/>
        <v>7.9945291399131022E-3</v>
      </c>
    </row>
    <row r="755" spans="1:4" x14ac:dyDescent="0.25">
      <c r="A755" t="s">
        <v>802</v>
      </c>
      <c r="B755">
        <v>36.130000000000003</v>
      </c>
      <c r="C755" s="6">
        <f t="shared" si="23"/>
        <v>4.4481512371421505E-3</v>
      </c>
      <c r="D755" s="6">
        <f t="shared" ref="D755:D818" si="24">LN(B755/B756)</f>
        <v>4.4382874520163757E-3</v>
      </c>
    </row>
    <row r="756" spans="1:4" x14ac:dyDescent="0.25">
      <c r="A756" t="s">
        <v>803</v>
      </c>
      <c r="B756">
        <v>35.97</v>
      </c>
      <c r="C756" s="6">
        <f t="shared" ref="C756:C819" si="25">(B756/B757)-1</f>
        <v>5.8724832214764877E-3</v>
      </c>
      <c r="D756" s="6">
        <f t="shared" si="24"/>
        <v>5.8553074022191526E-3</v>
      </c>
    </row>
    <row r="757" spans="1:4" x14ac:dyDescent="0.25">
      <c r="A757" t="s">
        <v>804</v>
      </c>
      <c r="B757">
        <v>35.76</v>
      </c>
      <c r="C757" s="6">
        <f t="shared" si="25"/>
        <v>-9.6926059263362507E-3</v>
      </c>
      <c r="D757" s="6">
        <f t="shared" si="24"/>
        <v>-9.7398849840530446E-3</v>
      </c>
    </row>
    <row r="758" spans="1:4" x14ac:dyDescent="0.25">
      <c r="A758" t="s">
        <v>805</v>
      </c>
      <c r="B758">
        <v>36.11</v>
      </c>
      <c r="C758" s="6">
        <f t="shared" si="25"/>
        <v>-5.9880239520958001E-2</v>
      </c>
      <c r="D758" s="6">
        <f t="shared" si="24"/>
        <v>-6.1748007068446964E-2</v>
      </c>
    </row>
    <row r="759" spans="1:4" x14ac:dyDescent="0.25">
      <c r="A759" t="s">
        <v>806</v>
      </c>
      <c r="B759">
        <v>38.409999999999997</v>
      </c>
      <c r="C759" s="6">
        <f t="shared" si="25"/>
        <v>4.4456066945606221E-3</v>
      </c>
      <c r="D759" s="6">
        <f t="shared" si="24"/>
        <v>4.435754174612846E-3</v>
      </c>
    </row>
    <row r="760" spans="1:4" x14ac:dyDescent="0.25">
      <c r="A760" t="s">
        <v>807</v>
      </c>
      <c r="B760">
        <v>38.24</v>
      </c>
      <c r="C760" s="6">
        <f t="shared" si="25"/>
        <v>-1.3670363683260245E-2</v>
      </c>
      <c r="D760" s="6">
        <f t="shared" si="24"/>
        <v>-1.3764663499637215E-2</v>
      </c>
    </row>
    <row r="761" spans="1:4" x14ac:dyDescent="0.25">
      <c r="A761" t="s">
        <v>808</v>
      </c>
      <c r="B761">
        <v>38.770000000000003</v>
      </c>
      <c r="C761" s="6">
        <f t="shared" si="25"/>
        <v>-5.2078239608801868E-2</v>
      </c>
      <c r="D761" s="6">
        <f t="shared" si="24"/>
        <v>-5.3483311365918211E-2</v>
      </c>
    </row>
    <row r="762" spans="1:4" x14ac:dyDescent="0.25">
      <c r="A762" t="s">
        <v>809</v>
      </c>
      <c r="B762">
        <v>40.9</v>
      </c>
      <c r="C762" s="6">
        <f t="shared" si="25"/>
        <v>-5.2802223251505298E-2</v>
      </c>
      <c r="D762" s="6">
        <f t="shared" si="24"/>
        <v>-5.42473620379052E-2</v>
      </c>
    </row>
    <row r="763" spans="1:4" x14ac:dyDescent="0.25">
      <c r="A763" t="s">
        <v>810</v>
      </c>
      <c r="B763">
        <v>43.18</v>
      </c>
      <c r="C763" s="6">
        <f t="shared" si="25"/>
        <v>-1.6184971098266443E-3</v>
      </c>
      <c r="D763" s="6">
        <f t="shared" si="24"/>
        <v>-1.6198082912270882E-3</v>
      </c>
    </row>
    <row r="764" spans="1:4" x14ac:dyDescent="0.25">
      <c r="A764" t="s">
        <v>811</v>
      </c>
      <c r="B764">
        <v>43.25</v>
      </c>
      <c r="C764" s="6">
        <f t="shared" si="25"/>
        <v>4.2671166827386697E-2</v>
      </c>
      <c r="D764" s="6">
        <f t="shared" si="24"/>
        <v>4.1785850016561751E-2</v>
      </c>
    </row>
    <row r="765" spans="1:4" x14ac:dyDescent="0.25">
      <c r="A765" t="s">
        <v>812</v>
      </c>
      <c r="B765">
        <v>41.48</v>
      </c>
      <c r="C765" s="6">
        <f t="shared" si="25"/>
        <v>-9.6339113680166122E-4</v>
      </c>
      <c r="D765" s="6">
        <f t="shared" si="24"/>
        <v>-9.6385549630673866E-4</v>
      </c>
    </row>
    <row r="766" spans="1:4" x14ac:dyDescent="0.25">
      <c r="A766" t="s">
        <v>813</v>
      </c>
      <c r="B766">
        <v>41.52</v>
      </c>
      <c r="C766" s="6">
        <f t="shared" si="25"/>
        <v>1.1203117389186668E-2</v>
      </c>
      <c r="D766" s="6">
        <f t="shared" si="24"/>
        <v>1.1140827266845796E-2</v>
      </c>
    </row>
    <row r="767" spans="1:4" x14ac:dyDescent="0.25">
      <c r="A767" t="s">
        <v>814</v>
      </c>
      <c r="B767">
        <v>41.06</v>
      </c>
      <c r="C767" s="6">
        <f t="shared" si="25"/>
        <v>-2.191519771319661E-2</v>
      </c>
      <c r="D767" s="6">
        <f t="shared" si="24"/>
        <v>-2.2158902801699264E-2</v>
      </c>
    </row>
    <row r="768" spans="1:4" x14ac:dyDescent="0.25">
      <c r="A768" t="s">
        <v>815</v>
      </c>
      <c r="B768">
        <v>41.98</v>
      </c>
      <c r="C768" s="6">
        <f t="shared" si="25"/>
        <v>9.3772541476315752E-3</v>
      </c>
      <c r="D768" s="6">
        <f t="shared" si="24"/>
        <v>9.3335606376665613E-3</v>
      </c>
    </row>
    <row r="769" spans="1:4" x14ac:dyDescent="0.25">
      <c r="A769" t="s">
        <v>816</v>
      </c>
      <c r="B769">
        <v>41.59</v>
      </c>
      <c r="C769" s="6">
        <f t="shared" si="25"/>
        <v>-2.1593090211131649E-3</v>
      </c>
      <c r="D769" s="6">
        <f t="shared" si="24"/>
        <v>-2.1616436902910968E-3</v>
      </c>
    </row>
    <row r="770" spans="1:4" x14ac:dyDescent="0.25">
      <c r="A770" t="s">
        <v>817</v>
      </c>
      <c r="B770">
        <v>41.68</v>
      </c>
      <c r="C770" s="6">
        <f t="shared" si="25"/>
        <v>-8.3273852010469218E-3</v>
      </c>
      <c r="D770" s="6">
        <f t="shared" si="24"/>
        <v>-8.3622515719138993E-3</v>
      </c>
    </row>
    <row r="771" spans="1:4" x14ac:dyDescent="0.25">
      <c r="A771" t="s">
        <v>818</v>
      </c>
      <c r="B771">
        <v>42.03</v>
      </c>
      <c r="C771" s="6">
        <f t="shared" si="25"/>
        <v>-4.7359696897938397E-3</v>
      </c>
      <c r="D771" s="6">
        <f t="shared" si="24"/>
        <v>-4.7472199288267338E-3</v>
      </c>
    </row>
    <row r="772" spans="1:4" x14ac:dyDescent="0.25">
      <c r="A772" t="s">
        <v>819</v>
      </c>
      <c r="B772">
        <v>42.23</v>
      </c>
      <c r="C772" s="6">
        <f t="shared" si="25"/>
        <v>-3.0977512620468106E-2</v>
      </c>
      <c r="D772" s="6">
        <f t="shared" si="24"/>
        <v>-3.1467460570621615E-2</v>
      </c>
    </row>
    <row r="773" spans="1:4" x14ac:dyDescent="0.25">
      <c r="A773" t="s">
        <v>820</v>
      </c>
      <c r="B773">
        <v>43.58</v>
      </c>
      <c r="C773" s="6">
        <f t="shared" si="25"/>
        <v>-1.4918625678119413E-2</v>
      </c>
      <c r="D773" s="6">
        <f t="shared" si="24"/>
        <v>-1.5031027697605608E-2</v>
      </c>
    </row>
    <row r="774" spans="1:4" x14ac:dyDescent="0.25">
      <c r="A774" t="s">
        <v>821</v>
      </c>
      <c r="B774">
        <v>44.24</v>
      </c>
      <c r="C774" s="6">
        <f t="shared" si="25"/>
        <v>-3.8279666741724006E-3</v>
      </c>
      <c r="D774" s="6">
        <f t="shared" si="24"/>
        <v>-3.8353120899314594E-3</v>
      </c>
    </row>
    <row r="775" spans="1:4" x14ac:dyDescent="0.25">
      <c r="A775" t="s">
        <v>822</v>
      </c>
      <c r="B775">
        <v>44.41</v>
      </c>
      <c r="C775" s="6">
        <f t="shared" si="25"/>
        <v>7.0294784580497982E-3</v>
      </c>
      <c r="D775" s="6">
        <f t="shared" si="24"/>
        <v>7.0048868512105058E-3</v>
      </c>
    </row>
    <row r="776" spans="1:4" x14ac:dyDescent="0.25">
      <c r="A776" t="s">
        <v>823</v>
      </c>
      <c r="B776">
        <v>44.1</v>
      </c>
      <c r="C776" s="6">
        <f t="shared" si="25"/>
        <v>-7.2039621791986086E-3</v>
      </c>
      <c r="D776" s="6">
        <f t="shared" si="24"/>
        <v>-7.2300360134811247E-3</v>
      </c>
    </row>
    <row r="777" spans="1:4" x14ac:dyDescent="0.25">
      <c r="A777" t="s">
        <v>824</v>
      </c>
      <c r="B777">
        <v>44.42</v>
      </c>
      <c r="C777" s="6">
        <f t="shared" si="25"/>
        <v>1.6243422557767229E-2</v>
      </c>
      <c r="D777" s="6">
        <f t="shared" si="24"/>
        <v>1.6112909591058353E-2</v>
      </c>
    </row>
    <row r="778" spans="1:4" x14ac:dyDescent="0.25">
      <c r="A778" t="s">
        <v>825</v>
      </c>
      <c r="B778">
        <v>43.71</v>
      </c>
      <c r="C778" s="6">
        <f t="shared" si="25"/>
        <v>-4.3280182232345865E-3</v>
      </c>
      <c r="D778" s="6">
        <f t="shared" si="24"/>
        <v>-4.3374112059024724E-3</v>
      </c>
    </row>
    <row r="779" spans="1:4" x14ac:dyDescent="0.25">
      <c r="A779" t="s">
        <v>826</v>
      </c>
      <c r="B779">
        <v>43.9</v>
      </c>
      <c r="C779" s="6">
        <f t="shared" si="25"/>
        <v>-8.3578043822002401E-3</v>
      </c>
      <c r="D779" s="6">
        <f t="shared" si="24"/>
        <v>-8.392926662924096E-3</v>
      </c>
    </row>
    <row r="780" spans="1:4" x14ac:dyDescent="0.25">
      <c r="A780" t="s">
        <v>827</v>
      </c>
      <c r="B780">
        <v>44.27</v>
      </c>
      <c r="C780" s="6">
        <f t="shared" si="25"/>
        <v>2.7623026926648198E-2</v>
      </c>
      <c r="D780" s="6">
        <f t="shared" si="24"/>
        <v>2.7248394455861941E-2</v>
      </c>
    </row>
    <row r="781" spans="1:4" x14ac:dyDescent="0.25">
      <c r="A781" t="s">
        <v>828</v>
      </c>
      <c r="B781">
        <v>43.08</v>
      </c>
      <c r="C781" s="6">
        <f t="shared" si="25"/>
        <v>-4.1608876560332853E-3</v>
      </c>
      <c r="D781" s="6">
        <f t="shared" si="24"/>
        <v>-4.1695682367248917E-3</v>
      </c>
    </row>
    <row r="782" spans="1:4" x14ac:dyDescent="0.25">
      <c r="A782" t="s">
        <v>829</v>
      </c>
      <c r="B782">
        <v>43.26</v>
      </c>
      <c r="C782" s="6">
        <f t="shared" si="25"/>
        <v>3.0000000000000027E-2</v>
      </c>
      <c r="D782" s="6">
        <f t="shared" si="24"/>
        <v>2.9558802241544429E-2</v>
      </c>
    </row>
    <row r="783" spans="1:4" x14ac:dyDescent="0.25">
      <c r="A783" t="s">
        <v>830</v>
      </c>
      <c r="B783">
        <v>42</v>
      </c>
      <c r="C783" s="6">
        <f t="shared" si="25"/>
        <v>4.4516289480228677E-2</v>
      </c>
      <c r="D783" s="6">
        <f t="shared" si="24"/>
        <v>4.3553897374185538E-2</v>
      </c>
    </row>
    <row r="784" spans="1:4" x14ac:dyDescent="0.25">
      <c r="A784" t="s">
        <v>831</v>
      </c>
      <c r="B784">
        <v>40.21</v>
      </c>
      <c r="C784" s="6">
        <f t="shared" si="25"/>
        <v>-2.9754525167368095E-3</v>
      </c>
      <c r="D784" s="6">
        <f t="shared" si="24"/>
        <v>-2.9798879760940125E-3</v>
      </c>
    </row>
    <row r="785" spans="1:4" x14ac:dyDescent="0.25">
      <c r="A785" t="s">
        <v>832</v>
      </c>
      <c r="B785">
        <v>40.33</v>
      </c>
      <c r="C785" s="6">
        <f t="shared" si="25"/>
        <v>2.9089053329931058E-2</v>
      </c>
      <c r="D785" s="6">
        <f t="shared" si="24"/>
        <v>2.867399667373664E-2</v>
      </c>
    </row>
    <row r="786" spans="1:4" x14ac:dyDescent="0.25">
      <c r="A786" t="s">
        <v>833</v>
      </c>
      <c r="B786">
        <v>39.19</v>
      </c>
      <c r="C786" s="6">
        <f t="shared" si="25"/>
        <v>6.161745827984566E-3</v>
      </c>
      <c r="D786" s="6">
        <f t="shared" si="24"/>
        <v>6.1428398947827919E-3</v>
      </c>
    </row>
    <row r="787" spans="1:4" x14ac:dyDescent="0.25">
      <c r="A787" t="s">
        <v>834</v>
      </c>
      <c r="B787">
        <v>38.950000000000003</v>
      </c>
      <c r="C787" s="6">
        <f t="shared" si="25"/>
        <v>-6.6309614894158875E-3</v>
      </c>
      <c r="D787" s="6">
        <f t="shared" si="24"/>
        <v>-6.6530439874829218E-3</v>
      </c>
    </row>
    <row r="788" spans="1:4" x14ac:dyDescent="0.25">
      <c r="A788" t="s">
        <v>835</v>
      </c>
      <c r="B788">
        <v>39.21</v>
      </c>
      <c r="C788" s="6">
        <f t="shared" si="25"/>
        <v>1.7884517118038623E-3</v>
      </c>
      <c r="D788" s="6">
        <f t="shared" si="24"/>
        <v>1.7868543363101796E-3</v>
      </c>
    </row>
    <row r="789" spans="1:4" x14ac:dyDescent="0.25">
      <c r="A789" t="s">
        <v>836</v>
      </c>
      <c r="B789">
        <v>39.14</v>
      </c>
      <c r="C789" s="6">
        <f t="shared" si="25"/>
        <v>-2.9506570790974407E-2</v>
      </c>
      <c r="D789" s="6">
        <f t="shared" si="24"/>
        <v>-2.995064691734655E-2</v>
      </c>
    </row>
    <row r="790" spans="1:4" x14ac:dyDescent="0.25">
      <c r="A790" t="s">
        <v>837</v>
      </c>
      <c r="B790">
        <v>40.33</v>
      </c>
      <c r="C790" s="6">
        <f t="shared" si="25"/>
        <v>3.4367786611951612E-2</v>
      </c>
      <c r="D790" s="6">
        <f t="shared" si="24"/>
        <v>3.3790405890770654E-2</v>
      </c>
    </row>
    <row r="791" spans="1:4" x14ac:dyDescent="0.25">
      <c r="A791" t="s">
        <v>838</v>
      </c>
      <c r="B791">
        <v>38.99</v>
      </c>
      <c r="C791" s="6">
        <f t="shared" si="25"/>
        <v>-1.241134751773032E-2</v>
      </c>
      <c r="D791" s="6">
        <f t="shared" si="24"/>
        <v>-1.2489011570774696E-2</v>
      </c>
    </row>
    <row r="792" spans="1:4" x14ac:dyDescent="0.25">
      <c r="A792" t="s">
        <v>839</v>
      </c>
      <c r="B792">
        <v>39.479999999999997</v>
      </c>
      <c r="C792" s="6">
        <f t="shared" si="25"/>
        <v>-6.0000000000000053E-2</v>
      </c>
      <c r="D792" s="6">
        <f t="shared" si="24"/>
        <v>-6.1875403718087529E-2</v>
      </c>
    </row>
    <row r="793" spans="1:4" x14ac:dyDescent="0.25">
      <c r="A793" t="s">
        <v>840</v>
      </c>
      <c r="B793">
        <v>42</v>
      </c>
      <c r="C793" s="6">
        <f t="shared" si="25"/>
        <v>-2.7552674230145846E-2</v>
      </c>
      <c r="D793" s="6">
        <f t="shared" si="24"/>
        <v>-2.7939368689241423E-2</v>
      </c>
    </row>
    <row r="794" spans="1:4" x14ac:dyDescent="0.25">
      <c r="A794" t="s">
        <v>841</v>
      </c>
      <c r="B794">
        <v>43.19</v>
      </c>
      <c r="C794" s="6">
        <f t="shared" si="25"/>
        <v>-3.9206642066420549E-3</v>
      </c>
      <c r="D794" s="6">
        <f t="shared" si="24"/>
        <v>-3.928370158781007E-3</v>
      </c>
    </row>
    <row r="795" spans="1:4" x14ac:dyDescent="0.25">
      <c r="A795" t="s">
        <v>842</v>
      </c>
      <c r="B795">
        <v>43.36</v>
      </c>
      <c r="C795" s="6">
        <f t="shared" si="25"/>
        <v>1.6408813877168305E-2</v>
      </c>
      <c r="D795" s="6">
        <f t="shared" si="24"/>
        <v>1.6275644088186256E-2</v>
      </c>
    </row>
    <row r="796" spans="1:4" x14ac:dyDescent="0.25">
      <c r="A796" t="s">
        <v>843</v>
      </c>
      <c r="B796">
        <v>42.66</v>
      </c>
      <c r="C796" s="6">
        <f t="shared" si="25"/>
        <v>-2.8246013667425962E-2</v>
      </c>
      <c r="D796" s="6">
        <f t="shared" si="24"/>
        <v>-2.8652607037921149E-2</v>
      </c>
    </row>
    <row r="797" spans="1:4" x14ac:dyDescent="0.25">
      <c r="A797" t="s">
        <v>844</v>
      </c>
      <c r="B797">
        <v>43.9</v>
      </c>
      <c r="C797" s="6">
        <f t="shared" si="25"/>
        <v>2.3071545094383694E-2</v>
      </c>
      <c r="D797" s="6">
        <f t="shared" si="24"/>
        <v>2.2809421077692429E-2</v>
      </c>
    </row>
    <row r="798" spans="1:4" x14ac:dyDescent="0.25">
      <c r="A798" t="s">
        <v>845</v>
      </c>
      <c r="B798">
        <v>42.91</v>
      </c>
      <c r="C798" s="6">
        <f t="shared" si="25"/>
        <v>3.5472972972973027E-2</v>
      </c>
      <c r="D798" s="6">
        <f t="shared" si="24"/>
        <v>3.4858301052205769E-2</v>
      </c>
    </row>
    <row r="799" spans="1:4" x14ac:dyDescent="0.25">
      <c r="A799" t="s">
        <v>846</v>
      </c>
      <c r="B799">
        <v>41.44</v>
      </c>
      <c r="C799" s="6">
        <f t="shared" si="25"/>
        <v>-2.8873917228104951E-3</v>
      </c>
      <c r="D799" s="6">
        <f t="shared" si="24"/>
        <v>-2.891568279799125E-3</v>
      </c>
    </row>
    <row r="800" spans="1:4" x14ac:dyDescent="0.25">
      <c r="A800" t="s">
        <v>847</v>
      </c>
      <c r="B800">
        <v>41.56</v>
      </c>
      <c r="C800" s="6">
        <f t="shared" si="25"/>
        <v>-3.1912415560214291E-2</v>
      </c>
      <c r="D800" s="6">
        <f t="shared" si="24"/>
        <v>-3.2432716005442577E-2</v>
      </c>
    </row>
    <row r="801" spans="1:4" x14ac:dyDescent="0.25">
      <c r="A801" t="s">
        <v>848</v>
      </c>
      <c r="B801">
        <v>42.93</v>
      </c>
      <c r="C801" s="6">
        <f t="shared" si="25"/>
        <v>2.0199619771863242E-2</v>
      </c>
      <c r="D801" s="6">
        <f t="shared" si="24"/>
        <v>1.9998313807014934E-2</v>
      </c>
    </row>
    <row r="802" spans="1:4" x14ac:dyDescent="0.25">
      <c r="A802" t="s">
        <v>849</v>
      </c>
      <c r="B802">
        <v>42.08</v>
      </c>
      <c r="C802" s="6">
        <f t="shared" si="25"/>
        <v>-1.567251461988306E-2</v>
      </c>
      <c r="D802" s="6">
        <f t="shared" si="24"/>
        <v>-1.5796626953314824E-2</v>
      </c>
    </row>
    <row r="803" spans="1:4" x14ac:dyDescent="0.25">
      <c r="A803" t="s">
        <v>850</v>
      </c>
      <c r="B803">
        <v>42.75</v>
      </c>
      <c r="C803" s="6">
        <f t="shared" si="25"/>
        <v>-3.6076662908680945E-2</v>
      </c>
      <c r="D803" s="6">
        <f t="shared" si="24"/>
        <v>-3.6743513372819274E-2</v>
      </c>
    </row>
    <row r="804" spans="1:4" x14ac:dyDescent="0.25">
      <c r="A804" t="s">
        <v>851</v>
      </c>
      <c r="B804">
        <v>44.35</v>
      </c>
      <c r="C804" s="6">
        <f t="shared" si="25"/>
        <v>-9.8236213440500153E-3</v>
      </c>
      <c r="D804" s="6">
        <f t="shared" si="24"/>
        <v>-9.8721914636202158E-3</v>
      </c>
    </row>
    <row r="805" spans="1:4" x14ac:dyDescent="0.25">
      <c r="A805" t="s">
        <v>852</v>
      </c>
      <c r="B805">
        <v>44.79</v>
      </c>
      <c r="C805" s="6">
        <f t="shared" si="25"/>
        <v>2.8000918062887292E-2</v>
      </c>
      <c r="D805" s="6">
        <f t="shared" si="24"/>
        <v>2.7616060089857949E-2</v>
      </c>
    </row>
    <row r="806" spans="1:4" x14ac:dyDescent="0.25">
      <c r="A806" t="s">
        <v>853</v>
      </c>
      <c r="B806">
        <v>43.57</v>
      </c>
      <c r="C806" s="6">
        <f t="shared" si="25"/>
        <v>2.5310630464794315E-3</v>
      </c>
      <c r="D806" s="6">
        <f t="shared" si="24"/>
        <v>2.5278653010670769E-3</v>
      </c>
    </row>
    <row r="807" spans="1:4" x14ac:dyDescent="0.25">
      <c r="A807" t="s">
        <v>854</v>
      </c>
      <c r="B807">
        <v>43.46</v>
      </c>
      <c r="C807" s="6">
        <f t="shared" si="25"/>
        <v>-2.9910714285714235E-2</v>
      </c>
      <c r="D807" s="6">
        <f t="shared" si="24"/>
        <v>-3.0367164592655847E-2</v>
      </c>
    </row>
    <row r="808" spans="1:4" x14ac:dyDescent="0.25">
      <c r="A808" t="s">
        <v>855</v>
      </c>
      <c r="B808">
        <v>44.8</v>
      </c>
      <c r="C808" s="6">
        <f t="shared" si="25"/>
        <v>1.0374379792512212E-2</v>
      </c>
      <c r="D808" s="6">
        <f t="shared" si="24"/>
        <v>1.032093523277388E-2</v>
      </c>
    </row>
    <row r="809" spans="1:4" x14ac:dyDescent="0.25">
      <c r="A809" t="s">
        <v>856</v>
      </c>
      <c r="B809">
        <v>44.34</v>
      </c>
      <c r="C809" s="6">
        <f t="shared" si="25"/>
        <v>-2.2547914317916362E-4</v>
      </c>
      <c r="D809" s="6">
        <f t="shared" si="24"/>
        <v>-2.2550456742299765E-4</v>
      </c>
    </row>
    <row r="810" spans="1:4" x14ac:dyDescent="0.25">
      <c r="A810" t="s">
        <v>857</v>
      </c>
      <c r="B810">
        <v>44.35</v>
      </c>
      <c r="C810" s="6">
        <f t="shared" si="25"/>
        <v>1.3547076089410748E-3</v>
      </c>
      <c r="D810" s="6">
        <f t="shared" si="24"/>
        <v>1.3537908204816753E-3</v>
      </c>
    </row>
    <row r="811" spans="1:4" x14ac:dyDescent="0.25">
      <c r="A811" t="s">
        <v>858</v>
      </c>
      <c r="B811">
        <v>44.29</v>
      </c>
      <c r="C811" s="6">
        <f t="shared" si="25"/>
        <v>2.0742106476146605E-2</v>
      </c>
      <c r="D811" s="6">
        <f t="shared" si="24"/>
        <v>2.0529918124847519E-2</v>
      </c>
    </row>
    <row r="812" spans="1:4" x14ac:dyDescent="0.25">
      <c r="A812" t="s">
        <v>859</v>
      </c>
      <c r="B812">
        <v>43.39</v>
      </c>
      <c r="C812" s="6">
        <f t="shared" si="25"/>
        <v>2.6010877275951749E-2</v>
      </c>
      <c r="D812" s="6">
        <f t="shared" si="24"/>
        <v>2.5678348325862108E-2</v>
      </c>
    </row>
    <row r="813" spans="1:4" x14ac:dyDescent="0.25">
      <c r="A813" t="s">
        <v>860</v>
      </c>
      <c r="B813">
        <v>42.29</v>
      </c>
      <c r="C813" s="6">
        <f t="shared" si="25"/>
        <v>-1.3759328358209033E-2</v>
      </c>
      <c r="D813" s="6">
        <f t="shared" si="24"/>
        <v>-1.3854865278149414E-2</v>
      </c>
    </row>
    <row r="814" spans="1:4" x14ac:dyDescent="0.25">
      <c r="A814" t="s">
        <v>861</v>
      </c>
      <c r="B814">
        <v>42.88</v>
      </c>
      <c r="C814" s="6">
        <f t="shared" si="25"/>
        <v>4.6663555762949116E-4</v>
      </c>
      <c r="D814" s="6">
        <f t="shared" si="24"/>
        <v>4.6652671711558868E-4</v>
      </c>
    </row>
    <row r="815" spans="1:4" x14ac:dyDescent="0.25">
      <c r="A815" t="s">
        <v>862</v>
      </c>
      <c r="B815">
        <v>42.86</v>
      </c>
      <c r="C815" s="6">
        <f t="shared" si="25"/>
        <v>1.9505233111322573E-2</v>
      </c>
      <c r="D815" s="6">
        <f t="shared" si="24"/>
        <v>1.9317444036680606E-2</v>
      </c>
    </row>
    <row r="816" spans="1:4" x14ac:dyDescent="0.25">
      <c r="A816" t="s">
        <v>863</v>
      </c>
      <c r="B816">
        <v>42.04</v>
      </c>
      <c r="C816" s="6">
        <f t="shared" si="25"/>
        <v>5.1788841631223326E-2</v>
      </c>
      <c r="D816" s="6">
        <f t="shared" si="24"/>
        <v>5.0492373285518137E-2</v>
      </c>
    </row>
    <row r="817" spans="1:4" x14ac:dyDescent="0.25">
      <c r="A817" t="s">
        <v>864</v>
      </c>
      <c r="B817">
        <v>39.97</v>
      </c>
      <c r="C817" s="6">
        <f t="shared" si="25"/>
        <v>-1.4546351084812725E-2</v>
      </c>
      <c r="D817" s="6">
        <f t="shared" si="24"/>
        <v>-1.4653186559695674E-2</v>
      </c>
    </row>
    <row r="818" spans="1:4" x14ac:dyDescent="0.25">
      <c r="A818" t="s">
        <v>865</v>
      </c>
      <c r="B818">
        <v>40.56</v>
      </c>
      <c r="C818" s="6">
        <f t="shared" si="25"/>
        <v>2.3208879919273562E-2</v>
      </c>
      <c r="D818" s="6">
        <f t="shared" si="24"/>
        <v>2.2943649821140583E-2</v>
      </c>
    </row>
    <row r="819" spans="1:4" x14ac:dyDescent="0.25">
      <c r="A819" t="s">
        <v>866</v>
      </c>
      <c r="B819">
        <v>39.64</v>
      </c>
      <c r="C819" s="6">
        <f t="shared" si="25"/>
        <v>2.2756005056889794E-3</v>
      </c>
      <c r="D819" s="6">
        <f t="shared" ref="D819:D882" si="26">LN(B819/B820)</f>
        <v>2.2730152481243385E-3</v>
      </c>
    </row>
    <row r="820" spans="1:4" x14ac:dyDescent="0.25">
      <c r="A820" t="s">
        <v>867</v>
      </c>
      <c r="B820">
        <v>39.549999999999997</v>
      </c>
      <c r="C820" s="6">
        <f t="shared" ref="C820:C883" si="27">(B820/B821)-1</f>
        <v>-5.0543340914843693E-4</v>
      </c>
      <c r="D820" s="6">
        <f t="shared" si="26"/>
        <v>-5.0556118367013397E-4</v>
      </c>
    </row>
    <row r="821" spans="1:4" x14ac:dyDescent="0.25">
      <c r="A821" t="s">
        <v>868</v>
      </c>
      <c r="B821">
        <v>39.57</v>
      </c>
      <c r="C821" s="6">
        <f t="shared" si="27"/>
        <v>-1.5181682429069143E-2</v>
      </c>
      <c r="D821" s="6">
        <f t="shared" si="26"/>
        <v>-1.5298103989455388E-2</v>
      </c>
    </row>
    <row r="822" spans="1:4" x14ac:dyDescent="0.25">
      <c r="A822" t="s">
        <v>869</v>
      </c>
      <c r="B822">
        <v>40.18</v>
      </c>
      <c r="C822" s="6">
        <f t="shared" si="27"/>
        <v>-3.2972322503008411E-2</v>
      </c>
      <c r="D822" s="6">
        <f t="shared" si="26"/>
        <v>-3.3528161914668828E-2</v>
      </c>
    </row>
    <row r="823" spans="1:4" x14ac:dyDescent="0.25">
      <c r="A823" t="s">
        <v>870</v>
      </c>
      <c r="B823">
        <v>41.55</v>
      </c>
      <c r="C823" s="6">
        <f t="shared" si="27"/>
        <v>-1.2360351794628022E-2</v>
      </c>
      <c r="D823" s="6">
        <f t="shared" si="26"/>
        <v>-1.2437376300972339E-2</v>
      </c>
    </row>
    <row r="824" spans="1:4" x14ac:dyDescent="0.25">
      <c r="A824" t="s">
        <v>871</v>
      </c>
      <c r="B824">
        <v>42.07</v>
      </c>
      <c r="C824" s="6">
        <f t="shared" si="27"/>
        <v>-2.0944845240865706E-2</v>
      </c>
      <c r="D824" s="6">
        <f t="shared" si="26"/>
        <v>-2.116730018447421E-2</v>
      </c>
    </row>
    <row r="825" spans="1:4" x14ac:dyDescent="0.25">
      <c r="A825" t="s">
        <v>872</v>
      </c>
      <c r="B825">
        <v>42.97</v>
      </c>
      <c r="C825" s="6">
        <f t="shared" si="27"/>
        <v>1.9938286256824034E-2</v>
      </c>
      <c r="D825" s="6">
        <f t="shared" si="26"/>
        <v>1.9742121795978493E-2</v>
      </c>
    </row>
    <row r="826" spans="1:4" x14ac:dyDescent="0.25">
      <c r="A826" t="s">
        <v>873</v>
      </c>
      <c r="B826">
        <v>42.13</v>
      </c>
      <c r="C826" s="6">
        <f t="shared" si="27"/>
        <v>-1.0568341944574788E-2</v>
      </c>
      <c r="D826" s="6">
        <f t="shared" si="26"/>
        <v>-1.0624583474408115E-2</v>
      </c>
    </row>
    <row r="827" spans="1:4" x14ac:dyDescent="0.25">
      <c r="A827" t="s">
        <v>874</v>
      </c>
      <c r="B827">
        <v>42.58</v>
      </c>
      <c r="C827" s="6">
        <f t="shared" si="27"/>
        <v>-1.8215356237030189E-2</v>
      </c>
      <c r="D827" s="6">
        <f t="shared" si="26"/>
        <v>-1.838329838194144E-2</v>
      </c>
    </row>
    <row r="828" spans="1:4" x14ac:dyDescent="0.25">
      <c r="A828" t="s">
        <v>875</v>
      </c>
      <c r="B828">
        <v>43.37</v>
      </c>
      <c r="C828" s="6">
        <f t="shared" si="27"/>
        <v>1.5215355805243469E-2</v>
      </c>
      <c r="D828" s="6">
        <f t="shared" si="26"/>
        <v>1.5100763195335491E-2</v>
      </c>
    </row>
    <row r="829" spans="1:4" x14ac:dyDescent="0.25">
      <c r="A829" t="s">
        <v>876</v>
      </c>
      <c r="B829">
        <v>42.72</v>
      </c>
      <c r="C829" s="6">
        <f t="shared" si="27"/>
        <v>3.6390101892285198E-2</v>
      </c>
      <c r="D829" s="6">
        <f t="shared" si="26"/>
        <v>3.5743619189626333E-2</v>
      </c>
    </row>
    <row r="830" spans="1:4" x14ac:dyDescent="0.25">
      <c r="A830" t="s">
        <v>877</v>
      </c>
      <c r="B830">
        <v>41.22</v>
      </c>
      <c r="C830" s="6">
        <f t="shared" si="27"/>
        <v>2.3845007451564815E-2</v>
      </c>
      <c r="D830" s="6">
        <f t="shared" si="26"/>
        <v>2.3565155250667533E-2</v>
      </c>
    </row>
    <row r="831" spans="1:4" x14ac:dyDescent="0.25">
      <c r="A831" t="s">
        <v>878</v>
      </c>
      <c r="B831">
        <v>40.26</v>
      </c>
      <c r="C831" s="6">
        <f t="shared" si="27"/>
        <v>-1.4684287812041119E-2</v>
      </c>
      <c r="D831" s="6">
        <f t="shared" si="26"/>
        <v>-1.4793169177830577E-2</v>
      </c>
    </row>
    <row r="832" spans="1:4" x14ac:dyDescent="0.25">
      <c r="A832" t="s">
        <v>879</v>
      </c>
      <c r="B832">
        <v>40.86</v>
      </c>
      <c r="C832" s="6">
        <f t="shared" si="27"/>
        <v>1.5407554671968082E-2</v>
      </c>
      <c r="D832" s="6">
        <f t="shared" si="26"/>
        <v>1.5290063597992126E-2</v>
      </c>
    </row>
    <row r="833" spans="1:4" x14ac:dyDescent="0.25">
      <c r="A833" t="s">
        <v>880</v>
      </c>
      <c r="B833">
        <v>40.24</v>
      </c>
      <c r="C833" s="6">
        <f t="shared" si="27"/>
        <v>1.1309374214626855E-2</v>
      </c>
      <c r="D833" s="6">
        <f t="shared" si="26"/>
        <v>1.124590135264656E-2</v>
      </c>
    </row>
    <row r="834" spans="1:4" x14ac:dyDescent="0.25">
      <c r="A834" t="s">
        <v>881</v>
      </c>
      <c r="B834">
        <v>39.79</v>
      </c>
      <c r="C834" s="6">
        <f t="shared" si="27"/>
        <v>2.0256410256410229E-2</v>
      </c>
      <c r="D834" s="6">
        <f t="shared" si="26"/>
        <v>2.0053978309190815E-2</v>
      </c>
    </row>
    <row r="835" spans="1:4" x14ac:dyDescent="0.25">
      <c r="A835" t="s">
        <v>882</v>
      </c>
      <c r="B835">
        <v>39</v>
      </c>
      <c r="C835" s="6">
        <f t="shared" si="27"/>
        <v>6.1919504643963563E-3</v>
      </c>
      <c r="D835" s="6">
        <f t="shared" si="26"/>
        <v>6.1728591070810161E-3</v>
      </c>
    </row>
    <row r="836" spans="1:4" x14ac:dyDescent="0.25">
      <c r="A836" t="s">
        <v>883</v>
      </c>
      <c r="B836">
        <v>38.76</v>
      </c>
      <c r="C836" s="6">
        <f t="shared" si="27"/>
        <v>5.4474708171206032E-3</v>
      </c>
      <c r="D836" s="6">
        <f t="shared" si="26"/>
        <v>5.4326870132269667E-3</v>
      </c>
    </row>
    <row r="837" spans="1:4" x14ac:dyDescent="0.25">
      <c r="A837" t="s">
        <v>884</v>
      </c>
      <c r="B837">
        <v>38.549999999999997</v>
      </c>
      <c r="C837" s="6">
        <f t="shared" si="27"/>
        <v>4.9530761209592988E-3</v>
      </c>
      <c r="D837" s="6">
        <f t="shared" si="26"/>
        <v>4.9408499941009914E-3</v>
      </c>
    </row>
    <row r="838" spans="1:4" x14ac:dyDescent="0.25">
      <c r="A838" t="s">
        <v>885</v>
      </c>
      <c r="B838">
        <v>38.36</v>
      </c>
      <c r="C838" s="6">
        <f t="shared" si="27"/>
        <v>1.0271266789570799E-2</v>
      </c>
      <c r="D838" s="6">
        <f t="shared" si="26"/>
        <v>1.0218875771526598E-2</v>
      </c>
    </row>
    <row r="839" spans="1:4" x14ac:dyDescent="0.25">
      <c r="A839" t="s">
        <v>886</v>
      </c>
      <c r="B839">
        <v>37.97</v>
      </c>
      <c r="C839" s="6">
        <f t="shared" si="27"/>
        <v>-2.8900255754475745E-2</v>
      </c>
      <c r="D839" s="6">
        <f t="shared" si="26"/>
        <v>-2.9326092747609174E-2</v>
      </c>
    </row>
    <row r="840" spans="1:4" x14ac:dyDescent="0.25">
      <c r="A840" t="s">
        <v>887</v>
      </c>
      <c r="B840">
        <v>39.1</v>
      </c>
      <c r="C840" s="6">
        <f t="shared" si="27"/>
        <v>-1.0627530364372473E-2</v>
      </c>
      <c r="D840" s="6">
        <f t="shared" si="26"/>
        <v>-1.0684405888346982E-2</v>
      </c>
    </row>
    <row r="841" spans="1:4" x14ac:dyDescent="0.25">
      <c r="A841" t="s">
        <v>888</v>
      </c>
      <c r="B841">
        <v>39.520000000000003</v>
      </c>
      <c r="C841" s="6">
        <f t="shared" si="27"/>
        <v>-3.2786885245900121E-3</v>
      </c>
      <c r="D841" s="6">
        <f t="shared" si="26"/>
        <v>-3.2840752011897732E-3</v>
      </c>
    </row>
    <row r="842" spans="1:4" x14ac:dyDescent="0.25">
      <c r="A842" t="s">
        <v>889</v>
      </c>
      <c r="B842">
        <v>39.65</v>
      </c>
      <c r="C842" s="6">
        <f t="shared" si="27"/>
        <v>7.6238881829733263E-3</v>
      </c>
      <c r="D842" s="6">
        <f t="shared" si="26"/>
        <v>7.5949732174447676E-3</v>
      </c>
    </row>
    <row r="843" spans="1:4" x14ac:dyDescent="0.25">
      <c r="A843" t="s">
        <v>890</v>
      </c>
      <c r="B843">
        <v>39.35</v>
      </c>
      <c r="C843" s="6">
        <f t="shared" si="27"/>
        <v>7.9405737704918433E-3</v>
      </c>
      <c r="D843" s="6">
        <f t="shared" si="26"/>
        <v>7.9092133185205363E-3</v>
      </c>
    </row>
    <row r="844" spans="1:4" x14ac:dyDescent="0.25">
      <c r="A844" t="s">
        <v>891</v>
      </c>
      <c r="B844">
        <v>39.04</v>
      </c>
      <c r="C844" s="6">
        <f t="shared" si="27"/>
        <v>1.3762659049597614E-2</v>
      </c>
      <c r="D844" s="6">
        <f t="shared" si="26"/>
        <v>1.3668813718074321E-2</v>
      </c>
    </row>
    <row r="845" spans="1:4" x14ac:dyDescent="0.25">
      <c r="A845" t="s">
        <v>892</v>
      </c>
      <c r="B845">
        <v>38.51</v>
      </c>
      <c r="C845" s="6">
        <f t="shared" si="27"/>
        <v>2.0673204346673746E-2</v>
      </c>
      <c r="D845" s="6">
        <f t="shared" si="26"/>
        <v>2.0462413850598441E-2</v>
      </c>
    </row>
    <row r="846" spans="1:4" x14ac:dyDescent="0.25">
      <c r="A846" t="s">
        <v>893</v>
      </c>
      <c r="B846">
        <v>37.729999999999997</v>
      </c>
      <c r="C846" s="6">
        <f t="shared" si="27"/>
        <v>-2.8328611898017053E-2</v>
      </c>
      <c r="D846" s="6">
        <f t="shared" si="26"/>
        <v>-2.8737609767356911E-2</v>
      </c>
    </row>
    <row r="847" spans="1:4" x14ac:dyDescent="0.25">
      <c r="A847" t="s">
        <v>894</v>
      </c>
      <c r="B847">
        <v>38.83</v>
      </c>
      <c r="C847" s="6">
        <f t="shared" si="27"/>
        <v>1.7291066282420609E-2</v>
      </c>
      <c r="D847" s="6">
        <f t="shared" si="26"/>
        <v>1.7143276986437438E-2</v>
      </c>
    </row>
    <row r="848" spans="1:4" x14ac:dyDescent="0.25">
      <c r="A848" t="s">
        <v>895</v>
      </c>
      <c r="B848">
        <v>38.17</v>
      </c>
      <c r="C848" s="6">
        <f t="shared" si="27"/>
        <v>-2.1783700666324957E-2</v>
      </c>
      <c r="D848" s="6">
        <f t="shared" si="26"/>
        <v>-2.202446843782678E-2</v>
      </c>
    </row>
    <row r="849" spans="1:4" x14ac:dyDescent="0.25">
      <c r="A849" t="s">
        <v>896</v>
      </c>
      <c r="B849">
        <v>39.020000000000003</v>
      </c>
      <c r="C849" s="6">
        <f t="shared" si="27"/>
        <v>-2.7902341803687003E-2</v>
      </c>
      <c r="D849" s="6">
        <f t="shared" si="26"/>
        <v>-2.8299008173226836E-2</v>
      </c>
    </row>
    <row r="850" spans="1:4" x14ac:dyDescent="0.25">
      <c r="A850" t="s">
        <v>897</v>
      </c>
      <c r="B850">
        <v>40.14</v>
      </c>
      <c r="C850" s="6">
        <f t="shared" si="27"/>
        <v>6.5195586760280477E-3</v>
      </c>
      <c r="D850" s="6">
        <f t="shared" si="26"/>
        <v>6.4983982745544658E-3</v>
      </c>
    </row>
    <row r="851" spans="1:4" x14ac:dyDescent="0.25">
      <c r="A851" t="s">
        <v>898</v>
      </c>
      <c r="B851">
        <v>39.880000000000003</v>
      </c>
      <c r="C851" s="6">
        <f t="shared" si="27"/>
        <v>-2.8738431563565481E-2</v>
      </c>
      <c r="D851" s="6">
        <f t="shared" si="26"/>
        <v>-2.9159466497149896E-2</v>
      </c>
    </row>
    <row r="852" spans="1:4" x14ac:dyDescent="0.25">
      <c r="A852" t="s">
        <v>899</v>
      </c>
      <c r="B852">
        <v>41.06</v>
      </c>
      <c r="C852" s="6">
        <f t="shared" si="27"/>
        <v>2.063136962465828E-2</v>
      </c>
      <c r="D852" s="6">
        <f t="shared" si="26"/>
        <v>2.0421425629090727E-2</v>
      </c>
    </row>
    <row r="853" spans="1:4" x14ac:dyDescent="0.25">
      <c r="A853" t="s">
        <v>900</v>
      </c>
      <c r="B853">
        <v>40.229999999999997</v>
      </c>
      <c r="C853" s="6">
        <f t="shared" si="27"/>
        <v>-2.6850507982583594E-2</v>
      </c>
      <c r="D853" s="6">
        <f t="shared" si="26"/>
        <v>-2.7217568291925499E-2</v>
      </c>
    </row>
    <row r="854" spans="1:4" x14ac:dyDescent="0.25">
      <c r="A854" t="s">
        <v>901</v>
      </c>
      <c r="B854">
        <v>41.34</v>
      </c>
      <c r="C854" s="6">
        <f t="shared" si="27"/>
        <v>-2.4309653056407643E-2</v>
      </c>
      <c r="D854" s="6">
        <f t="shared" si="26"/>
        <v>-2.4610010384845449E-2</v>
      </c>
    </row>
    <row r="855" spans="1:4" x14ac:dyDescent="0.25">
      <c r="A855" t="s">
        <v>902</v>
      </c>
      <c r="B855">
        <v>42.37</v>
      </c>
      <c r="C855" s="6">
        <f t="shared" si="27"/>
        <v>-6.7979371776839548E-3</v>
      </c>
      <c r="D855" s="6">
        <f t="shared" si="26"/>
        <v>-6.8211484047366001E-3</v>
      </c>
    </row>
    <row r="856" spans="1:4" x14ac:dyDescent="0.25">
      <c r="A856" t="s">
        <v>903</v>
      </c>
      <c r="B856">
        <v>42.66</v>
      </c>
      <c r="C856" s="6">
        <f t="shared" si="27"/>
        <v>4.150390625E-2</v>
      </c>
      <c r="D856" s="6">
        <f t="shared" si="26"/>
        <v>4.0665732311952162E-2</v>
      </c>
    </row>
    <row r="857" spans="1:4" x14ac:dyDescent="0.25">
      <c r="A857" t="s">
        <v>904</v>
      </c>
      <c r="B857">
        <v>40.96</v>
      </c>
      <c r="C857" s="6">
        <f t="shared" si="27"/>
        <v>-1.3249819320645506E-2</v>
      </c>
      <c r="D857" s="6">
        <f t="shared" si="26"/>
        <v>-1.3338381333694922E-2</v>
      </c>
    </row>
    <row r="858" spans="1:4" x14ac:dyDescent="0.25">
      <c r="A858" t="s">
        <v>905</v>
      </c>
      <c r="B858">
        <v>41.51</v>
      </c>
      <c r="C858" s="6">
        <f t="shared" si="27"/>
        <v>6.7918703370208444E-2</v>
      </c>
      <c r="D858" s="6">
        <f t="shared" si="26"/>
        <v>6.5711617200815642E-2</v>
      </c>
    </row>
    <row r="859" spans="1:4" x14ac:dyDescent="0.25">
      <c r="A859" t="s">
        <v>906</v>
      </c>
      <c r="B859">
        <v>38.869999999999997</v>
      </c>
      <c r="C859" s="6">
        <f t="shared" si="27"/>
        <v>-1.8682150971976785E-2</v>
      </c>
      <c r="D859" s="6">
        <f t="shared" si="26"/>
        <v>-1.8858866769693495E-2</v>
      </c>
    </row>
    <row r="860" spans="1:4" x14ac:dyDescent="0.25">
      <c r="A860" t="s">
        <v>907</v>
      </c>
      <c r="B860">
        <v>39.61</v>
      </c>
      <c r="C860" s="6">
        <f t="shared" si="27"/>
        <v>-4.0231330148353672E-3</v>
      </c>
      <c r="D860" s="6">
        <f t="shared" si="26"/>
        <v>-4.0312475857740447E-3</v>
      </c>
    </row>
    <row r="861" spans="1:4" x14ac:dyDescent="0.25">
      <c r="A861" t="s">
        <v>908</v>
      </c>
      <c r="B861">
        <v>39.770000000000003</v>
      </c>
      <c r="C861" s="6">
        <f t="shared" si="27"/>
        <v>-2.1888834235120336E-2</v>
      </c>
      <c r="D861" s="6">
        <f t="shared" si="26"/>
        <v>-2.2131948980601137E-2</v>
      </c>
    </row>
    <row r="862" spans="1:4" x14ac:dyDescent="0.25">
      <c r="A862" t="s">
        <v>909</v>
      </c>
      <c r="B862">
        <v>40.659999999999997</v>
      </c>
      <c r="C862" s="6">
        <f t="shared" si="27"/>
        <v>1.3207076999750766E-2</v>
      </c>
      <c r="D862" s="6">
        <f t="shared" si="26"/>
        <v>1.3120623921375175E-2</v>
      </c>
    </row>
    <row r="863" spans="1:4" x14ac:dyDescent="0.25">
      <c r="A863" t="s">
        <v>910</v>
      </c>
      <c r="B863">
        <v>40.130000000000003</v>
      </c>
      <c r="C863" s="6">
        <f t="shared" si="27"/>
        <v>7.4812967581050493E-4</v>
      </c>
      <c r="D863" s="6">
        <f t="shared" si="26"/>
        <v>7.4784996630188625E-4</v>
      </c>
    </row>
    <row r="864" spans="1:4" x14ac:dyDescent="0.25">
      <c r="A864" t="s">
        <v>911</v>
      </c>
      <c r="B864">
        <v>40.1</v>
      </c>
      <c r="C864" s="6">
        <f t="shared" si="27"/>
        <v>-4.1357877121682929E-2</v>
      </c>
      <c r="D864" s="6">
        <f t="shared" si="26"/>
        <v>-4.2237451141583476E-2</v>
      </c>
    </row>
    <row r="865" spans="1:4" x14ac:dyDescent="0.25">
      <c r="A865" t="s">
        <v>912</v>
      </c>
      <c r="B865">
        <v>41.83</v>
      </c>
      <c r="C865" s="6">
        <f t="shared" si="27"/>
        <v>2.1489621489621413E-2</v>
      </c>
      <c r="D865" s="6">
        <f t="shared" si="26"/>
        <v>2.1261975155028551E-2</v>
      </c>
    </row>
    <row r="866" spans="1:4" x14ac:dyDescent="0.25">
      <c r="A866" t="s">
        <v>913</v>
      </c>
      <c r="B866">
        <v>40.950000000000003</v>
      </c>
      <c r="C866" s="6">
        <f t="shared" si="27"/>
        <v>-1.7278617710583144E-2</v>
      </c>
      <c r="D866" s="6">
        <f t="shared" si="26"/>
        <v>-1.7429635135283648E-2</v>
      </c>
    </row>
    <row r="867" spans="1:4" x14ac:dyDescent="0.25">
      <c r="A867" t="s">
        <v>914</v>
      </c>
      <c r="B867">
        <v>41.67</v>
      </c>
      <c r="C867" s="6">
        <f t="shared" si="27"/>
        <v>1.4609203798392922E-2</v>
      </c>
      <c r="D867" s="6">
        <f t="shared" si="26"/>
        <v>1.4503517465894813E-2</v>
      </c>
    </row>
    <row r="868" spans="1:4" x14ac:dyDescent="0.25">
      <c r="A868" t="s">
        <v>915</v>
      </c>
      <c r="B868">
        <v>41.07</v>
      </c>
      <c r="C868" s="6">
        <f t="shared" si="27"/>
        <v>2.4354603019971499E-4</v>
      </c>
      <c r="D868" s="6">
        <f t="shared" si="26"/>
        <v>2.4351637767970662E-4</v>
      </c>
    </row>
    <row r="869" spans="1:4" x14ac:dyDescent="0.25">
      <c r="A869" t="s">
        <v>916</v>
      </c>
      <c r="B869">
        <v>41.06</v>
      </c>
      <c r="C869" s="6">
        <f t="shared" si="27"/>
        <v>-1.1555127587867031E-2</v>
      </c>
      <c r="D869" s="6">
        <f t="shared" si="26"/>
        <v>-1.1622406857178649E-2</v>
      </c>
    </row>
    <row r="870" spans="1:4" x14ac:dyDescent="0.25">
      <c r="A870" t="s">
        <v>917</v>
      </c>
      <c r="B870">
        <v>41.54</v>
      </c>
      <c r="C870" s="6">
        <f t="shared" si="27"/>
        <v>-5.268199233716464E-3</v>
      </c>
      <c r="D870" s="6">
        <f t="shared" si="26"/>
        <v>-5.2821251264170213E-3</v>
      </c>
    </row>
    <row r="871" spans="1:4" x14ac:dyDescent="0.25">
      <c r="A871" t="s">
        <v>918</v>
      </c>
      <c r="B871">
        <v>41.76</v>
      </c>
      <c r="C871" s="6">
        <f t="shared" si="27"/>
        <v>-1.1831519167061044E-2</v>
      </c>
      <c r="D871" s="6">
        <f t="shared" si="26"/>
        <v>-1.1902068613527354E-2</v>
      </c>
    </row>
    <row r="872" spans="1:4" x14ac:dyDescent="0.25">
      <c r="A872" t="s">
        <v>919</v>
      </c>
      <c r="B872">
        <v>42.26</v>
      </c>
      <c r="C872" s="6">
        <f t="shared" si="27"/>
        <v>-2.1532762213475332E-2</v>
      </c>
      <c r="D872" s="6">
        <f t="shared" si="26"/>
        <v>-2.17679747846991E-2</v>
      </c>
    </row>
    <row r="873" spans="1:4" x14ac:dyDescent="0.25">
      <c r="A873" t="s">
        <v>920</v>
      </c>
      <c r="B873">
        <v>43.19</v>
      </c>
      <c r="C873" s="6">
        <f t="shared" si="27"/>
        <v>1.3611828209340482E-2</v>
      </c>
      <c r="D873" s="6">
        <f t="shared" si="26"/>
        <v>1.3520019460789038E-2</v>
      </c>
    </row>
    <row r="874" spans="1:4" x14ac:dyDescent="0.25">
      <c r="A874" t="s">
        <v>921</v>
      </c>
      <c r="B874">
        <v>42.61</v>
      </c>
      <c r="C874" s="6">
        <f t="shared" si="27"/>
        <v>-1.4341892204487561E-2</v>
      </c>
      <c r="D874" s="6">
        <f t="shared" si="26"/>
        <v>-1.4445731167719682E-2</v>
      </c>
    </row>
    <row r="875" spans="1:4" x14ac:dyDescent="0.25">
      <c r="A875" t="s">
        <v>922</v>
      </c>
      <c r="B875">
        <v>43.23</v>
      </c>
      <c r="C875" s="6">
        <f t="shared" si="27"/>
        <v>1.0282776349614275E-2</v>
      </c>
      <c r="D875" s="6">
        <f t="shared" si="26"/>
        <v>1.0230268250814823E-2</v>
      </c>
    </row>
    <row r="876" spans="1:4" x14ac:dyDescent="0.25">
      <c r="A876" t="s">
        <v>923</v>
      </c>
      <c r="B876">
        <v>42.79</v>
      </c>
      <c r="C876" s="6">
        <f t="shared" si="27"/>
        <v>-2.4395804833561296E-2</v>
      </c>
      <c r="D876" s="6">
        <f t="shared" si="26"/>
        <v>-2.4698312561016632E-2</v>
      </c>
    </row>
    <row r="877" spans="1:4" x14ac:dyDescent="0.25">
      <c r="A877" t="s">
        <v>924</v>
      </c>
      <c r="B877">
        <v>43.86</v>
      </c>
      <c r="C877" s="6">
        <f t="shared" si="27"/>
        <v>-2.7285129604365244E-3</v>
      </c>
      <c r="D877" s="6">
        <f t="shared" si="26"/>
        <v>-2.7322421368729507E-3</v>
      </c>
    </row>
    <row r="878" spans="1:4" x14ac:dyDescent="0.25">
      <c r="A878" t="s">
        <v>925</v>
      </c>
      <c r="B878">
        <v>43.98</v>
      </c>
      <c r="C878" s="6">
        <f t="shared" si="27"/>
        <v>7.0986947561253455E-3</v>
      </c>
      <c r="D878" s="6">
        <f t="shared" si="26"/>
        <v>7.0736176291453954E-3</v>
      </c>
    </row>
    <row r="879" spans="1:4" x14ac:dyDescent="0.25">
      <c r="A879" t="s">
        <v>926</v>
      </c>
      <c r="B879">
        <v>43.67</v>
      </c>
      <c r="C879" s="6">
        <f t="shared" si="27"/>
        <v>4.4736842105263186E-2</v>
      </c>
      <c r="D879" s="6">
        <f t="shared" si="26"/>
        <v>4.3765027966758983E-2</v>
      </c>
    </row>
    <row r="880" spans="1:4" x14ac:dyDescent="0.25">
      <c r="A880" t="s">
        <v>927</v>
      </c>
      <c r="B880">
        <v>41.8</v>
      </c>
      <c r="C880" s="6">
        <f t="shared" si="27"/>
        <v>-1.5080113100848225E-2</v>
      </c>
      <c r="D880" s="6">
        <f t="shared" si="26"/>
        <v>-1.5194974215071724E-2</v>
      </c>
    </row>
    <row r="881" spans="1:4" x14ac:dyDescent="0.25">
      <c r="A881" t="s">
        <v>928</v>
      </c>
      <c r="B881">
        <v>42.44</v>
      </c>
      <c r="C881" s="6">
        <f t="shared" si="27"/>
        <v>-2.5487944890929981E-2</v>
      </c>
      <c r="D881" s="6">
        <f t="shared" si="26"/>
        <v>-2.5818389552729432E-2</v>
      </c>
    </row>
    <row r="882" spans="1:4" x14ac:dyDescent="0.25">
      <c r="A882" t="s">
        <v>929</v>
      </c>
      <c r="B882">
        <v>43.55</v>
      </c>
      <c r="C882" s="6">
        <f t="shared" si="27"/>
        <v>-4.5903144365400106E-4</v>
      </c>
      <c r="D882" s="6">
        <f t="shared" si="26"/>
        <v>-4.5913683083905436E-4</v>
      </c>
    </row>
    <row r="883" spans="1:4" x14ac:dyDescent="0.25">
      <c r="A883" t="s">
        <v>930</v>
      </c>
      <c r="B883">
        <v>43.57</v>
      </c>
      <c r="C883" s="6">
        <f t="shared" si="27"/>
        <v>-2.0898876404494393E-2</v>
      </c>
      <c r="D883" s="6">
        <f t="shared" ref="D883:D946" si="28">LN(B883/B884)</f>
        <v>-2.1120349042843795E-2</v>
      </c>
    </row>
    <row r="884" spans="1:4" x14ac:dyDescent="0.25">
      <c r="A884" t="s">
        <v>931</v>
      </c>
      <c r="B884">
        <v>44.5</v>
      </c>
      <c r="C884" s="6">
        <f t="shared" ref="C884:C947" si="29">(B884/B885)-1</f>
        <v>-3.0289823490956658E-2</v>
      </c>
      <c r="D884" s="6">
        <f t="shared" si="28"/>
        <v>-3.0758039234547629E-2</v>
      </c>
    </row>
    <row r="885" spans="1:4" x14ac:dyDescent="0.25">
      <c r="A885" t="s">
        <v>932</v>
      </c>
      <c r="B885">
        <v>45.89</v>
      </c>
      <c r="C885" s="6">
        <f t="shared" si="29"/>
        <v>-3.38947368421052E-2</v>
      </c>
      <c r="D885" s="6">
        <f t="shared" si="28"/>
        <v>-3.4482482633853326E-2</v>
      </c>
    </row>
    <row r="886" spans="1:4" x14ac:dyDescent="0.25">
      <c r="A886" t="s">
        <v>933</v>
      </c>
      <c r="B886">
        <v>47.5</v>
      </c>
      <c r="C886" s="6">
        <f t="shared" si="29"/>
        <v>-4.8187722606326533E-3</v>
      </c>
      <c r="D886" s="6">
        <f t="shared" si="28"/>
        <v>-4.8304199772095935E-3</v>
      </c>
    </row>
    <row r="887" spans="1:4" x14ac:dyDescent="0.25">
      <c r="A887" t="s">
        <v>934</v>
      </c>
      <c r="B887">
        <v>47.73</v>
      </c>
      <c r="C887" s="6">
        <f t="shared" si="29"/>
        <v>1.2586532410319151E-3</v>
      </c>
      <c r="D887" s="6">
        <f t="shared" si="28"/>
        <v>1.2578618010707075E-3</v>
      </c>
    </row>
    <row r="888" spans="1:4" x14ac:dyDescent="0.25">
      <c r="A888" t="s">
        <v>935</v>
      </c>
      <c r="B888">
        <v>47.67</v>
      </c>
      <c r="C888" s="6">
        <f t="shared" si="29"/>
        <v>-8.733624454148492E-3</v>
      </c>
      <c r="D888" s="6">
        <f t="shared" si="28"/>
        <v>-8.7719860728369941E-3</v>
      </c>
    </row>
    <row r="889" spans="1:4" x14ac:dyDescent="0.25">
      <c r="A889" t="s">
        <v>936</v>
      </c>
      <c r="B889">
        <v>48.09</v>
      </c>
      <c r="C889" s="6">
        <f t="shared" si="29"/>
        <v>-1.9971469329529201E-2</v>
      </c>
      <c r="D889" s="6">
        <f t="shared" si="28"/>
        <v>-2.0173594812240708E-2</v>
      </c>
    </row>
    <row r="890" spans="1:4" x14ac:dyDescent="0.25">
      <c r="A890" t="s">
        <v>937</v>
      </c>
      <c r="B890">
        <v>49.07</v>
      </c>
      <c r="C890" s="6">
        <f t="shared" si="29"/>
        <v>8.2186151633449889E-3</v>
      </c>
      <c r="D890" s="6">
        <f t="shared" si="28"/>
        <v>8.1850262564491048E-3</v>
      </c>
    </row>
    <row r="891" spans="1:4" x14ac:dyDescent="0.25">
      <c r="A891" t="s">
        <v>938</v>
      </c>
      <c r="B891">
        <v>48.67</v>
      </c>
      <c r="C891" s="6">
        <f t="shared" si="29"/>
        <v>1.3958333333333295E-2</v>
      </c>
      <c r="D891" s="6">
        <f t="shared" si="28"/>
        <v>1.3861812937471968E-2</v>
      </c>
    </row>
    <row r="892" spans="1:4" x14ac:dyDescent="0.25">
      <c r="A892" t="s">
        <v>939</v>
      </c>
      <c r="B892">
        <v>48</v>
      </c>
      <c r="C892" s="6">
        <f t="shared" si="29"/>
        <v>-2.2864269382664171E-3</v>
      </c>
      <c r="D892" s="6">
        <f t="shared" si="28"/>
        <v>-2.289044803471352E-3</v>
      </c>
    </row>
    <row r="893" spans="1:4" x14ac:dyDescent="0.25">
      <c r="A893" t="s">
        <v>940</v>
      </c>
      <c r="B893">
        <v>48.11</v>
      </c>
      <c r="C893" s="6">
        <f t="shared" si="29"/>
        <v>1.648003380519758E-2</v>
      </c>
      <c r="D893" s="6">
        <f t="shared" si="28"/>
        <v>1.634571179320575E-2</v>
      </c>
    </row>
    <row r="894" spans="1:4" x14ac:dyDescent="0.25">
      <c r="A894" t="s">
        <v>941</v>
      </c>
      <c r="B894">
        <v>47.33</v>
      </c>
      <c r="C894" s="6">
        <f t="shared" si="29"/>
        <v>-4.2078687144961879E-3</v>
      </c>
      <c r="D894" s="6">
        <f t="shared" si="28"/>
        <v>-4.2167467077615286E-3</v>
      </c>
    </row>
    <row r="895" spans="1:4" x14ac:dyDescent="0.25">
      <c r="A895" t="s">
        <v>942</v>
      </c>
      <c r="B895">
        <v>47.53</v>
      </c>
      <c r="C895" s="6">
        <f t="shared" si="29"/>
        <v>-4.6073298429318843E-3</v>
      </c>
      <c r="D895" s="6">
        <f t="shared" si="28"/>
        <v>-4.6179763008211364E-3</v>
      </c>
    </row>
    <row r="896" spans="1:4" x14ac:dyDescent="0.25">
      <c r="A896" t="s">
        <v>943</v>
      </c>
      <c r="B896">
        <v>47.75</v>
      </c>
      <c r="C896" s="6">
        <f t="shared" si="29"/>
        <v>9.7272150560372417E-3</v>
      </c>
      <c r="D896" s="6">
        <f t="shared" si="28"/>
        <v>9.680210270954866E-3</v>
      </c>
    </row>
    <row r="897" spans="1:4" x14ac:dyDescent="0.25">
      <c r="A897" t="s">
        <v>944</v>
      </c>
      <c r="B897">
        <v>47.29</v>
      </c>
      <c r="C897" s="6">
        <f t="shared" si="29"/>
        <v>1.4824227022447456E-3</v>
      </c>
      <c r="D897" s="6">
        <f t="shared" si="28"/>
        <v>1.4813249984174861E-3</v>
      </c>
    </row>
    <row r="898" spans="1:4" x14ac:dyDescent="0.25">
      <c r="A898" t="s">
        <v>945</v>
      </c>
      <c r="B898">
        <v>47.22</v>
      </c>
      <c r="C898" s="6">
        <f t="shared" si="29"/>
        <v>3.9172535211267734E-2</v>
      </c>
      <c r="D898" s="6">
        <f t="shared" si="28"/>
        <v>3.8424757244471072E-2</v>
      </c>
    </row>
    <row r="899" spans="1:4" x14ac:dyDescent="0.25">
      <c r="A899" t="s">
        <v>946</v>
      </c>
      <c r="B899">
        <v>45.44</v>
      </c>
      <c r="C899" s="6">
        <f t="shared" si="29"/>
        <v>-7.8602620087335762E-3</v>
      </c>
      <c r="D899" s="6">
        <f t="shared" si="28"/>
        <v>-7.8913167072433149E-3</v>
      </c>
    </row>
    <row r="900" spans="1:4" x14ac:dyDescent="0.25">
      <c r="A900" t="s">
        <v>947</v>
      </c>
      <c r="B900">
        <v>45.8</v>
      </c>
      <c r="C900" s="6">
        <f t="shared" si="29"/>
        <v>6.1511423550086874E-3</v>
      </c>
      <c r="D900" s="6">
        <f t="shared" si="28"/>
        <v>6.1323013020636932E-3</v>
      </c>
    </row>
    <row r="901" spans="1:4" x14ac:dyDescent="0.25">
      <c r="A901" t="s">
        <v>948</v>
      </c>
      <c r="B901">
        <v>45.52</v>
      </c>
      <c r="C901" s="6">
        <f t="shared" si="29"/>
        <v>-8.2788671023964477E-3</v>
      </c>
      <c r="D901" s="6">
        <f t="shared" si="28"/>
        <v>-8.3133272484239226E-3</v>
      </c>
    </row>
    <row r="902" spans="1:4" x14ac:dyDescent="0.25">
      <c r="A902" t="s">
        <v>949</v>
      </c>
      <c r="B902">
        <v>45.9</v>
      </c>
      <c r="C902" s="6">
        <f t="shared" si="29"/>
        <v>3.937007874015741E-3</v>
      </c>
      <c r="D902" s="6">
        <f t="shared" si="28"/>
        <v>3.929278139889557E-3</v>
      </c>
    </row>
    <row r="903" spans="1:4" x14ac:dyDescent="0.25">
      <c r="A903" t="s">
        <v>950</v>
      </c>
      <c r="B903">
        <v>45.72</v>
      </c>
      <c r="C903" s="6">
        <f t="shared" si="29"/>
        <v>-2.1822849807445532E-2</v>
      </c>
      <c r="D903" s="6">
        <f t="shared" si="28"/>
        <v>-2.206449018410208E-2</v>
      </c>
    </row>
    <row r="904" spans="1:4" x14ac:dyDescent="0.25">
      <c r="A904" t="s">
        <v>951</v>
      </c>
      <c r="B904">
        <v>46.74</v>
      </c>
      <c r="C904" s="6">
        <f t="shared" si="29"/>
        <v>-1.454775458570523E-2</v>
      </c>
      <c r="D904" s="6">
        <f t="shared" si="28"/>
        <v>-1.4654610778778424E-2</v>
      </c>
    </row>
    <row r="905" spans="1:4" x14ac:dyDescent="0.25">
      <c r="A905" t="s">
        <v>952</v>
      </c>
      <c r="B905">
        <v>47.43</v>
      </c>
      <c r="C905" s="6">
        <f t="shared" si="29"/>
        <v>-3.0061349693251471E-2</v>
      </c>
      <c r="D905" s="6">
        <f t="shared" si="28"/>
        <v>-3.0522456591335935E-2</v>
      </c>
    </row>
    <row r="906" spans="1:4" x14ac:dyDescent="0.25">
      <c r="A906" t="s">
        <v>953</v>
      </c>
      <c r="B906">
        <v>48.9</v>
      </c>
      <c r="C906" s="6">
        <f t="shared" si="29"/>
        <v>-9.9210366470945388E-3</v>
      </c>
      <c r="D906" s="6">
        <f t="shared" si="28"/>
        <v>-9.9705780717071132E-3</v>
      </c>
    </row>
    <row r="907" spans="1:4" x14ac:dyDescent="0.25">
      <c r="A907" t="s">
        <v>954</v>
      </c>
      <c r="B907">
        <v>49.39</v>
      </c>
      <c r="C907" s="6">
        <f t="shared" si="29"/>
        <v>1.271273323764599E-2</v>
      </c>
      <c r="D907" s="6">
        <f t="shared" si="28"/>
        <v>1.2632604830572136E-2</v>
      </c>
    </row>
    <row r="908" spans="1:4" x14ac:dyDescent="0.25">
      <c r="A908" t="s">
        <v>955</v>
      </c>
      <c r="B908">
        <v>48.77</v>
      </c>
      <c r="C908" s="6">
        <f t="shared" si="29"/>
        <v>5.3597196454340246E-3</v>
      </c>
      <c r="D908" s="6">
        <f t="shared" si="28"/>
        <v>5.3454074648361556E-3</v>
      </c>
    </row>
    <row r="909" spans="1:4" x14ac:dyDescent="0.25">
      <c r="A909" t="s">
        <v>956</v>
      </c>
      <c r="B909">
        <v>48.51</v>
      </c>
      <c r="C909" s="6">
        <f t="shared" si="29"/>
        <v>-2.6490066225165587E-2</v>
      </c>
      <c r="D909" s="6">
        <f t="shared" si="28"/>
        <v>-2.6847250036188052E-2</v>
      </c>
    </row>
    <row r="910" spans="1:4" x14ac:dyDescent="0.25">
      <c r="A910" t="s">
        <v>957</v>
      </c>
      <c r="B910">
        <v>49.83</v>
      </c>
      <c r="C910" s="6">
        <f t="shared" si="29"/>
        <v>-3.200640128025678E-3</v>
      </c>
      <c r="D910" s="6">
        <f t="shared" si="28"/>
        <v>-3.2057731321658688E-3</v>
      </c>
    </row>
    <row r="911" spans="1:4" x14ac:dyDescent="0.25">
      <c r="A911" t="s">
        <v>958</v>
      </c>
      <c r="B911">
        <v>49.99</v>
      </c>
      <c r="C911" s="6">
        <f t="shared" si="29"/>
        <v>2.3755887773909468E-2</v>
      </c>
      <c r="D911" s="6">
        <f t="shared" si="28"/>
        <v>2.3478107351910086E-2</v>
      </c>
    </row>
    <row r="912" spans="1:4" x14ac:dyDescent="0.25">
      <c r="A912" t="s">
        <v>959</v>
      </c>
      <c r="B912">
        <v>48.83</v>
      </c>
      <c r="C912" s="6">
        <f t="shared" si="29"/>
        <v>-3.4693877551020824E-3</v>
      </c>
      <c r="D912" s="6">
        <f t="shared" si="28"/>
        <v>-3.4754200370577617E-3</v>
      </c>
    </row>
    <row r="913" spans="1:4" x14ac:dyDescent="0.25">
      <c r="A913" t="s">
        <v>960</v>
      </c>
      <c r="B913">
        <v>49</v>
      </c>
      <c r="C913" s="6">
        <f t="shared" si="29"/>
        <v>2.2499488647984567E-3</v>
      </c>
      <c r="D913" s="6">
        <f t="shared" si="28"/>
        <v>2.2474215200723527E-3</v>
      </c>
    </row>
    <row r="914" spans="1:4" x14ac:dyDescent="0.25">
      <c r="A914" t="s">
        <v>961</v>
      </c>
      <c r="B914">
        <v>48.89</v>
      </c>
      <c r="C914" s="6">
        <f t="shared" si="29"/>
        <v>-2.8611166302404123E-2</v>
      </c>
      <c r="D914" s="6">
        <f t="shared" si="28"/>
        <v>-2.9028444197714429E-2</v>
      </c>
    </row>
    <row r="915" spans="1:4" x14ac:dyDescent="0.25">
      <c r="A915" t="s">
        <v>962</v>
      </c>
      <c r="B915">
        <v>50.33</v>
      </c>
      <c r="C915" s="6">
        <f t="shared" si="29"/>
        <v>6.5999999999999392E-3</v>
      </c>
      <c r="D915" s="6">
        <f t="shared" si="28"/>
        <v>6.5783153601225068E-3</v>
      </c>
    </row>
    <row r="916" spans="1:4" x14ac:dyDescent="0.25">
      <c r="A916" t="s">
        <v>963</v>
      </c>
      <c r="B916">
        <v>50</v>
      </c>
      <c r="C916" s="6">
        <f t="shared" si="29"/>
        <v>-1.302803000394781E-2</v>
      </c>
      <c r="D916" s="6">
        <f t="shared" si="28"/>
        <v>-1.3113639145383025E-2</v>
      </c>
    </row>
    <row r="917" spans="1:4" x14ac:dyDescent="0.25">
      <c r="A917" t="s">
        <v>964</v>
      </c>
      <c r="B917">
        <v>50.66</v>
      </c>
      <c r="C917" s="6">
        <f t="shared" si="29"/>
        <v>3.3670033670032407E-3</v>
      </c>
      <c r="D917" s="6">
        <f t="shared" si="28"/>
        <v>3.3613477027047063E-3</v>
      </c>
    </row>
    <row r="918" spans="1:4" x14ac:dyDescent="0.25">
      <c r="A918" t="s">
        <v>965</v>
      </c>
      <c r="B918">
        <v>50.49</v>
      </c>
      <c r="C918" s="6">
        <f t="shared" si="29"/>
        <v>8.3882564409827332E-3</v>
      </c>
      <c r="D918" s="6">
        <f t="shared" si="28"/>
        <v>8.3532705289710383E-3</v>
      </c>
    </row>
    <row r="919" spans="1:4" x14ac:dyDescent="0.25">
      <c r="A919" t="s">
        <v>966</v>
      </c>
      <c r="B919">
        <v>50.07</v>
      </c>
      <c r="C919" s="6">
        <f t="shared" si="29"/>
        <v>-2.9086678301337932E-2</v>
      </c>
      <c r="D919" s="6">
        <f t="shared" si="28"/>
        <v>-2.9518081721014122E-2</v>
      </c>
    </row>
    <row r="920" spans="1:4" x14ac:dyDescent="0.25">
      <c r="A920" t="s">
        <v>967</v>
      </c>
      <c r="B920">
        <v>51.57</v>
      </c>
      <c r="C920" s="6">
        <f t="shared" si="29"/>
        <v>5.851375073142151E-3</v>
      </c>
      <c r="D920" s="6">
        <f t="shared" si="28"/>
        <v>5.8343222672583286E-3</v>
      </c>
    </row>
    <row r="921" spans="1:4" x14ac:dyDescent="0.25">
      <c r="A921" t="s">
        <v>968</v>
      </c>
      <c r="B921">
        <v>51.27</v>
      </c>
      <c r="C921" s="6">
        <f t="shared" si="29"/>
        <v>-3.1545145447676504E-2</v>
      </c>
      <c r="D921" s="6">
        <f t="shared" si="28"/>
        <v>-3.2053411003345883E-2</v>
      </c>
    </row>
    <row r="922" spans="1:4" x14ac:dyDescent="0.25">
      <c r="A922" t="s">
        <v>969</v>
      </c>
      <c r="B922">
        <v>52.94</v>
      </c>
      <c r="C922" s="6">
        <f t="shared" si="29"/>
        <v>2.4182627200619145E-2</v>
      </c>
      <c r="D922" s="6">
        <f t="shared" si="28"/>
        <v>2.3894857591007332E-2</v>
      </c>
    </row>
    <row r="923" spans="1:4" x14ac:dyDescent="0.25">
      <c r="A923" t="s">
        <v>970</v>
      </c>
      <c r="B923">
        <v>51.69</v>
      </c>
      <c r="C923" s="6">
        <f t="shared" si="29"/>
        <v>2.1326095385807431E-3</v>
      </c>
      <c r="D923" s="6">
        <f t="shared" si="28"/>
        <v>2.1303387547491237E-3</v>
      </c>
    </row>
    <row r="924" spans="1:4" x14ac:dyDescent="0.25">
      <c r="A924" t="s">
        <v>971</v>
      </c>
      <c r="B924">
        <v>51.58</v>
      </c>
      <c r="C924" s="6">
        <f t="shared" si="29"/>
        <v>1.3757861635220081E-2</v>
      </c>
      <c r="D924" s="6">
        <f t="shared" si="28"/>
        <v>1.3664081421331971E-2</v>
      </c>
    </row>
    <row r="925" spans="1:4" x14ac:dyDescent="0.25">
      <c r="A925" t="s">
        <v>972</v>
      </c>
      <c r="B925">
        <v>50.88</v>
      </c>
      <c r="C925" s="6">
        <f t="shared" si="29"/>
        <v>-4.3052837573385183E-3</v>
      </c>
      <c r="D925" s="6">
        <f t="shared" si="28"/>
        <v>-4.3145781777920115E-3</v>
      </c>
    </row>
    <row r="926" spans="1:4" x14ac:dyDescent="0.25">
      <c r="A926" t="s">
        <v>973</v>
      </c>
      <c r="B926">
        <v>51.1</v>
      </c>
      <c r="C926" s="6">
        <f t="shared" si="29"/>
        <v>-1.7307692307692246E-2</v>
      </c>
      <c r="D926" s="6">
        <f t="shared" si="28"/>
        <v>-1.7459221371768543E-2</v>
      </c>
    </row>
    <row r="927" spans="1:4" x14ac:dyDescent="0.25">
      <c r="A927" t="s">
        <v>974</v>
      </c>
      <c r="B927">
        <v>52</v>
      </c>
      <c r="C927" s="6">
        <f t="shared" si="29"/>
        <v>6.1919504643963563E-3</v>
      </c>
      <c r="D927" s="6">
        <f t="shared" si="28"/>
        <v>6.1728591070810161E-3</v>
      </c>
    </row>
    <row r="928" spans="1:4" x14ac:dyDescent="0.25">
      <c r="A928" t="s">
        <v>975</v>
      </c>
      <c r="B928">
        <v>51.68</v>
      </c>
      <c r="C928" s="6">
        <f t="shared" si="29"/>
        <v>3.3186725309875875E-2</v>
      </c>
      <c r="D928" s="6">
        <f t="shared" si="28"/>
        <v>3.2647934024873246E-2</v>
      </c>
    </row>
    <row r="929" spans="1:4" x14ac:dyDescent="0.25">
      <c r="A929" t="s">
        <v>976</v>
      </c>
      <c r="B929">
        <v>50.02</v>
      </c>
      <c r="C929" s="6">
        <f t="shared" si="29"/>
        <v>5.6292722155206754E-3</v>
      </c>
      <c r="D929" s="6">
        <f t="shared" si="28"/>
        <v>5.6134870742143546E-3</v>
      </c>
    </row>
    <row r="930" spans="1:4" x14ac:dyDescent="0.25">
      <c r="A930" t="s">
        <v>977</v>
      </c>
      <c r="B930">
        <v>49.74</v>
      </c>
      <c r="C930" s="6">
        <f t="shared" si="29"/>
        <v>-3.1353456669912405E-2</v>
      </c>
      <c r="D930" s="6">
        <f t="shared" si="28"/>
        <v>-3.1855497999308667E-2</v>
      </c>
    </row>
    <row r="931" spans="1:4" x14ac:dyDescent="0.25">
      <c r="A931" t="s">
        <v>978</v>
      </c>
      <c r="B931">
        <v>51.35</v>
      </c>
      <c r="C931" s="6">
        <f t="shared" si="29"/>
        <v>1.2221565148827107E-2</v>
      </c>
      <c r="D931" s="6">
        <f t="shared" si="28"/>
        <v>1.2147484795968598E-2</v>
      </c>
    </row>
    <row r="932" spans="1:4" x14ac:dyDescent="0.25">
      <c r="A932" t="s">
        <v>979</v>
      </c>
      <c r="B932">
        <v>50.73</v>
      </c>
      <c r="C932" s="6">
        <f t="shared" si="29"/>
        <v>-7.8786685050236116E-4</v>
      </c>
      <c r="D932" s="6">
        <f t="shared" si="28"/>
        <v>-7.8817738070443611E-4</v>
      </c>
    </row>
    <row r="933" spans="1:4" x14ac:dyDescent="0.25">
      <c r="A933" t="s">
        <v>980</v>
      </c>
      <c r="B933">
        <v>50.77</v>
      </c>
      <c r="C933" s="6">
        <f t="shared" si="29"/>
        <v>-5.2899686520375688E-3</v>
      </c>
      <c r="D933" s="6">
        <f t="shared" si="28"/>
        <v>-5.3040100772314301E-3</v>
      </c>
    </row>
    <row r="934" spans="1:4" x14ac:dyDescent="0.25">
      <c r="A934" t="s">
        <v>981</v>
      </c>
      <c r="B934">
        <v>51.04</v>
      </c>
      <c r="C934" s="6">
        <f t="shared" si="29"/>
        <v>1.2899384798571223E-2</v>
      </c>
      <c r="D934" s="6">
        <f t="shared" si="28"/>
        <v>1.2816896344027794E-2</v>
      </c>
    </row>
    <row r="935" spans="1:4" x14ac:dyDescent="0.25">
      <c r="A935" t="s">
        <v>982</v>
      </c>
      <c r="B935">
        <v>50.39</v>
      </c>
      <c r="C935" s="6">
        <f t="shared" si="29"/>
        <v>-2.8907303912121818E-2</v>
      </c>
      <c r="D935" s="6">
        <f t="shared" si="28"/>
        <v>-2.9333350687141563E-2</v>
      </c>
    </row>
    <row r="936" spans="1:4" x14ac:dyDescent="0.25">
      <c r="A936" t="s">
        <v>983</v>
      </c>
      <c r="B936">
        <v>51.89</v>
      </c>
      <c r="C936" s="6">
        <f t="shared" si="29"/>
        <v>-8.5976308750478347E-3</v>
      </c>
      <c r="D936" s="6">
        <f t="shared" si="28"/>
        <v>-8.6348037223516038E-3</v>
      </c>
    </row>
    <row r="937" spans="1:4" x14ac:dyDescent="0.25">
      <c r="A937" t="s">
        <v>984</v>
      </c>
      <c r="B937">
        <v>52.34</v>
      </c>
      <c r="C937" s="6">
        <f t="shared" si="29"/>
        <v>-1.3356229727150559E-3</v>
      </c>
      <c r="D937" s="6">
        <f t="shared" si="28"/>
        <v>-1.3365157120750145E-3</v>
      </c>
    </row>
    <row r="938" spans="1:4" x14ac:dyDescent="0.25">
      <c r="A938" t="s">
        <v>985</v>
      </c>
      <c r="B938">
        <v>52.41</v>
      </c>
      <c r="C938" s="6">
        <f t="shared" si="29"/>
        <v>-1.9043991620644185E-3</v>
      </c>
      <c r="D938" s="6">
        <f t="shared" si="28"/>
        <v>-1.9062148356930827E-3</v>
      </c>
    </row>
    <row r="939" spans="1:4" x14ac:dyDescent="0.25">
      <c r="A939" t="s">
        <v>986</v>
      </c>
      <c r="B939">
        <v>52.51</v>
      </c>
      <c r="C939" s="6">
        <f t="shared" si="29"/>
        <v>1.1439466158245093E-3</v>
      </c>
      <c r="D939" s="6">
        <f t="shared" si="28"/>
        <v>1.1432928074616537E-3</v>
      </c>
    </row>
    <row r="940" spans="1:4" x14ac:dyDescent="0.25">
      <c r="A940" t="s">
        <v>987</v>
      </c>
      <c r="B940">
        <v>52.45</v>
      </c>
      <c r="C940" s="6">
        <f t="shared" si="29"/>
        <v>1.1376783648283872E-2</v>
      </c>
      <c r="D940" s="6">
        <f t="shared" si="28"/>
        <v>1.1312554731787886E-2</v>
      </c>
    </row>
    <row r="941" spans="1:4" x14ac:dyDescent="0.25">
      <c r="A941" t="s">
        <v>988</v>
      </c>
      <c r="B941">
        <v>51.86</v>
      </c>
      <c r="C941" s="6">
        <f t="shared" si="29"/>
        <v>-3.5701004090740063E-2</v>
      </c>
      <c r="D941" s="6">
        <f t="shared" si="28"/>
        <v>-3.6353870730200293E-2</v>
      </c>
    </row>
    <row r="942" spans="1:4" x14ac:dyDescent="0.25">
      <c r="A942" t="s">
        <v>989</v>
      </c>
      <c r="B942">
        <v>53.78</v>
      </c>
      <c r="C942" s="6">
        <f t="shared" si="29"/>
        <v>1.4908473296848523E-2</v>
      </c>
      <c r="D942" s="6">
        <f t="shared" si="28"/>
        <v>1.4798434336047958E-2</v>
      </c>
    </row>
    <row r="943" spans="1:4" x14ac:dyDescent="0.25">
      <c r="A943" t="s">
        <v>990</v>
      </c>
      <c r="B943">
        <v>52.99</v>
      </c>
      <c r="C943" s="6">
        <f t="shared" si="29"/>
        <v>-1.724777448071213E-2</v>
      </c>
      <c r="D943" s="6">
        <f t="shared" si="28"/>
        <v>-1.7398250099380844E-2</v>
      </c>
    </row>
    <row r="944" spans="1:4" x14ac:dyDescent="0.25">
      <c r="A944" t="s">
        <v>991</v>
      </c>
      <c r="B944">
        <v>53.92</v>
      </c>
      <c r="C944" s="6">
        <f t="shared" si="29"/>
        <v>-5.8997050147492347E-3</v>
      </c>
      <c r="D944" s="6">
        <f t="shared" si="28"/>
        <v>-5.9171770280885072E-3</v>
      </c>
    </row>
    <row r="945" spans="1:4" x14ac:dyDescent="0.25">
      <c r="A945" t="s">
        <v>992</v>
      </c>
      <c r="B945">
        <v>54.24</v>
      </c>
      <c r="C945" s="6">
        <f t="shared" si="29"/>
        <v>-2.093862815884473E-2</v>
      </c>
      <c r="D945" s="6">
        <f t="shared" si="28"/>
        <v>-2.1160950121097959E-2</v>
      </c>
    </row>
    <row r="946" spans="1:4" x14ac:dyDescent="0.25">
      <c r="A946" t="s">
        <v>993</v>
      </c>
      <c r="B946">
        <v>55.4</v>
      </c>
      <c r="C946" s="6">
        <f t="shared" si="29"/>
        <v>-1.282965074839626E-2</v>
      </c>
      <c r="D946" s="6">
        <f t="shared" si="28"/>
        <v>-1.291266148102203E-2</v>
      </c>
    </row>
    <row r="947" spans="1:4" x14ac:dyDescent="0.25">
      <c r="A947" t="s">
        <v>994</v>
      </c>
      <c r="B947">
        <v>56.12</v>
      </c>
      <c r="C947" s="6">
        <f t="shared" si="29"/>
        <v>-3.3741786538803442E-3</v>
      </c>
      <c r="D947" s="6">
        <f t="shared" ref="D947:D1010" si="30">LN(B947/B948)</f>
        <v>-3.3798840322669908E-3</v>
      </c>
    </row>
    <row r="948" spans="1:4" x14ac:dyDescent="0.25">
      <c r="A948" t="s">
        <v>995</v>
      </c>
      <c r="B948">
        <v>56.31</v>
      </c>
      <c r="C948" s="6">
        <f t="shared" ref="C948:C1011" si="31">(B948/B949)-1</f>
        <v>1.5326361341507333E-2</v>
      </c>
      <c r="D948" s="6">
        <f t="shared" si="30"/>
        <v>1.5210099078895105E-2</v>
      </c>
    </row>
    <row r="949" spans="1:4" x14ac:dyDescent="0.25">
      <c r="A949" t="s">
        <v>996</v>
      </c>
      <c r="B949">
        <v>55.46</v>
      </c>
      <c r="C949" s="6">
        <f t="shared" si="31"/>
        <v>-1.4404033129276073E-3</v>
      </c>
      <c r="D949" s="6">
        <f t="shared" si="30"/>
        <v>-1.4414416910214982E-3</v>
      </c>
    </row>
    <row r="950" spans="1:4" x14ac:dyDescent="0.25">
      <c r="A950" t="s">
        <v>997</v>
      </c>
      <c r="B950">
        <v>55.54</v>
      </c>
      <c r="C950" s="6">
        <f t="shared" si="31"/>
        <v>1.0921004732435513E-2</v>
      </c>
      <c r="D950" s="6">
        <f t="shared" si="30"/>
        <v>1.0861801211525812E-2</v>
      </c>
    </row>
    <row r="951" spans="1:4" x14ac:dyDescent="0.25">
      <c r="A951" t="s">
        <v>998</v>
      </c>
      <c r="B951">
        <v>54.94</v>
      </c>
      <c r="C951" s="6">
        <f t="shared" si="31"/>
        <v>3.0962657158941642E-2</v>
      </c>
      <c r="D951" s="6">
        <f t="shared" si="30"/>
        <v>3.0492984358436916E-2</v>
      </c>
    </row>
    <row r="952" spans="1:4" x14ac:dyDescent="0.25">
      <c r="A952" t="s">
        <v>999</v>
      </c>
      <c r="B952">
        <v>53.29</v>
      </c>
      <c r="C952" s="6">
        <f t="shared" si="31"/>
        <v>3.3954210322080014E-2</v>
      </c>
      <c r="D952" s="6">
        <f t="shared" si="30"/>
        <v>3.3390491084471959E-2</v>
      </c>
    </row>
    <row r="953" spans="1:4" x14ac:dyDescent="0.25">
      <c r="A953" t="s">
        <v>1000</v>
      </c>
      <c r="B953">
        <v>51.54</v>
      </c>
      <c r="C953" s="6">
        <f t="shared" si="31"/>
        <v>-2.5893025893025889E-2</v>
      </c>
      <c r="D953" s="6">
        <f t="shared" si="30"/>
        <v>-2.6234151691821347E-2</v>
      </c>
    </row>
    <row r="954" spans="1:4" x14ac:dyDescent="0.25">
      <c r="A954" t="s">
        <v>1001</v>
      </c>
      <c r="B954">
        <v>52.91</v>
      </c>
      <c r="C954" s="6">
        <f t="shared" si="31"/>
        <v>1.5142911224683697E-3</v>
      </c>
      <c r="D954" s="6">
        <f t="shared" si="30"/>
        <v>1.5131457398159685E-3</v>
      </c>
    </row>
    <row r="955" spans="1:4" x14ac:dyDescent="0.25">
      <c r="A955" t="s">
        <v>1002</v>
      </c>
      <c r="B955">
        <v>52.83</v>
      </c>
      <c r="C955" s="6">
        <f t="shared" si="31"/>
        <v>-9.4553706505307034E-4</v>
      </c>
      <c r="D955" s="6">
        <f t="shared" si="30"/>
        <v>-9.4598436720650335E-4</v>
      </c>
    </row>
    <row r="956" spans="1:4" x14ac:dyDescent="0.25">
      <c r="A956" t="s">
        <v>1003</v>
      </c>
      <c r="B956">
        <v>52.88</v>
      </c>
      <c r="C956" s="6">
        <f t="shared" si="31"/>
        <v>-1.6990749480837453E-3</v>
      </c>
      <c r="D956" s="6">
        <f t="shared" si="30"/>
        <v>-1.7005200130043891E-3</v>
      </c>
    </row>
    <row r="957" spans="1:4" x14ac:dyDescent="0.25">
      <c r="A957" t="s">
        <v>1004</v>
      </c>
      <c r="B957">
        <v>52.97</v>
      </c>
      <c r="C957" s="6">
        <f t="shared" si="31"/>
        <v>-3.0208714756499444E-2</v>
      </c>
      <c r="D957" s="6">
        <f t="shared" si="30"/>
        <v>-3.0674400489123631E-2</v>
      </c>
    </row>
    <row r="958" spans="1:4" x14ac:dyDescent="0.25">
      <c r="A958" t="s">
        <v>1005</v>
      </c>
      <c r="B958">
        <v>54.62</v>
      </c>
      <c r="C958" s="6">
        <f t="shared" si="31"/>
        <v>1.3170098312001555E-2</v>
      </c>
      <c r="D958" s="6">
        <f t="shared" si="30"/>
        <v>1.3084126581981655E-2</v>
      </c>
    </row>
    <row r="959" spans="1:4" x14ac:dyDescent="0.25">
      <c r="A959" t="s">
        <v>1006</v>
      </c>
      <c r="B959">
        <v>53.91</v>
      </c>
      <c r="C959" s="6">
        <f t="shared" si="31"/>
        <v>2.4126139817629122E-2</v>
      </c>
      <c r="D959" s="6">
        <f t="shared" si="30"/>
        <v>2.3839702446515548E-2</v>
      </c>
    </row>
    <row r="960" spans="1:4" x14ac:dyDescent="0.25">
      <c r="A960" t="s">
        <v>1007</v>
      </c>
      <c r="B960">
        <v>52.64</v>
      </c>
      <c r="C960" s="6">
        <f t="shared" si="31"/>
        <v>-2.4643320363164745E-2</v>
      </c>
      <c r="D960" s="6">
        <f t="shared" si="30"/>
        <v>-2.495204961348969E-2</v>
      </c>
    </row>
    <row r="961" spans="1:4" x14ac:dyDescent="0.25">
      <c r="A961" t="s">
        <v>1008</v>
      </c>
      <c r="B961">
        <v>53.97</v>
      </c>
      <c r="C961" s="6">
        <f t="shared" si="31"/>
        <v>-4.5116772823779239E-2</v>
      </c>
      <c r="D961" s="6">
        <f t="shared" si="30"/>
        <v>-4.6166221185775312E-2</v>
      </c>
    </row>
    <row r="962" spans="1:4" x14ac:dyDescent="0.25">
      <c r="A962" t="s">
        <v>1009</v>
      </c>
      <c r="B962">
        <v>56.52</v>
      </c>
      <c r="C962" s="6">
        <f t="shared" si="31"/>
        <v>-5.151871119315321E-2</v>
      </c>
      <c r="D962" s="6">
        <f t="shared" si="30"/>
        <v>-5.2893216942560842E-2</v>
      </c>
    </row>
    <row r="963" spans="1:4" x14ac:dyDescent="0.25">
      <c r="A963" t="s">
        <v>1010</v>
      </c>
      <c r="B963">
        <v>59.59</v>
      </c>
      <c r="C963" s="6">
        <f t="shared" si="31"/>
        <v>3.6347826086956525E-2</v>
      </c>
      <c r="D963" s="6">
        <f t="shared" si="30"/>
        <v>3.570282695558278E-2</v>
      </c>
    </row>
    <row r="964" spans="1:4" x14ac:dyDescent="0.25">
      <c r="A964" t="s">
        <v>1011</v>
      </c>
      <c r="B964">
        <v>57.5</v>
      </c>
      <c r="C964" s="6">
        <f t="shared" si="31"/>
        <v>2.4407252440725724E-3</v>
      </c>
      <c r="D964" s="6">
        <f t="shared" si="30"/>
        <v>2.4377515119398852E-3</v>
      </c>
    </row>
    <row r="965" spans="1:4" x14ac:dyDescent="0.25">
      <c r="A965" t="s">
        <v>1012</v>
      </c>
      <c r="B965">
        <v>57.36</v>
      </c>
      <c r="C965" s="6">
        <f t="shared" si="31"/>
        <v>5.9628200631356432E-3</v>
      </c>
      <c r="D965" s="6">
        <f t="shared" si="30"/>
        <v>5.9451128068388863E-3</v>
      </c>
    </row>
    <row r="966" spans="1:4" x14ac:dyDescent="0.25">
      <c r="A966" t="s">
        <v>1013</v>
      </c>
      <c r="B966">
        <v>57.02</v>
      </c>
      <c r="C966" s="6">
        <f t="shared" si="31"/>
        <v>1.441024728695961E-2</v>
      </c>
      <c r="D966" s="6">
        <f t="shared" si="30"/>
        <v>1.4307406470542319E-2</v>
      </c>
    </row>
    <row r="967" spans="1:4" x14ac:dyDescent="0.25">
      <c r="A967" t="s">
        <v>1014</v>
      </c>
      <c r="B967">
        <v>56.21</v>
      </c>
      <c r="C967" s="6">
        <f t="shared" si="31"/>
        <v>-1.2993854258121162E-2</v>
      </c>
      <c r="D967" s="6">
        <f t="shared" si="30"/>
        <v>-1.3079012879207539E-2</v>
      </c>
    </row>
    <row r="968" spans="1:4" x14ac:dyDescent="0.25">
      <c r="A968" t="s">
        <v>1015</v>
      </c>
      <c r="B968">
        <v>56.95</v>
      </c>
      <c r="C968" s="6">
        <f t="shared" si="31"/>
        <v>-1.504669664475955E-2</v>
      </c>
      <c r="D968" s="6">
        <f t="shared" si="30"/>
        <v>-1.5161046695008807E-2</v>
      </c>
    </row>
    <row r="969" spans="1:4" x14ac:dyDescent="0.25">
      <c r="A969" t="s">
        <v>1016</v>
      </c>
      <c r="B969">
        <v>57.82</v>
      </c>
      <c r="C969" s="6">
        <f t="shared" si="31"/>
        <v>-1.0366275051831852E-3</v>
      </c>
      <c r="D969" s="6">
        <f t="shared" si="30"/>
        <v>-1.0371651750831577E-3</v>
      </c>
    </row>
    <row r="970" spans="1:4" x14ac:dyDescent="0.25">
      <c r="A970" t="s">
        <v>1017</v>
      </c>
      <c r="B970">
        <v>57.88</v>
      </c>
      <c r="C970" s="6">
        <f t="shared" si="31"/>
        <v>-4.1293874741912262E-3</v>
      </c>
      <c r="D970" s="6">
        <f t="shared" si="30"/>
        <v>-4.1379369387989397E-3</v>
      </c>
    </row>
    <row r="971" spans="1:4" x14ac:dyDescent="0.25">
      <c r="A971" t="s">
        <v>1018</v>
      </c>
      <c r="B971">
        <v>58.12</v>
      </c>
      <c r="C971" s="6">
        <f t="shared" si="31"/>
        <v>-1.717622810030961E-3</v>
      </c>
      <c r="D971" s="6">
        <f t="shared" si="30"/>
        <v>-1.7190996153950559E-3</v>
      </c>
    </row>
    <row r="972" spans="1:4" x14ac:dyDescent="0.25">
      <c r="A972" t="s">
        <v>1019</v>
      </c>
      <c r="B972">
        <v>58.22</v>
      </c>
      <c r="C972" s="6">
        <f t="shared" si="31"/>
        <v>-4.7863247863247915E-3</v>
      </c>
      <c r="D972" s="6">
        <f t="shared" si="30"/>
        <v>-4.7978159203336482E-3</v>
      </c>
    </row>
    <row r="973" spans="1:4" x14ac:dyDescent="0.25">
      <c r="A973" t="s">
        <v>1020</v>
      </c>
      <c r="B973">
        <v>58.5</v>
      </c>
      <c r="C973" s="6">
        <f t="shared" si="31"/>
        <v>3.6131774707757636E-2</v>
      </c>
      <c r="D973" s="6">
        <f t="shared" si="30"/>
        <v>3.5494331412467474E-2</v>
      </c>
    </row>
    <row r="974" spans="1:4" x14ac:dyDescent="0.25">
      <c r="A974" t="s">
        <v>1021</v>
      </c>
      <c r="B974">
        <v>56.46</v>
      </c>
      <c r="C974" s="6">
        <f t="shared" si="31"/>
        <v>3.0200746136082035E-3</v>
      </c>
      <c r="D974" s="6">
        <f t="shared" si="30"/>
        <v>3.0155233494081552E-3</v>
      </c>
    </row>
    <row r="975" spans="1:4" x14ac:dyDescent="0.25">
      <c r="A975" t="s">
        <v>1022</v>
      </c>
      <c r="B975">
        <v>56.29</v>
      </c>
      <c r="C975" s="6">
        <f t="shared" si="31"/>
        <v>2.6718916993231367E-3</v>
      </c>
      <c r="D975" s="6">
        <f t="shared" si="30"/>
        <v>2.6683285421987982E-3</v>
      </c>
    </row>
    <row r="976" spans="1:4" x14ac:dyDescent="0.25">
      <c r="A976" t="s">
        <v>1023</v>
      </c>
      <c r="B976">
        <v>56.14</v>
      </c>
      <c r="C976" s="6">
        <f t="shared" si="31"/>
        <v>4.2933810375671566E-3</v>
      </c>
      <c r="D976" s="6">
        <f t="shared" si="30"/>
        <v>4.2841907726830289E-3</v>
      </c>
    </row>
    <row r="977" spans="1:4" x14ac:dyDescent="0.25">
      <c r="A977" t="s">
        <v>1024</v>
      </c>
      <c r="B977">
        <v>55.9</v>
      </c>
      <c r="C977" s="6">
        <f t="shared" si="31"/>
        <v>-1.497797356828201E-2</v>
      </c>
      <c r="D977" s="6">
        <f t="shared" si="30"/>
        <v>-1.5091276200458654E-2</v>
      </c>
    </row>
    <row r="978" spans="1:4" x14ac:dyDescent="0.25">
      <c r="A978" t="s">
        <v>1025</v>
      </c>
      <c r="B978">
        <v>56.75</v>
      </c>
      <c r="C978" s="6">
        <f t="shared" si="31"/>
        <v>-1.0289501220788311E-2</v>
      </c>
      <c r="D978" s="6">
        <f t="shared" si="30"/>
        <v>-1.0342804093711751E-2</v>
      </c>
    </row>
    <row r="979" spans="1:4" x14ac:dyDescent="0.25">
      <c r="A979" t="s">
        <v>1026</v>
      </c>
      <c r="B979">
        <v>57.34</v>
      </c>
      <c r="C979" s="6">
        <f t="shared" si="31"/>
        <v>4.9071153172099979E-3</v>
      </c>
      <c r="D979" s="6">
        <f t="shared" si="30"/>
        <v>4.8951146698698817E-3</v>
      </c>
    </row>
    <row r="980" spans="1:4" x14ac:dyDescent="0.25">
      <c r="A980" t="s">
        <v>1027</v>
      </c>
      <c r="B980">
        <v>57.06</v>
      </c>
      <c r="C980" s="6">
        <f t="shared" si="31"/>
        <v>-7.3068893528183132E-3</v>
      </c>
      <c r="D980" s="6">
        <f t="shared" si="30"/>
        <v>-7.3337154254701801E-3</v>
      </c>
    </row>
    <row r="981" spans="1:4" x14ac:dyDescent="0.25">
      <c r="A981" t="s">
        <v>1028</v>
      </c>
      <c r="B981">
        <v>57.48</v>
      </c>
      <c r="C981" s="6">
        <f t="shared" si="31"/>
        <v>7.7138849929874187E-3</v>
      </c>
      <c r="D981" s="6">
        <f t="shared" si="30"/>
        <v>7.6842851047837215E-3</v>
      </c>
    </row>
    <row r="982" spans="1:4" x14ac:dyDescent="0.25">
      <c r="A982" t="s">
        <v>1029</v>
      </c>
      <c r="B982">
        <v>57.04</v>
      </c>
      <c r="C982" s="6">
        <f t="shared" si="31"/>
        <v>-2.9106382978723366E-2</v>
      </c>
      <c r="D982" s="6">
        <f t="shared" si="30"/>
        <v>-2.9538376918227808E-2</v>
      </c>
    </row>
    <row r="983" spans="1:4" x14ac:dyDescent="0.25">
      <c r="A983" t="s">
        <v>1030</v>
      </c>
      <c r="B983">
        <v>58.75</v>
      </c>
      <c r="C983" s="6">
        <f t="shared" si="31"/>
        <v>7.1493707824183961E-2</v>
      </c>
      <c r="D983" s="6">
        <f t="shared" si="30"/>
        <v>6.9053663608311361E-2</v>
      </c>
    </row>
    <row r="984" spans="1:4" x14ac:dyDescent="0.25">
      <c r="A984" t="s">
        <v>1031</v>
      </c>
      <c r="B984">
        <v>54.83</v>
      </c>
      <c r="C984" s="6">
        <f t="shared" si="31"/>
        <v>-1.0930952814720563E-3</v>
      </c>
      <c r="D984" s="6">
        <f t="shared" si="30"/>
        <v>-1.093693145840768E-3</v>
      </c>
    </row>
    <row r="985" spans="1:4" x14ac:dyDescent="0.25">
      <c r="A985" t="s">
        <v>1032</v>
      </c>
      <c r="B985">
        <v>54.89</v>
      </c>
      <c r="C985" s="6">
        <f t="shared" si="31"/>
        <v>5.4955119985344858E-3</v>
      </c>
      <c r="D985" s="6">
        <f t="shared" si="30"/>
        <v>5.4804667681315608E-3</v>
      </c>
    </row>
    <row r="986" spans="1:4" x14ac:dyDescent="0.25">
      <c r="A986" t="s">
        <v>1033</v>
      </c>
      <c r="B986">
        <v>54.59</v>
      </c>
      <c r="C986" s="6">
        <f t="shared" si="31"/>
        <v>2.5934974628829321E-2</v>
      </c>
      <c r="D986" s="6">
        <f t="shared" si="30"/>
        <v>2.5604367185388457E-2</v>
      </c>
    </row>
    <row r="987" spans="1:4" x14ac:dyDescent="0.25">
      <c r="A987" t="s">
        <v>1034</v>
      </c>
      <c r="B987">
        <v>53.21</v>
      </c>
      <c r="C987" s="6">
        <f t="shared" si="31"/>
        <v>5.8601134215501283E-3</v>
      </c>
      <c r="D987" s="6">
        <f t="shared" si="30"/>
        <v>5.8430097440242646E-3</v>
      </c>
    </row>
    <row r="988" spans="1:4" x14ac:dyDescent="0.25">
      <c r="A988" t="s">
        <v>1035</v>
      </c>
      <c r="B988">
        <v>52.9</v>
      </c>
      <c r="C988" s="6">
        <f t="shared" si="31"/>
        <v>1.8482864844050928E-2</v>
      </c>
      <c r="D988" s="6">
        <f t="shared" si="30"/>
        <v>1.8314132629651411E-2</v>
      </c>
    </row>
    <row r="989" spans="1:4" x14ac:dyDescent="0.25">
      <c r="A989" t="s">
        <v>1036</v>
      </c>
      <c r="B989">
        <v>51.94</v>
      </c>
      <c r="C989" s="6">
        <f t="shared" si="31"/>
        <v>-1.4421252371916604E-2</v>
      </c>
      <c r="D989" s="6">
        <f t="shared" si="30"/>
        <v>-1.4526249312714354E-2</v>
      </c>
    </row>
    <row r="990" spans="1:4" x14ac:dyDescent="0.25">
      <c r="A990" t="s">
        <v>1037</v>
      </c>
      <c r="B990">
        <v>52.7</v>
      </c>
      <c r="C990" s="6">
        <f t="shared" si="31"/>
        <v>2.9296875E-2</v>
      </c>
      <c r="D990" s="6">
        <f t="shared" si="30"/>
        <v>2.8875923501854542E-2</v>
      </c>
    </row>
    <row r="991" spans="1:4" x14ac:dyDescent="0.25">
      <c r="A991" t="s">
        <v>1038</v>
      </c>
      <c r="B991">
        <v>51.2</v>
      </c>
      <c r="C991" s="6">
        <f t="shared" si="31"/>
        <v>2.0937188434696052E-2</v>
      </c>
      <c r="D991" s="6">
        <f t="shared" si="30"/>
        <v>2.07210176375177E-2</v>
      </c>
    </row>
    <row r="992" spans="1:4" x14ac:dyDescent="0.25">
      <c r="A992" t="s">
        <v>1039</v>
      </c>
      <c r="B992">
        <v>50.15</v>
      </c>
      <c r="C992" s="6">
        <f t="shared" si="31"/>
        <v>-1.0262482731399292E-2</v>
      </c>
      <c r="D992" s="6">
        <f t="shared" si="30"/>
        <v>-1.0315505079873902E-2</v>
      </c>
    </row>
    <row r="993" spans="1:4" x14ac:dyDescent="0.25">
      <c r="A993" t="s">
        <v>1040</v>
      </c>
      <c r="B993">
        <v>50.67</v>
      </c>
      <c r="C993" s="6">
        <f t="shared" si="31"/>
        <v>3.5650623885918886E-3</v>
      </c>
      <c r="D993" s="6">
        <f t="shared" si="30"/>
        <v>3.5587226169941544E-3</v>
      </c>
    </row>
    <row r="994" spans="1:4" x14ac:dyDescent="0.25">
      <c r="A994" t="s">
        <v>1041</v>
      </c>
      <c r="B994">
        <v>50.49</v>
      </c>
      <c r="C994" s="6">
        <f t="shared" si="31"/>
        <v>-6.2979728399921164E-3</v>
      </c>
      <c r="D994" s="6">
        <f t="shared" si="30"/>
        <v>-6.3178887348161843E-3</v>
      </c>
    </row>
    <row r="995" spans="1:4" x14ac:dyDescent="0.25">
      <c r="A995" t="s">
        <v>1042</v>
      </c>
      <c r="B995">
        <v>50.81</v>
      </c>
      <c r="C995" s="6">
        <f t="shared" si="31"/>
        <v>1.4982021574110993E-2</v>
      </c>
      <c r="D995" s="6">
        <f t="shared" si="30"/>
        <v>1.4870899602012298E-2</v>
      </c>
    </row>
    <row r="996" spans="1:4" x14ac:dyDescent="0.25">
      <c r="A996" t="s">
        <v>1043</v>
      </c>
      <c r="B996">
        <v>50.06</v>
      </c>
      <c r="C996" s="6">
        <f t="shared" si="31"/>
        <v>-8.5165379283026477E-3</v>
      </c>
      <c r="D996" s="6">
        <f t="shared" si="30"/>
        <v>-8.5530108671961879E-3</v>
      </c>
    </row>
    <row r="997" spans="1:4" x14ac:dyDescent="0.25">
      <c r="A997" t="s">
        <v>1044</v>
      </c>
      <c r="B997">
        <v>50.49</v>
      </c>
      <c r="C997" s="6">
        <f t="shared" si="31"/>
        <v>7.9856258734278818E-3</v>
      </c>
      <c r="D997" s="6">
        <f t="shared" si="30"/>
        <v>7.9539095012989506E-3</v>
      </c>
    </row>
    <row r="998" spans="1:4" x14ac:dyDescent="0.25">
      <c r="A998" t="s">
        <v>1045</v>
      </c>
      <c r="B998">
        <v>50.09</v>
      </c>
      <c r="C998" s="6">
        <f t="shared" si="31"/>
        <v>-6.545021816739327E-3</v>
      </c>
      <c r="D998" s="6">
        <f t="shared" si="30"/>
        <v>-6.5665343902482718E-3</v>
      </c>
    </row>
    <row r="999" spans="1:4" x14ac:dyDescent="0.25">
      <c r="A999" t="s">
        <v>1046</v>
      </c>
      <c r="B999">
        <v>50.42</v>
      </c>
      <c r="C999" s="6">
        <f t="shared" si="31"/>
        <v>1.7558022199798184E-2</v>
      </c>
      <c r="D999" s="6">
        <f t="shared" si="30"/>
        <v>1.7405660983776772E-2</v>
      </c>
    </row>
    <row r="1000" spans="1:4" x14ac:dyDescent="0.25">
      <c r="A1000" t="s">
        <v>1047</v>
      </c>
      <c r="B1000">
        <v>49.55</v>
      </c>
      <c r="C1000" s="6">
        <f t="shared" si="31"/>
        <v>4.0379567938608751E-4</v>
      </c>
      <c r="D1000" s="6">
        <f t="shared" si="30"/>
        <v>4.0371417585052094E-4</v>
      </c>
    </row>
    <row r="1001" spans="1:4" x14ac:dyDescent="0.25">
      <c r="A1001" t="s">
        <v>1048</v>
      </c>
      <c r="B1001">
        <v>49.53</v>
      </c>
      <c r="C1001" s="6">
        <f t="shared" si="31"/>
        <v>-1.1377245508982003E-2</v>
      </c>
      <c r="D1001" s="6">
        <f t="shared" si="30"/>
        <v>-1.144246149067275E-2</v>
      </c>
    </row>
    <row r="1002" spans="1:4" x14ac:dyDescent="0.25">
      <c r="A1002" t="s">
        <v>1049</v>
      </c>
      <c r="B1002">
        <v>50.1</v>
      </c>
      <c r="C1002" s="6">
        <f t="shared" si="31"/>
        <v>-8.5097961606965811E-3</v>
      </c>
      <c r="D1002" s="6">
        <f t="shared" si="30"/>
        <v>-8.5462112129980616E-3</v>
      </c>
    </row>
    <row r="1003" spans="1:4" x14ac:dyDescent="0.25">
      <c r="A1003" t="s">
        <v>1050</v>
      </c>
      <c r="B1003">
        <v>50.53</v>
      </c>
      <c r="C1003" s="6">
        <f t="shared" si="31"/>
        <v>-2.7629761199920999E-3</v>
      </c>
      <c r="D1003" s="6">
        <f t="shared" si="30"/>
        <v>-2.7668001840011791E-3</v>
      </c>
    </row>
    <row r="1004" spans="1:4" x14ac:dyDescent="0.25">
      <c r="A1004" t="s">
        <v>1051</v>
      </c>
      <c r="B1004">
        <v>50.67</v>
      </c>
      <c r="C1004" s="6">
        <f t="shared" si="31"/>
        <v>-1.9696671262556809E-3</v>
      </c>
      <c r="D1004" s="6">
        <f t="shared" si="30"/>
        <v>-1.9716094714845832E-3</v>
      </c>
    </row>
    <row r="1005" spans="1:4" x14ac:dyDescent="0.25">
      <c r="A1005" t="s">
        <v>1052</v>
      </c>
      <c r="B1005">
        <v>50.77</v>
      </c>
      <c r="C1005" s="6">
        <f t="shared" si="31"/>
        <v>7.1414401904386082E-3</v>
      </c>
      <c r="D1005" s="6">
        <f t="shared" si="30"/>
        <v>7.116060864763689E-3</v>
      </c>
    </row>
    <row r="1006" spans="1:4" x14ac:dyDescent="0.25">
      <c r="A1006" t="s">
        <v>1053</v>
      </c>
      <c r="B1006">
        <v>50.41</v>
      </c>
      <c r="C1006" s="6">
        <f t="shared" si="31"/>
        <v>-6.3079045929430588E-3</v>
      </c>
      <c r="D1006" s="6">
        <f t="shared" si="30"/>
        <v>-6.3278834840591741E-3</v>
      </c>
    </row>
    <row r="1007" spans="1:4" x14ac:dyDescent="0.25">
      <c r="A1007" t="s">
        <v>1054</v>
      </c>
      <c r="B1007">
        <v>50.73</v>
      </c>
      <c r="C1007" s="6">
        <f t="shared" si="31"/>
        <v>-4.5133437990582115E-3</v>
      </c>
      <c r="D1007" s="6">
        <f t="shared" si="30"/>
        <v>-4.5235596853094124E-3</v>
      </c>
    </row>
    <row r="1008" spans="1:4" x14ac:dyDescent="0.25">
      <c r="A1008" t="s">
        <v>1055</v>
      </c>
      <c r="B1008">
        <v>50.96</v>
      </c>
      <c r="C1008" s="6">
        <f t="shared" si="31"/>
        <v>1.3927576601671321E-2</v>
      </c>
      <c r="D1008" s="6">
        <f t="shared" si="30"/>
        <v>1.3831479148461799E-2</v>
      </c>
    </row>
    <row r="1009" spans="1:4" x14ac:dyDescent="0.25">
      <c r="A1009" t="s">
        <v>1056</v>
      </c>
      <c r="B1009">
        <v>50.26</v>
      </c>
      <c r="C1009" s="6">
        <f t="shared" si="31"/>
        <v>-3.9923591212989606E-2</v>
      </c>
      <c r="D1009" s="6">
        <f t="shared" si="30"/>
        <v>-4.0742405201099861E-2</v>
      </c>
    </row>
    <row r="1010" spans="1:4" x14ac:dyDescent="0.25">
      <c r="A1010" t="s">
        <v>1057</v>
      </c>
      <c r="B1010">
        <v>52.35</v>
      </c>
      <c r="C1010" s="6">
        <f t="shared" si="31"/>
        <v>3.6223277909738671E-2</v>
      </c>
      <c r="D1010" s="6">
        <f t="shared" si="30"/>
        <v>3.5582639834255456E-2</v>
      </c>
    </row>
    <row r="1011" spans="1:4" x14ac:dyDescent="0.25">
      <c r="A1011" t="s">
        <v>1058</v>
      </c>
      <c r="B1011">
        <v>50.52</v>
      </c>
      <c r="C1011" s="6">
        <f t="shared" si="31"/>
        <v>-1.4436207569254678E-2</v>
      </c>
      <c r="D1011" s="6">
        <f t="shared" ref="D1011:D1074" si="32">LN(B1011/B1012)</f>
        <v>-1.4541423453634588E-2</v>
      </c>
    </row>
    <row r="1012" spans="1:4" x14ac:dyDescent="0.25">
      <c r="A1012" t="s">
        <v>1059</v>
      </c>
      <c r="B1012">
        <v>51.26</v>
      </c>
      <c r="C1012" s="6">
        <f t="shared" ref="C1012:C1075" si="33">(B1012/B1013)-1</f>
        <v>-1.2331406551059687E-2</v>
      </c>
      <c r="D1012" s="6">
        <f t="shared" si="32"/>
        <v>-1.2408069235917861E-2</v>
      </c>
    </row>
    <row r="1013" spans="1:4" x14ac:dyDescent="0.25">
      <c r="A1013" t="s">
        <v>1060</v>
      </c>
      <c r="B1013">
        <v>51.9</v>
      </c>
      <c r="C1013" s="6">
        <f t="shared" si="33"/>
        <v>2.2458628841607542E-2</v>
      </c>
      <c r="D1013" s="6">
        <f t="shared" si="32"/>
        <v>2.2210147325656019E-2</v>
      </c>
    </row>
    <row r="1014" spans="1:4" x14ac:dyDescent="0.25">
      <c r="A1014" t="s">
        <v>1061</v>
      </c>
      <c r="B1014">
        <v>50.76</v>
      </c>
      <c r="C1014" s="6">
        <f t="shared" si="33"/>
        <v>-3.0927835051546504E-2</v>
      </c>
      <c r="D1014" s="6">
        <f t="shared" si="32"/>
        <v>-3.1416196233379039E-2</v>
      </c>
    </row>
    <row r="1015" spans="1:4" x14ac:dyDescent="0.25">
      <c r="A1015" t="s">
        <v>1062</v>
      </c>
      <c r="B1015">
        <v>52.38</v>
      </c>
      <c r="C1015" s="6">
        <f t="shared" si="33"/>
        <v>-1.8733608092918685E-2</v>
      </c>
      <c r="D1015" s="6">
        <f t="shared" si="32"/>
        <v>-1.8911304896812229E-2</v>
      </c>
    </row>
    <row r="1016" spans="1:4" x14ac:dyDescent="0.25">
      <c r="A1016" t="s">
        <v>1063</v>
      </c>
      <c r="B1016">
        <v>53.38</v>
      </c>
      <c r="C1016" s="6">
        <f t="shared" si="33"/>
        <v>-7.4878322725568935E-4</v>
      </c>
      <c r="D1016" s="6">
        <f t="shared" si="32"/>
        <v>-7.4906370543671079E-4</v>
      </c>
    </row>
    <row r="1017" spans="1:4" x14ac:dyDescent="0.25">
      <c r="A1017" t="s">
        <v>1064</v>
      </c>
      <c r="B1017">
        <v>53.42</v>
      </c>
      <c r="C1017" s="6">
        <f t="shared" si="33"/>
        <v>-7.4822297044518926E-4</v>
      </c>
      <c r="D1017" s="6">
        <f t="shared" si="32"/>
        <v>-7.4850302895812905E-4</v>
      </c>
    </row>
    <row r="1018" spans="1:4" x14ac:dyDescent="0.25">
      <c r="A1018" t="s">
        <v>1065</v>
      </c>
      <c r="B1018">
        <v>53.46</v>
      </c>
      <c r="C1018" s="6">
        <f t="shared" si="33"/>
        <v>2.5906735751295429E-2</v>
      </c>
      <c r="D1018" s="6">
        <f t="shared" si="32"/>
        <v>2.5576841789649776E-2</v>
      </c>
    </row>
    <row r="1019" spans="1:4" x14ac:dyDescent="0.25">
      <c r="A1019" t="s">
        <v>1066</v>
      </c>
      <c r="B1019">
        <v>52.11</v>
      </c>
      <c r="C1019" s="6">
        <f t="shared" si="33"/>
        <v>6.870385561936021E-2</v>
      </c>
      <c r="D1019" s="6">
        <f t="shared" si="32"/>
        <v>6.6446564308052555E-2</v>
      </c>
    </row>
    <row r="1020" spans="1:4" x14ac:dyDescent="0.25">
      <c r="A1020" t="s">
        <v>1067</v>
      </c>
      <c r="B1020">
        <v>48.76</v>
      </c>
      <c r="C1020" s="6">
        <f t="shared" si="33"/>
        <v>-2.3823823823823864E-2</v>
      </c>
      <c r="D1020" s="6">
        <f t="shared" si="32"/>
        <v>-2.4112200481491791E-2</v>
      </c>
    </row>
    <row r="1021" spans="1:4" x14ac:dyDescent="0.25">
      <c r="A1021" t="s">
        <v>1068</v>
      </c>
      <c r="B1021">
        <v>49.95</v>
      </c>
      <c r="C1021" s="6">
        <f t="shared" si="33"/>
        <v>0.22848007870142673</v>
      </c>
      <c r="D1021" s="6">
        <f t="shared" si="32"/>
        <v>0.20577769689436215</v>
      </c>
    </row>
    <row r="1022" spans="1:4" x14ac:dyDescent="0.25">
      <c r="A1022" t="s">
        <v>1069</v>
      </c>
      <c r="B1022">
        <v>40.659999999999997</v>
      </c>
      <c r="C1022" s="6">
        <f t="shared" si="33"/>
        <v>8.6827090052095102E-3</v>
      </c>
      <c r="D1022" s="6">
        <f t="shared" si="32"/>
        <v>8.645231071126044E-3</v>
      </c>
    </row>
    <row r="1023" spans="1:4" x14ac:dyDescent="0.25">
      <c r="A1023" t="s">
        <v>1070</v>
      </c>
      <c r="B1023">
        <v>40.31</v>
      </c>
      <c r="C1023" s="6">
        <f t="shared" si="33"/>
        <v>1.3323278029160335E-2</v>
      </c>
      <c r="D1023" s="6">
        <f t="shared" si="32"/>
        <v>1.3235303703248229E-2</v>
      </c>
    </row>
    <row r="1024" spans="1:4" x14ac:dyDescent="0.25">
      <c r="A1024" t="s">
        <v>1071</v>
      </c>
      <c r="B1024">
        <v>39.78</v>
      </c>
      <c r="C1024" s="6">
        <f t="shared" si="33"/>
        <v>-1.656365883807176E-2</v>
      </c>
      <c r="D1024" s="6">
        <f t="shared" si="32"/>
        <v>-1.6702370078674623E-2</v>
      </c>
    </row>
    <row r="1025" spans="1:4" x14ac:dyDescent="0.25">
      <c r="A1025" t="s">
        <v>1072</v>
      </c>
      <c r="B1025">
        <v>40.450000000000003</v>
      </c>
      <c r="C1025" s="6">
        <f t="shared" si="33"/>
        <v>2.1206765968190044E-2</v>
      </c>
      <c r="D1025" s="6">
        <f t="shared" si="32"/>
        <v>2.0985031870675609E-2</v>
      </c>
    </row>
    <row r="1026" spans="1:4" x14ac:dyDescent="0.25">
      <c r="A1026" t="s">
        <v>1073</v>
      </c>
      <c r="B1026">
        <v>39.61</v>
      </c>
      <c r="C1026" s="6">
        <f t="shared" si="33"/>
        <v>2.8831168831168874E-2</v>
      </c>
      <c r="D1026" s="6">
        <f t="shared" si="32"/>
        <v>2.8423370340086778E-2</v>
      </c>
    </row>
    <row r="1027" spans="1:4" x14ac:dyDescent="0.25">
      <c r="A1027" t="s">
        <v>1074</v>
      </c>
      <c r="B1027">
        <v>38.5</v>
      </c>
      <c r="C1027" s="6">
        <f t="shared" si="33"/>
        <v>3.6060279870828937E-2</v>
      </c>
      <c r="D1027" s="6">
        <f t="shared" si="32"/>
        <v>3.542532734810086E-2</v>
      </c>
    </row>
    <row r="1028" spans="1:4" x14ac:dyDescent="0.25">
      <c r="A1028" t="s">
        <v>1075</v>
      </c>
      <c r="B1028">
        <v>37.159999999999997</v>
      </c>
      <c r="C1028" s="6">
        <f t="shared" si="33"/>
        <v>2.1440351841671035E-2</v>
      </c>
      <c r="D1028" s="6">
        <f t="shared" si="32"/>
        <v>2.1213740855661363E-2</v>
      </c>
    </row>
    <row r="1029" spans="1:4" x14ac:dyDescent="0.25">
      <c r="A1029" t="s">
        <v>1076</v>
      </c>
      <c r="B1029">
        <v>36.380000000000003</v>
      </c>
      <c r="C1029" s="6">
        <f t="shared" si="33"/>
        <v>-4.8888888888888871E-2</v>
      </c>
      <c r="D1029" s="6">
        <f t="shared" si="32"/>
        <v>-5.0124387182568633E-2</v>
      </c>
    </row>
    <row r="1030" spans="1:4" x14ac:dyDescent="0.25">
      <c r="A1030" t="s">
        <v>1077</v>
      </c>
      <c r="B1030">
        <v>38.25</v>
      </c>
      <c r="C1030" s="6">
        <f t="shared" si="33"/>
        <v>-2.6221995926680286E-2</v>
      </c>
      <c r="D1030" s="6">
        <f t="shared" si="32"/>
        <v>-2.6571923213720337E-2</v>
      </c>
    </row>
    <row r="1031" spans="1:4" x14ac:dyDescent="0.25">
      <c r="A1031" t="s">
        <v>1078</v>
      </c>
      <c r="B1031">
        <v>39.28</v>
      </c>
      <c r="C1031" s="6">
        <f t="shared" si="33"/>
        <v>7.6962544894818574E-3</v>
      </c>
      <c r="D1031" s="6">
        <f t="shared" si="32"/>
        <v>7.6667894068504581E-3</v>
      </c>
    </row>
    <row r="1032" spans="1:4" x14ac:dyDescent="0.25">
      <c r="A1032" t="s">
        <v>1079</v>
      </c>
      <c r="B1032">
        <v>38.979999999999997</v>
      </c>
      <c r="C1032" s="6">
        <f t="shared" si="33"/>
        <v>-1.4661274014155845E-2</v>
      </c>
      <c r="D1032" s="6">
        <f t="shared" si="32"/>
        <v>-1.4769812675096746E-2</v>
      </c>
    </row>
    <row r="1033" spans="1:4" x14ac:dyDescent="0.25">
      <c r="A1033" t="s">
        <v>1080</v>
      </c>
      <c r="B1033">
        <v>39.56</v>
      </c>
      <c r="C1033" s="6">
        <f t="shared" si="33"/>
        <v>1.5921931176168691E-2</v>
      </c>
      <c r="D1033" s="6">
        <f t="shared" si="32"/>
        <v>1.579650681045796E-2</v>
      </c>
    </row>
    <row r="1034" spans="1:4" x14ac:dyDescent="0.25">
      <c r="A1034" t="s">
        <v>1081</v>
      </c>
      <c r="B1034">
        <v>38.94</v>
      </c>
      <c r="C1034" s="6">
        <f t="shared" si="33"/>
        <v>4.9032258064516387E-3</v>
      </c>
      <c r="D1034" s="6">
        <f t="shared" si="32"/>
        <v>4.8912441446976518E-3</v>
      </c>
    </row>
    <row r="1035" spans="1:4" x14ac:dyDescent="0.25">
      <c r="A1035" t="s">
        <v>1082</v>
      </c>
      <c r="B1035">
        <v>38.75</v>
      </c>
      <c r="C1035" s="6">
        <f t="shared" si="33"/>
        <v>-4.4153922052293959E-2</v>
      </c>
      <c r="D1035" s="6">
        <f t="shared" si="32"/>
        <v>-4.5158385224497902E-2</v>
      </c>
    </row>
    <row r="1036" spans="1:4" x14ac:dyDescent="0.25">
      <c r="A1036" t="s">
        <v>1083</v>
      </c>
      <c r="B1036">
        <v>40.54</v>
      </c>
      <c r="C1036" s="6">
        <f t="shared" si="33"/>
        <v>-1.025390625E-2</v>
      </c>
      <c r="D1036" s="6">
        <f t="shared" si="32"/>
        <v>-1.0306839707398367E-2</v>
      </c>
    </row>
    <row r="1037" spans="1:4" x14ac:dyDescent="0.25">
      <c r="A1037" t="s">
        <v>1084</v>
      </c>
      <c r="B1037">
        <v>40.96</v>
      </c>
      <c r="C1037" s="6">
        <f t="shared" si="33"/>
        <v>8.0453706146135673E-2</v>
      </c>
      <c r="D1037" s="6">
        <f t="shared" si="32"/>
        <v>7.7381051203008949E-2</v>
      </c>
    </row>
    <row r="1038" spans="1:4" x14ac:dyDescent="0.25">
      <c r="A1038" t="s">
        <v>1085</v>
      </c>
      <c r="B1038">
        <v>37.909999999999997</v>
      </c>
      <c r="C1038" s="6">
        <f t="shared" si="33"/>
        <v>8.7812666311868348E-3</v>
      </c>
      <c r="D1038" s="6">
        <f t="shared" si="32"/>
        <v>8.7429355429242475E-3</v>
      </c>
    </row>
    <row r="1039" spans="1:4" x14ac:dyDescent="0.25">
      <c r="A1039" t="s">
        <v>1086</v>
      </c>
      <c r="B1039">
        <v>37.58</v>
      </c>
      <c r="C1039" s="6">
        <f t="shared" si="33"/>
        <v>2.4006401707121761E-3</v>
      </c>
      <c r="D1039" s="6">
        <f t="shared" si="32"/>
        <v>2.3977632374985857E-3</v>
      </c>
    </row>
    <row r="1040" spans="1:4" x14ac:dyDescent="0.25">
      <c r="A1040" t="s">
        <v>1087</v>
      </c>
      <c r="B1040">
        <v>37.49</v>
      </c>
      <c r="C1040" s="6">
        <f t="shared" si="33"/>
        <v>5.0140056022409007E-2</v>
      </c>
      <c r="D1040" s="6">
        <f t="shared" si="32"/>
        <v>4.8923541962227306E-2</v>
      </c>
    </row>
    <row r="1041" spans="1:4" x14ac:dyDescent="0.25">
      <c r="A1041" t="s">
        <v>1088</v>
      </c>
      <c r="B1041">
        <v>35.700000000000003</v>
      </c>
      <c r="C1041" s="6">
        <f t="shared" si="33"/>
        <v>7.0521861777150807E-3</v>
      </c>
      <c r="D1041" s="6">
        <f t="shared" si="32"/>
        <v>7.0274358074568759E-3</v>
      </c>
    </row>
    <row r="1042" spans="1:4" x14ac:dyDescent="0.25">
      <c r="A1042" t="s">
        <v>1089</v>
      </c>
      <c r="B1042">
        <v>35.450000000000003</v>
      </c>
      <c r="C1042" s="6">
        <f t="shared" si="33"/>
        <v>6.616541353383476E-2</v>
      </c>
      <c r="D1042" s="6">
        <f t="shared" si="32"/>
        <v>6.406848587627352E-2</v>
      </c>
    </row>
    <row r="1043" spans="1:4" x14ac:dyDescent="0.25">
      <c r="A1043" t="s">
        <v>1090</v>
      </c>
      <c r="B1043">
        <v>33.25</v>
      </c>
      <c r="C1043" s="6">
        <f t="shared" si="33"/>
        <v>2.6868437306979631E-2</v>
      </c>
      <c r="D1043" s="6">
        <f t="shared" si="32"/>
        <v>2.6513818852374089E-2</v>
      </c>
    </row>
    <row r="1044" spans="1:4" x14ac:dyDescent="0.25">
      <c r="A1044" t="s">
        <v>1091</v>
      </c>
      <c r="B1044">
        <v>32.380000000000003</v>
      </c>
      <c r="C1044" s="6">
        <f t="shared" si="33"/>
        <v>-8.8766452402815332E-3</v>
      </c>
      <c r="D1044" s="6">
        <f t="shared" si="32"/>
        <v>-8.9162773634896518E-3</v>
      </c>
    </row>
    <row r="1045" spans="1:4" x14ac:dyDescent="0.25">
      <c r="A1045" t="s">
        <v>1092</v>
      </c>
      <c r="B1045">
        <v>32.67</v>
      </c>
      <c r="C1045" s="6">
        <f t="shared" si="33"/>
        <v>3.5499207606973116E-2</v>
      </c>
      <c r="D1045" s="6">
        <f t="shared" si="32"/>
        <v>3.4883636625756685E-2</v>
      </c>
    </row>
    <row r="1046" spans="1:4" x14ac:dyDescent="0.25">
      <c r="A1046" t="s">
        <v>1093</v>
      </c>
      <c r="B1046">
        <v>31.55</v>
      </c>
      <c r="C1046" s="6">
        <f t="shared" si="33"/>
        <v>9.2770313499679347E-3</v>
      </c>
      <c r="D1046" s="6">
        <f t="shared" si="32"/>
        <v>9.234263993891538E-3</v>
      </c>
    </row>
    <row r="1047" spans="1:4" x14ac:dyDescent="0.25">
      <c r="A1047" t="s">
        <v>1094</v>
      </c>
      <c r="B1047">
        <v>31.26</v>
      </c>
      <c r="C1047" s="6">
        <f t="shared" si="33"/>
        <v>-7.6190476190475254E-3</v>
      </c>
      <c r="D1047" s="6">
        <f t="shared" si="32"/>
        <v>-7.648220838256733E-3</v>
      </c>
    </row>
    <row r="1048" spans="1:4" x14ac:dyDescent="0.25">
      <c r="A1048" t="s">
        <v>1095</v>
      </c>
      <c r="B1048">
        <v>31.5</v>
      </c>
      <c r="C1048" s="6">
        <f t="shared" si="33"/>
        <v>2.5461489497136114E-3</v>
      </c>
      <c r="D1048" s="6">
        <f t="shared" si="32"/>
        <v>2.5429130041123332E-3</v>
      </c>
    </row>
    <row r="1049" spans="1:4" x14ac:dyDescent="0.25">
      <c r="A1049" t="s">
        <v>1096</v>
      </c>
      <c r="B1049">
        <v>31.42</v>
      </c>
      <c r="C1049" s="6">
        <f t="shared" si="33"/>
        <v>1.8806744487678495E-2</v>
      </c>
      <c r="D1049" s="6">
        <f t="shared" si="32"/>
        <v>1.8632084132346509E-2</v>
      </c>
    </row>
    <row r="1050" spans="1:4" x14ac:dyDescent="0.25">
      <c r="A1050" t="s">
        <v>1097</v>
      </c>
      <c r="B1050">
        <v>30.84</v>
      </c>
      <c r="C1050" s="6">
        <f t="shared" si="33"/>
        <v>-9.3157725666559443E-3</v>
      </c>
      <c r="D1050" s="6">
        <f t="shared" si="32"/>
        <v>-9.3594357583880461E-3</v>
      </c>
    </row>
    <row r="1051" spans="1:4" x14ac:dyDescent="0.25">
      <c r="A1051" t="s">
        <v>1098</v>
      </c>
      <c r="B1051">
        <v>31.13</v>
      </c>
      <c r="C1051" s="6">
        <f t="shared" si="33"/>
        <v>1.0058403634003898E-2</v>
      </c>
      <c r="D1051" s="6">
        <f t="shared" si="32"/>
        <v>1.0008154561547114E-2</v>
      </c>
    </row>
    <row r="1052" spans="1:4" x14ac:dyDescent="0.25">
      <c r="A1052" t="s">
        <v>1099</v>
      </c>
      <c r="B1052">
        <v>30.82</v>
      </c>
      <c r="C1052" s="6">
        <f t="shared" si="33"/>
        <v>-4.5524930318984191E-2</v>
      </c>
      <c r="D1052" s="6">
        <f t="shared" si="32"/>
        <v>-4.6593754878214141E-2</v>
      </c>
    </row>
    <row r="1053" spans="1:4" x14ac:dyDescent="0.25">
      <c r="A1053" t="s">
        <v>1100</v>
      </c>
      <c r="B1053">
        <v>32.29</v>
      </c>
      <c r="C1053" s="6">
        <f t="shared" si="33"/>
        <v>1.2543116964565559E-2</v>
      </c>
      <c r="D1053" s="6">
        <f t="shared" si="32"/>
        <v>1.2465103748217462E-2</v>
      </c>
    </row>
    <row r="1054" spans="1:4" x14ac:dyDescent="0.25">
      <c r="A1054" t="s">
        <v>1101</v>
      </c>
      <c r="B1054">
        <v>31.89</v>
      </c>
      <c r="C1054" s="6">
        <f t="shared" si="33"/>
        <v>-9.0118085767557643E-3</v>
      </c>
      <c r="D1054" s="6">
        <f t="shared" si="32"/>
        <v>-9.0526605422709145E-3</v>
      </c>
    </row>
    <row r="1055" spans="1:4" x14ac:dyDescent="0.25">
      <c r="A1055" t="s">
        <v>1102</v>
      </c>
      <c r="B1055">
        <v>32.18</v>
      </c>
      <c r="C1055" s="6">
        <f t="shared" si="33"/>
        <v>-2.0097442143727218E-2</v>
      </c>
      <c r="D1055" s="6">
        <f t="shared" si="32"/>
        <v>-2.0302143019990379E-2</v>
      </c>
    </row>
    <row r="1056" spans="1:4" x14ac:dyDescent="0.25">
      <c r="A1056" t="s">
        <v>1103</v>
      </c>
      <c r="B1056">
        <v>32.840000000000003</v>
      </c>
      <c r="C1056" s="6">
        <f t="shared" si="33"/>
        <v>-6.3540090771556645E-3</v>
      </c>
      <c r="D1056" s="6">
        <f t="shared" si="32"/>
        <v>-6.374281713467659E-3</v>
      </c>
    </row>
    <row r="1057" spans="1:4" x14ac:dyDescent="0.25">
      <c r="A1057" t="s">
        <v>1104</v>
      </c>
      <c r="B1057">
        <v>33.049999999999997</v>
      </c>
      <c r="C1057" s="6">
        <f t="shared" si="33"/>
        <v>-3.5599649839509917E-2</v>
      </c>
      <c r="D1057" s="6">
        <f t="shared" si="32"/>
        <v>-3.6248769588822317E-2</v>
      </c>
    </row>
    <row r="1058" spans="1:4" x14ac:dyDescent="0.25">
      <c r="A1058" t="s">
        <v>1105</v>
      </c>
      <c r="B1058">
        <v>34.270000000000003</v>
      </c>
      <c r="C1058" s="6">
        <f t="shared" si="33"/>
        <v>-1.7206767995411321E-2</v>
      </c>
      <c r="D1058" s="6">
        <f t="shared" si="32"/>
        <v>-1.7356524801042116E-2</v>
      </c>
    </row>
    <row r="1059" spans="1:4" x14ac:dyDescent="0.25">
      <c r="A1059" t="s">
        <v>1106</v>
      </c>
      <c r="B1059">
        <v>34.869999999999997</v>
      </c>
      <c r="C1059" s="6">
        <f t="shared" si="33"/>
        <v>4.0895522388059602E-2</v>
      </c>
      <c r="D1059" s="6">
        <f t="shared" si="32"/>
        <v>4.0081421856538943E-2</v>
      </c>
    </row>
    <row r="1060" spans="1:4" x14ac:dyDescent="0.25">
      <c r="A1060" t="s">
        <v>1107</v>
      </c>
      <c r="B1060">
        <v>33.5</v>
      </c>
      <c r="C1060" s="6">
        <f t="shared" si="33"/>
        <v>-1.3254786450662803E-2</v>
      </c>
      <c r="D1060" s="6">
        <f t="shared" si="32"/>
        <v>-1.3343415173684448E-2</v>
      </c>
    </row>
    <row r="1061" spans="1:4" x14ac:dyDescent="0.25">
      <c r="A1061" t="s">
        <v>1108</v>
      </c>
      <c r="B1061">
        <v>33.950000000000003</v>
      </c>
      <c r="C1061" s="6">
        <f t="shared" si="33"/>
        <v>-3.2487888287261346E-2</v>
      </c>
      <c r="D1061" s="6">
        <f t="shared" si="32"/>
        <v>-3.3027335590418636E-2</v>
      </c>
    </row>
    <row r="1062" spans="1:4" x14ac:dyDescent="0.25">
      <c r="A1062" t="s">
        <v>1109</v>
      </c>
      <c r="B1062">
        <v>35.090000000000003</v>
      </c>
      <c r="C1062" s="6">
        <f t="shared" si="33"/>
        <v>1.9988577955454279E-3</v>
      </c>
      <c r="D1062" s="6">
        <f t="shared" si="32"/>
        <v>1.9968627374179803E-3</v>
      </c>
    </row>
    <row r="1063" spans="1:4" x14ac:dyDescent="0.25">
      <c r="A1063" t="s">
        <v>1110</v>
      </c>
      <c r="B1063">
        <v>35.020000000000003</v>
      </c>
      <c r="C1063" s="6">
        <f t="shared" si="33"/>
        <v>1.3310185185185119E-2</v>
      </c>
      <c r="D1063" s="6">
        <f t="shared" si="32"/>
        <v>1.3222382921850856E-2</v>
      </c>
    </row>
    <row r="1064" spans="1:4" x14ac:dyDescent="0.25">
      <c r="A1064" t="s">
        <v>1111</v>
      </c>
      <c r="B1064">
        <v>34.56</v>
      </c>
      <c r="C1064" s="6">
        <f t="shared" si="33"/>
        <v>1.9469026548672774E-2</v>
      </c>
      <c r="D1064" s="6">
        <f t="shared" si="32"/>
        <v>1.9281929549450499E-2</v>
      </c>
    </row>
    <row r="1065" spans="1:4" x14ac:dyDescent="0.25">
      <c r="A1065" t="s">
        <v>1112</v>
      </c>
      <c r="B1065">
        <v>33.9</v>
      </c>
      <c r="C1065" s="6">
        <f t="shared" si="33"/>
        <v>1.3150029886431547E-2</v>
      </c>
      <c r="D1065" s="6">
        <f t="shared" si="32"/>
        <v>1.3064318827726649E-2</v>
      </c>
    </row>
    <row r="1066" spans="1:4" x14ac:dyDescent="0.25">
      <c r="A1066" t="s">
        <v>1113</v>
      </c>
      <c r="B1066">
        <v>33.46</v>
      </c>
      <c r="C1066" s="6">
        <f t="shared" si="33"/>
        <v>2.0744356314826184E-2</v>
      </c>
      <c r="D1066" s="6">
        <f t="shared" si="32"/>
        <v>2.0532122242994357E-2</v>
      </c>
    </row>
    <row r="1067" spans="1:4" x14ac:dyDescent="0.25">
      <c r="A1067" t="s">
        <v>1114</v>
      </c>
      <c r="B1067">
        <v>32.78</v>
      </c>
      <c r="C1067" s="6">
        <f t="shared" si="33"/>
        <v>1.0480887792848392E-2</v>
      </c>
      <c r="D1067" s="6">
        <f t="shared" si="32"/>
        <v>1.042634406847151E-2</v>
      </c>
    </row>
    <row r="1068" spans="1:4" x14ac:dyDescent="0.25">
      <c r="A1068" t="s">
        <v>1115</v>
      </c>
      <c r="B1068">
        <v>32.44</v>
      </c>
      <c r="C1068" s="6">
        <f t="shared" si="33"/>
        <v>9.0202177293934316E-3</v>
      </c>
      <c r="D1068" s="6">
        <f t="shared" si="32"/>
        <v>8.9797785635837412E-3</v>
      </c>
    </row>
    <row r="1069" spans="1:4" x14ac:dyDescent="0.25">
      <c r="A1069" t="s">
        <v>1116</v>
      </c>
      <c r="B1069">
        <v>32.15</v>
      </c>
      <c r="C1069" s="6">
        <f t="shared" si="33"/>
        <v>3.7431429493385071E-2</v>
      </c>
      <c r="D1069" s="6">
        <f t="shared" si="32"/>
        <v>3.674787888397163E-2</v>
      </c>
    </row>
    <row r="1070" spans="1:4" x14ac:dyDescent="0.25">
      <c r="A1070" t="s">
        <v>1117</v>
      </c>
      <c r="B1070">
        <v>30.99</v>
      </c>
      <c r="C1070" s="6">
        <f t="shared" si="33"/>
        <v>-6.374622356495474E-2</v>
      </c>
      <c r="D1070" s="6">
        <f t="shared" si="32"/>
        <v>-6.5868710583360413E-2</v>
      </c>
    </row>
    <row r="1071" spans="1:4" x14ac:dyDescent="0.25">
      <c r="A1071" t="s">
        <v>1118</v>
      </c>
      <c r="B1071">
        <v>33.1</v>
      </c>
      <c r="C1071" s="6">
        <f t="shared" si="33"/>
        <v>1.815980629539915E-3</v>
      </c>
      <c r="D1071" s="6">
        <f t="shared" si="32"/>
        <v>1.8143337302398642E-3</v>
      </c>
    </row>
    <row r="1072" spans="1:4" x14ac:dyDescent="0.25">
      <c r="A1072" t="s">
        <v>1119</v>
      </c>
      <c r="B1072">
        <v>33.04</v>
      </c>
      <c r="C1072" s="6">
        <f t="shared" si="33"/>
        <v>-7.0343275182892517E-2</v>
      </c>
      <c r="D1072" s="6">
        <f t="shared" si="32"/>
        <v>-7.2939874073727956E-2</v>
      </c>
    </row>
    <row r="1073" spans="1:4" x14ac:dyDescent="0.25">
      <c r="A1073" t="s">
        <v>1120</v>
      </c>
      <c r="B1073">
        <v>35.54</v>
      </c>
      <c r="C1073" s="6">
        <f t="shared" si="33"/>
        <v>2.2439585730724909E-2</v>
      </c>
      <c r="D1073" s="6">
        <f t="shared" si="32"/>
        <v>2.2191522329313925E-2</v>
      </c>
    </row>
    <row r="1074" spans="1:4" x14ac:dyDescent="0.25">
      <c r="A1074" t="s">
        <v>1121</v>
      </c>
      <c r="B1074">
        <v>34.76</v>
      </c>
      <c r="C1074" s="6">
        <f t="shared" si="33"/>
        <v>1.2820512820512775E-2</v>
      </c>
      <c r="D1074" s="6">
        <f t="shared" si="32"/>
        <v>1.2739025777429712E-2</v>
      </c>
    </row>
    <row r="1075" spans="1:4" x14ac:dyDescent="0.25">
      <c r="A1075" t="s">
        <v>1122</v>
      </c>
      <c r="B1075">
        <v>34.32</v>
      </c>
      <c r="C1075" s="6">
        <f t="shared" si="33"/>
        <v>1.5084294587400127E-2</v>
      </c>
      <c r="D1075" s="6">
        <f t="shared" ref="D1075:D1138" si="34">LN(B1075/B1076)</f>
        <v>1.4971657899966857E-2</v>
      </c>
    </row>
    <row r="1076" spans="1:4" x14ac:dyDescent="0.25">
      <c r="A1076" t="s">
        <v>1123</v>
      </c>
      <c r="B1076">
        <v>33.81</v>
      </c>
      <c r="C1076" s="6">
        <f t="shared" ref="C1076:C1139" si="35">(B1076/B1077)-1</f>
        <v>2.0746887966804906E-3</v>
      </c>
      <c r="D1076" s="6">
        <f t="shared" si="34"/>
        <v>2.0725396019723751E-3</v>
      </c>
    </row>
    <row r="1077" spans="1:4" x14ac:dyDescent="0.25">
      <c r="A1077" t="s">
        <v>1124</v>
      </c>
      <c r="B1077">
        <v>33.74</v>
      </c>
      <c r="C1077" s="6">
        <f t="shared" si="35"/>
        <v>1.6571256402531098E-2</v>
      </c>
      <c r="D1077" s="6">
        <f t="shared" si="34"/>
        <v>1.6435451385939211E-2</v>
      </c>
    </row>
    <row r="1078" spans="1:4" x14ac:dyDescent="0.25">
      <c r="A1078" t="s">
        <v>1125</v>
      </c>
      <c r="B1078">
        <v>33.19</v>
      </c>
      <c r="C1078" s="6">
        <f t="shared" si="35"/>
        <v>-3.0382705229330953E-2</v>
      </c>
      <c r="D1078" s="6">
        <f t="shared" si="34"/>
        <v>-3.0853826810210674E-2</v>
      </c>
    </row>
    <row r="1079" spans="1:4" x14ac:dyDescent="0.25">
      <c r="A1079" t="s">
        <v>1126</v>
      </c>
      <c r="B1079">
        <v>34.229999999999997</v>
      </c>
      <c r="C1079" s="6">
        <f t="shared" si="35"/>
        <v>1.1524822695035297E-2</v>
      </c>
      <c r="D1079" s="6">
        <f t="shared" si="34"/>
        <v>1.145891780407127E-2</v>
      </c>
    </row>
    <row r="1080" spans="1:4" x14ac:dyDescent="0.25">
      <c r="A1080" t="s">
        <v>1127</v>
      </c>
      <c r="B1080">
        <v>33.840000000000003</v>
      </c>
      <c r="C1080" s="6">
        <f t="shared" si="35"/>
        <v>-2.1116575065085241E-2</v>
      </c>
      <c r="D1080" s="6">
        <f t="shared" si="34"/>
        <v>-2.1342719195510541E-2</v>
      </c>
    </row>
    <row r="1081" spans="1:4" x14ac:dyDescent="0.25">
      <c r="A1081" t="s">
        <v>1128</v>
      </c>
      <c r="B1081">
        <v>34.57</v>
      </c>
      <c r="C1081" s="6">
        <f t="shared" si="35"/>
        <v>-1.9290780141843933E-2</v>
      </c>
      <c r="D1081" s="6">
        <f t="shared" si="34"/>
        <v>-1.9479275324744454E-2</v>
      </c>
    </row>
    <row r="1082" spans="1:4" x14ac:dyDescent="0.25">
      <c r="A1082" t="s">
        <v>1129</v>
      </c>
      <c r="B1082">
        <v>35.25</v>
      </c>
      <c r="C1082" s="6">
        <f t="shared" si="35"/>
        <v>-1.6736401673640211E-2</v>
      </c>
      <c r="D1082" s="6">
        <f t="shared" si="34"/>
        <v>-1.6878037787351748E-2</v>
      </c>
    </row>
    <row r="1083" spans="1:4" x14ac:dyDescent="0.25">
      <c r="A1083" t="s">
        <v>1130</v>
      </c>
      <c r="B1083">
        <v>35.85</v>
      </c>
      <c r="C1083" s="6">
        <f t="shared" si="35"/>
        <v>-2.5550421310138516E-2</v>
      </c>
      <c r="D1083" s="6">
        <f t="shared" si="34"/>
        <v>-2.5882502071053515E-2</v>
      </c>
    </row>
    <row r="1084" spans="1:4" x14ac:dyDescent="0.25">
      <c r="A1084" t="s">
        <v>1131</v>
      </c>
      <c r="B1084">
        <v>36.79</v>
      </c>
      <c r="C1084" s="6">
        <f t="shared" si="35"/>
        <v>-1.2083780880773443E-2</v>
      </c>
      <c r="D1084" s="6">
        <f t="shared" si="34"/>
        <v>-1.215738329218341E-2</v>
      </c>
    </row>
    <row r="1085" spans="1:4" x14ac:dyDescent="0.25">
      <c r="A1085" t="s">
        <v>1132</v>
      </c>
      <c r="B1085">
        <v>37.24</v>
      </c>
      <c r="C1085" s="6">
        <f t="shared" si="35"/>
        <v>1.9157088122605526E-2</v>
      </c>
      <c r="D1085" s="6">
        <f t="shared" si="34"/>
        <v>1.8975901459005823E-2</v>
      </c>
    </row>
    <row r="1086" spans="1:4" x14ac:dyDescent="0.25">
      <c r="A1086" t="s">
        <v>1133</v>
      </c>
      <c r="B1086">
        <v>36.54</v>
      </c>
      <c r="C1086" s="6">
        <f t="shared" si="35"/>
        <v>4.609218436873741E-2</v>
      </c>
      <c r="D1086" s="6">
        <f t="shared" si="34"/>
        <v>4.5061492131119991E-2</v>
      </c>
    </row>
    <row r="1087" spans="1:4" x14ac:dyDescent="0.25">
      <c r="A1087" t="s">
        <v>1134</v>
      </c>
      <c r="B1087">
        <v>34.93</v>
      </c>
      <c r="C1087" s="6">
        <f t="shared" si="35"/>
        <v>1.7477424992717872E-2</v>
      </c>
      <c r="D1087" s="6">
        <f t="shared" si="34"/>
        <v>1.7326451349140043E-2</v>
      </c>
    </row>
    <row r="1088" spans="1:4" x14ac:dyDescent="0.25">
      <c r="A1088" t="s">
        <v>1135</v>
      </c>
      <c r="B1088">
        <v>34.33</v>
      </c>
      <c r="C1088" s="6">
        <f t="shared" si="35"/>
        <v>3.2170775706554355E-2</v>
      </c>
      <c r="D1088" s="6">
        <f t="shared" si="34"/>
        <v>3.1664133704819006E-2</v>
      </c>
    </row>
    <row r="1089" spans="1:4" x14ac:dyDescent="0.25">
      <c r="A1089" t="s">
        <v>1136</v>
      </c>
      <c r="B1089">
        <v>33.26</v>
      </c>
      <c r="C1089" s="6">
        <f t="shared" si="35"/>
        <v>1.5882712278558309E-2</v>
      </c>
      <c r="D1089" s="6">
        <f t="shared" si="34"/>
        <v>1.5757901821792743E-2</v>
      </c>
    </row>
    <row r="1090" spans="1:4" x14ac:dyDescent="0.25">
      <c r="A1090" t="s">
        <v>1137</v>
      </c>
      <c r="B1090">
        <v>32.74</v>
      </c>
      <c r="C1090" s="6">
        <f t="shared" si="35"/>
        <v>-1.7701770177017573E-2</v>
      </c>
      <c r="D1090" s="6">
        <f t="shared" si="34"/>
        <v>-1.7860320376659342E-2</v>
      </c>
    </row>
    <row r="1091" spans="1:4" x14ac:dyDescent="0.25">
      <c r="A1091" t="s">
        <v>1138</v>
      </c>
      <c r="B1091">
        <v>33.33</v>
      </c>
      <c r="C1091" s="6">
        <f t="shared" si="35"/>
        <v>1.0000000000000009E-2</v>
      </c>
      <c r="D1091" s="6">
        <f t="shared" si="34"/>
        <v>9.950330853168092E-3</v>
      </c>
    </row>
    <row r="1092" spans="1:4" x14ac:dyDescent="0.25">
      <c r="A1092" t="s">
        <v>1139</v>
      </c>
      <c r="B1092">
        <v>33</v>
      </c>
      <c r="C1092" s="6">
        <f t="shared" si="35"/>
        <v>3.4807149576669749E-2</v>
      </c>
      <c r="D1092" s="6">
        <f t="shared" si="34"/>
        <v>3.4215080444513934E-2</v>
      </c>
    </row>
    <row r="1093" spans="1:4" x14ac:dyDescent="0.25">
      <c r="A1093" t="s">
        <v>1140</v>
      </c>
      <c r="B1093">
        <v>31.89</v>
      </c>
      <c r="C1093" s="6">
        <f t="shared" si="35"/>
        <v>1.2380952380952381E-2</v>
      </c>
      <c r="D1093" s="6">
        <f t="shared" si="34"/>
        <v>1.2304935190378874E-2</v>
      </c>
    </row>
    <row r="1094" spans="1:4" x14ac:dyDescent="0.25">
      <c r="A1094" t="s">
        <v>1141</v>
      </c>
      <c r="B1094">
        <v>31.5</v>
      </c>
      <c r="C1094" s="6">
        <f t="shared" si="35"/>
        <v>-1.1919698870765383E-2</v>
      </c>
      <c r="D1094" s="6">
        <f t="shared" si="34"/>
        <v>-1.1991308090426924E-2</v>
      </c>
    </row>
    <row r="1095" spans="1:4" x14ac:dyDescent="0.25">
      <c r="A1095" t="s">
        <v>1142</v>
      </c>
      <c r="B1095">
        <v>31.88</v>
      </c>
      <c r="C1095" s="6">
        <f t="shared" si="35"/>
        <v>2.7061855670102997E-2</v>
      </c>
      <c r="D1095" s="6">
        <f t="shared" si="34"/>
        <v>2.6702158606996197E-2</v>
      </c>
    </row>
    <row r="1096" spans="1:4" x14ac:dyDescent="0.25">
      <c r="A1096" t="s">
        <v>1143</v>
      </c>
      <c r="B1096">
        <v>31.04</v>
      </c>
      <c r="C1096" s="6">
        <f t="shared" si="35"/>
        <v>-1.3036565977742498E-2</v>
      </c>
      <c r="D1096" s="6">
        <f t="shared" si="34"/>
        <v>-1.312228783143158E-2</v>
      </c>
    </row>
    <row r="1097" spans="1:4" x14ac:dyDescent="0.25">
      <c r="A1097" t="s">
        <v>1144</v>
      </c>
      <c r="B1097">
        <v>31.45</v>
      </c>
      <c r="C1097" s="6">
        <f t="shared" si="35"/>
        <v>-5.2996085516410774E-2</v>
      </c>
      <c r="D1097" s="6">
        <f t="shared" si="34"/>
        <v>-5.4452052242205728E-2</v>
      </c>
    </row>
    <row r="1098" spans="1:4" x14ac:dyDescent="0.25">
      <c r="A1098" t="s">
        <v>1145</v>
      </c>
      <c r="B1098">
        <v>33.21</v>
      </c>
      <c r="C1098" s="6">
        <f t="shared" si="35"/>
        <v>-2.7027027027025641E-3</v>
      </c>
      <c r="D1098" s="6">
        <f t="shared" si="34"/>
        <v>-2.7063615977428027E-3</v>
      </c>
    </row>
    <row r="1099" spans="1:4" x14ac:dyDescent="0.25">
      <c r="A1099" t="s">
        <v>1146</v>
      </c>
      <c r="B1099">
        <v>33.299999999999997</v>
      </c>
      <c r="C1099" s="6">
        <f t="shared" si="35"/>
        <v>1.8348623853210899E-2</v>
      </c>
      <c r="D1099" s="6">
        <f t="shared" si="34"/>
        <v>1.8182319083190328E-2</v>
      </c>
    </row>
    <row r="1100" spans="1:4" x14ac:dyDescent="0.25">
      <c r="A1100" t="s">
        <v>1147</v>
      </c>
      <c r="B1100">
        <v>32.700000000000003</v>
      </c>
      <c r="C1100" s="6">
        <f t="shared" si="35"/>
        <v>-1.2217470983506562E-3</v>
      </c>
      <c r="D1100" s="6">
        <f t="shared" si="34"/>
        <v>-1.2224940397811516E-3</v>
      </c>
    </row>
    <row r="1101" spans="1:4" x14ac:dyDescent="0.25">
      <c r="A1101" t="s">
        <v>1148</v>
      </c>
      <c r="B1101">
        <v>32.74</v>
      </c>
      <c r="C1101" s="6">
        <f t="shared" si="35"/>
        <v>1.1117974058060476E-2</v>
      </c>
      <c r="D1101" s="6">
        <f t="shared" si="34"/>
        <v>1.1056623693499718E-2</v>
      </c>
    </row>
    <row r="1102" spans="1:4" x14ac:dyDescent="0.25">
      <c r="A1102" t="s">
        <v>1149</v>
      </c>
      <c r="B1102">
        <v>32.380000000000003</v>
      </c>
      <c r="C1102" s="6">
        <f t="shared" si="35"/>
        <v>-1.1901129081477002E-2</v>
      </c>
      <c r="D1102" s="6">
        <f t="shared" si="34"/>
        <v>-1.1972514461234198E-2</v>
      </c>
    </row>
    <row r="1103" spans="1:4" x14ac:dyDescent="0.25">
      <c r="A1103" t="s">
        <v>1150</v>
      </c>
      <c r="B1103">
        <v>32.770000000000003</v>
      </c>
      <c r="C1103" s="6">
        <f t="shared" si="35"/>
        <v>-6.0994205550457536E-4</v>
      </c>
      <c r="D1103" s="6">
        <f t="shared" si="34"/>
        <v>-6.1012814583350449E-4</v>
      </c>
    </row>
    <row r="1104" spans="1:4" x14ac:dyDescent="0.25">
      <c r="A1104" t="s">
        <v>1151</v>
      </c>
      <c r="B1104">
        <v>32.79</v>
      </c>
      <c r="C1104" s="6">
        <f t="shared" si="35"/>
        <v>3.1132075471698162E-2</v>
      </c>
      <c r="D1104" s="6">
        <f t="shared" si="34"/>
        <v>3.0657301070425781E-2</v>
      </c>
    </row>
    <row r="1105" spans="1:4" x14ac:dyDescent="0.25">
      <c r="A1105" t="s">
        <v>1152</v>
      </c>
      <c r="B1105">
        <v>31.8</v>
      </c>
      <c r="C1105" s="6">
        <f t="shared" si="35"/>
        <v>-2.6927784577723379E-2</v>
      </c>
      <c r="D1105" s="6">
        <f t="shared" si="34"/>
        <v>-2.7296980205670986E-2</v>
      </c>
    </row>
    <row r="1106" spans="1:4" x14ac:dyDescent="0.25">
      <c r="A1106" t="s">
        <v>1153</v>
      </c>
      <c r="B1106">
        <v>32.68</v>
      </c>
      <c r="C1106" s="6">
        <f t="shared" si="35"/>
        <v>-1.4475271411338864E-2</v>
      </c>
      <c r="D1106" s="6">
        <f t="shared" si="34"/>
        <v>-1.458106027529199E-2</v>
      </c>
    </row>
    <row r="1107" spans="1:4" x14ac:dyDescent="0.25">
      <c r="A1107" t="s">
        <v>1154</v>
      </c>
      <c r="B1107">
        <v>33.159999999999997</v>
      </c>
      <c r="C1107" s="6">
        <f t="shared" si="35"/>
        <v>-1.4854426619132499E-2</v>
      </c>
      <c r="D1107" s="6">
        <f t="shared" si="34"/>
        <v>-1.4965858495565721E-2</v>
      </c>
    </row>
    <row r="1108" spans="1:4" x14ac:dyDescent="0.25">
      <c r="A1108" t="s">
        <v>1155</v>
      </c>
      <c r="B1108">
        <v>33.659999999999997</v>
      </c>
      <c r="C1108" s="6">
        <f t="shared" si="35"/>
        <v>-6.2001771479185397E-3</v>
      </c>
      <c r="D1108" s="6">
        <f t="shared" si="34"/>
        <v>-6.2194780670204201E-3</v>
      </c>
    </row>
    <row r="1109" spans="1:4" x14ac:dyDescent="0.25">
      <c r="A1109" t="s">
        <v>1156</v>
      </c>
      <c r="B1109">
        <v>33.869999999999997</v>
      </c>
      <c r="C1109" s="6">
        <f t="shared" si="35"/>
        <v>3.3251982916412404E-2</v>
      </c>
      <c r="D1109" s="6">
        <f t="shared" si="34"/>
        <v>3.2711093513996675E-2</v>
      </c>
    </row>
    <row r="1110" spans="1:4" x14ac:dyDescent="0.25">
      <c r="A1110" t="s">
        <v>1157</v>
      </c>
      <c r="B1110">
        <v>32.78</v>
      </c>
      <c r="C1110" s="6">
        <f t="shared" si="35"/>
        <v>-1.3541980138429E-2</v>
      </c>
      <c r="D1110" s="6">
        <f t="shared" si="34"/>
        <v>-1.3634509050819152E-2</v>
      </c>
    </row>
    <row r="1111" spans="1:4" x14ac:dyDescent="0.25">
      <c r="A1111" t="s">
        <v>1158</v>
      </c>
      <c r="B1111">
        <v>33.229999999999997</v>
      </c>
      <c r="C1111" s="6">
        <f t="shared" si="35"/>
        <v>2.4984577421344634E-2</v>
      </c>
      <c r="D1111" s="6">
        <f t="shared" si="34"/>
        <v>2.4677566058972658E-2</v>
      </c>
    </row>
    <row r="1112" spans="1:4" x14ac:dyDescent="0.25">
      <c r="A1112" t="s">
        <v>1159</v>
      </c>
      <c r="B1112">
        <v>32.42</v>
      </c>
      <c r="C1112" s="6">
        <f t="shared" si="35"/>
        <v>9.0258325552443619E-3</v>
      </c>
      <c r="D1112" s="6">
        <f t="shared" si="34"/>
        <v>8.9853431797629942E-3</v>
      </c>
    </row>
    <row r="1113" spans="1:4" x14ac:dyDescent="0.25">
      <c r="A1113" t="s">
        <v>1160</v>
      </c>
      <c r="B1113">
        <v>32.130000000000003</v>
      </c>
      <c r="C1113" s="6">
        <f t="shared" si="35"/>
        <v>-3.0476765238382608E-2</v>
      </c>
      <c r="D1113" s="6">
        <f t="shared" si="34"/>
        <v>-3.0950838870649752E-2</v>
      </c>
    </row>
    <row r="1114" spans="1:4" x14ac:dyDescent="0.25">
      <c r="A1114" t="s">
        <v>1161</v>
      </c>
      <c r="B1114">
        <v>33.14</v>
      </c>
      <c r="C1114" s="6">
        <f t="shared" si="35"/>
        <v>0</v>
      </c>
      <c r="D1114" s="6">
        <f t="shared" si="34"/>
        <v>0</v>
      </c>
    </row>
    <row r="1115" spans="1:4" x14ac:dyDescent="0.25">
      <c r="A1115" t="s">
        <v>1162</v>
      </c>
      <c r="B1115">
        <v>33.14</v>
      </c>
      <c r="C1115" s="6">
        <f t="shared" si="35"/>
        <v>-1.7200474495848161E-2</v>
      </c>
      <c r="D1115" s="6">
        <f t="shared" si="34"/>
        <v>-1.7350121135237855E-2</v>
      </c>
    </row>
    <row r="1116" spans="1:4" x14ac:dyDescent="0.25">
      <c r="A1116" t="s">
        <v>1163</v>
      </c>
      <c r="B1116">
        <v>33.72</v>
      </c>
      <c r="C1116" s="6">
        <f t="shared" si="35"/>
        <v>1.5662650602409567E-2</v>
      </c>
      <c r="D1116" s="6">
        <f t="shared" si="34"/>
        <v>1.5541257211211778E-2</v>
      </c>
    </row>
    <row r="1117" spans="1:4" x14ac:dyDescent="0.25">
      <c r="A1117" t="s">
        <v>1164</v>
      </c>
      <c r="B1117">
        <v>33.200000000000003</v>
      </c>
      <c r="C1117" s="6">
        <f t="shared" si="35"/>
        <v>7.587253414264028E-3</v>
      </c>
      <c r="D1117" s="6">
        <f t="shared" si="34"/>
        <v>7.5586149739266242E-3</v>
      </c>
    </row>
    <row r="1118" spans="1:4" x14ac:dyDescent="0.25">
      <c r="A1118" t="s">
        <v>1165</v>
      </c>
      <c r="B1118">
        <v>32.950000000000003</v>
      </c>
      <c r="C1118" s="6">
        <f t="shared" si="35"/>
        <v>6.1068702290076882E-3</v>
      </c>
      <c r="D1118" s="6">
        <f t="shared" si="34"/>
        <v>6.088298867255355E-3</v>
      </c>
    </row>
    <row r="1119" spans="1:4" x14ac:dyDescent="0.25">
      <c r="A1119" t="s">
        <v>1166</v>
      </c>
      <c r="B1119">
        <v>32.75</v>
      </c>
      <c r="C1119" s="6">
        <f t="shared" si="35"/>
        <v>-9.6764439068642849E-3</v>
      </c>
      <c r="D1119" s="6">
        <f t="shared" si="34"/>
        <v>-9.7235649124405472E-3</v>
      </c>
    </row>
    <row r="1120" spans="1:4" x14ac:dyDescent="0.25">
      <c r="A1120" t="s">
        <v>1167</v>
      </c>
      <c r="B1120">
        <v>33.07</v>
      </c>
      <c r="C1120" s="6">
        <f t="shared" si="35"/>
        <v>-2.275413711583929E-2</v>
      </c>
      <c r="D1120" s="6">
        <f t="shared" si="34"/>
        <v>-2.3017007744321163E-2</v>
      </c>
    </row>
    <row r="1121" spans="1:4" x14ac:dyDescent="0.25">
      <c r="A1121" t="s">
        <v>1168</v>
      </c>
      <c r="B1121">
        <v>33.840000000000003</v>
      </c>
      <c r="C1121" s="6">
        <f t="shared" si="35"/>
        <v>1.2870398084406043E-2</v>
      </c>
      <c r="D1121" s="6">
        <f t="shared" si="34"/>
        <v>1.2788278369357538E-2</v>
      </c>
    </row>
    <row r="1122" spans="1:4" x14ac:dyDescent="0.25">
      <c r="A1122" t="s">
        <v>1169</v>
      </c>
      <c r="B1122">
        <v>33.409999999999997</v>
      </c>
      <c r="C1122" s="6">
        <f t="shared" si="35"/>
        <v>2.6105651105650995E-2</v>
      </c>
      <c r="D1122" s="6">
        <f t="shared" si="34"/>
        <v>2.577071523432551E-2</v>
      </c>
    </row>
    <row r="1123" spans="1:4" x14ac:dyDescent="0.25">
      <c r="A1123" t="s">
        <v>1170</v>
      </c>
      <c r="B1123">
        <v>32.56</v>
      </c>
      <c r="C1123" s="6">
        <f t="shared" si="35"/>
        <v>-1.8393623543836446E-3</v>
      </c>
      <c r="D1123" s="6">
        <f t="shared" si="34"/>
        <v>-1.8410560585280938E-3</v>
      </c>
    </row>
    <row r="1124" spans="1:4" x14ac:dyDescent="0.25">
      <c r="A1124" t="s">
        <v>1171</v>
      </c>
      <c r="B1124">
        <v>32.619999999999997</v>
      </c>
      <c r="C1124" s="6">
        <f t="shared" si="35"/>
        <v>1.1159330440173587E-2</v>
      </c>
      <c r="D1124" s="6">
        <f t="shared" si="34"/>
        <v>1.1097524495805006E-2</v>
      </c>
    </row>
    <row r="1125" spans="1:4" x14ac:dyDescent="0.25">
      <c r="A1125" t="s">
        <v>1172</v>
      </c>
      <c r="B1125">
        <v>32.26</v>
      </c>
      <c r="C1125" s="6">
        <f t="shared" si="35"/>
        <v>2.9355456285896642E-2</v>
      </c>
      <c r="D1125" s="6">
        <f t="shared" si="34"/>
        <v>2.8932835769188057E-2</v>
      </c>
    </row>
    <row r="1126" spans="1:4" x14ac:dyDescent="0.25">
      <c r="A1126" t="s">
        <v>1173</v>
      </c>
      <c r="B1126">
        <v>31.34</v>
      </c>
      <c r="C1126" s="6">
        <f t="shared" si="35"/>
        <v>4.7459893048128254E-2</v>
      </c>
      <c r="D1126" s="6">
        <f t="shared" si="34"/>
        <v>4.636808382159819E-2</v>
      </c>
    </row>
    <row r="1127" spans="1:4" x14ac:dyDescent="0.25">
      <c r="A1127" t="s">
        <v>1174</v>
      </c>
      <c r="B1127">
        <v>29.92</v>
      </c>
      <c r="C1127" s="6">
        <f t="shared" si="35"/>
        <v>-2.001334222815121E-3</v>
      </c>
      <c r="D1127" s="6">
        <f t="shared" si="34"/>
        <v>-2.0033395681750619E-3</v>
      </c>
    </row>
    <row r="1128" spans="1:4" x14ac:dyDescent="0.25">
      <c r="A1128" t="s">
        <v>1175</v>
      </c>
      <c r="B1128">
        <v>29.98</v>
      </c>
      <c r="C1128" s="6">
        <f t="shared" si="35"/>
        <v>6.312056737588656E-2</v>
      </c>
      <c r="D1128" s="6">
        <f t="shared" si="34"/>
        <v>6.1208514730383773E-2</v>
      </c>
    </row>
    <row r="1129" spans="1:4" x14ac:dyDescent="0.25">
      <c r="A1129" t="s">
        <v>1176</v>
      </c>
      <c r="B1129">
        <v>28.2</v>
      </c>
      <c r="C1129" s="6">
        <f t="shared" si="35"/>
        <v>-1.0526315789473717E-2</v>
      </c>
      <c r="D1129" s="6">
        <f t="shared" si="34"/>
        <v>-1.0582109330536972E-2</v>
      </c>
    </row>
    <row r="1130" spans="1:4" x14ac:dyDescent="0.25">
      <c r="A1130" t="s">
        <v>1177</v>
      </c>
      <c r="B1130">
        <v>28.5</v>
      </c>
      <c r="C1130" s="6">
        <f t="shared" si="35"/>
        <v>6.2243756988445753E-2</v>
      </c>
      <c r="D1130" s="6">
        <f t="shared" si="34"/>
        <v>6.0383422837072057E-2</v>
      </c>
    </row>
    <row r="1131" spans="1:4" x14ac:dyDescent="0.25">
      <c r="A1131" t="s">
        <v>1178</v>
      </c>
      <c r="B1131">
        <v>26.83</v>
      </c>
      <c r="C1131" s="6">
        <f t="shared" si="35"/>
        <v>-3.4892086330935324E-2</v>
      </c>
      <c r="D1131" s="6">
        <f t="shared" si="34"/>
        <v>-3.5515356259058689E-2</v>
      </c>
    </row>
    <row r="1132" spans="1:4" x14ac:dyDescent="0.25">
      <c r="A1132" t="s">
        <v>1179</v>
      </c>
      <c r="B1132">
        <v>27.8</v>
      </c>
      <c r="C1132" s="6">
        <f t="shared" si="35"/>
        <v>-2.1815622800844481E-2</v>
      </c>
      <c r="D1132" s="6">
        <f t="shared" si="34"/>
        <v>-2.2057101972363203E-2</v>
      </c>
    </row>
    <row r="1133" spans="1:4" x14ac:dyDescent="0.25">
      <c r="A1133" t="s">
        <v>1180</v>
      </c>
      <c r="B1133">
        <v>28.42</v>
      </c>
      <c r="C1133" s="6">
        <f t="shared" si="35"/>
        <v>-4.180714767363447E-2</v>
      </c>
      <c r="D1133" s="6">
        <f t="shared" si="34"/>
        <v>-4.27062140408314E-2</v>
      </c>
    </row>
    <row r="1134" spans="1:4" x14ac:dyDescent="0.25">
      <c r="A1134" t="s">
        <v>1181</v>
      </c>
      <c r="B1134">
        <v>29.66</v>
      </c>
      <c r="C1134" s="6">
        <f t="shared" si="35"/>
        <v>-4.7833065810593878E-2</v>
      </c>
      <c r="D1134" s="6">
        <f t="shared" si="34"/>
        <v>-4.9014908523676091E-2</v>
      </c>
    </row>
    <row r="1135" spans="1:4" x14ac:dyDescent="0.25">
      <c r="A1135" t="s">
        <v>1182</v>
      </c>
      <c r="B1135">
        <v>31.15</v>
      </c>
      <c r="C1135" s="6">
        <f t="shared" si="35"/>
        <v>-8.5932527052833274E-3</v>
      </c>
      <c r="D1135" s="6">
        <f t="shared" si="34"/>
        <v>-8.6303875940130174E-3</v>
      </c>
    </row>
    <row r="1136" spans="1:4" x14ac:dyDescent="0.25">
      <c r="A1136" t="s">
        <v>1183</v>
      </c>
      <c r="B1136">
        <v>31.42</v>
      </c>
      <c r="C1136" s="6">
        <f t="shared" si="35"/>
        <v>2.5122349102773445E-2</v>
      </c>
      <c r="D1136" s="6">
        <f t="shared" si="34"/>
        <v>2.4811970445254884E-2</v>
      </c>
    </row>
    <row r="1137" spans="1:4" x14ac:dyDescent="0.25">
      <c r="A1137" t="s">
        <v>1184</v>
      </c>
      <c r="B1137">
        <v>30.65</v>
      </c>
      <c r="C1137" s="6">
        <f t="shared" si="35"/>
        <v>4.0393754243041258E-2</v>
      </c>
      <c r="D1137" s="6">
        <f t="shared" si="34"/>
        <v>3.9599251347736043E-2</v>
      </c>
    </row>
    <row r="1138" spans="1:4" x14ac:dyDescent="0.25">
      <c r="A1138" t="s">
        <v>1185</v>
      </c>
      <c r="B1138">
        <v>29.46</v>
      </c>
      <c r="C1138" s="6">
        <f t="shared" si="35"/>
        <v>-7.0778564206269712E-3</v>
      </c>
      <c r="D1138" s="6">
        <f t="shared" si="34"/>
        <v>-7.1030232682463019E-3</v>
      </c>
    </row>
    <row r="1139" spans="1:4" x14ac:dyDescent="0.25">
      <c r="A1139" t="s">
        <v>1186</v>
      </c>
      <c r="B1139">
        <v>29.67</v>
      </c>
      <c r="C1139" s="6">
        <f t="shared" si="35"/>
        <v>-7.0281124497990621E-3</v>
      </c>
      <c r="D1139" s="6">
        <f t="shared" ref="D1139:D1202" si="36">LN(B1139/B1140)</f>
        <v>-7.0529259618859839E-3</v>
      </c>
    </row>
    <row r="1140" spans="1:4" x14ac:dyDescent="0.25">
      <c r="A1140" t="s">
        <v>1187</v>
      </c>
      <c r="B1140">
        <v>29.88</v>
      </c>
      <c r="C1140" s="6">
        <f t="shared" ref="C1140:C1203" si="37">(B1140/B1141)-1</f>
        <v>-1.1904761904761862E-2</v>
      </c>
      <c r="D1140" s="6">
        <f t="shared" si="36"/>
        <v>-1.1976191046715649E-2</v>
      </c>
    </row>
    <row r="1141" spans="1:4" x14ac:dyDescent="0.25">
      <c r="A1141" t="s">
        <v>1188</v>
      </c>
      <c r="B1141">
        <v>30.24</v>
      </c>
      <c r="C1141" s="6">
        <f t="shared" si="37"/>
        <v>-1.7224569385765442E-2</v>
      </c>
      <c r="D1141" s="6">
        <f t="shared" si="36"/>
        <v>-1.7374638022618297E-2</v>
      </c>
    </row>
    <row r="1142" spans="1:4" x14ac:dyDescent="0.25">
      <c r="A1142" t="s">
        <v>1189</v>
      </c>
      <c r="B1142">
        <v>30.77</v>
      </c>
      <c r="C1142" s="6">
        <f t="shared" si="37"/>
        <v>1.6518004625041272E-2</v>
      </c>
      <c r="D1142" s="6">
        <f t="shared" si="36"/>
        <v>1.6383066300323157E-2</v>
      </c>
    </row>
    <row r="1143" spans="1:4" x14ac:dyDescent="0.25">
      <c r="A1143" t="s">
        <v>1190</v>
      </c>
      <c r="B1143">
        <v>30.27</v>
      </c>
      <c r="C1143" s="6">
        <f t="shared" si="37"/>
        <v>1.6453995970449942E-2</v>
      </c>
      <c r="D1143" s="6">
        <f t="shared" si="36"/>
        <v>1.6320095777764328E-2</v>
      </c>
    </row>
    <row r="1144" spans="1:4" x14ac:dyDescent="0.25">
      <c r="A1144" t="s">
        <v>1191</v>
      </c>
      <c r="B1144">
        <v>29.78</v>
      </c>
      <c r="C1144" s="6">
        <f t="shared" si="37"/>
        <v>-2.1360499507065311E-2</v>
      </c>
      <c r="D1144" s="6">
        <f t="shared" si="36"/>
        <v>-2.1591936653016695E-2</v>
      </c>
    </row>
    <row r="1145" spans="1:4" x14ac:dyDescent="0.25">
      <c r="A1145" t="s">
        <v>1192</v>
      </c>
      <c r="B1145">
        <v>30.43</v>
      </c>
      <c r="C1145" s="6">
        <f t="shared" si="37"/>
        <v>-8.7947882736155725E-3</v>
      </c>
      <c r="D1145" s="6">
        <f t="shared" si="36"/>
        <v>-8.8336906842716983E-3</v>
      </c>
    </row>
    <row r="1146" spans="1:4" x14ac:dyDescent="0.25">
      <c r="A1146" t="s">
        <v>1193</v>
      </c>
      <c r="B1146">
        <v>30.7</v>
      </c>
      <c r="C1146" s="6">
        <f t="shared" si="37"/>
        <v>3.9241334205364353E-3</v>
      </c>
      <c r="D1146" s="6">
        <f t="shared" si="36"/>
        <v>3.9164540922353632E-3</v>
      </c>
    </row>
    <row r="1147" spans="1:4" x14ac:dyDescent="0.25">
      <c r="A1147" t="s">
        <v>1194</v>
      </c>
      <c r="B1147">
        <v>30.58</v>
      </c>
      <c r="C1147" s="6">
        <f t="shared" si="37"/>
        <v>6.5505226480836232E-2</v>
      </c>
      <c r="D1147" s="6">
        <f t="shared" si="36"/>
        <v>6.3449077735340809E-2</v>
      </c>
    </row>
    <row r="1148" spans="1:4" x14ac:dyDescent="0.25">
      <c r="A1148" t="s">
        <v>1195</v>
      </c>
      <c r="B1148">
        <v>28.7</v>
      </c>
      <c r="C1148" s="6">
        <f t="shared" si="37"/>
        <v>5.5147058823529438E-2</v>
      </c>
      <c r="D1148" s="6">
        <f t="shared" si="36"/>
        <v>5.3680149463623816E-2</v>
      </c>
    </row>
    <row r="1149" spans="1:4" x14ac:dyDescent="0.25">
      <c r="A1149" t="s">
        <v>1196</v>
      </c>
      <c r="B1149">
        <v>27.2</v>
      </c>
      <c r="C1149" s="6">
        <f t="shared" si="37"/>
        <v>-2.0172910662824339E-2</v>
      </c>
      <c r="D1149" s="6">
        <f t="shared" si="36"/>
        <v>-2.0379162336652254E-2</v>
      </c>
    </row>
    <row r="1150" spans="1:4" x14ac:dyDescent="0.25">
      <c r="A1150" t="s">
        <v>1197</v>
      </c>
      <c r="B1150">
        <v>27.76</v>
      </c>
      <c r="C1150" s="6">
        <f t="shared" si="37"/>
        <v>1.6105417276720324E-2</v>
      </c>
      <c r="D1150" s="6">
        <f t="shared" si="36"/>
        <v>1.5977100936014413E-2</v>
      </c>
    </row>
    <row r="1151" spans="1:4" x14ac:dyDescent="0.25">
      <c r="A1151" t="s">
        <v>1198</v>
      </c>
      <c r="B1151">
        <v>27.32</v>
      </c>
      <c r="C1151" s="6">
        <f t="shared" si="37"/>
        <v>-5.4605023662176455E-3</v>
      </c>
      <c r="D1151" s="6">
        <f t="shared" si="36"/>
        <v>-5.4754654045931347E-3</v>
      </c>
    </row>
    <row r="1152" spans="1:4" x14ac:dyDescent="0.25">
      <c r="A1152" t="s">
        <v>1199</v>
      </c>
      <c r="B1152">
        <v>27.47</v>
      </c>
      <c r="C1152" s="6">
        <f t="shared" si="37"/>
        <v>5.4904831625182116E-3</v>
      </c>
      <c r="D1152" s="6">
        <f t="shared" si="36"/>
        <v>5.4754654045930913E-3</v>
      </c>
    </row>
    <row r="1153" spans="1:4" x14ac:dyDescent="0.25">
      <c r="A1153" t="s">
        <v>1200</v>
      </c>
      <c r="B1153">
        <v>27.32</v>
      </c>
      <c r="C1153" s="6">
        <f t="shared" si="37"/>
        <v>-7.3152889539129795E-4</v>
      </c>
      <c r="D1153" s="6">
        <f t="shared" si="36"/>
        <v>-7.3179659321411764E-4</v>
      </c>
    </row>
    <row r="1154" spans="1:4" x14ac:dyDescent="0.25">
      <c r="A1154" t="s">
        <v>1201</v>
      </c>
      <c r="B1154">
        <v>27.34</v>
      </c>
      <c r="C1154" s="6">
        <f t="shared" si="37"/>
        <v>-5.8181818181818334E-3</v>
      </c>
      <c r="D1154" s="6">
        <f t="shared" si="36"/>
        <v>-5.835173376722123E-3</v>
      </c>
    </row>
    <row r="1155" spans="1:4" x14ac:dyDescent="0.25">
      <c r="A1155" t="s">
        <v>1202</v>
      </c>
      <c r="B1155">
        <v>27.5</v>
      </c>
      <c r="C1155" s="6">
        <f t="shared" si="37"/>
        <v>2.2304832713754719E-2</v>
      </c>
      <c r="D1155" s="6">
        <f t="shared" si="36"/>
        <v>2.2059718064732257E-2</v>
      </c>
    </row>
    <row r="1156" spans="1:4" x14ac:dyDescent="0.25">
      <c r="A1156" t="s">
        <v>1203</v>
      </c>
      <c r="B1156">
        <v>26.9</v>
      </c>
      <c r="C1156" s="6">
        <f t="shared" si="37"/>
        <v>-1.5012815818381542E-2</v>
      </c>
      <c r="D1156" s="6">
        <f t="shared" si="36"/>
        <v>-1.5126648877820215E-2</v>
      </c>
    </row>
    <row r="1157" spans="1:4" x14ac:dyDescent="0.25">
      <c r="A1157" t="s">
        <v>1204</v>
      </c>
      <c r="B1157">
        <v>27.31</v>
      </c>
      <c r="C1157" s="6">
        <f t="shared" si="37"/>
        <v>-8.3514887436456631E-3</v>
      </c>
      <c r="D1157" s="6">
        <f t="shared" si="36"/>
        <v>-8.3865578148952045E-3</v>
      </c>
    </row>
    <row r="1158" spans="1:4" x14ac:dyDescent="0.25">
      <c r="A1158" t="s">
        <v>1205</v>
      </c>
      <c r="B1158">
        <v>27.54</v>
      </c>
      <c r="C1158" s="6">
        <f t="shared" si="37"/>
        <v>1.6611295681063121E-2</v>
      </c>
      <c r="D1158" s="6">
        <f t="shared" si="36"/>
        <v>1.6474837203505042E-2</v>
      </c>
    </row>
    <row r="1159" spans="1:4" x14ac:dyDescent="0.25">
      <c r="A1159" t="s">
        <v>1206</v>
      </c>
      <c r="B1159">
        <v>27.09</v>
      </c>
      <c r="C1159" s="6">
        <f t="shared" si="37"/>
        <v>3.5550458715596367E-2</v>
      </c>
      <c r="D1159" s="6">
        <f t="shared" si="36"/>
        <v>3.4933129508005825E-2</v>
      </c>
    </row>
    <row r="1160" spans="1:4" x14ac:dyDescent="0.25">
      <c r="A1160" t="s">
        <v>1207</v>
      </c>
      <c r="B1160">
        <v>26.16</v>
      </c>
      <c r="C1160" s="6">
        <f t="shared" si="37"/>
        <v>-5.2517203911626176E-2</v>
      </c>
      <c r="D1160" s="6">
        <f t="shared" si="36"/>
        <v>-5.3946499353065058E-2</v>
      </c>
    </row>
    <row r="1161" spans="1:4" x14ac:dyDescent="0.25">
      <c r="A1161" t="s">
        <v>1208</v>
      </c>
      <c r="B1161">
        <v>27.61</v>
      </c>
      <c r="C1161" s="6">
        <f t="shared" si="37"/>
        <v>-1.9182948490230833E-2</v>
      </c>
      <c r="D1161" s="6">
        <f t="shared" si="36"/>
        <v>-1.9369328643636254E-2</v>
      </c>
    </row>
    <row r="1162" spans="1:4" x14ac:dyDescent="0.25">
      <c r="A1162" t="s">
        <v>1209</v>
      </c>
      <c r="B1162">
        <v>28.15</v>
      </c>
      <c r="C1162" s="6">
        <f t="shared" si="37"/>
        <v>-1.1587078651685512E-2</v>
      </c>
      <c r="D1162" s="6">
        <f t="shared" si="36"/>
        <v>-1.1654731958075749E-2</v>
      </c>
    </row>
    <row r="1163" spans="1:4" x14ac:dyDescent="0.25">
      <c r="A1163" t="s">
        <v>1210</v>
      </c>
      <c r="B1163">
        <v>28.48</v>
      </c>
      <c r="C1163" s="6">
        <f t="shared" si="37"/>
        <v>-5.9336823734729149E-3</v>
      </c>
      <c r="D1163" s="6">
        <f t="shared" si="36"/>
        <v>-5.9513566169735188E-3</v>
      </c>
    </row>
    <row r="1164" spans="1:4" x14ac:dyDescent="0.25">
      <c r="A1164" t="s">
        <v>1211</v>
      </c>
      <c r="B1164">
        <v>28.65</v>
      </c>
      <c r="C1164" s="6">
        <f t="shared" si="37"/>
        <v>3.0204962243797207E-2</v>
      </c>
      <c r="D1164" s="6">
        <f t="shared" si="36"/>
        <v>2.9757774914875103E-2</v>
      </c>
    </row>
    <row r="1165" spans="1:4" x14ac:dyDescent="0.25">
      <c r="A1165" t="s">
        <v>1212</v>
      </c>
      <c r="B1165">
        <v>27.81</v>
      </c>
      <c r="C1165" s="6">
        <f t="shared" si="37"/>
        <v>7.6086956521739246E-3</v>
      </c>
      <c r="D1165" s="6">
        <f t="shared" si="36"/>
        <v>7.5798955227691714E-3</v>
      </c>
    </row>
    <row r="1166" spans="1:4" x14ac:dyDescent="0.25">
      <c r="A1166" t="s">
        <v>1213</v>
      </c>
      <c r="B1166">
        <v>27.6</v>
      </c>
      <c r="C1166" s="6">
        <f t="shared" si="37"/>
        <v>-1.4285714285714235E-2</v>
      </c>
      <c r="D1166" s="6">
        <f t="shared" si="36"/>
        <v>-1.4388737452099556E-2</v>
      </c>
    </row>
    <row r="1167" spans="1:4" x14ac:dyDescent="0.25">
      <c r="A1167" t="s">
        <v>1214</v>
      </c>
      <c r="B1167">
        <v>28</v>
      </c>
      <c r="C1167" s="6">
        <f t="shared" si="37"/>
        <v>-9.5507605235231052E-3</v>
      </c>
      <c r="D1167" s="6">
        <f t="shared" si="36"/>
        <v>-9.5966615302949861E-3</v>
      </c>
    </row>
    <row r="1168" spans="1:4" x14ac:dyDescent="0.25">
      <c r="A1168" t="s">
        <v>1215</v>
      </c>
      <c r="B1168">
        <v>28.27</v>
      </c>
      <c r="C1168" s="6">
        <f t="shared" si="37"/>
        <v>-2.3825966850828828E-2</v>
      </c>
      <c r="D1168" s="6">
        <f t="shared" si="36"/>
        <v>-2.4114395812016742E-2</v>
      </c>
    </row>
    <row r="1169" spans="1:4" x14ac:dyDescent="0.25">
      <c r="A1169" t="s">
        <v>1216</v>
      </c>
      <c r="B1169">
        <v>28.96</v>
      </c>
      <c r="C1169" s="6">
        <f t="shared" si="37"/>
        <v>5.5555555555555358E-3</v>
      </c>
      <c r="D1169" s="6">
        <f t="shared" si="36"/>
        <v>5.5401803756153509E-3</v>
      </c>
    </row>
    <row r="1170" spans="1:4" x14ac:dyDescent="0.25">
      <c r="A1170" t="s">
        <v>1217</v>
      </c>
      <c r="B1170">
        <v>28.8</v>
      </c>
      <c r="C1170" s="6">
        <f t="shared" si="37"/>
        <v>6.6271751203258011E-2</v>
      </c>
      <c r="D1170" s="6">
        <f t="shared" si="36"/>
        <v>6.4168219337376001E-2</v>
      </c>
    </row>
    <row r="1171" spans="1:4" x14ac:dyDescent="0.25">
      <c r="A1171" t="s">
        <v>1218</v>
      </c>
      <c r="B1171">
        <v>27.01</v>
      </c>
      <c r="C1171" s="6">
        <f t="shared" si="37"/>
        <v>-6.2545989698307158E-3</v>
      </c>
      <c r="D1171" s="6">
        <f t="shared" si="36"/>
        <v>-6.2742409184734053E-3</v>
      </c>
    </row>
    <row r="1172" spans="1:4" x14ac:dyDescent="0.25">
      <c r="A1172" t="s">
        <v>1219</v>
      </c>
      <c r="B1172">
        <v>27.18</v>
      </c>
      <c r="C1172" s="6">
        <f t="shared" si="37"/>
        <v>-8.3910981393652273E-3</v>
      </c>
      <c r="D1172" s="6">
        <f t="shared" si="36"/>
        <v>-8.4265015916968021E-3</v>
      </c>
    </row>
    <row r="1173" spans="1:4" x14ac:dyDescent="0.25">
      <c r="A1173" t="s">
        <v>1220</v>
      </c>
      <c r="B1173">
        <v>27.41</v>
      </c>
      <c r="C1173" s="6">
        <f t="shared" si="37"/>
        <v>1.4433752775721675E-2</v>
      </c>
      <c r="D1173" s="6">
        <f t="shared" si="36"/>
        <v>1.4330577782641614E-2</v>
      </c>
    </row>
    <row r="1174" spans="1:4" x14ac:dyDescent="0.25">
      <c r="A1174" t="s">
        <v>1221</v>
      </c>
      <c r="B1174">
        <v>27.02</v>
      </c>
      <c r="C1174" s="6">
        <f t="shared" si="37"/>
        <v>-3.2581453634085267E-2</v>
      </c>
      <c r="D1174" s="6">
        <f t="shared" si="36"/>
        <v>-3.3124047425032652E-2</v>
      </c>
    </row>
    <row r="1175" spans="1:4" x14ac:dyDescent="0.25">
      <c r="A1175" t="s">
        <v>1222</v>
      </c>
      <c r="B1175">
        <v>27.93</v>
      </c>
      <c r="C1175" s="6">
        <f t="shared" si="37"/>
        <v>2.1580102414045399E-2</v>
      </c>
      <c r="D1175" s="6">
        <f t="shared" si="36"/>
        <v>2.1350548661281936E-2</v>
      </c>
    </row>
    <row r="1176" spans="1:4" x14ac:dyDescent="0.25">
      <c r="A1176" t="s">
        <v>1223</v>
      </c>
      <c r="B1176">
        <v>27.34</v>
      </c>
      <c r="C1176" s="6">
        <f t="shared" si="37"/>
        <v>1.5979189892233459E-2</v>
      </c>
      <c r="D1176" s="6">
        <f t="shared" si="36"/>
        <v>1.5852866556989146E-2</v>
      </c>
    </row>
    <row r="1177" spans="1:4" x14ac:dyDescent="0.25">
      <c r="A1177" t="s">
        <v>1224</v>
      </c>
      <c r="B1177">
        <v>26.91</v>
      </c>
      <c r="C1177" s="6">
        <f t="shared" si="37"/>
        <v>-4.0641711229946531E-2</v>
      </c>
      <c r="D1177" s="6">
        <f t="shared" si="36"/>
        <v>-4.1490667229890886E-2</v>
      </c>
    </row>
    <row r="1178" spans="1:4" x14ac:dyDescent="0.25">
      <c r="A1178" t="s">
        <v>1225</v>
      </c>
      <c r="B1178">
        <v>28.05</v>
      </c>
      <c r="C1178" s="6">
        <f t="shared" si="37"/>
        <v>2.0000000000000018E-2</v>
      </c>
      <c r="D1178" s="6">
        <f t="shared" si="36"/>
        <v>1.980262729617973E-2</v>
      </c>
    </row>
    <row r="1179" spans="1:4" x14ac:dyDescent="0.25">
      <c r="A1179" t="s">
        <v>1226</v>
      </c>
      <c r="B1179">
        <v>27.5</v>
      </c>
      <c r="C1179" s="6">
        <f t="shared" si="37"/>
        <v>7.2780203784561515E-4</v>
      </c>
      <c r="D1179" s="6">
        <f t="shared" si="36"/>
        <v>7.275373183769279E-4</v>
      </c>
    </row>
    <row r="1180" spans="1:4" x14ac:dyDescent="0.25">
      <c r="A1180" t="s">
        <v>1227</v>
      </c>
      <c r="B1180">
        <v>27.48</v>
      </c>
      <c r="C1180" s="6">
        <f t="shared" si="37"/>
        <v>-2.380106571936047E-2</v>
      </c>
      <c r="D1180" s="6">
        <f t="shared" si="36"/>
        <v>-2.4088887231550699E-2</v>
      </c>
    </row>
    <row r="1181" spans="1:4" x14ac:dyDescent="0.25">
      <c r="A1181" t="s">
        <v>1228</v>
      </c>
      <c r="B1181">
        <v>28.15</v>
      </c>
      <c r="C1181" s="6">
        <f t="shared" si="37"/>
        <v>-2.6288481494292637E-2</v>
      </c>
      <c r="D1181" s="6">
        <f t="shared" si="36"/>
        <v>-2.6640201442555311E-2</v>
      </c>
    </row>
    <row r="1182" spans="1:4" x14ac:dyDescent="0.25">
      <c r="A1182" t="s">
        <v>1229</v>
      </c>
      <c r="B1182">
        <v>28.91</v>
      </c>
      <c r="C1182" s="6">
        <f t="shared" si="37"/>
        <v>-2.8235294117647025E-2</v>
      </c>
      <c r="D1182" s="6">
        <f t="shared" si="36"/>
        <v>-2.8641575963384038E-2</v>
      </c>
    </row>
    <row r="1183" spans="1:4" x14ac:dyDescent="0.25">
      <c r="A1183" t="s">
        <v>1230</v>
      </c>
      <c r="B1183">
        <v>29.75</v>
      </c>
      <c r="C1183" s="6">
        <f t="shared" si="37"/>
        <v>1.6835016835017313E-3</v>
      </c>
      <c r="D1183" s="6">
        <f t="shared" si="36"/>
        <v>1.68208618298488E-3</v>
      </c>
    </row>
    <row r="1184" spans="1:4" x14ac:dyDescent="0.25">
      <c r="A1184" t="s">
        <v>1231</v>
      </c>
      <c r="B1184">
        <v>29.7</v>
      </c>
      <c r="C1184" s="6">
        <f t="shared" si="37"/>
        <v>-3.1942633637548901E-2</v>
      </c>
      <c r="D1184" s="6">
        <f t="shared" si="36"/>
        <v>-3.2463930690401516E-2</v>
      </c>
    </row>
    <row r="1185" spans="1:4" x14ac:dyDescent="0.25">
      <c r="A1185" t="s">
        <v>1232</v>
      </c>
      <c r="B1185">
        <v>30.68</v>
      </c>
      <c r="C1185" s="6">
        <f t="shared" si="37"/>
        <v>2.6773761713520861E-2</v>
      </c>
      <c r="D1185" s="6">
        <f t="shared" si="36"/>
        <v>2.6421616234438988E-2</v>
      </c>
    </row>
    <row r="1186" spans="1:4" x14ac:dyDescent="0.25">
      <c r="A1186" t="s">
        <v>1233</v>
      </c>
      <c r="B1186">
        <v>29.88</v>
      </c>
      <c r="C1186" s="6">
        <f t="shared" si="37"/>
        <v>1.0050251256281673E-3</v>
      </c>
      <c r="D1186" s="6">
        <f t="shared" si="36"/>
        <v>1.0045204260054903E-3</v>
      </c>
    </row>
    <row r="1187" spans="1:4" x14ac:dyDescent="0.25">
      <c r="A1187" t="s">
        <v>1234</v>
      </c>
      <c r="B1187">
        <v>29.85</v>
      </c>
      <c r="C1187" s="6">
        <f t="shared" si="37"/>
        <v>-1.2896825396825351E-2</v>
      </c>
      <c r="D1187" s="6">
        <f t="shared" si="36"/>
        <v>-1.2980711472721109E-2</v>
      </c>
    </row>
    <row r="1188" spans="1:4" x14ac:dyDescent="0.25">
      <c r="A1188" t="s">
        <v>1235</v>
      </c>
      <c r="B1188">
        <v>30.24</v>
      </c>
      <c r="C1188" s="6">
        <f t="shared" si="37"/>
        <v>-9.1743119266055606E-3</v>
      </c>
      <c r="D1188" s="6">
        <f t="shared" si="36"/>
        <v>-9.2166551049240632E-3</v>
      </c>
    </row>
    <row r="1189" spans="1:4" x14ac:dyDescent="0.25">
      <c r="A1189" t="s">
        <v>1236</v>
      </c>
      <c r="B1189">
        <v>30.52</v>
      </c>
      <c r="C1189" s="6">
        <f t="shared" si="37"/>
        <v>5.9327620303228912E-3</v>
      </c>
      <c r="D1189" s="6">
        <f t="shared" si="36"/>
        <v>5.9152324958699522E-3</v>
      </c>
    </row>
    <row r="1190" spans="1:4" x14ac:dyDescent="0.25">
      <c r="A1190" t="s">
        <v>1237</v>
      </c>
      <c r="B1190">
        <v>30.34</v>
      </c>
      <c r="C1190" s="6">
        <f t="shared" si="37"/>
        <v>2.9871011541072523E-2</v>
      </c>
      <c r="D1190" s="6">
        <f t="shared" si="36"/>
        <v>2.9433562885901862E-2</v>
      </c>
    </row>
    <row r="1191" spans="1:4" x14ac:dyDescent="0.25">
      <c r="A1191" t="s">
        <v>1238</v>
      </c>
      <c r="B1191">
        <v>29.46</v>
      </c>
      <c r="C1191" s="6">
        <f t="shared" si="37"/>
        <v>7.52393980848165E-3</v>
      </c>
      <c r="D1191" s="6">
        <f t="shared" si="36"/>
        <v>7.4957761529065737E-3</v>
      </c>
    </row>
    <row r="1192" spans="1:4" x14ac:dyDescent="0.25">
      <c r="A1192" t="s">
        <v>1239</v>
      </c>
      <c r="B1192">
        <v>29.24</v>
      </c>
      <c r="C1192" s="6">
        <f t="shared" si="37"/>
        <v>2.8852920478536159E-2</v>
      </c>
      <c r="D1192" s="6">
        <f t="shared" si="36"/>
        <v>2.8444512212623094E-2</v>
      </c>
    </row>
    <row r="1193" spans="1:4" x14ac:dyDescent="0.25">
      <c r="A1193" t="s">
        <v>1240</v>
      </c>
      <c r="B1193">
        <v>28.42</v>
      </c>
      <c r="C1193" s="6">
        <f t="shared" si="37"/>
        <v>0.11102423768569203</v>
      </c>
      <c r="D1193" s="6">
        <f t="shared" si="36"/>
        <v>0.10528232651825802</v>
      </c>
    </row>
    <row r="1194" spans="1:4" x14ac:dyDescent="0.25">
      <c r="A1194" t="s">
        <v>1241</v>
      </c>
      <c r="B1194">
        <v>25.58</v>
      </c>
      <c r="C1194" s="6">
        <f t="shared" si="37"/>
        <v>2.7309236947791193E-2</v>
      </c>
      <c r="D1194" s="6">
        <f t="shared" si="36"/>
        <v>2.6942992680034729E-2</v>
      </c>
    </row>
    <row r="1195" spans="1:4" x14ac:dyDescent="0.25">
      <c r="A1195" t="s">
        <v>1242</v>
      </c>
      <c r="B1195">
        <v>24.9</v>
      </c>
      <c r="C1195" s="6">
        <f t="shared" si="37"/>
        <v>-1.3861386138613874E-2</v>
      </c>
      <c r="D1195" s="6">
        <f t="shared" si="36"/>
        <v>-1.3958352250706914E-2</v>
      </c>
    </row>
    <row r="1196" spans="1:4" x14ac:dyDescent="0.25">
      <c r="A1196" t="s">
        <v>1243</v>
      </c>
      <c r="B1196">
        <v>25.25</v>
      </c>
      <c r="C1196" s="6">
        <f t="shared" si="37"/>
        <v>-4.3375394321766292E-3</v>
      </c>
      <c r="D1196" s="6">
        <f t="shared" si="36"/>
        <v>-4.3469738476563154E-3</v>
      </c>
    </row>
    <row r="1197" spans="1:4" x14ac:dyDescent="0.25">
      <c r="A1197" t="s">
        <v>1244</v>
      </c>
      <c r="B1197">
        <v>25.36</v>
      </c>
      <c r="C1197" s="6">
        <f t="shared" si="37"/>
        <v>5.6226572261557584E-2</v>
      </c>
      <c r="D1197" s="6">
        <f t="shared" si="36"/>
        <v>5.470271933586323E-2</v>
      </c>
    </row>
    <row r="1198" spans="1:4" x14ac:dyDescent="0.25">
      <c r="A1198" t="s">
        <v>1245</v>
      </c>
      <c r="B1198">
        <v>24.01</v>
      </c>
      <c r="C1198" s="6">
        <f t="shared" si="37"/>
        <v>-1.1120263591433255E-2</v>
      </c>
      <c r="D1198" s="6">
        <f t="shared" si="36"/>
        <v>-1.1182555958135637E-2</v>
      </c>
    </row>
    <row r="1199" spans="1:4" x14ac:dyDescent="0.25">
      <c r="A1199" t="s">
        <v>1246</v>
      </c>
      <c r="B1199">
        <v>24.28</v>
      </c>
      <c r="C1199" s="6">
        <f t="shared" si="37"/>
        <v>2.6638477801268712E-2</v>
      </c>
      <c r="D1199" s="6">
        <f t="shared" si="36"/>
        <v>2.6289851253355746E-2</v>
      </c>
    </row>
    <row r="1200" spans="1:4" x14ac:dyDescent="0.25">
      <c r="A1200" t="s">
        <v>1247</v>
      </c>
      <c r="B1200">
        <v>23.65</v>
      </c>
      <c r="C1200" s="6">
        <f t="shared" si="37"/>
        <v>-2.7549342105263275E-2</v>
      </c>
      <c r="D1200" s="6">
        <f t="shared" si="36"/>
        <v>-2.7935942160024405E-2</v>
      </c>
    </row>
    <row r="1201" spans="1:4" x14ac:dyDescent="0.25">
      <c r="A1201" t="s">
        <v>1248</v>
      </c>
      <c r="B1201">
        <v>24.32</v>
      </c>
      <c r="C1201" s="6">
        <f t="shared" si="37"/>
        <v>-1.4586709886547755E-2</v>
      </c>
      <c r="D1201" s="6">
        <f t="shared" si="36"/>
        <v>-1.4694141939220749E-2</v>
      </c>
    </row>
    <row r="1202" spans="1:4" x14ac:dyDescent="0.25">
      <c r="A1202" t="s">
        <v>1249</v>
      </c>
      <c r="B1202">
        <v>24.68</v>
      </c>
      <c r="C1202" s="6">
        <f t="shared" si="37"/>
        <v>-1.6341171781586339E-2</v>
      </c>
      <c r="D1202" s="6">
        <f t="shared" si="36"/>
        <v>-1.6476161341143904E-2</v>
      </c>
    </row>
    <row r="1203" spans="1:4" x14ac:dyDescent="0.25">
      <c r="A1203" t="s">
        <v>1250</v>
      </c>
      <c r="B1203">
        <v>25.09</v>
      </c>
      <c r="C1203" s="6">
        <f t="shared" si="37"/>
        <v>8.0999569151227968E-2</v>
      </c>
      <c r="D1203" s="6">
        <f t="shared" ref="D1203:D1260" si="38">LN(B1203/B1204)</f>
        <v>7.7886140091985287E-2</v>
      </c>
    </row>
    <row r="1204" spans="1:4" x14ac:dyDescent="0.25">
      <c r="A1204" t="s">
        <v>1251</v>
      </c>
      <c r="B1204">
        <v>23.21</v>
      </c>
      <c r="C1204" s="6">
        <f t="shared" ref="C1204:C1260" si="39">(B1204/B1205)-1</f>
        <v>-1.7774016081252619E-2</v>
      </c>
      <c r="D1204" s="6">
        <f t="shared" si="38"/>
        <v>-1.793387091247077E-2</v>
      </c>
    </row>
    <row r="1205" spans="1:4" x14ac:dyDescent="0.25">
      <c r="A1205" t="s">
        <v>1252</v>
      </c>
      <c r="B1205">
        <v>23.63</v>
      </c>
      <c r="C1205" s="6">
        <f t="shared" si="39"/>
        <v>1.6956337431115465E-3</v>
      </c>
      <c r="D1205" s="6">
        <f t="shared" si="38"/>
        <v>1.6941977792328663E-3</v>
      </c>
    </row>
    <row r="1206" spans="1:4" x14ac:dyDescent="0.25">
      <c r="A1206" t="s">
        <v>1253</v>
      </c>
      <c r="B1206">
        <v>23.59</v>
      </c>
      <c r="C1206" s="6">
        <f t="shared" si="39"/>
        <v>-9.2398152036958781E-3</v>
      </c>
      <c r="D1206" s="6">
        <f t="shared" si="38"/>
        <v>-9.2827670791877023E-3</v>
      </c>
    </row>
    <row r="1207" spans="1:4" x14ac:dyDescent="0.25">
      <c r="A1207" t="s">
        <v>1254</v>
      </c>
      <c r="B1207">
        <v>23.81</v>
      </c>
      <c r="C1207" s="6">
        <f t="shared" si="39"/>
        <v>2.2327179046801149E-2</v>
      </c>
      <c r="D1207" s="6">
        <f t="shared" si="38"/>
        <v>2.2081576602521732E-2</v>
      </c>
    </row>
    <row r="1208" spans="1:4" x14ac:dyDescent="0.25">
      <c r="A1208" t="s">
        <v>1255</v>
      </c>
      <c r="B1208">
        <v>23.29</v>
      </c>
      <c r="C1208" s="6">
        <f t="shared" si="39"/>
        <v>-6.8230277185501453E-3</v>
      </c>
      <c r="D1208" s="6">
        <f t="shared" si="38"/>
        <v>-6.8464109960387825E-3</v>
      </c>
    </row>
    <row r="1209" spans="1:4" x14ac:dyDescent="0.25">
      <c r="A1209" t="s">
        <v>1256</v>
      </c>
      <c r="B1209">
        <v>23.45</v>
      </c>
      <c r="C1209" s="6">
        <f t="shared" si="39"/>
        <v>-2.9788994621431586E-2</v>
      </c>
      <c r="D1209" s="6">
        <f t="shared" si="38"/>
        <v>-3.0241699823103332E-2</v>
      </c>
    </row>
    <row r="1210" spans="1:4" x14ac:dyDescent="0.25">
      <c r="A1210" t="s">
        <v>1257</v>
      </c>
      <c r="B1210">
        <v>24.17</v>
      </c>
      <c r="C1210" s="6">
        <f t="shared" si="39"/>
        <v>-4.1356492969391034E-4</v>
      </c>
      <c r="D1210" s="6">
        <f t="shared" si="38"/>
        <v>-4.1365047125491947E-4</v>
      </c>
    </row>
    <row r="1211" spans="1:4" x14ac:dyDescent="0.25">
      <c r="A1211" t="s">
        <v>1258</v>
      </c>
      <c r="B1211">
        <v>24.18</v>
      </c>
      <c r="C1211" s="6">
        <f t="shared" si="39"/>
        <v>-4.5400710619818319E-2</v>
      </c>
      <c r="D1211" s="6">
        <f t="shared" si="38"/>
        <v>-4.6463618826937156E-2</v>
      </c>
    </row>
    <row r="1212" spans="1:4" x14ac:dyDescent="0.25">
      <c r="A1212" t="s">
        <v>1259</v>
      </c>
      <c r="B1212">
        <v>25.33</v>
      </c>
      <c r="C1212" s="6">
        <f t="shared" si="39"/>
        <v>7.6955782312925214E-2</v>
      </c>
      <c r="D1212" s="6">
        <f t="shared" si="38"/>
        <v>7.4138340983157719E-2</v>
      </c>
    </row>
    <row r="1213" spans="1:4" x14ac:dyDescent="0.25">
      <c r="A1213" t="s">
        <v>1260</v>
      </c>
      <c r="B1213">
        <v>23.52</v>
      </c>
      <c r="C1213" s="6">
        <f t="shared" si="39"/>
        <v>-1.7543859649122862E-2</v>
      </c>
      <c r="D1213" s="6">
        <f t="shared" si="38"/>
        <v>-1.7699577099400975E-2</v>
      </c>
    </row>
    <row r="1214" spans="1:4" x14ac:dyDescent="0.25">
      <c r="A1214" t="s">
        <v>1261</v>
      </c>
      <c r="B1214">
        <v>23.94</v>
      </c>
      <c r="C1214" s="6">
        <f t="shared" si="39"/>
        <v>-6.2266500622664145E-3</v>
      </c>
      <c r="D1214" s="6">
        <f t="shared" si="38"/>
        <v>-6.2461164969528204E-3</v>
      </c>
    </row>
    <row r="1215" spans="1:4" x14ac:dyDescent="0.25">
      <c r="A1215" t="s">
        <v>1262</v>
      </c>
      <c r="B1215">
        <v>24.09</v>
      </c>
      <c r="C1215" s="6">
        <f t="shared" si="39"/>
        <v>-2.4844720496893791E-3</v>
      </c>
      <c r="D1215" s="6">
        <f t="shared" si="38"/>
        <v>-2.4875634718016354E-3</v>
      </c>
    </row>
    <row r="1216" spans="1:4" x14ac:dyDescent="0.25">
      <c r="A1216" t="s">
        <v>1263</v>
      </c>
      <c r="B1216">
        <v>24.15</v>
      </c>
      <c r="C1216" s="6">
        <f t="shared" si="39"/>
        <v>5.8309037900874383E-3</v>
      </c>
      <c r="D1216" s="6">
        <f t="shared" si="38"/>
        <v>5.8139698654198161E-3</v>
      </c>
    </row>
    <row r="1217" spans="1:4" x14ac:dyDescent="0.25">
      <c r="A1217" t="s">
        <v>1264</v>
      </c>
      <c r="B1217">
        <v>24.01</v>
      </c>
      <c r="C1217" s="6">
        <f t="shared" si="39"/>
        <v>-4.9730625777040238E-3</v>
      </c>
      <c r="D1217" s="6">
        <f t="shared" si="38"/>
        <v>-4.9854694037784336E-3</v>
      </c>
    </row>
    <row r="1218" spans="1:4" x14ac:dyDescent="0.25">
      <c r="A1218" t="s">
        <v>1265</v>
      </c>
      <c r="B1218">
        <v>24.13</v>
      </c>
      <c r="C1218" s="6">
        <f t="shared" si="39"/>
        <v>-9.8481739844071825E-3</v>
      </c>
      <c r="D1218" s="6">
        <f t="shared" si="38"/>
        <v>-9.8969880001746179E-3</v>
      </c>
    </row>
    <row r="1219" spans="1:4" x14ac:dyDescent="0.25">
      <c r="A1219" t="s">
        <v>1266</v>
      </c>
      <c r="B1219">
        <v>24.37</v>
      </c>
      <c r="C1219" s="6">
        <f t="shared" si="39"/>
        <v>2.5241901556583901E-2</v>
      </c>
      <c r="D1219" s="6">
        <f t="shared" si="38"/>
        <v>2.4928586265012275E-2</v>
      </c>
    </row>
    <row r="1220" spans="1:4" x14ac:dyDescent="0.25">
      <c r="A1220" t="s">
        <v>1267</v>
      </c>
      <c r="B1220">
        <v>23.77</v>
      </c>
      <c r="C1220" s="6">
        <f t="shared" si="39"/>
        <v>-2.1810699588477367E-2</v>
      </c>
      <c r="D1220" s="6">
        <f t="shared" si="38"/>
        <v>-2.2052068974400218E-2</v>
      </c>
    </row>
    <row r="1221" spans="1:4" x14ac:dyDescent="0.25">
      <c r="A1221" t="s">
        <v>1268</v>
      </c>
      <c r="B1221">
        <v>24.3</v>
      </c>
      <c r="C1221" s="6">
        <f t="shared" si="39"/>
        <v>-3.1100478468899406E-2</v>
      </c>
      <c r="D1221" s="6">
        <f t="shared" si="38"/>
        <v>-3.1594365418217057E-2</v>
      </c>
    </row>
    <row r="1222" spans="1:4" x14ac:dyDescent="0.25">
      <c r="A1222" t="s">
        <v>1269</v>
      </c>
      <c r="B1222">
        <v>25.08</v>
      </c>
      <c r="C1222" s="6">
        <f t="shared" si="39"/>
        <v>-1.2598425196850394E-2</v>
      </c>
      <c r="D1222" s="6">
        <f t="shared" si="38"/>
        <v>-1.2678458259770951E-2</v>
      </c>
    </row>
    <row r="1223" spans="1:4" x14ac:dyDescent="0.25">
      <c r="A1223" t="s">
        <v>1270</v>
      </c>
      <c r="B1223">
        <v>25.4</v>
      </c>
      <c r="C1223" s="6">
        <f t="shared" si="39"/>
        <v>-1.0903426791277315E-2</v>
      </c>
      <c r="D1223" s="6">
        <f t="shared" si="38"/>
        <v>-1.0963304797269584E-2</v>
      </c>
    </row>
    <row r="1224" spans="1:4" x14ac:dyDescent="0.25">
      <c r="A1224" t="s">
        <v>1271</v>
      </c>
      <c r="B1224">
        <v>25.68</v>
      </c>
      <c r="C1224" s="6">
        <f t="shared" si="39"/>
        <v>-1.7597551644988552E-2</v>
      </c>
      <c r="D1224" s="6">
        <f t="shared" si="38"/>
        <v>-1.7754229374315492E-2</v>
      </c>
    </row>
    <row r="1225" spans="1:4" x14ac:dyDescent="0.25">
      <c r="A1225" t="s">
        <v>1272</v>
      </c>
      <c r="B1225">
        <v>26.14</v>
      </c>
      <c r="C1225" s="6">
        <f t="shared" si="39"/>
        <v>3.8950715421303572E-2</v>
      </c>
      <c r="D1225" s="6">
        <f t="shared" si="38"/>
        <v>3.8211276363836033E-2</v>
      </c>
    </row>
    <row r="1226" spans="1:4" x14ac:dyDescent="0.25">
      <c r="A1226" t="s">
        <v>1273</v>
      </c>
      <c r="B1226">
        <v>25.16</v>
      </c>
      <c r="C1226" s="6">
        <f t="shared" si="39"/>
        <v>-1.8720748829953227E-2</v>
      </c>
      <c r="D1226" s="6">
        <f t="shared" si="38"/>
        <v>-1.8898200220229543E-2</v>
      </c>
    </row>
    <row r="1227" spans="1:4" x14ac:dyDescent="0.25">
      <c r="A1227" t="s">
        <v>1274</v>
      </c>
      <c r="B1227">
        <v>25.64</v>
      </c>
      <c r="C1227" s="6">
        <f t="shared" si="39"/>
        <v>-4.8255382331106156E-2</v>
      </c>
      <c r="D1227" s="6">
        <f t="shared" si="38"/>
        <v>-4.9458538929748629E-2</v>
      </c>
    </row>
    <row r="1228" spans="1:4" x14ac:dyDescent="0.25">
      <c r="A1228" t="s">
        <v>1275</v>
      </c>
      <c r="B1228">
        <v>26.94</v>
      </c>
      <c r="C1228" s="6">
        <f t="shared" si="39"/>
        <v>2.6676829268292845E-2</v>
      </c>
      <c r="D1228" s="6">
        <f t="shared" si="38"/>
        <v>2.6327206906329791E-2</v>
      </c>
    </row>
    <row r="1229" spans="1:4" x14ac:dyDescent="0.25">
      <c r="A1229" t="s">
        <v>1276</v>
      </c>
      <c r="B1229">
        <v>26.24</v>
      </c>
      <c r="C1229" s="6">
        <f t="shared" si="39"/>
        <v>-7.6161462300083915E-4</v>
      </c>
      <c r="D1229" s="6">
        <f t="shared" si="38"/>
        <v>-7.6190479876191359E-4</v>
      </c>
    </row>
    <row r="1230" spans="1:4" x14ac:dyDescent="0.25">
      <c r="A1230" t="s">
        <v>1277</v>
      </c>
      <c r="B1230">
        <v>26.26</v>
      </c>
      <c r="C1230" s="6">
        <f t="shared" si="39"/>
        <v>3.2232704402515688E-2</v>
      </c>
      <c r="D1230" s="6">
        <f t="shared" si="38"/>
        <v>3.1724130402728701E-2</v>
      </c>
    </row>
    <row r="1231" spans="1:4" x14ac:dyDescent="0.25">
      <c r="A1231" t="s">
        <v>1278</v>
      </c>
      <c r="B1231">
        <v>25.44</v>
      </c>
      <c r="C1231" s="6">
        <f t="shared" si="39"/>
        <v>-7.4572571844306879E-2</v>
      </c>
      <c r="D1231" s="6">
        <f t="shared" si="38"/>
        <v>-7.7499563705232796E-2</v>
      </c>
    </row>
    <row r="1232" spans="1:4" x14ac:dyDescent="0.25">
      <c r="A1232" t="s">
        <v>1279</v>
      </c>
      <c r="B1232">
        <v>27.49</v>
      </c>
      <c r="C1232" s="6">
        <f t="shared" si="39"/>
        <v>-5.629934775145895E-2</v>
      </c>
      <c r="D1232" s="6">
        <f t="shared" si="38"/>
        <v>-5.7946268794188863E-2</v>
      </c>
    </row>
    <row r="1233" spans="1:4" x14ac:dyDescent="0.25">
      <c r="A1233" t="s">
        <v>1280</v>
      </c>
      <c r="B1233">
        <v>29.13</v>
      </c>
      <c r="C1233" s="6">
        <f t="shared" si="39"/>
        <v>-7.9620853080568765E-2</v>
      </c>
      <c r="D1233" s="6">
        <f t="shared" si="38"/>
        <v>-8.2969577618842008E-2</v>
      </c>
    </row>
    <row r="1234" spans="1:4" x14ac:dyDescent="0.25">
      <c r="A1234" t="s">
        <v>1281</v>
      </c>
      <c r="B1234">
        <v>31.65</v>
      </c>
      <c r="C1234" s="6">
        <f t="shared" si="39"/>
        <v>5.4648450516494362E-2</v>
      </c>
      <c r="D1234" s="6">
        <f t="shared" si="38"/>
        <v>5.3207489137909313E-2</v>
      </c>
    </row>
    <row r="1235" spans="1:4" x14ac:dyDescent="0.25">
      <c r="A1235" t="s">
        <v>1282</v>
      </c>
      <c r="B1235">
        <v>30.01</v>
      </c>
      <c r="C1235" s="6">
        <f t="shared" si="39"/>
        <v>6.3807160581354161E-2</v>
      </c>
      <c r="D1235" s="6">
        <f t="shared" si="38"/>
        <v>6.1854134438370859E-2</v>
      </c>
    </row>
    <row r="1236" spans="1:4" x14ac:dyDescent="0.25">
      <c r="A1236" t="s">
        <v>1283</v>
      </c>
      <c r="B1236">
        <v>28.21</v>
      </c>
      <c r="C1236" s="6">
        <f t="shared" si="39"/>
        <v>-2.4887659868648382E-2</v>
      </c>
      <c r="D1236" s="6">
        <f t="shared" si="38"/>
        <v>-2.5202593974138727E-2</v>
      </c>
    </row>
    <row r="1237" spans="1:4" x14ac:dyDescent="0.25">
      <c r="A1237" t="s">
        <v>1284</v>
      </c>
      <c r="B1237">
        <v>28.93</v>
      </c>
      <c r="C1237" s="6">
        <f t="shared" si="39"/>
        <v>6.3602941176470695E-2</v>
      </c>
      <c r="D1237" s="6">
        <f t="shared" si="38"/>
        <v>6.1662145686092192E-2</v>
      </c>
    </row>
    <row r="1238" spans="1:4" x14ac:dyDescent="0.25">
      <c r="A1238" t="s">
        <v>1285</v>
      </c>
      <c r="B1238">
        <v>27.2</v>
      </c>
      <c r="C1238" s="6">
        <f t="shared" si="39"/>
        <v>1.1041589988958211E-3</v>
      </c>
      <c r="D1238" s="6">
        <f t="shared" si="38"/>
        <v>1.103549863695242E-3</v>
      </c>
    </row>
    <row r="1239" spans="1:4" x14ac:dyDescent="0.25">
      <c r="A1239" t="s">
        <v>1286</v>
      </c>
      <c r="B1239">
        <v>27.17</v>
      </c>
      <c r="C1239" s="6">
        <f t="shared" si="39"/>
        <v>3.4259611724400507E-2</v>
      </c>
      <c r="D1239" s="6">
        <f t="shared" si="38"/>
        <v>3.3685819740807921E-2</v>
      </c>
    </row>
    <row r="1240" spans="1:4" x14ac:dyDescent="0.25">
      <c r="A1240" t="s">
        <v>1287</v>
      </c>
      <c r="B1240">
        <v>26.27</v>
      </c>
      <c r="C1240" s="6">
        <f t="shared" si="39"/>
        <v>1.1941448382126296E-2</v>
      </c>
      <c r="D1240" s="6">
        <f t="shared" si="38"/>
        <v>1.1870711861559202E-2</v>
      </c>
    </row>
    <row r="1241" spans="1:4" x14ac:dyDescent="0.25">
      <c r="A1241" t="s">
        <v>1288</v>
      </c>
      <c r="B1241">
        <v>25.96</v>
      </c>
      <c r="C1241" s="6">
        <f t="shared" si="39"/>
        <v>3.853564547207089E-4</v>
      </c>
      <c r="D1241" s="6">
        <f t="shared" si="38"/>
        <v>3.852822239916929E-4</v>
      </c>
    </row>
    <row r="1242" spans="1:4" x14ac:dyDescent="0.25">
      <c r="A1242" t="s">
        <v>1289</v>
      </c>
      <c r="B1242">
        <v>25.95</v>
      </c>
      <c r="C1242" s="6">
        <f t="shared" si="39"/>
        <v>0.10660980810234544</v>
      </c>
      <c r="D1242" s="6">
        <f t="shared" si="38"/>
        <v>0.1013011147196093</v>
      </c>
    </row>
    <row r="1243" spans="1:4" x14ac:dyDescent="0.25">
      <c r="A1243" t="s">
        <v>1290</v>
      </c>
      <c r="B1243">
        <v>23.45</v>
      </c>
      <c r="C1243" s="6">
        <f t="shared" si="39"/>
        <v>-5.5197421434327154E-2</v>
      </c>
      <c r="D1243" s="6">
        <f t="shared" si="38"/>
        <v>-5.6779284884172776E-2</v>
      </c>
    </row>
    <row r="1244" spans="1:4" x14ac:dyDescent="0.25">
      <c r="A1244" t="s">
        <v>1291</v>
      </c>
      <c r="B1244">
        <v>24.82</v>
      </c>
      <c r="C1244" s="6">
        <f t="shared" si="39"/>
        <v>-4.8115477145148633E-3</v>
      </c>
      <c r="D1244" s="6">
        <f t="shared" si="38"/>
        <v>-4.8231604754292688E-3</v>
      </c>
    </row>
    <row r="1245" spans="1:4" x14ac:dyDescent="0.25">
      <c r="A1245" t="s">
        <v>1292</v>
      </c>
      <c r="B1245">
        <v>24.94</v>
      </c>
      <c r="C1245" s="6">
        <f t="shared" si="39"/>
        <v>7.2697899838449764E-3</v>
      </c>
      <c r="D1245" s="6">
        <f t="shared" si="38"/>
        <v>7.2434924354951042E-3</v>
      </c>
    </row>
    <row r="1246" spans="1:4" x14ac:dyDescent="0.25">
      <c r="A1246" t="s">
        <v>1293</v>
      </c>
      <c r="B1246">
        <v>24.76</v>
      </c>
      <c r="C1246" s="6">
        <f t="shared" si="39"/>
        <v>-2.0956899960458575E-2</v>
      </c>
      <c r="D1246" s="6">
        <f t="shared" si="38"/>
        <v>-2.1179612865478321E-2</v>
      </c>
    </row>
    <row r="1247" spans="1:4" x14ac:dyDescent="0.25">
      <c r="A1247" t="s">
        <v>1294</v>
      </c>
      <c r="B1247">
        <v>25.29</v>
      </c>
      <c r="C1247" s="6">
        <f t="shared" si="39"/>
        <v>5.966587112171684E-3</v>
      </c>
      <c r="D1247" s="6">
        <f t="shared" si="38"/>
        <v>5.9488575197722635E-3</v>
      </c>
    </row>
    <row r="1248" spans="1:4" x14ac:dyDescent="0.25">
      <c r="A1248" t="s">
        <v>1295</v>
      </c>
      <c r="B1248">
        <v>25.14</v>
      </c>
      <c r="C1248" s="6">
        <f t="shared" si="39"/>
        <v>-4.228571428571426E-2</v>
      </c>
      <c r="D1248" s="6">
        <f t="shared" si="38"/>
        <v>-4.3205785875531359E-2</v>
      </c>
    </row>
    <row r="1249" spans="1:4" x14ac:dyDescent="0.25">
      <c r="A1249" t="s">
        <v>1296</v>
      </c>
      <c r="B1249">
        <v>26.25</v>
      </c>
      <c r="C1249" s="6">
        <f t="shared" si="39"/>
        <v>0.13636363636363624</v>
      </c>
      <c r="D1249" s="6">
        <f t="shared" si="38"/>
        <v>0.1278333715098848</v>
      </c>
    </row>
    <row r="1250" spans="1:4" x14ac:dyDescent="0.25">
      <c r="A1250" t="s">
        <v>1297</v>
      </c>
      <c r="B1250">
        <v>23.1</v>
      </c>
      <c r="C1250" s="6">
        <f t="shared" si="39"/>
        <v>-1.4084507042253502E-2</v>
      </c>
      <c r="D1250" s="6">
        <f t="shared" si="38"/>
        <v>-1.4184634991956413E-2</v>
      </c>
    </row>
    <row r="1251" spans="1:4" x14ac:dyDescent="0.25">
      <c r="A1251" t="s">
        <v>1298</v>
      </c>
      <c r="B1251">
        <v>23.43</v>
      </c>
      <c r="C1251" s="6">
        <f t="shared" si="39"/>
        <v>-4.2892156862745168E-2</v>
      </c>
      <c r="D1251" s="6">
        <f t="shared" si="38"/>
        <v>-4.3839205124421118E-2</v>
      </c>
    </row>
    <row r="1252" spans="1:4" x14ac:dyDescent="0.25">
      <c r="A1252" t="s">
        <v>1299</v>
      </c>
      <c r="B1252">
        <v>24.48</v>
      </c>
      <c r="C1252" s="6">
        <f t="shared" si="39"/>
        <v>-6.2068965517241392E-2</v>
      </c>
      <c r="D1252" s="6">
        <f t="shared" si="38"/>
        <v>-6.4078856684522401E-2</v>
      </c>
    </row>
    <row r="1253" spans="1:4" x14ac:dyDescent="0.25">
      <c r="A1253" t="s">
        <v>1300</v>
      </c>
      <c r="B1253">
        <v>26.1</v>
      </c>
      <c r="C1253" s="6">
        <f t="shared" si="39"/>
        <v>4.0669856459330189E-2</v>
      </c>
      <c r="D1253" s="6">
        <f t="shared" si="38"/>
        <v>3.9864598563927822E-2</v>
      </c>
    </row>
    <row r="1254" spans="1:4" x14ac:dyDescent="0.25">
      <c r="A1254" t="s">
        <v>1301</v>
      </c>
      <c r="B1254">
        <v>25.08</v>
      </c>
      <c r="C1254" s="6">
        <f t="shared" si="39"/>
        <v>1.9512195121951015E-2</v>
      </c>
      <c r="D1254" s="6">
        <f t="shared" si="38"/>
        <v>1.9324272826402623E-2</v>
      </c>
    </row>
    <row r="1255" spans="1:4" x14ac:dyDescent="0.25">
      <c r="A1255" t="s">
        <v>1302</v>
      </c>
      <c r="B1255">
        <v>24.6</v>
      </c>
      <c r="C1255" s="6">
        <f t="shared" si="39"/>
        <v>5.6701030927835072E-2</v>
      </c>
      <c r="D1255" s="6">
        <f t="shared" si="38"/>
        <v>5.5151820075080064E-2</v>
      </c>
    </row>
    <row r="1256" spans="1:4" x14ac:dyDescent="0.25">
      <c r="A1256" t="s">
        <v>1303</v>
      </c>
      <c r="B1256">
        <v>23.28</v>
      </c>
      <c r="C1256" s="6">
        <f>(B1256/B1257)-1</f>
        <v>0</v>
      </c>
      <c r="D1256" s="6">
        <f t="shared" si="38"/>
        <v>0</v>
      </c>
    </row>
    <row r="1257" spans="1:4" x14ac:dyDescent="0.25">
      <c r="A1257" t="s">
        <v>1304</v>
      </c>
      <c r="B1257">
        <v>23.28</v>
      </c>
      <c r="C1257" s="6">
        <f t="shared" si="39"/>
        <v>-2.061421960454346E-2</v>
      </c>
      <c r="D1257" s="6">
        <f t="shared" si="38"/>
        <v>-2.0829658508865399E-2</v>
      </c>
    </row>
    <row r="1258" spans="1:4" x14ac:dyDescent="0.25">
      <c r="A1258" t="s">
        <v>1305</v>
      </c>
      <c r="B1258">
        <v>23.77</v>
      </c>
      <c r="C1258" s="6">
        <f t="shared" si="39"/>
        <v>-1.6956162117452434E-2</v>
      </c>
      <c r="D1258" s="6">
        <f t="shared" si="38"/>
        <v>-1.7101563814544054E-2</v>
      </c>
    </row>
    <row r="1259" spans="1:4" x14ac:dyDescent="0.25">
      <c r="A1259" t="s">
        <v>1306</v>
      </c>
      <c r="B1259">
        <v>24.18</v>
      </c>
      <c r="C1259" s="6">
        <f t="shared" si="39"/>
        <v>-5.5837563451776595E-2</v>
      </c>
      <c r="D1259" s="6">
        <f t="shared" si="38"/>
        <v>-5.74570550247872E-2</v>
      </c>
    </row>
    <row r="1260" spans="1:4" x14ac:dyDescent="0.25">
      <c r="A1260" t="s">
        <v>1307</v>
      </c>
      <c r="B1260">
        <v>25.61</v>
      </c>
      <c r="C1260" s="6" t="e">
        <f t="shared" si="39"/>
        <v>#DIV/0!</v>
      </c>
      <c r="D1260" s="6" t="e">
        <f t="shared" si="38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60"/>
  <sheetViews>
    <sheetView topLeftCell="A68" zoomScale="76" workbookViewId="0">
      <selection activeCell="F248" sqref="F248"/>
    </sheetView>
  </sheetViews>
  <sheetFormatPr baseColWidth="10" defaultRowHeight="15" x14ac:dyDescent="0.25"/>
  <cols>
    <col min="3" max="5" width="11.42578125" style="6"/>
    <col min="6" max="6" width="31.42578125" style="6" customWidth="1"/>
    <col min="7" max="7" width="13.28515625" style="6" customWidth="1"/>
    <col min="8" max="8" width="13.140625" style="6" customWidth="1"/>
    <col min="9" max="16384" width="11.42578125" style="6"/>
  </cols>
  <sheetData>
    <row r="1" spans="1:8" x14ac:dyDescent="0.25">
      <c r="A1" s="21" t="s">
        <v>48</v>
      </c>
      <c r="B1" s="21" t="s">
        <v>1308</v>
      </c>
      <c r="C1" s="20" t="s">
        <v>1</v>
      </c>
      <c r="D1" s="20" t="s">
        <v>2</v>
      </c>
      <c r="F1" s="18" t="s">
        <v>3</v>
      </c>
      <c r="G1" s="8">
        <f>B2</f>
        <v>62.15</v>
      </c>
    </row>
    <row r="2" spans="1:8" x14ac:dyDescent="0.25">
      <c r="A2" t="s">
        <v>49</v>
      </c>
      <c r="B2">
        <v>62.15</v>
      </c>
      <c r="C2" s="6">
        <f>(B2/B3)-1</f>
        <v>4.0689886135298003E-2</v>
      </c>
      <c r="D2" s="6">
        <f>LN(B2/B3)</f>
        <v>3.9883845285730433E-2</v>
      </c>
      <c r="F2" s="18" t="s">
        <v>4</v>
      </c>
      <c r="G2" s="8">
        <f>MIN(B2:B1260)</f>
        <v>50.32</v>
      </c>
    </row>
    <row r="3" spans="1:8" x14ac:dyDescent="0.25">
      <c r="A3" t="s">
        <v>50</v>
      </c>
      <c r="B3">
        <v>59.72</v>
      </c>
      <c r="C3" s="6">
        <f t="shared" ref="C3:C66" si="0">(B3/B4)-1</f>
        <v>-4.0642570281124502E-2</v>
      </c>
      <c r="D3" s="6">
        <f t="shared" ref="D3:D66" si="1">LN(B3/B4)</f>
        <v>-4.1491562673827365E-2</v>
      </c>
      <c r="F3" s="18" t="s">
        <v>5</v>
      </c>
      <c r="G3" s="8">
        <f>MAX(B2:B1260)</f>
        <v>81.92</v>
      </c>
    </row>
    <row r="4" spans="1:8" x14ac:dyDescent="0.25">
      <c r="A4" t="s">
        <v>51</v>
      </c>
      <c r="B4">
        <v>62.25</v>
      </c>
      <c r="C4" s="6">
        <f t="shared" si="0"/>
        <v>1.8654884634266011E-2</v>
      </c>
      <c r="D4" s="6">
        <f t="shared" si="1"/>
        <v>1.8483016437992789E-2</v>
      </c>
      <c r="F4" s="18" t="s">
        <v>6</v>
      </c>
      <c r="G4" s="12">
        <f>AVERAGE(B2:B1260)</f>
        <v>65.486826846703707</v>
      </c>
    </row>
    <row r="5" spans="1:8" x14ac:dyDescent="0.25">
      <c r="A5" t="s">
        <v>52</v>
      </c>
      <c r="B5">
        <v>61.11</v>
      </c>
      <c r="C5" s="6">
        <f t="shared" si="0"/>
        <v>-2.2865366165653933E-2</v>
      </c>
      <c r="D5" s="6">
        <f t="shared" si="1"/>
        <v>-2.3130833122871036E-2</v>
      </c>
      <c r="F5" s="18" t="s">
        <v>7</v>
      </c>
      <c r="G5" s="13">
        <f>STDEVA(B2:B1260)</f>
        <v>7.1124496331424014</v>
      </c>
    </row>
    <row r="6" spans="1:8" x14ac:dyDescent="0.25">
      <c r="A6" t="s">
        <v>53</v>
      </c>
      <c r="B6">
        <v>62.54</v>
      </c>
      <c r="C6" s="6">
        <f t="shared" si="0"/>
        <v>5.7896429720167841E-3</v>
      </c>
      <c r="D6" s="6">
        <f t="shared" si="1"/>
        <v>5.7729473990875317E-3</v>
      </c>
    </row>
    <row r="7" spans="1:8" x14ac:dyDescent="0.25">
      <c r="A7" t="s">
        <v>54</v>
      </c>
      <c r="B7">
        <v>62.18</v>
      </c>
      <c r="C7" s="6">
        <f t="shared" si="0"/>
        <v>-2.094158400251922E-2</v>
      </c>
      <c r="D7" s="6">
        <f t="shared" si="1"/>
        <v>-2.1163969184275658E-2</v>
      </c>
    </row>
    <row r="8" spans="1:8" x14ac:dyDescent="0.25">
      <c r="A8" t="s">
        <v>55</v>
      </c>
      <c r="B8">
        <v>63.51</v>
      </c>
      <c r="C8" s="6">
        <f t="shared" si="0"/>
        <v>4.474420134890611E-2</v>
      </c>
      <c r="D8" s="6">
        <f t="shared" si="1"/>
        <v>4.3772072054252396E-2</v>
      </c>
      <c r="F8" s="20" t="s">
        <v>8</v>
      </c>
      <c r="G8" s="20" t="s">
        <v>9</v>
      </c>
      <c r="H8" s="20" t="s">
        <v>0</v>
      </c>
    </row>
    <row r="9" spans="1:8" x14ac:dyDescent="0.25">
      <c r="A9" t="s">
        <v>56</v>
      </c>
      <c r="B9">
        <v>60.79</v>
      </c>
      <c r="C9" s="6">
        <f t="shared" si="0"/>
        <v>3.2438858695652106E-2</v>
      </c>
      <c r="D9" s="6">
        <f t="shared" si="1"/>
        <v>3.1923827340010258E-2</v>
      </c>
      <c r="F9" s="18" t="s">
        <v>4</v>
      </c>
      <c r="G9" s="9">
        <f>MIN(C2:C1259)</f>
        <v>-6.6507095229953794E-2</v>
      </c>
      <c r="H9" s="9">
        <f>MIN(D2:D1259)</f>
        <v>-6.8821916704075017E-2</v>
      </c>
    </row>
    <row r="10" spans="1:8" x14ac:dyDescent="0.25">
      <c r="A10" t="s">
        <v>57</v>
      </c>
      <c r="B10">
        <v>58.88</v>
      </c>
      <c r="C10" s="6">
        <f t="shared" si="0"/>
        <v>3.135400245226827E-2</v>
      </c>
      <c r="D10" s="6">
        <f t="shared" si="1"/>
        <v>3.0872504444452907E-2</v>
      </c>
      <c r="F10" s="18" t="s">
        <v>5</v>
      </c>
      <c r="G10" s="9">
        <f>MAX(C2:C1259)</f>
        <v>7.5306479859894804E-2</v>
      </c>
      <c r="H10" s="9">
        <f>MAX(D2:D1259)</f>
        <v>7.2605718491132135E-2</v>
      </c>
    </row>
    <row r="11" spans="1:8" x14ac:dyDescent="0.25">
      <c r="A11" t="s">
        <v>58</v>
      </c>
      <c r="B11">
        <v>57.09</v>
      </c>
      <c r="C11" s="6">
        <f t="shared" si="0"/>
        <v>8.6572438162544341E-3</v>
      </c>
      <c r="D11" s="6">
        <f t="shared" si="1"/>
        <v>8.6199847670305821E-3</v>
      </c>
      <c r="F11" s="19" t="s">
        <v>47</v>
      </c>
      <c r="G11" s="16">
        <f>AVERAGE(C2:C1259)</f>
        <v>1.9221533129192543E-4</v>
      </c>
      <c r="H11" s="16">
        <f>AVERAGE(D2:D1259)</f>
        <v>5.5345932118505238E-5</v>
      </c>
    </row>
    <row r="12" spans="1:8" x14ac:dyDescent="0.25">
      <c r="A12" t="s">
        <v>59</v>
      </c>
      <c r="B12">
        <v>56.6</v>
      </c>
      <c r="C12" s="6">
        <f t="shared" si="0"/>
        <v>1.6888250089831303E-2</v>
      </c>
      <c r="D12" s="6">
        <f t="shared" si="1"/>
        <v>1.6747229111392713E-2</v>
      </c>
      <c r="F12" s="18" t="s">
        <v>10</v>
      </c>
      <c r="G12" s="10">
        <f>G11*252</f>
        <v>4.8438263485565208E-2</v>
      </c>
      <c r="H12" s="10">
        <f>H11*252</f>
        <v>1.394717489386332E-2</v>
      </c>
    </row>
    <row r="13" spans="1:8" x14ac:dyDescent="0.25">
      <c r="A13" t="s">
        <v>60</v>
      </c>
      <c r="B13">
        <v>55.66</v>
      </c>
      <c r="C13" s="6">
        <f t="shared" si="0"/>
        <v>-9.0795798468934485E-3</v>
      </c>
      <c r="D13" s="6">
        <f t="shared" si="1"/>
        <v>-9.12105044659672E-3</v>
      </c>
      <c r="F13" s="18" t="s">
        <v>7</v>
      </c>
      <c r="G13" s="10">
        <f>STDEVA(C2:C1259)</f>
        <v>1.6564773015222127E-2</v>
      </c>
      <c r="H13" s="10">
        <f>STDEVA(D2:D1259)</f>
        <v>1.6545954859946817E-2</v>
      </c>
    </row>
    <row r="14" spans="1:8" x14ac:dyDescent="0.25">
      <c r="A14" t="s">
        <v>61</v>
      </c>
      <c r="B14">
        <v>56.17</v>
      </c>
      <c r="C14" s="6">
        <f t="shared" si="0"/>
        <v>-3.0381494907647077E-2</v>
      </c>
      <c r="D14" s="6">
        <f t="shared" si="1"/>
        <v>-3.0852578564191328E-2</v>
      </c>
      <c r="F14" s="18" t="s">
        <v>12</v>
      </c>
      <c r="G14" s="11">
        <f>G13*SQRT(252)</f>
        <v>0.2629576195350678</v>
      </c>
      <c r="H14" s="11">
        <f>H13*SQRT(252)</f>
        <v>0.26265889058111896</v>
      </c>
    </row>
    <row r="15" spans="1:8" x14ac:dyDescent="0.25">
      <c r="A15" t="s">
        <v>62</v>
      </c>
      <c r="B15">
        <v>57.93</v>
      </c>
      <c r="C15" s="6">
        <f t="shared" si="0"/>
        <v>2.8404047576779723E-2</v>
      </c>
      <c r="D15" s="6">
        <f t="shared" si="1"/>
        <v>2.8008132201910195E-2</v>
      </c>
      <c r="F15" s="19" t="s">
        <v>14</v>
      </c>
      <c r="G15" s="14">
        <f>VARA(C2:C1259)</f>
        <v>2.743917050458312E-4</v>
      </c>
      <c r="H15" s="14">
        <f>VARA(D2:D1259)</f>
        <v>2.7376862222739772E-4</v>
      </c>
    </row>
    <row r="16" spans="1:8" x14ac:dyDescent="0.25">
      <c r="A16" t="s">
        <v>63</v>
      </c>
      <c r="B16">
        <v>56.33</v>
      </c>
      <c r="C16" s="6">
        <f t="shared" si="0"/>
        <v>-1.0886742756804346E-2</v>
      </c>
      <c r="D16" s="6">
        <f t="shared" si="1"/>
        <v>-1.094643698656868E-2</v>
      </c>
      <c r="F16" s="19" t="s">
        <v>34</v>
      </c>
      <c r="G16" s="15">
        <f>SQRT(G15)</f>
        <v>1.6564773015222127E-2</v>
      </c>
      <c r="H16" s="15">
        <f>SQRT(H15)</f>
        <v>1.6545954859946817E-2</v>
      </c>
    </row>
    <row r="17" spans="1:4" x14ac:dyDescent="0.25">
      <c r="A17" t="s">
        <v>64</v>
      </c>
      <c r="B17">
        <v>56.95</v>
      </c>
      <c r="C17" s="6">
        <f t="shared" si="0"/>
        <v>2.640845070422726E-3</v>
      </c>
      <c r="D17" s="6">
        <f t="shared" si="1"/>
        <v>2.6373641660856714E-3</v>
      </c>
    </row>
    <row r="18" spans="1:4" x14ac:dyDescent="0.25">
      <c r="A18" t="s">
        <v>65</v>
      </c>
      <c r="B18">
        <v>56.8</v>
      </c>
      <c r="C18" s="6">
        <f t="shared" si="0"/>
        <v>-4.3448972718087009E-2</v>
      </c>
      <c r="D18" s="6">
        <f t="shared" si="1"/>
        <v>-4.4421143608508191E-2</v>
      </c>
    </row>
    <row r="19" spans="1:4" x14ac:dyDescent="0.25">
      <c r="A19" t="s">
        <v>66</v>
      </c>
      <c r="B19">
        <v>59.38</v>
      </c>
      <c r="C19" s="6">
        <f t="shared" si="0"/>
        <v>2.5738469511141782E-2</v>
      </c>
      <c r="D19" s="6">
        <f t="shared" si="1"/>
        <v>2.5412811244700455E-2</v>
      </c>
    </row>
    <row r="20" spans="1:4" x14ac:dyDescent="0.25">
      <c r="A20" t="s">
        <v>67</v>
      </c>
      <c r="B20">
        <v>57.89</v>
      </c>
      <c r="C20" s="6">
        <f t="shared" si="0"/>
        <v>1.170919259000347E-2</v>
      </c>
      <c r="D20" s="6">
        <f t="shared" si="1"/>
        <v>1.1641170468949025E-2</v>
      </c>
    </row>
    <row r="21" spans="1:4" x14ac:dyDescent="0.25">
      <c r="A21" t="s">
        <v>68</v>
      </c>
      <c r="B21">
        <v>57.22</v>
      </c>
      <c r="C21" s="6">
        <f t="shared" si="0"/>
        <v>1.5259048970901246E-2</v>
      </c>
      <c r="D21" s="6">
        <f t="shared" si="1"/>
        <v>1.5143800591484631E-2</v>
      </c>
    </row>
    <row r="22" spans="1:4" x14ac:dyDescent="0.25">
      <c r="A22" t="s">
        <v>69</v>
      </c>
      <c r="B22">
        <v>56.36</v>
      </c>
      <c r="C22" s="6">
        <f t="shared" si="0"/>
        <v>-1.6061452513966512E-2</v>
      </c>
      <c r="D22" s="6">
        <f t="shared" si="1"/>
        <v>-1.619183562191074E-2</v>
      </c>
    </row>
    <row r="23" spans="1:4" x14ac:dyDescent="0.25">
      <c r="A23" t="s">
        <v>70</v>
      </c>
      <c r="B23">
        <v>57.28</v>
      </c>
      <c r="C23" s="6">
        <f t="shared" si="0"/>
        <v>-1.9010104469943445E-2</v>
      </c>
      <c r="D23" s="6">
        <f t="shared" si="1"/>
        <v>-1.9193119643056027E-2</v>
      </c>
    </row>
    <row r="24" spans="1:4" x14ac:dyDescent="0.25">
      <c r="A24" t="s">
        <v>71</v>
      </c>
      <c r="B24">
        <v>58.39</v>
      </c>
      <c r="C24" s="6">
        <f t="shared" si="0"/>
        <v>3.5283687943262532E-2</v>
      </c>
      <c r="D24" s="6">
        <f t="shared" si="1"/>
        <v>3.4675483791433141E-2</v>
      </c>
    </row>
    <row r="25" spans="1:4" x14ac:dyDescent="0.25">
      <c r="A25" t="s">
        <v>72</v>
      </c>
      <c r="B25">
        <v>56.4</v>
      </c>
      <c r="C25" s="6">
        <f t="shared" si="0"/>
        <v>1.5982951518380695E-3</v>
      </c>
      <c r="D25" s="6">
        <f t="shared" si="1"/>
        <v>1.597019237486101E-3</v>
      </c>
    </row>
    <row r="26" spans="1:4" x14ac:dyDescent="0.25">
      <c r="A26" t="s">
        <v>73</v>
      </c>
      <c r="B26">
        <v>56.31</v>
      </c>
      <c r="C26" s="6">
        <f t="shared" si="0"/>
        <v>3.206841261357507E-3</v>
      </c>
      <c r="D26" s="6">
        <f t="shared" si="1"/>
        <v>3.2017103124191474E-3</v>
      </c>
    </row>
    <row r="27" spans="1:4" x14ac:dyDescent="0.25">
      <c r="A27" t="s">
        <v>74</v>
      </c>
      <c r="B27">
        <v>56.13</v>
      </c>
      <c r="C27" s="6">
        <f t="shared" si="0"/>
        <v>-7.1212390956021387E-4</v>
      </c>
      <c r="D27" s="6">
        <f t="shared" si="1"/>
        <v>-7.1237759023336244E-4</v>
      </c>
    </row>
    <row r="28" spans="1:4" x14ac:dyDescent="0.25">
      <c r="A28" t="s">
        <v>75</v>
      </c>
      <c r="B28">
        <v>56.17</v>
      </c>
      <c r="C28" s="6">
        <f t="shared" si="0"/>
        <v>2.5374224169404824E-2</v>
      </c>
      <c r="D28" s="6">
        <f t="shared" si="1"/>
        <v>2.5057642709409186E-2</v>
      </c>
    </row>
    <row r="29" spans="1:4" x14ac:dyDescent="0.25">
      <c r="A29" t="s">
        <v>76</v>
      </c>
      <c r="B29">
        <v>54.78</v>
      </c>
      <c r="C29" s="6">
        <f t="shared" si="0"/>
        <v>5.6912061685332471E-3</v>
      </c>
      <c r="D29" s="6">
        <f t="shared" si="1"/>
        <v>5.6750724393491107E-3</v>
      </c>
    </row>
    <row r="30" spans="1:4" x14ac:dyDescent="0.25">
      <c r="A30" t="s">
        <v>77</v>
      </c>
      <c r="B30">
        <v>54.47</v>
      </c>
      <c r="C30" s="6">
        <f t="shared" si="0"/>
        <v>-8.7352138307552618E-3</v>
      </c>
      <c r="D30" s="6">
        <f t="shared" si="1"/>
        <v>-8.7735894540472998E-3</v>
      </c>
    </row>
    <row r="31" spans="1:4" x14ac:dyDescent="0.25">
      <c r="A31" t="s">
        <v>78</v>
      </c>
      <c r="B31">
        <v>54.95</v>
      </c>
      <c r="C31" s="6">
        <f t="shared" si="0"/>
        <v>2.6718983557548537E-2</v>
      </c>
      <c r="D31" s="6">
        <f t="shared" si="1"/>
        <v>2.6368265029657317E-2</v>
      </c>
    </row>
    <row r="32" spans="1:4" x14ac:dyDescent="0.25">
      <c r="A32" t="s">
        <v>79</v>
      </c>
      <c r="B32">
        <v>53.52</v>
      </c>
      <c r="C32" s="6">
        <f t="shared" si="0"/>
        <v>1.421262080727681E-2</v>
      </c>
      <c r="D32" s="6">
        <f t="shared" si="1"/>
        <v>1.4112568402396466E-2</v>
      </c>
    </row>
    <row r="33" spans="1:4" x14ac:dyDescent="0.25">
      <c r="A33" t="s">
        <v>80</v>
      </c>
      <c r="B33">
        <v>52.77</v>
      </c>
      <c r="C33" s="6">
        <f t="shared" si="0"/>
        <v>-2.8713418001104274E-2</v>
      </c>
      <c r="D33" s="6">
        <f t="shared" si="1"/>
        <v>-2.9133713145855122E-2</v>
      </c>
    </row>
    <row r="34" spans="1:4" x14ac:dyDescent="0.25">
      <c r="A34" t="s">
        <v>81</v>
      </c>
      <c r="B34">
        <v>54.33</v>
      </c>
      <c r="C34" s="6">
        <f t="shared" si="0"/>
        <v>1.5134529147982079E-2</v>
      </c>
      <c r="D34" s="6">
        <f t="shared" si="1"/>
        <v>1.5021144743458711E-2</v>
      </c>
    </row>
    <row r="35" spans="1:4" x14ac:dyDescent="0.25">
      <c r="A35" t="s">
        <v>82</v>
      </c>
      <c r="B35">
        <v>53.52</v>
      </c>
      <c r="C35" s="6">
        <f t="shared" si="0"/>
        <v>-1.0171999260218167E-2</v>
      </c>
      <c r="D35" s="6">
        <f t="shared" si="1"/>
        <v>-1.0224087573940404E-2</v>
      </c>
    </row>
    <row r="36" spans="1:4" x14ac:dyDescent="0.25">
      <c r="A36" t="s">
        <v>83</v>
      </c>
      <c r="B36">
        <v>54.07</v>
      </c>
      <c r="C36" s="6">
        <f t="shared" si="0"/>
        <v>-2.453545011726499E-2</v>
      </c>
      <c r="D36" s="6">
        <f t="shared" si="1"/>
        <v>-2.4841460037799804E-2</v>
      </c>
    </row>
    <row r="37" spans="1:4" x14ac:dyDescent="0.25">
      <c r="A37" t="s">
        <v>84</v>
      </c>
      <c r="B37">
        <v>55.43</v>
      </c>
      <c r="C37" s="6">
        <f t="shared" si="0"/>
        <v>1.9871205151793969E-2</v>
      </c>
      <c r="D37" s="6">
        <f t="shared" si="1"/>
        <v>1.9676349864494909E-2</v>
      </c>
    </row>
    <row r="38" spans="1:4" x14ac:dyDescent="0.25">
      <c r="A38" t="s">
        <v>85</v>
      </c>
      <c r="B38">
        <v>54.35</v>
      </c>
      <c r="C38" s="6">
        <f t="shared" si="0"/>
        <v>-1.9837691614066788E-2</v>
      </c>
      <c r="D38" s="6">
        <f t="shared" si="1"/>
        <v>-2.0037100229157653E-2</v>
      </c>
    </row>
    <row r="39" spans="1:4" x14ac:dyDescent="0.25">
      <c r="A39" t="s">
        <v>86</v>
      </c>
      <c r="B39">
        <v>55.45</v>
      </c>
      <c r="C39" s="6">
        <f t="shared" si="0"/>
        <v>1.2045993794488119E-2</v>
      </c>
      <c r="D39" s="6">
        <f t="shared" si="1"/>
        <v>1.1974018246051757E-2</v>
      </c>
    </row>
    <row r="40" spans="1:4" x14ac:dyDescent="0.25">
      <c r="A40" t="s">
        <v>87</v>
      </c>
      <c r="B40">
        <v>54.79</v>
      </c>
      <c r="C40" s="6">
        <f t="shared" si="0"/>
        <v>-7.2952763085898376E-4</v>
      </c>
      <c r="D40" s="6">
        <f t="shared" si="1"/>
        <v>-7.2979386563270111E-4</v>
      </c>
    </row>
    <row r="41" spans="1:4" x14ac:dyDescent="0.25">
      <c r="A41" t="s">
        <v>88</v>
      </c>
      <c r="B41">
        <v>54.83</v>
      </c>
      <c r="C41" s="6">
        <f t="shared" si="0"/>
        <v>8.2751011401249741E-3</v>
      </c>
      <c r="D41" s="6">
        <f t="shared" si="1"/>
        <v>8.2410502116323694E-3</v>
      </c>
    </row>
    <row r="42" spans="1:4" x14ac:dyDescent="0.25">
      <c r="A42" t="s">
        <v>89</v>
      </c>
      <c r="B42">
        <v>54.38</v>
      </c>
      <c r="C42" s="6">
        <f t="shared" si="0"/>
        <v>-2.2118324042438409E-2</v>
      </c>
      <c r="D42" s="6">
        <f t="shared" si="1"/>
        <v>-2.236660199514796E-2</v>
      </c>
    </row>
    <row r="43" spans="1:4" x14ac:dyDescent="0.25">
      <c r="A43" t="s">
        <v>90</v>
      </c>
      <c r="B43">
        <v>55.61</v>
      </c>
      <c r="C43" s="6">
        <f t="shared" si="0"/>
        <v>-4.8317823908375912E-3</v>
      </c>
      <c r="D43" s="6">
        <f t="shared" si="1"/>
        <v>-4.8434931892885353E-3</v>
      </c>
    </row>
    <row r="44" spans="1:4" x14ac:dyDescent="0.25">
      <c r="A44" t="s">
        <v>91</v>
      </c>
      <c r="B44">
        <v>55.88</v>
      </c>
      <c r="C44" s="6">
        <f t="shared" si="0"/>
        <v>1.789869339539063E-4</v>
      </c>
      <c r="D44" s="6">
        <f t="shared" si="1"/>
        <v>1.7897091770374769E-4</v>
      </c>
    </row>
    <row r="45" spans="1:4" x14ac:dyDescent="0.25">
      <c r="A45" t="s">
        <v>92</v>
      </c>
      <c r="B45">
        <v>55.87</v>
      </c>
      <c r="C45" s="6">
        <f t="shared" si="0"/>
        <v>-1.5853443720274862E-2</v>
      </c>
      <c r="D45" s="6">
        <f t="shared" si="1"/>
        <v>-1.5980453711577525E-2</v>
      </c>
    </row>
    <row r="46" spans="1:4" x14ac:dyDescent="0.25">
      <c r="A46" t="s">
        <v>93</v>
      </c>
      <c r="B46">
        <v>56.77</v>
      </c>
      <c r="C46" s="6">
        <f t="shared" si="0"/>
        <v>8.5272694972464702E-3</v>
      </c>
      <c r="D46" s="6">
        <f t="shared" si="1"/>
        <v>8.4911177066997103E-3</v>
      </c>
    </row>
    <row r="47" spans="1:4" x14ac:dyDescent="0.25">
      <c r="A47" t="s">
        <v>94</v>
      </c>
      <c r="B47">
        <v>56.29</v>
      </c>
      <c r="C47" s="6">
        <f t="shared" si="0"/>
        <v>-3.1875332034708714E-3</v>
      </c>
      <c r="D47" s="6">
        <f t="shared" si="1"/>
        <v>-3.192624208810114E-3</v>
      </c>
    </row>
    <row r="48" spans="1:4" x14ac:dyDescent="0.25">
      <c r="A48" t="s">
        <v>95</v>
      </c>
      <c r="B48">
        <v>56.47</v>
      </c>
      <c r="C48" s="6">
        <f t="shared" si="0"/>
        <v>1.2914798206278055E-2</v>
      </c>
      <c r="D48" s="6">
        <f t="shared" si="1"/>
        <v>1.2832113344517214E-2</v>
      </c>
    </row>
    <row r="49" spans="1:4" x14ac:dyDescent="0.25">
      <c r="A49" t="s">
        <v>96</v>
      </c>
      <c r="B49">
        <v>55.75</v>
      </c>
      <c r="C49" s="6">
        <f t="shared" si="0"/>
        <v>1.6169601149838009E-3</v>
      </c>
      <c r="D49" s="6">
        <f t="shared" si="1"/>
        <v>1.6156542424833899E-3</v>
      </c>
    </row>
    <row r="50" spans="1:4" x14ac:dyDescent="0.25">
      <c r="A50" t="s">
        <v>97</v>
      </c>
      <c r="B50">
        <v>55.66</v>
      </c>
      <c r="C50" s="6">
        <f t="shared" si="0"/>
        <v>1.365871425969778E-2</v>
      </c>
      <c r="D50" s="6">
        <f t="shared" si="1"/>
        <v>1.3566274806963558E-2</v>
      </c>
    </row>
    <row r="51" spans="1:4" x14ac:dyDescent="0.25">
      <c r="A51" t="s">
        <v>98</v>
      </c>
      <c r="B51">
        <v>54.91</v>
      </c>
      <c r="C51" s="6">
        <f t="shared" si="0"/>
        <v>5.6776556776556575E-3</v>
      </c>
      <c r="D51" s="6">
        <f t="shared" si="1"/>
        <v>5.6615985399218749E-3</v>
      </c>
    </row>
    <row r="52" spans="1:4" x14ac:dyDescent="0.25">
      <c r="A52" t="s">
        <v>99</v>
      </c>
      <c r="B52">
        <v>54.6</v>
      </c>
      <c r="C52" s="6">
        <f t="shared" si="0"/>
        <v>-6.6507095229953794E-2</v>
      </c>
      <c r="D52" s="6">
        <f t="shared" si="1"/>
        <v>-6.8821916704075017E-2</v>
      </c>
    </row>
    <row r="53" spans="1:4" x14ac:dyDescent="0.25">
      <c r="A53" t="s">
        <v>100</v>
      </c>
      <c r="B53">
        <v>58.49</v>
      </c>
      <c r="C53" s="6">
        <f t="shared" si="0"/>
        <v>8.9701569777471679E-3</v>
      </c>
      <c r="D53" s="6">
        <f t="shared" si="1"/>
        <v>8.9301641032929705E-3</v>
      </c>
    </row>
    <row r="54" spans="1:4" x14ac:dyDescent="0.25">
      <c r="A54" t="s">
        <v>101</v>
      </c>
      <c r="B54">
        <v>57.97</v>
      </c>
      <c r="C54" s="6">
        <f t="shared" si="0"/>
        <v>-3.4488704949131588E-4</v>
      </c>
      <c r="D54" s="6">
        <f t="shared" si="1"/>
        <v>-3.4494653670774281E-4</v>
      </c>
    </row>
    <row r="55" spans="1:4" x14ac:dyDescent="0.25">
      <c r="A55" t="s">
        <v>102</v>
      </c>
      <c r="B55">
        <v>57.99</v>
      </c>
      <c r="C55" s="6">
        <f t="shared" si="0"/>
        <v>3.0200746136081147E-2</v>
      </c>
      <c r="D55" s="6">
        <f t="shared" si="1"/>
        <v>2.9753682412414141E-2</v>
      </c>
    </row>
    <row r="56" spans="1:4" x14ac:dyDescent="0.25">
      <c r="A56" t="s">
        <v>103</v>
      </c>
      <c r="B56">
        <v>56.29</v>
      </c>
      <c r="C56" s="6">
        <f t="shared" si="0"/>
        <v>1.6799132947976858E-2</v>
      </c>
      <c r="D56" s="6">
        <f t="shared" si="1"/>
        <v>1.6659588166521067E-2</v>
      </c>
    </row>
    <row r="57" spans="1:4" x14ac:dyDescent="0.25">
      <c r="A57" t="s">
        <v>104</v>
      </c>
      <c r="B57">
        <v>55.36</v>
      </c>
      <c r="C57" s="6">
        <f t="shared" si="0"/>
        <v>-3.5997120230382151E-3</v>
      </c>
      <c r="D57" s="6">
        <f t="shared" si="1"/>
        <v>-3.6062065767289487E-3</v>
      </c>
    </row>
    <row r="58" spans="1:4" x14ac:dyDescent="0.25">
      <c r="A58" t="s">
        <v>105</v>
      </c>
      <c r="B58">
        <v>55.56</v>
      </c>
      <c r="C58" s="6">
        <f t="shared" si="0"/>
        <v>1.4609203798393144E-2</v>
      </c>
      <c r="D58" s="6">
        <f t="shared" si="1"/>
        <v>1.4503517465895031E-2</v>
      </c>
    </row>
    <row r="59" spans="1:4" x14ac:dyDescent="0.25">
      <c r="A59" t="s">
        <v>106</v>
      </c>
      <c r="B59">
        <v>54.76</v>
      </c>
      <c r="C59" s="6">
        <f t="shared" si="0"/>
        <v>-5.448601525608554E-3</v>
      </c>
      <c r="D59" s="6">
        <f t="shared" si="1"/>
        <v>-5.4634992942132433E-3</v>
      </c>
    </row>
    <row r="60" spans="1:4" x14ac:dyDescent="0.25">
      <c r="A60" t="s">
        <v>107</v>
      </c>
      <c r="B60">
        <v>55.06</v>
      </c>
      <c r="C60" s="6">
        <f t="shared" si="0"/>
        <v>2.4944154877140745E-2</v>
      </c>
      <c r="D60" s="6">
        <f t="shared" si="1"/>
        <v>2.4638128059424447E-2</v>
      </c>
    </row>
    <row r="61" spans="1:4" x14ac:dyDescent="0.25">
      <c r="A61" t="s">
        <v>108</v>
      </c>
      <c r="B61">
        <v>53.72</v>
      </c>
      <c r="C61" s="6">
        <f t="shared" si="0"/>
        <v>-1.809541217327737E-2</v>
      </c>
      <c r="D61" s="6">
        <f t="shared" si="1"/>
        <v>-1.8261136420697821E-2</v>
      </c>
    </row>
    <row r="62" spans="1:4" x14ac:dyDescent="0.25">
      <c r="A62" t="s">
        <v>109</v>
      </c>
      <c r="B62">
        <v>54.71</v>
      </c>
      <c r="C62" s="6">
        <f t="shared" si="0"/>
        <v>0</v>
      </c>
      <c r="D62" s="6">
        <f t="shared" si="1"/>
        <v>0</v>
      </c>
    </row>
    <row r="63" spans="1:4" x14ac:dyDescent="0.25">
      <c r="A63" t="s">
        <v>110</v>
      </c>
      <c r="B63">
        <v>54.71</v>
      </c>
      <c r="C63" s="6">
        <f t="shared" si="0"/>
        <v>-2.4603316099126471E-2</v>
      </c>
      <c r="D63" s="6">
        <f t="shared" si="1"/>
        <v>-2.4911035444511061E-2</v>
      </c>
    </row>
    <row r="64" spans="1:4" x14ac:dyDescent="0.25">
      <c r="A64" t="s">
        <v>111</v>
      </c>
      <c r="B64">
        <v>56.09</v>
      </c>
      <c r="C64" s="6">
        <f t="shared" si="0"/>
        <v>-1.9062609303952316E-2</v>
      </c>
      <c r="D64" s="6">
        <f t="shared" si="1"/>
        <v>-1.924664337392008E-2</v>
      </c>
    </row>
    <row r="65" spans="1:4" x14ac:dyDescent="0.25">
      <c r="A65" t="s">
        <v>112</v>
      </c>
      <c r="B65">
        <v>57.18</v>
      </c>
      <c r="C65" s="6">
        <f t="shared" si="0"/>
        <v>-7.6362374175632519E-3</v>
      </c>
      <c r="D65" s="6">
        <f t="shared" si="1"/>
        <v>-7.665542762216585E-3</v>
      </c>
    </row>
    <row r="66" spans="1:4" x14ac:dyDescent="0.25">
      <c r="A66" t="s">
        <v>113</v>
      </c>
      <c r="B66">
        <v>57.62</v>
      </c>
      <c r="C66" s="6">
        <f t="shared" si="0"/>
        <v>1.390110856941762E-2</v>
      </c>
      <c r="D66" s="6">
        <f t="shared" si="1"/>
        <v>1.3805374347352359E-2</v>
      </c>
    </row>
    <row r="67" spans="1:4" x14ac:dyDescent="0.25">
      <c r="A67" t="s">
        <v>114</v>
      </c>
      <c r="B67">
        <v>56.83</v>
      </c>
      <c r="C67" s="6">
        <f t="shared" ref="C67:C130" si="2">(B67/B68)-1</f>
        <v>-1.1136244997389966E-2</v>
      </c>
      <c r="D67" s="6">
        <f t="shared" ref="D67:D130" si="3">LN(B67/B68)</f>
        <v>-1.1198717210620058E-2</v>
      </c>
    </row>
    <row r="68" spans="1:4" x14ac:dyDescent="0.25">
      <c r="A68" t="s">
        <v>115</v>
      </c>
      <c r="B68">
        <v>57.47</v>
      </c>
      <c r="C68" s="6">
        <f t="shared" si="2"/>
        <v>2.0962870847397452E-2</v>
      </c>
      <c r="D68" s="6">
        <f t="shared" si="3"/>
        <v>2.074617304371499E-2</v>
      </c>
    </row>
    <row r="69" spans="1:4" x14ac:dyDescent="0.25">
      <c r="A69" t="s">
        <v>116</v>
      </c>
      <c r="B69">
        <v>56.29</v>
      </c>
      <c r="C69" s="6">
        <f t="shared" si="2"/>
        <v>1.8823529411764683E-2</v>
      </c>
      <c r="D69" s="6">
        <f t="shared" si="3"/>
        <v>1.8648559078072995E-2</v>
      </c>
    </row>
    <row r="70" spans="1:4" x14ac:dyDescent="0.25">
      <c r="A70" t="s">
        <v>117</v>
      </c>
      <c r="B70">
        <v>55.25</v>
      </c>
      <c r="C70" s="6">
        <f t="shared" si="2"/>
        <v>3.1168346397909774E-2</v>
      </c>
      <c r="D70" s="6">
        <f t="shared" si="3"/>
        <v>3.0692476281399622E-2</v>
      </c>
    </row>
    <row r="71" spans="1:4" x14ac:dyDescent="0.25">
      <c r="A71" t="s">
        <v>118</v>
      </c>
      <c r="B71">
        <v>53.58</v>
      </c>
      <c r="C71" s="6">
        <f t="shared" si="2"/>
        <v>-2.2084321956561404E-2</v>
      </c>
      <c r="D71" s="6">
        <f t="shared" si="3"/>
        <v>-2.2331831433861665E-2</v>
      </c>
    </row>
    <row r="72" spans="1:4" x14ac:dyDescent="0.25">
      <c r="A72" t="s">
        <v>119</v>
      </c>
      <c r="B72">
        <v>54.79</v>
      </c>
      <c r="C72" s="6">
        <f t="shared" si="2"/>
        <v>-4.1127056352817659E-2</v>
      </c>
      <c r="D72" s="6">
        <f t="shared" si="3"/>
        <v>-4.1996701252302676E-2</v>
      </c>
    </row>
    <row r="73" spans="1:4" x14ac:dyDescent="0.25">
      <c r="A73" t="s">
        <v>120</v>
      </c>
      <c r="B73">
        <v>57.14</v>
      </c>
      <c r="C73" s="6">
        <f t="shared" si="2"/>
        <v>-8.8464874241109825E-3</v>
      </c>
      <c r="D73" s="6">
        <f t="shared" si="3"/>
        <v>-8.8858499124409868E-3</v>
      </c>
    </row>
    <row r="74" spans="1:4" x14ac:dyDescent="0.25">
      <c r="A74" t="s">
        <v>121</v>
      </c>
      <c r="B74">
        <v>57.65</v>
      </c>
      <c r="C74" s="6">
        <f t="shared" si="2"/>
        <v>-4.1457937467611616E-3</v>
      </c>
      <c r="D74" s="6">
        <f t="shared" si="3"/>
        <v>-4.1544113758452822E-3</v>
      </c>
    </row>
    <row r="75" spans="1:4" x14ac:dyDescent="0.25">
      <c r="A75" t="s">
        <v>122</v>
      </c>
      <c r="B75">
        <v>57.89</v>
      </c>
      <c r="C75" s="6">
        <f t="shared" si="2"/>
        <v>1.507978257057685E-2</v>
      </c>
      <c r="D75" s="6">
        <f t="shared" si="3"/>
        <v>1.4967212922465728E-2</v>
      </c>
    </row>
    <row r="76" spans="1:4" x14ac:dyDescent="0.25">
      <c r="A76" t="s">
        <v>123</v>
      </c>
      <c r="B76">
        <v>57.03</v>
      </c>
      <c r="C76" s="6">
        <f t="shared" si="2"/>
        <v>1.2289325842695931E-3</v>
      </c>
      <c r="D76" s="6">
        <f t="shared" si="3"/>
        <v>1.2281780647270882E-3</v>
      </c>
    </row>
    <row r="77" spans="1:4" x14ac:dyDescent="0.25">
      <c r="A77" t="s">
        <v>124</v>
      </c>
      <c r="B77">
        <v>56.96</v>
      </c>
      <c r="C77" s="6">
        <f t="shared" si="2"/>
        <v>1.8233821952091667E-2</v>
      </c>
      <c r="D77" s="6">
        <f t="shared" si="3"/>
        <v>1.8069579329906799E-2</v>
      </c>
    </row>
    <row r="78" spans="1:4" x14ac:dyDescent="0.25">
      <c r="A78" t="s">
        <v>125</v>
      </c>
      <c r="B78">
        <v>55.94</v>
      </c>
      <c r="C78" s="6">
        <f t="shared" si="2"/>
        <v>-3.3849991092108622E-3</v>
      </c>
      <c r="D78" s="6">
        <f t="shared" si="3"/>
        <v>-3.3907411802943737E-3</v>
      </c>
    </row>
    <row r="79" spans="1:4" x14ac:dyDescent="0.25">
      <c r="A79" t="s">
        <v>126</v>
      </c>
      <c r="B79">
        <v>56.13</v>
      </c>
      <c r="C79" s="6">
        <f t="shared" si="2"/>
        <v>2.1659992719330168E-2</v>
      </c>
      <c r="D79" s="6">
        <f t="shared" si="3"/>
        <v>2.1428748286980125E-2</v>
      </c>
    </row>
    <row r="80" spans="1:4" x14ac:dyDescent="0.25">
      <c r="A80" t="s">
        <v>127</v>
      </c>
      <c r="B80">
        <v>54.94</v>
      </c>
      <c r="C80" s="6">
        <f t="shared" si="2"/>
        <v>1.327923275544074E-2</v>
      </c>
      <c r="D80" s="6">
        <f t="shared" si="3"/>
        <v>1.3191836596608282E-2</v>
      </c>
    </row>
    <row r="81" spans="1:4" x14ac:dyDescent="0.25">
      <c r="A81" t="s">
        <v>128</v>
      </c>
      <c r="B81">
        <v>54.22</v>
      </c>
      <c r="C81" s="6">
        <f t="shared" si="2"/>
        <v>-1.9707105405894154E-2</v>
      </c>
      <c r="D81" s="6">
        <f t="shared" si="3"/>
        <v>-1.9903879936067289E-2</v>
      </c>
    </row>
    <row r="82" spans="1:4" x14ac:dyDescent="0.25">
      <c r="A82" t="s">
        <v>129</v>
      </c>
      <c r="B82">
        <v>55.31</v>
      </c>
      <c r="C82" s="6">
        <f t="shared" si="2"/>
        <v>7.6516669703041718E-3</v>
      </c>
      <c r="D82" s="6">
        <f t="shared" si="3"/>
        <v>7.6225414447887371E-3</v>
      </c>
    </row>
    <row r="83" spans="1:4" x14ac:dyDescent="0.25">
      <c r="A83" t="s">
        <v>130</v>
      </c>
      <c r="B83">
        <v>54.89</v>
      </c>
      <c r="C83" s="6">
        <f t="shared" si="2"/>
        <v>1.5917083101980367E-2</v>
      </c>
      <c r="D83" s="6">
        <f t="shared" si="3"/>
        <v>1.5791734705823426E-2</v>
      </c>
    </row>
    <row r="84" spans="1:4" x14ac:dyDescent="0.25">
      <c r="A84" t="s">
        <v>131</v>
      </c>
      <c r="B84">
        <v>54.03</v>
      </c>
      <c r="C84" s="6">
        <f t="shared" si="2"/>
        <v>-1.7993456924754625E-2</v>
      </c>
      <c r="D84" s="6">
        <f t="shared" si="3"/>
        <v>-1.8157307640454069E-2</v>
      </c>
    </row>
    <row r="85" spans="1:4" x14ac:dyDescent="0.25">
      <c r="A85" t="s">
        <v>132</v>
      </c>
      <c r="B85">
        <v>55.02</v>
      </c>
      <c r="C85" s="6">
        <f t="shared" si="2"/>
        <v>-1.6094420600858306E-2</v>
      </c>
      <c r="D85" s="6">
        <f t="shared" si="3"/>
        <v>-1.6225342429126269E-2</v>
      </c>
    </row>
    <row r="86" spans="1:4" x14ac:dyDescent="0.25">
      <c r="A86" t="s">
        <v>133</v>
      </c>
      <c r="B86">
        <v>55.92</v>
      </c>
      <c r="C86" s="6">
        <f t="shared" si="2"/>
        <v>-4.6279814880739734E-3</v>
      </c>
      <c r="D86" s="6">
        <f t="shared" si="3"/>
        <v>-4.6387237505427182E-3</v>
      </c>
    </row>
    <row r="87" spans="1:4" x14ac:dyDescent="0.25">
      <c r="A87" t="s">
        <v>134</v>
      </c>
      <c r="B87">
        <v>56.18</v>
      </c>
      <c r="C87" s="6">
        <f t="shared" si="2"/>
        <v>-2.1314387211367469E-3</v>
      </c>
      <c r="D87" s="6">
        <f t="shared" si="3"/>
        <v>-2.1337134695470681E-3</v>
      </c>
    </row>
    <row r="88" spans="1:4" x14ac:dyDescent="0.25">
      <c r="A88" t="s">
        <v>135</v>
      </c>
      <c r="B88">
        <v>56.3</v>
      </c>
      <c r="C88" s="6">
        <f t="shared" si="2"/>
        <v>-1.8479776847977747E-2</v>
      </c>
      <c r="D88" s="6">
        <f t="shared" si="3"/>
        <v>-1.8652661145720284E-2</v>
      </c>
    </row>
    <row r="89" spans="1:4" x14ac:dyDescent="0.25">
      <c r="A89" t="s">
        <v>136</v>
      </c>
      <c r="B89">
        <v>57.36</v>
      </c>
      <c r="C89" s="6">
        <f t="shared" si="2"/>
        <v>-1.1545752197139492E-2</v>
      </c>
      <c r="D89" s="6">
        <f t="shared" si="3"/>
        <v>-1.1612921911152076E-2</v>
      </c>
    </row>
    <row r="90" spans="1:4" x14ac:dyDescent="0.25">
      <c r="A90" t="s">
        <v>137</v>
      </c>
      <c r="B90">
        <v>58.03</v>
      </c>
      <c r="C90" s="6">
        <f t="shared" si="2"/>
        <v>-5.1431510372020872E-3</v>
      </c>
      <c r="D90" s="6">
        <f t="shared" si="3"/>
        <v>-5.156422563029295E-3</v>
      </c>
    </row>
    <row r="91" spans="1:4" x14ac:dyDescent="0.25">
      <c r="A91" t="s">
        <v>138</v>
      </c>
      <c r="B91">
        <v>58.33</v>
      </c>
      <c r="C91" s="6">
        <f t="shared" si="2"/>
        <v>1.53176675369886E-2</v>
      </c>
      <c r="D91" s="6">
        <f t="shared" si="3"/>
        <v>1.5201536470781473E-2</v>
      </c>
    </row>
    <row r="92" spans="1:4" x14ac:dyDescent="0.25">
      <c r="A92" t="s">
        <v>139</v>
      </c>
      <c r="B92">
        <v>57.45</v>
      </c>
      <c r="C92" s="6">
        <f t="shared" si="2"/>
        <v>-3.7849606431083482E-2</v>
      </c>
      <c r="D92" s="6">
        <f t="shared" si="3"/>
        <v>-3.8584506264136273E-2</v>
      </c>
    </row>
    <row r="93" spans="1:4" x14ac:dyDescent="0.25">
      <c r="A93" t="s">
        <v>140</v>
      </c>
      <c r="B93">
        <v>59.71</v>
      </c>
      <c r="C93" s="6">
        <f t="shared" si="2"/>
        <v>-2.7524429967426656E-2</v>
      </c>
      <c r="D93" s="6">
        <f t="shared" si="3"/>
        <v>-2.7910324594195669E-2</v>
      </c>
    </row>
    <row r="94" spans="1:4" x14ac:dyDescent="0.25">
      <c r="A94" t="s">
        <v>141</v>
      </c>
      <c r="B94">
        <v>61.4</v>
      </c>
      <c r="C94" s="6">
        <f t="shared" si="2"/>
        <v>7.5306479859894804E-2</v>
      </c>
      <c r="D94" s="6">
        <f t="shared" si="3"/>
        <v>7.2605718491132135E-2</v>
      </c>
    </row>
    <row r="95" spans="1:4" x14ac:dyDescent="0.25">
      <c r="A95" t="s">
        <v>142</v>
      </c>
      <c r="B95">
        <v>57.1</v>
      </c>
      <c r="C95" s="6">
        <f t="shared" si="2"/>
        <v>1.578670408700189E-3</v>
      </c>
      <c r="D95" s="6">
        <f t="shared" si="3"/>
        <v>1.5774256184739965E-3</v>
      </c>
    </row>
    <row r="96" spans="1:4" x14ac:dyDescent="0.25">
      <c r="A96" t="s">
        <v>143</v>
      </c>
      <c r="B96">
        <v>57.01</v>
      </c>
      <c r="C96" s="6">
        <f t="shared" si="2"/>
        <v>-3.8441376900226754E-3</v>
      </c>
      <c r="D96" s="6">
        <f t="shared" si="3"/>
        <v>-3.851545377520367E-3</v>
      </c>
    </row>
    <row r="97" spans="1:4" x14ac:dyDescent="0.25">
      <c r="A97" t="s">
        <v>144</v>
      </c>
      <c r="B97">
        <v>57.23</v>
      </c>
      <c r="C97" s="6">
        <f t="shared" si="2"/>
        <v>-8.7290502793302416E-4</v>
      </c>
      <c r="D97" s="6">
        <f t="shared" si="3"/>
        <v>-8.732862313793338E-4</v>
      </c>
    </row>
    <row r="98" spans="1:4" x14ac:dyDescent="0.25">
      <c r="A98" t="s">
        <v>145</v>
      </c>
      <c r="B98">
        <v>57.28</v>
      </c>
      <c r="C98" s="6">
        <f t="shared" si="2"/>
        <v>4.5598035776919232E-3</v>
      </c>
      <c r="D98" s="6">
        <f t="shared" si="3"/>
        <v>4.5494391678641269E-3</v>
      </c>
    </row>
    <row r="99" spans="1:4" x14ac:dyDescent="0.25">
      <c r="A99" t="s">
        <v>146</v>
      </c>
      <c r="B99">
        <v>57.02</v>
      </c>
      <c r="C99" s="6">
        <f t="shared" si="2"/>
        <v>9.0249513360467493E-3</v>
      </c>
      <c r="D99" s="6">
        <f t="shared" si="3"/>
        <v>8.984469842774007E-3</v>
      </c>
    </row>
    <row r="100" spans="1:4" x14ac:dyDescent="0.25">
      <c r="A100" t="s">
        <v>147</v>
      </c>
      <c r="B100">
        <v>56.51</v>
      </c>
      <c r="C100" s="6">
        <f t="shared" si="2"/>
        <v>3.0640160496078872E-2</v>
      </c>
      <c r="D100" s="6">
        <f t="shared" si="3"/>
        <v>3.0180124225794944E-2</v>
      </c>
    </row>
    <row r="101" spans="1:4" x14ac:dyDescent="0.25">
      <c r="A101" t="s">
        <v>148</v>
      </c>
      <c r="B101">
        <v>54.83</v>
      </c>
      <c r="C101" s="6">
        <f t="shared" si="2"/>
        <v>1.2744735869966606E-2</v>
      </c>
      <c r="D101" s="6">
        <f t="shared" si="3"/>
        <v>1.2664205229801825E-2</v>
      </c>
    </row>
    <row r="102" spans="1:4" x14ac:dyDescent="0.25">
      <c r="A102" t="s">
        <v>149</v>
      </c>
      <c r="B102">
        <v>54.14</v>
      </c>
      <c r="C102" s="6">
        <f t="shared" si="2"/>
        <v>4.4526901669759145E-3</v>
      </c>
      <c r="D102" s="6">
        <f t="shared" si="3"/>
        <v>4.4428062712036876E-3</v>
      </c>
    </row>
    <row r="103" spans="1:4" x14ac:dyDescent="0.25">
      <c r="A103" t="s">
        <v>150</v>
      </c>
      <c r="B103">
        <v>53.9</v>
      </c>
      <c r="C103" s="6">
        <f t="shared" si="2"/>
        <v>8.9853987270684943E-3</v>
      </c>
      <c r="D103" s="6">
        <f t="shared" si="3"/>
        <v>8.9452702331366419E-3</v>
      </c>
    </row>
    <row r="104" spans="1:4" x14ac:dyDescent="0.25">
      <c r="A104" t="s">
        <v>151</v>
      </c>
      <c r="B104">
        <v>53.42</v>
      </c>
      <c r="C104" s="6">
        <f t="shared" si="2"/>
        <v>-1.6568483063328365E-2</v>
      </c>
      <c r="D104" s="6">
        <f t="shared" si="3"/>
        <v>-1.6707275568625817E-2</v>
      </c>
    </row>
    <row r="105" spans="1:4" x14ac:dyDescent="0.25">
      <c r="A105" t="s">
        <v>152</v>
      </c>
      <c r="B105">
        <v>54.32</v>
      </c>
      <c r="C105" s="6">
        <f t="shared" si="2"/>
        <v>1.4947683109117982E-2</v>
      </c>
      <c r="D105" s="6">
        <f t="shared" si="3"/>
        <v>1.4837067430467574E-2</v>
      </c>
    </row>
    <row r="106" spans="1:4" x14ac:dyDescent="0.25">
      <c r="A106" t="s">
        <v>153</v>
      </c>
      <c r="B106">
        <v>53.52</v>
      </c>
      <c r="C106" s="6">
        <f t="shared" si="2"/>
        <v>5.0704225352113941E-3</v>
      </c>
      <c r="D106" s="6">
        <f t="shared" si="3"/>
        <v>5.0576112304386422E-3</v>
      </c>
    </row>
    <row r="107" spans="1:4" x14ac:dyDescent="0.25">
      <c r="A107" t="s">
        <v>154</v>
      </c>
      <c r="B107">
        <v>53.25</v>
      </c>
      <c r="C107" s="6">
        <f t="shared" si="2"/>
        <v>-4.4868199663489206E-3</v>
      </c>
      <c r="D107" s="6">
        <f t="shared" si="3"/>
        <v>-4.4969159536243086E-3</v>
      </c>
    </row>
    <row r="108" spans="1:4" x14ac:dyDescent="0.25">
      <c r="A108" t="s">
        <v>155</v>
      </c>
      <c r="B108">
        <v>53.49</v>
      </c>
      <c r="C108" s="6">
        <f t="shared" si="2"/>
        <v>3.0834457506263346E-2</v>
      </c>
      <c r="D108" s="6">
        <f t="shared" si="3"/>
        <v>3.0368627163510561E-2</v>
      </c>
    </row>
    <row r="109" spans="1:4" x14ac:dyDescent="0.25">
      <c r="A109" t="s">
        <v>156</v>
      </c>
      <c r="B109">
        <v>51.89</v>
      </c>
      <c r="C109" s="6">
        <f t="shared" si="2"/>
        <v>-2.6819204801200258E-2</v>
      </c>
      <c r="D109" s="6">
        <f t="shared" si="3"/>
        <v>-2.7185401930859613E-2</v>
      </c>
    </row>
    <row r="110" spans="1:4" x14ac:dyDescent="0.25">
      <c r="A110" t="s">
        <v>157</v>
      </c>
      <c r="B110">
        <v>53.32</v>
      </c>
      <c r="C110" s="6">
        <f t="shared" si="2"/>
        <v>-8.1845238095237249E-3</v>
      </c>
      <c r="D110" s="6">
        <f t="shared" si="3"/>
        <v>-8.2182009043860992E-3</v>
      </c>
    </row>
    <row r="111" spans="1:4" x14ac:dyDescent="0.25">
      <c r="A111" t="s">
        <v>158</v>
      </c>
      <c r="B111">
        <v>53.76</v>
      </c>
      <c r="C111" s="6">
        <f t="shared" si="2"/>
        <v>-2.2900763358778664E-2</v>
      </c>
      <c r="D111" s="6">
        <f t="shared" si="3"/>
        <v>-2.3167059281534418E-2</v>
      </c>
    </row>
    <row r="112" spans="1:4" x14ac:dyDescent="0.25">
      <c r="A112" t="s">
        <v>159</v>
      </c>
      <c r="B112">
        <v>55.02</v>
      </c>
      <c r="C112" s="6">
        <f t="shared" si="2"/>
        <v>-3.6337209302317319E-4</v>
      </c>
      <c r="D112" s="6">
        <f t="shared" si="3"/>
        <v>-3.6343812865965666E-4</v>
      </c>
    </row>
    <row r="113" spans="1:4" x14ac:dyDescent="0.25">
      <c r="A113" t="s">
        <v>160</v>
      </c>
      <c r="B113">
        <v>55.04</v>
      </c>
      <c r="C113" s="6">
        <f t="shared" si="2"/>
        <v>-2.3247559893522673E-2</v>
      </c>
      <c r="D113" s="6">
        <f t="shared" si="3"/>
        <v>-2.3522046860697133E-2</v>
      </c>
    </row>
    <row r="114" spans="1:4" x14ac:dyDescent="0.25">
      <c r="A114" t="s">
        <v>161</v>
      </c>
      <c r="B114">
        <v>56.35</v>
      </c>
      <c r="C114" s="6">
        <f t="shared" si="2"/>
        <v>1.367152365533375E-2</v>
      </c>
      <c r="D114" s="6">
        <f t="shared" si="3"/>
        <v>1.357891152040726E-2</v>
      </c>
    </row>
    <row r="115" spans="1:4" x14ac:dyDescent="0.25">
      <c r="A115" t="s">
        <v>162</v>
      </c>
      <c r="B115">
        <v>55.59</v>
      </c>
      <c r="C115" s="6">
        <f t="shared" si="2"/>
        <v>5.6078147612157458E-3</v>
      </c>
      <c r="D115" s="6">
        <f t="shared" si="3"/>
        <v>5.5921495059637625E-3</v>
      </c>
    </row>
    <row r="116" spans="1:4" x14ac:dyDescent="0.25">
      <c r="A116" t="s">
        <v>163</v>
      </c>
      <c r="B116">
        <v>55.28</v>
      </c>
      <c r="C116" s="6">
        <f t="shared" si="2"/>
        <v>-1.3561741613133393E-2</v>
      </c>
      <c r="D116" s="6">
        <f t="shared" si="3"/>
        <v>-1.3654542009391714E-2</v>
      </c>
    </row>
    <row r="117" spans="1:4" x14ac:dyDescent="0.25">
      <c r="A117" t="s">
        <v>164</v>
      </c>
      <c r="B117">
        <v>56.04</v>
      </c>
      <c r="C117" s="6">
        <f t="shared" si="2"/>
        <v>-1.0695187165775666E-3</v>
      </c>
      <c r="D117" s="6">
        <f t="shared" si="3"/>
        <v>-1.0700910598444044E-3</v>
      </c>
    </row>
    <row r="118" spans="1:4" x14ac:dyDescent="0.25">
      <c r="A118" t="s">
        <v>165</v>
      </c>
      <c r="B118">
        <v>56.1</v>
      </c>
      <c r="C118" s="6">
        <f t="shared" si="2"/>
        <v>8.9206066012503804E-4</v>
      </c>
      <c r="D118" s="6">
        <f t="shared" si="3"/>
        <v>8.9166301048186386E-4</v>
      </c>
    </row>
    <row r="119" spans="1:4" x14ac:dyDescent="0.25">
      <c r="A119" t="s">
        <v>166</v>
      </c>
      <c r="B119">
        <v>56.05</v>
      </c>
      <c r="C119" s="6">
        <f t="shared" si="2"/>
        <v>2.8627661477902411E-3</v>
      </c>
      <c r="D119" s="6">
        <f t="shared" si="3"/>
        <v>2.8586762365620765E-3</v>
      </c>
    </row>
    <row r="120" spans="1:4" x14ac:dyDescent="0.25">
      <c r="A120" t="s">
        <v>167</v>
      </c>
      <c r="B120">
        <v>55.89</v>
      </c>
      <c r="C120" s="6">
        <f t="shared" si="2"/>
        <v>-7.1060579143720215E-3</v>
      </c>
      <c r="D120" s="6">
        <f t="shared" si="3"/>
        <v>-7.1314261943284541E-3</v>
      </c>
    </row>
    <row r="121" spans="1:4" x14ac:dyDescent="0.25">
      <c r="A121" t="s">
        <v>168</v>
      </c>
      <c r="B121">
        <v>56.29</v>
      </c>
      <c r="C121" s="6">
        <f t="shared" si="2"/>
        <v>6.7966374530494811E-3</v>
      </c>
      <c r="D121" s="6">
        <f t="shared" si="3"/>
        <v>6.7736444373812116E-3</v>
      </c>
    </row>
    <row r="122" spans="1:4" x14ac:dyDescent="0.25">
      <c r="A122" t="s">
        <v>169</v>
      </c>
      <c r="B122">
        <v>55.91</v>
      </c>
      <c r="C122" s="6">
        <f t="shared" si="2"/>
        <v>1.6175936023264059E-2</v>
      </c>
      <c r="D122" s="6">
        <f t="shared" si="3"/>
        <v>1.6046499542125253E-2</v>
      </c>
    </row>
    <row r="123" spans="1:4" x14ac:dyDescent="0.25">
      <c r="A123" t="s">
        <v>170</v>
      </c>
      <c r="B123">
        <v>55.02</v>
      </c>
      <c r="C123" s="6">
        <f t="shared" si="2"/>
        <v>-2.7188689505165398E-3</v>
      </c>
      <c r="D123" s="6">
        <f t="shared" si="3"/>
        <v>-2.7225717879108867E-3</v>
      </c>
    </row>
    <row r="124" spans="1:4" x14ac:dyDescent="0.25">
      <c r="A124" t="s">
        <v>171</v>
      </c>
      <c r="B124">
        <v>55.17</v>
      </c>
      <c r="C124" s="6">
        <f t="shared" si="2"/>
        <v>-1.3059033989266444E-2</v>
      </c>
      <c r="D124" s="6">
        <f t="shared" si="3"/>
        <v>-1.3145052876713957E-2</v>
      </c>
    </row>
    <row r="125" spans="1:4" x14ac:dyDescent="0.25">
      <c r="A125" t="s">
        <v>172</v>
      </c>
      <c r="B125">
        <v>55.9</v>
      </c>
      <c r="C125" s="6">
        <f t="shared" si="2"/>
        <v>-1.8954018954018936E-2</v>
      </c>
      <c r="D125" s="6">
        <f t="shared" si="3"/>
        <v>-1.913594890870874E-2</v>
      </c>
    </row>
    <row r="126" spans="1:4" x14ac:dyDescent="0.25">
      <c r="A126" t="s">
        <v>173</v>
      </c>
      <c r="B126">
        <v>56.98</v>
      </c>
      <c r="C126" s="6">
        <f t="shared" si="2"/>
        <v>-1.7519271198318531E-3</v>
      </c>
      <c r="D126" s="6">
        <f t="shared" si="3"/>
        <v>-1.753463538873471E-3</v>
      </c>
    </row>
    <row r="127" spans="1:4" x14ac:dyDescent="0.25">
      <c r="A127" t="s">
        <v>174</v>
      </c>
      <c r="B127">
        <v>57.08</v>
      </c>
      <c r="C127" s="6">
        <f t="shared" si="2"/>
        <v>-3.4506089309878196E-2</v>
      </c>
      <c r="D127" s="6">
        <f t="shared" si="3"/>
        <v>-3.5115484031310651E-2</v>
      </c>
    </row>
    <row r="128" spans="1:4" x14ac:dyDescent="0.25">
      <c r="A128" t="s">
        <v>175</v>
      </c>
      <c r="B128">
        <v>59.12</v>
      </c>
      <c r="C128" s="6">
        <f t="shared" si="2"/>
        <v>-3.9324016899577541E-2</v>
      </c>
      <c r="D128" s="6">
        <f t="shared" si="3"/>
        <v>-4.0118093253949466E-2</v>
      </c>
    </row>
    <row r="129" spans="1:4" x14ac:dyDescent="0.25">
      <c r="A129" t="s">
        <v>176</v>
      </c>
      <c r="B129">
        <v>61.54</v>
      </c>
      <c r="C129" s="6">
        <f t="shared" si="2"/>
        <v>2.0563847429519111E-2</v>
      </c>
      <c r="D129" s="6">
        <f t="shared" si="3"/>
        <v>2.0355266160756048E-2</v>
      </c>
    </row>
    <row r="130" spans="1:4" x14ac:dyDescent="0.25">
      <c r="A130" t="s">
        <v>177</v>
      </c>
      <c r="B130">
        <v>60.3</v>
      </c>
      <c r="C130" s="6">
        <f t="shared" si="2"/>
        <v>4.4977511244377322E-3</v>
      </c>
      <c r="D130" s="6">
        <f t="shared" si="3"/>
        <v>4.4876664693879768E-3</v>
      </c>
    </row>
    <row r="131" spans="1:4" x14ac:dyDescent="0.25">
      <c r="A131" t="s">
        <v>178</v>
      </c>
      <c r="B131">
        <v>60.03</v>
      </c>
      <c r="C131" s="6">
        <f t="shared" ref="C131:C194" si="4">(B131/B132)-1</f>
        <v>3.6783146630998687E-3</v>
      </c>
      <c r="D131" s="6">
        <f t="shared" ref="D131:D194" si="5">LN(B131/B132)</f>
        <v>3.6715662072861351E-3</v>
      </c>
    </row>
    <row r="132" spans="1:4" x14ac:dyDescent="0.25">
      <c r="A132" t="s">
        <v>179</v>
      </c>
      <c r="B132">
        <v>59.81</v>
      </c>
      <c r="C132" s="6">
        <f t="shared" si="4"/>
        <v>4.5347665435002682E-3</v>
      </c>
      <c r="D132" s="6">
        <f t="shared" si="5"/>
        <v>4.5245154688354243E-3</v>
      </c>
    </row>
    <row r="133" spans="1:4" x14ac:dyDescent="0.25">
      <c r="A133" t="s">
        <v>180</v>
      </c>
      <c r="B133">
        <v>59.54</v>
      </c>
      <c r="C133" s="6">
        <f t="shared" si="4"/>
        <v>9.323614171893535E-3</v>
      </c>
      <c r="D133" s="6">
        <f t="shared" si="5"/>
        <v>9.2804175726464155E-3</v>
      </c>
    </row>
    <row r="134" spans="1:4" x14ac:dyDescent="0.25">
      <c r="A134" t="s">
        <v>181</v>
      </c>
      <c r="B134">
        <v>58.99</v>
      </c>
      <c r="C134" s="6">
        <f t="shared" si="4"/>
        <v>0</v>
      </c>
      <c r="D134" s="6">
        <f t="shared" si="5"/>
        <v>0</v>
      </c>
    </row>
    <row r="135" spans="1:4" x14ac:dyDescent="0.25">
      <c r="A135" t="s">
        <v>182</v>
      </c>
      <c r="B135">
        <v>58.99</v>
      </c>
      <c r="C135" s="6">
        <f t="shared" si="4"/>
        <v>3.5726437563796676E-3</v>
      </c>
      <c r="D135" s="6">
        <f t="shared" si="5"/>
        <v>3.5662770242125569E-3</v>
      </c>
    </row>
    <row r="136" spans="1:4" x14ac:dyDescent="0.25">
      <c r="A136" t="s">
        <v>183</v>
      </c>
      <c r="B136">
        <v>58.78</v>
      </c>
      <c r="C136" s="6">
        <f t="shared" si="4"/>
        <v>-1.0604275374516026E-2</v>
      </c>
      <c r="D136" s="6">
        <f t="shared" si="5"/>
        <v>-1.0660901376878723E-2</v>
      </c>
    </row>
    <row r="137" spans="1:4" x14ac:dyDescent="0.25">
      <c r="A137" t="s">
        <v>184</v>
      </c>
      <c r="B137">
        <v>59.41</v>
      </c>
      <c r="C137" s="6">
        <f t="shared" si="4"/>
        <v>-2.6859157293940283E-3</v>
      </c>
      <c r="D137" s="6">
        <f t="shared" si="5"/>
        <v>-2.6895292729460433E-3</v>
      </c>
    </row>
    <row r="138" spans="1:4" x14ac:dyDescent="0.25">
      <c r="A138" t="s">
        <v>185</v>
      </c>
      <c r="B138">
        <v>59.57</v>
      </c>
      <c r="C138" s="6">
        <f t="shared" si="4"/>
        <v>5.6767784282419687E-2</v>
      </c>
      <c r="D138" s="6">
        <f t="shared" si="5"/>
        <v>5.5214989547112396E-2</v>
      </c>
    </row>
    <row r="139" spans="1:4" x14ac:dyDescent="0.25">
      <c r="A139" t="s">
        <v>186</v>
      </c>
      <c r="B139">
        <v>56.37</v>
      </c>
      <c r="C139" s="6">
        <f t="shared" si="4"/>
        <v>-1.1399508944230141E-2</v>
      </c>
      <c r="D139" s="6">
        <f t="shared" si="5"/>
        <v>-1.1464981391042342E-2</v>
      </c>
    </row>
    <row r="140" spans="1:4" x14ac:dyDescent="0.25">
      <c r="A140" t="s">
        <v>187</v>
      </c>
      <c r="B140">
        <v>57.02</v>
      </c>
      <c r="C140" s="6">
        <f t="shared" si="4"/>
        <v>-1.6048317515099164E-2</v>
      </c>
      <c r="D140" s="6">
        <f t="shared" si="5"/>
        <v>-1.617848630123472E-2</v>
      </c>
    </row>
    <row r="141" spans="1:4" x14ac:dyDescent="0.25">
      <c r="A141" t="s">
        <v>188</v>
      </c>
      <c r="B141">
        <v>57.95</v>
      </c>
      <c r="C141" s="6">
        <f t="shared" si="4"/>
        <v>-1.6629899881214993E-2</v>
      </c>
      <c r="D141" s="6">
        <f t="shared" si="5"/>
        <v>-1.6769729064061253E-2</v>
      </c>
    </row>
    <row r="142" spans="1:4" x14ac:dyDescent="0.25">
      <c r="A142" t="s">
        <v>189</v>
      </c>
      <c r="B142">
        <v>58.93</v>
      </c>
      <c r="C142" s="6">
        <f t="shared" si="4"/>
        <v>2.2380291464261015E-2</v>
      </c>
      <c r="D142" s="6">
        <f t="shared" si="5"/>
        <v>2.2133527718500721E-2</v>
      </c>
    </row>
    <row r="143" spans="1:4" x14ac:dyDescent="0.25">
      <c r="A143" t="s">
        <v>190</v>
      </c>
      <c r="B143">
        <v>57.64</v>
      </c>
      <c r="C143" s="6">
        <f t="shared" si="4"/>
        <v>-1.2129613585166732E-3</v>
      </c>
      <c r="D143" s="6">
        <f t="shared" si="5"/>
        <v>-1.2136975915536671E-3</v>
      </c>
    </row>
    <row r="144" spans="1:4" x14ac:dyDescent="0.25">
      <c r="A144" t="s">
        <v>191</v>
      </c>
      <c r="B144">
        <v>57.71</v>
      </c>
      <c r="C144" s="6">
        <f t="shared" si="4"/>
        <v>-2.4674666215987795E-2</v>
      </c>
      <c r="D144" s="6">
        <f t="shared" si="5"/>
        <v>-2.498418796572761E-2</v>
      </c>
    </row>
    <row r="145" spans="1:4" x14ac:dyDescent="0.25">
      <c r="A145" t="s">
        <v>192</v>
      </c>
      <c r="B145">
        <v>59.17</v>
      </c>
      <c r="C145" s="6">
        <f t="shared" si="4"/>
        <v>1.7890934113194534E-2</v>
      </c>
      <c r="D145" s="6">
        <f t="shared" si="5"/>
        <v>1.7732774975343476E-2</v>
      </c>
    </row>
    <row r="146" spans="1:4" x14ac:dyDescent="0.25">
      <c r="A146" t="s">
        <v>193</v>
      </c>
      <c r="B146">
        <v>58.13</v>
      </c>
      <c r="C146" s="6">
        <f t="shared" si="4"/>
        <v>-2.5808614043908107E-2</v>
      </c>
      <c r="D146" s="6">
        <f t="shared" si="5"/>
        <v>-2.6147499820731269E-2</v>
      </c>
    </row>
    <row r="147" spans="1:4" x14ac:dyDescent="0.25">
      <c r="A147" t="s">
        <v>194</v>
      </c>
      <c r="B147">
        <v>59.67</v>
      </c>
      <c r="C147" s="6">
        <f t="shared" si="4"/>
        <v>-1.7777777777777781E-2</v>
      </c>
      <c r="D147" s="6">
        <f t="shared" si="5"/>
        <v>-1.7937700686667318E-2</v>
      </c>
    </row>
    <row r="148" spans="1:4" x14ac:dyDescent="0.25">
      <c r="A148" t="s">
        <v>195</v>
      </c>
      <c r="B148">
        <v>60.75</v>
      </c>
      <c r="C148" s="6">
        <f t="shared" si="4"/>
        <v>-1.9686945296111036E-2</v>
      </c>
      <c r="D148" s="6">
        <f t="shared" si="5"/>
        <v>-1.9883314753358292E-2</v>
      </c>
    </row>
    <row r="149" spans="1:4" x14ac:dyDescent="0.25">
      <c r="A149" t="s">
        <v>196</v>
      </c>
      <c r="B149">
        <v>61.97</v>
      </c>
      <c r="C149" s="6">
        <f t="shared" si="4"/>
        <v>2.2607260726072553E-2</v>
      </c>
      <c r="D149" s="6">
        <f t="shared" si="5"/>
        <v>2.2355503898747294E-2</v>
      </c>
    </row>
    <row r="150" spans="1:4" x14ac:dyDescent="0.25">
      <c r="A150" t="s">
        <v>197</v>
      </c>
      <c r="B150">
        <v>60.6</v>
      </c>
      <c r="C150" s="6">
        <f t="shared" si="4"/>
        <v>-5.4160512063022859E-3</v>
      </c>
      <c r="D150" s="6">
        <f t="shared" si="5"/>
        <v>-5.4307711851342118E-3</v>
      </c>
    </row>
    <row r="151" spans="1:4" x14ac:dyDescent="0.25">
      <c r="A151" t="s">
        <v>198</v>
      </c>
      <c r="B151">
        <v>60.93</v>
      </c>
      <c r="C151" s="6">
        <f t="shared" si="4"/>
        <v>-5.0620509470934438E-3</v>
      </c>
      <c r="D151" s="6">
        <f t="shared" si="5"/>
        <v>-5.0749065290800381E-3</v>
      </c>
    </row>
    <row r="152" spans="1:4" x14ac:dyDescent="0.25">
      <c r="A152" t="s">
        <v>199</v>
      </c>
      <c r="B152">
        <v>61.24</v>
      </c>
      <c r="C152" s="6">
        <f t="shared" si="4"/>
        <v>1.635590448151758E-3</v>
      </c>
      <c r="D152" s="6">
        <f t="shared" si="5"/>
        <v>1.6342543267945341E-3</v>
      </c>
    </row>
    <row r="153" spans="1:4" x14ac:dyDescent="0.25">
      <c r="A153" t="s">
        <v>200</v>
      </c>
      <c r="B153">
        <v>61.14</v>
      </c>
      <c r="C153" s="6">
        <f t="shared" si="4"/>
        <v>-1.4029995162070596E-2</v>
      </c>
      <c r="D153" s="6">
        <f t="shared" si="5"/>
        <v>-1.4129345899098101E-2</v>
      </c>
    </row>
    <row r="154" spans="1:4" x14ac:dyDescent="0.25">
      <c r="A154" t="s">
        <v>201</v>
      </c>
      <c r="B154">
        <v>62.01</v>
      </c>
      <c r="C154" s="6">
        <f t="shared" si="4"/>
        <v>2.2592348284960373E-2</v>
      </c>
      <c r="D154" s="6">
        <f t="shared" si="5"/>
        <v>2.2340921027670321E-2</v>
      </c>
    </row>
    <row r="155" spans="1:4" x14ac:dyDescent="0.25">
      <c r="A155" t="s">
        <v>202</v>
      </c>
      <c r="B155">
        <v>60.64</v>
      </c>
      <c r="C155" s="6">
        <f t="shared" si="4"/>
        <v>-9.4740280953936606E-3</v>
      </c>
      <c r="D155" s="6">
        <f t="shared" si="5"/>
        <v>-9.5191921831502286E-3</v>
      </c>
    </row>
    <row r="156" spans="1:4" x14ac:dyDescent="0.25">
      <c r="A156" t="s">
        <v>203</v>
      </c>
      <c r="B156">
        <v>61.22</v>
      </c>
      <c r="C156" s="6">
        <f t="shared" si="4"/>
        <v>3.9357166284028633E-3</v>
      </c>
      <c r="D156" s="6">
        <f t="shared" si="5"/>
        <v>3.9279919571578326E-3</v>
      </c>
    </row>
    <row r="157" spans="1:4" x14ac:dyDescent="0.25">
      <c r="A157" t="s">
        <v>204</v>
      </c>
      <c r="B157">
        <v>60.98</v>
      </c>
      <c r="C157" s="6">
        <f t="shared" si="4"/>
        <v>1.7180984153461143E-2</v>
      </c>
      <c r="D157" s="6">
        <f t="shared" si="5"/>
        <v>1.70350600865854E-2</v>
      </c>
    </row>
    <row r="158" spans="1:4" x14ac:dyDescent="0.25">
      <c r="A158" t="s">
        <v>205</v>
      </c>
      <c r="B158">
        <v>59.95</v>
      </c>
      <c r="C158" s="6">
        <f t="shared" si="4"/>
        <v>-1.3655807831523536E-2</v>
      </c>
      <c r="D158" s="6">
        <f t="shared" si="5"/>
        <v>-1.3749906015123771E-2</v>
      </c>
    </row>
    <row r="159" spans="1:4" x14ac:dyDescent="0.25">
      <c r="A159" t="s">
        <v>206</v>
      </c>
      <c r="B159">
        <v>60.78</v>
      </c>
      <c r="C159" s="6">
        <f t="shared" si="4"/>
        <v>1.8261015245434775E-2</v>
      </c>
      <c r="D159" s="6">
        <f t="shared" si="5"/>
        <v>1.8096285308088551E-2</v>
      </c>
    </row>
    <row r="160" spans="1:4" x14ac:dyDescent="0.25">
      <c r="A160" t="s">
        <v>207</v>
      </c>
      <c r="B160">
        <v>59.69</v>
      </c>
      <c r="C160" s="6">
        <f t="shared" si="4"/>
        <v>-4.170837504170799E-3</v>
      </c>
      <c r="D160" s="6">
        <f t="shared" si="5"/>
        <v>-4.1795597079586208E-3</v>
      </c>
    </row>
    <row r="161" spans="1:4" x14ac:dyDescent="0.25">
      <c r="A161" t="s">
        <v>208</v>
      </c>
      <c r="B161">
        <v>59.94</v>
      </c>
      <c r="C161" s="6">
        <f t="shared" si="4"/>
        <v>-1.0237780713342248E-2</v>
      </c>
      <c r="D161" s="6">
        <f t="shared" si="5"/>
        <v>-1.0290547240676294E-2</v>
      </c>
    </row>
    <row r="162" spans="1:4" x14ac:dyDescent="0.25">
      <c r="A162" t="s">
        <v>209</v>
      </c>
      <c r="B162">
        <v>60.56</v>
      </c>
      <c r="C162" s="6">
        <f t="shared" si="4"/>
        <v>-2.1805847197544748E-2</v>
      </c>
      <c r="D162" s="6">
        <f t="shared" si="5"/>
        <v>-2.204710840194735E-2</v>
      </c>
    </row>
    <row r="163" spans="1:4" x14ac:dyDescent="0.25">
      <c r="A163" t="s">
        <v>210</v>
      </c>
      <c r="B163">
        <v>61.91</v>
      </c>
      <c r="C163" s="6">
        <f t="shared" si="4"/>
        <v>-2.3347531156333923E-2</v>
      </c>
      <c r="D163" s="6">
        <f t="shared" si="5"/>
        <v>-2.3624402764934375E-2</v>
      </c>
    </row>
    <row r="164" spans="1:4" x14ac:dyDescent="0.25">
      <c r="A164" t="s">
        <v>211</v>
      </c>
      <c r="B164">
        <v>63.39</v>
      </c>
      <c r="C164" s="6">
        <f t="shared" si="4"/>
        <v>9.8773299346821553E-3</v>
      </c>
      <c r="D164" s="6">
        <f t="shared" si="5"/>
        <v>9.8288679666346454E-3</v>
      </c>
    </row>
    <row r="165" spans="1:4" x14ac:dyDescent="0.25">
      <c r="A165" t="s">
        <v>212</v>
      </c>
      <c r="B165">
        <v>62.77</v>
      </c>
      <c r="C165" s="6">
        <f t="shared" si="4"/>
        <v>4.8023051064511879E-3</v>
      </c>
      <c r="D165" s="6">
        <f t="shared" si="5"/>
        <v>4.790810823961913E-3</v>
      </c>
    </row>
    <row r="166" spans="1:4" x14ac:dyDescent="0.25">
      <c r="A166" t="s">
        <v>213</v>
      </c>
      <c r="B166">
        <v>62.47</v>
      </c>
      <c r="C166" s="6">
        <f t="shared" si="4"/>
        <v>1.5772357723577324E-2</v>
      </c>
      <c r="D166" s="6">
        <f t="shared" si="5"/>
        <v>1.5649266693006439E-2</v>
      </c>
    </row>
    <row r="167" spans="1:4" x14ac:dyDescent="0.25">
      <c r="A167" t="s">
        <v>214</v>
      </c>
      <c r="B167">
        <v>61.5</v>
      </c>
      <c r="C167" s="6">
        <f t="shared" si="4"/>
        <v>-1.4580996635154553E-2</v>
      </c>
      <c r="D167" s="6">
        <f t="shared" si="5"/>
        <v>-1.4688344133479364E-2</v>
      </c>
    </row>
    <row r="168" spans="1:4" x14ac:dyDescent="0.25">
      <c r="A168" t="s">
        <v>215</v>
      </c>
      <c r="B168">
        <v>62.41</v>
      </c>
      <c r="C168" s="6">
        <f t="shared" si="4"/>
        <v>-2.8758587633808119E-3</v>
      </c>
      <c r="D168" s="6">
        <f t="shared" si="5"/>
        <v>-2.880001990658557E-3</v>
      </c>
    </row>
    <row r="169" spans="1:4" x14ac:dyDescent="0.25">
      <c r="A169" t="s">
        <v>216</v>
      </c>
      <c r="B169">
        <v>62.59</v>
      </c>
      <c r="C169" s="6">
        <f t="shared" si="4"/>
        <v>-7.9251862418766583E-3</v>
      </c>
      <c r="D169" s="6">
        <f t="shared" si="5"/>
        <v>-7.9567574461079822E-3</v>
      </c>
    </row>
    <row r="170" spans="1:4" x14ac:dyDescent="0.25">
      <c r="A170" t="s">
        <v>217</v>
      </c>
      <c r="B170">
        <v>63.09</v>
      </c>
      <c r="C170" s="6">
        <f t="shared" si="4"/>
        <v>6.3441712926248783E-4</v>
      </c>
      <c r="D170" s="6">
        <f t="shared" si="5"/>
        <v>6.3421597178953831E-4</v>
      </c>
    </row>
    <row r="171" spans="1:4" x14ac:dyDescent="0.25">
      <c r="A171" t="s">
        <v>218</v>
      </c>
      <c r="B171">
        <v>63.05</v>
      </c>
      <c r="C171" s="6">
        <f t="shared" si="4"/>
        <v>-1.6227180527383478E-2</v>
      </c>
      <c r="D171" s="6">
        <f t="shared" si="5"/>
        <v>-1.6360283105207023E-2</v>
      </c>
    </row>
    <row r="172" spans="1:4" x14ac:dyDescent="0.25">
      <c r="A172" t="s">
        <v>219</v>
      </c>
      <c r="B172">
        <v>64.09</v>
      </c>
      <c r="C172" s="6">
        <f t="shared" si="4"/>
        <v>2.314814814814814E-2</v>
      </c>
      <c r="D172" s="6">
        <f t="shared" si="5"/>
        <v>2.2884293833587806E-2</v>
      </c>
    </row>
    <row r="173" spans="1:4" x14ac:dyDescent="0.25">
      <c r="A173" t="s">
        <v>220</v>
      </c>
      <c r="B173">
        <v>62.64</v>
      </c>
      <c r="C173" s="6">
        <f t="shared" si="4"/>
        <v>-4.1335453100158626E-3</v>
      </c>
      <c r="D173" s="6">
        <f t="shared" si="5"/>
        <v>-4.1421120238471429E-3</v>
      </c>
    </row>
    <row r="174" spans="1:4" x14ac:dyDescent="0.25">
      <c r="A174" t="s">
        <v>221</v>
      </c>
      <c r="B174">
        <v>62.9</v>
      </c>
      <c r="C174" s="6">
        <f t="shared" si="4"/>
        <v>-3.1695721077654726E-3</v>
      </c>
      <c r="D174" s="6">
        <f t="shared" si="5"/>
        <v>-3.1746058407726538E-3</v>
      </c>
    </row>
    <row r="175" spans="1:4" x14ac:dyDescent="0.25">
      <c r="A175" t="s">
        <v>222</v>
      </c>
      <c r="B175">
        <v>63.1</v>
      </c>
      <c r="C175" s="6">
        <f t="shared" si="4"/>
        <v>-7.9176563737126671E-4</v>
      </c>
      <c r="D175" s="6">
        <f t="shared" si="5"/>
        <v>-7.9207924933257087E-4</v>
      </c>
    </row>
    <row r="176" spans="1:4" x14ac:dyDescent="0.25">
      <c r="A176" t="s">
        <v>223</v>
      </c>
      <c r="B176">
        <v>63.15</v>
      </c>
      <c r="C176" s="6">
        <f t="shared" si="4"/>
        <v>6.2141491395792947E-3</v>
      </c>
      <c r="D176" s="6">
        <f t="shared" si="5"/>
        <v>6.1949209316682179E-3</v>
      </c>
    </row>
    <row r="177" spans="1:4" x14ac:dyDescent="0.25">
      <c r="A177" t="s">
        <v>224</v>
      </c>
      <c r="B177">
        <v>62.76</v>
      </c>
      <c r="C177" s="6">
        <f t="shared" si="4"/>
        <v>-9.4696969696970168E-3</v>
      </c>
      <c r="D177" s="6">
        <f t="shared" si="5"/>
        <v>-9.5148196413386201E-3</v>
      </c>
    </row>
    <row r="178" spans="1:4" x14ac:dyDescent="0.25">
      <c r="A178" t="s">
        <v>225</v>
      </c>
      <c r="B178">
        <v>63.36</v>
      </c>
      <c r="C178" s="6">
        <f t="shared" si="4"/>
        <v>1.1494252873563093E-2</v>
      </c>
      <c r="D178" s="6">
        <f t="shared" si="5"/>
        <v>1.1428695823622629E-2</v>
      </c>
    </row>
    <row r="179" spans="1:4" x14ac:dyDescent="0.25">
      <c r="A179" t="s">
        <v>226</v>
      </c>
      <c r="B179">
        <v>62.64</v>
      </c>
      <c r="C179" s="6">
        <f t="shared" si="4"/>
        <v>4.9735279961495849E-3</v>
      </c>
      <c r="D179" s="6">
        <f t="shared" si="5"/>
        <v>4.9612008617884963E-3</v>
      </c>
    </row>
    <row r="180" spans="1:4" x14ac:dyDescent="0.25">
      <c r="A180" t="s">
        <v>227</v>
      </c>
      <c r="B180">
        <v>62.33</v>
      </c>
      <c r="C180" s="6">
        <f t="shared" si="4"/>
        <v>9.2292746113988855E-3</v>
      </c>
      <c r="D180" s="6">
        <f t="shared" si="5"/>
        <v>9.186945104238415E-3</v>
      </c>
    </row>
    <row r="181" spans="1:4" x14ac:dyDescent="0.25">
      <c r="A181" t="s">
        <v>228</v>
      </c>
      <c r="B181">
        <v>61.76</v>
      </c>
      <c r="C181" s="6">
        <f t="shared" si="4"/>
        <v>1.512163050624582E-2</v>
      </c>
      <c r="D181" s="6">
        <f t="shared" si="5"/>
        <v>1.5008438325428556E-2</v>
      </c>
    </row>
    <row r="182" spans="1:4" x14ac:dyDescent="0.25">
      <c r="A182" t="s">
        <v>229</v>
      </c>
      <c r="B182">
        <v>60.84</v>
      </c>
      <c r="C182" s="6">
        <f t="shared" si="4"/>
        <v>4.9333991119882015E-4</v>
      </c>
      <c r="D182" s="6">
        <f t="shared" si="5"/>
        <v>4.9321825907375054E-4</v>
      </c>
    </row>
    <row r="183" spans="1:4" x14ac:dyDescent="0.25">
      <c r="A183" t="s">
        <v>230</v>
      </c>
      <c r="B183">
        <v>60.81</v>
      </c>
      <c r="C183" s="6">
        <f t="shared" si="4"/>
        <v>2.9630883846935241E-2</v>
      </c>
      <c r="D183" s="6">
        <f t="shared" si="5"/>
        <v>2.9200372816241674E-2</v>
      </c>
    </row>
    <row r="184" spans="1:4" x14ac:dyDescent="0.25">
      <c r="A184" t="s">
        <v>231</v>
      </c>
      <c r="B184">
        <v>59.06</v>
      </c>
      <c r="C184" s="6">
        <f t="shared" si="4"/>
        <v>-1.9913707268503056E-2</v>
      </c>
      <c r="D184" s="6">
        <f t="shared" si="5"/>
        <v>-2.0114657386378468E-2</v>
      </c>
    </row>
    <row r="185" spans="1:4" x14ac:dyDescent="0.25">
      <c r="A185" t="s">
        <v>232</v>
      </c>
      <c r="B185">
        <v>60.26</v>
      </c>
      <c r="C185" s="6">
        <f t="shared" si="4"/>
        <v>-9.5332018408942343E-3</v>
      </c>
      <c r="D185" s="6">
        <f t="shared" si="5"/>
        <v>-9.5789336889370164E-3</v>
      </c>
    </row>
    <row r="186" spans="1:4" x14ac:dyDescent="0.25">
      <c r="A186" t="s">
        <v>233</v>
      </c>
      <c r="B186">
        <v>60.84</v>
      </c>
      <c r="C186" s="6">
        <f t="shared" si="4"/>
        <v>-1.8076178179470603E-2</v>
      </c>
      <c r="D186" s="6">
        <f t="shared" si="5"/>
        <v>-1.8241548157575754E-2</v>
      </c>
    </row>
    <row r="187" spans="1:4" x14ac:dyDescent="0.25">
      <c r="A187" t="s">
        <v>234</v>
      </c>
      <c r="B187">
        <v>61.96</v>
      </c>
      <c r="C187" s="6">
        <f t="shared" si="4"/>
        <v>6.0074687449260811E-3</v>
      </c>
      <c r="D187" s="6">
        <f t="shared" si="5"/>
        <v>5.9894958497159444E-3</v>
      </c>
    </row>
    <row r="188" spans="1:4" x14ac:dyDescent="0.25">
      <c r="A188" t="s">
        <v>235</v>
      </c>
      <c r="B188">
        <v>61.59</v>
      </c>
      <c r="C188" s="6">
        <f t="shared" si="4"/>
        <v>-8.0528265421162537E-3</v>
      </c>
      <c r="D188" s="6">
        <f t="shared" si="5"/>
        <v>-8.0854256778495042E-3</v>
      </c>
    </row>
    <row r="189" spans="1:4" x14ac:dyDescent="0.25">
      <c r="A189" t="s">
        <v>236</v>
      </c>
      <c r="B189">
        <v>62.09</v>
      </c>
      <c r="C189" s="6">
        <f t="shared" si="4"/>
        <v>1.1567285760834212E-2</v>
      </c>
      <c r="D189" s="6">
        <f t="shared" si="5"/>
        <v>1.1500896185211376E-2</v>
      </c>
    </row>
    <row r="190" spans="1:4" x14ac:dyDescent="0.25">
      <c r="A190" t="s">
        <v>237</v>
      </c>
      <c r="B190">
        <v>61.38</v>
      </c>
      <c r="C190" s="6">
        <f t="shared" si="4"/>
        <v>-2.3078147381823899E-2</v>
      </c>
      <c r="D190" s="6">
        <f t="shared" si="5"/>
        <v>-2.3348617223265464E-2</v>
      </c>
    </row>
    <row r="191" spans="1:4" x14ac:dyDescent="0.25">
      <c r="A191" t="s">
        <v>238</v>
      </c>
      <c r="B191">
        <v>62.83</v>
      </c>
      <c r="C191" s="6">
        <f t="shared" si="4"/>
        <v>2.0733652312598938E-3</v>
      </c>
      <c r="D191" s="6">
        <f t="shared" si="5"/>
        <v>2.0712187759805659E-3</v>
      </c>
    </row>
    <row r="192" spans="1:4" x14ac:dyDescent="0.25">
      <c r="A192" t="s">
        <v>239</v>
      </c>
      <c r="B192">
        <v>62.7</v>
      </c>
      <c r="C192" s="6">
        <f t="shared" si="4"/>
        <v>-8.852355358836439E-3</v>
      </c>
      <c r="D192" s="6">
        <f t="shared" si="5"/>
        <v>-8.8917702386276613E-3</v>
      </c>
    </row>
    <row r="193" spans="1:4" x14ac:dyDescent="0.25">
      <c r="A193" t="s">
        <v>240</v>
      </c>
      <c r="B193">
        <v>63.26</v>
      </c>
      <c r="C193" s="6">
        <f t="shared" si="4"/>
        <v>-3.1515915537346784E-3</v>
      </c>
      <c r="D193" s="6">
        <f t="shared" si="5"/>
        <v>-3.1565682775467692E-3</v>
      </c>
    </row>
    <row r="194" spans="1:4" x14ac:dyDescent="0.25">
      <c r="A194" t="s">
        <v>241</v>
      </c>
      <c r="B194">
        <v>63.46</v>
      </c>
      <c r="C194" s="6">
        <f t="shared" si="4"/>
        <v>-5.9523809523810423E-3</v>
      </c>
      <c r="D194" s="6">
        <f t="shared" si="5"/>
        <v>-5.9701669865039079E-3</v>
      </c>
    </row>
    <row r="195" spans="1:4" x14ac:dyDescent="0.25">
      <c r="A195" t="s">
        <v>242</v>
      </c>
      <c r="B195">
        <v>63.84</v>
      </c>
      <c r="C195" s="6">
        <f t="shared" ref="C195:C258" si="6">(B195/B196)-1</f>
        <v>8.0530554239697238E-3</v>
      </c>
      <c r="D195" s="6">
        <f t="shared" ref="D195:D258" si="7">LN(B195/B196)</f>
        <v>8.0208026132144346E-3</v>
      </c>
    </row>
    <row r="196" spans="1:4" x14ac:dyDescent="0.25">
      <c r="A196" t="s">
        <v>243</v>
      </c>
      <c r="B196">
        <v>63.33</v>
      </c>
      <c r="C196" s="6">
        <f t="shared" si="6"/>
        <v>-2.22325150532654E-2</v>
      </c>
      <c r="D196" s="6">
        <f t="shared" si="7"/>
        <v>-2.2483382666486744E-2</v>
      </c>
    </row>
    <row r="197" spans="1:4" x14ac:dyDescent="0.25">
      <c r="A197" t="s">
        <v>244</v>
      </c>
      <c r="B197">
        <v>64.77</v>
      </c>
      <c r="C197" s="6">
        <f t="shared" si="6"/>
        <v>-1.2050030506406406E-2</v>
      </c>
      <c r="D197" s="6">
        <f t="shared" si="7"/>
        <v>-1.212322068080332E-2</v>
      </c>
    </row>
    <row r="198" spans="1:4" x14ac:dyDescent="0.25">
      <c r="A198" t="s">
        <v>245</v>
      </c>
      <c r="B198">
        <v>65.56</v>
      </c>
      <c r="C198" s="6">
        <f t="shared" si="6"/>
        <v>-2.2513791561055485E-2</v>
      </c>
      <c r="D198" s="6">
        <f t="shared" si="7"/>
        <v>-2.2771096236016791E-2</v>
      </c>
    </row>
    <row r="199" spans="1:4" x14ac:dyDescent="0.25">
      <c r="A199" t="s">
        <v>246</v>
      </c>
      <c r="B199">
        <v>67.069999999999993</v>
      </c>
      <c r="C199" s="6">
        <f t="shared" si="6"/>
        <v>-1.3966480446927387E-2</v>
      </c>
      <c r="D199" s="6">
        <f t="shared" si="7"/>
        <v>-1.4064929467403552E-2</v>
      </c>
    </row>
    <row r="200" spans="1:4" x14ac:dyDescent="0.25">
      <c r="A200" t="s">
        <v>247</v>
      </c>
      <c r="B200">
        <v>68.02</v>
      </c>
      <c r="C200" s="6">
        <f t="shared" si="6"/>
        <v>3.7681159420289934E-2</v>
      </c>
      <c r="D200" s="6">
        <f t="shared" si="7"/>
        <v>3.6988569369340626E-2</v>
      </c>
    </row>
    <row r="201" spans="1:4" x14ac:dyDescent="0.25">
      <c r="A201" t="s">
        <v>248</v>
      </c>
      <c r="B201">
        <v>65.55</v>
      </c>
      <c r="C201" s="6">
        <f t="shared" si="6"/>
        <v>1.7541136293076631E-2</v>
      </c>
      <c r="D201" s="6">
        <f t="shared" si="7"/>
        <v>1.7389066306656029E-2</v>
      </c>
    </row>
    <row r="202" spans="1:4" x14ac:dyDescent="0.25">
      <c r="A202" t="s">
        <v>249</v>
      </c>
      <c r="B202">
        <v>64.42</v>
      </c>
      <c r="C202" s="6">
        <f t="shared" si="6"/>
        <v>7.3494917904612933E-3</v>
      </c>
      <c r="D202" s="6">
        <f t="shared" si="7"/>
        <v>7.3226158782010659E-3</v>
      </c>
    </row>
    <row r="203" spans="1:4" x14ac:dyDescent="0.25">
      <c r="A203" t="s">
        <v>250</v>
      </c>
      <c r="B203">
        <v>63.95</v>
      </c>
      <c r="C203" s="6">
        <f t="shared" si="6"/>
        <v>3.328486023590238E-2</v>
      </c>
      <c r="D203" s="6">
        <f t="shared" si="7"/>
        <v>3.2742912273581525E-2</v>
      </c>
    </row>
    <row r="204" spans="1:4" x14ac:dyDescent="0.25">
      <c r="A204" t="s">
        <v>251</v>
      </c>
      <c r="B204">
        <v>61.89</v>
      </c>
      <c r="C204" s="6">
        <f t="shared" si="6"/>
        <v>6.1778572589823444E-3</v>
      </c>
      <c r="D204" s="6">
        <f t="shared" si="7"/>
        <v>6.1588525309933077E-3</v>
      </c>
    </row>
    <row r="205" spans="1:4" x14ac:dyDescent="0.25">
      <c r="A205" t="s">
        <v>252</v>
      </c>
      <c r="B205">
        <v>61.51</v>
      </c>
      <c r="C205" s="6">
        <f t="shared" si="6"/>
        <v>9.7640358014627893E-4</v>
      </c>
      <c r="D205" s="6">
        <f t="shared" si="7"/>
        <v>9.7592720823289438E-4</v>
      </c>
    </row>
    <row r="206" spans="1:4" x14ac:dyDescent="0.25">
      <c r="A206" t="s">
        <v>253</v>
      </c>
      <c r="B206">
        <v>61.45</v>
      </c>
      <c r="C206" s="6">
        <f t="shared" si="6"/>
        <v>-4.8796356538705066E-4</v>
      </c>
      <c r="D206" s="6">
        <f t="shared" si="7"/>
        <v>-4.8808265835121733E-4</v>
      </c>
    </row>
    <row r="207" spans="1:4" x14ac:dyDescent="0.25">
      <c r="A207" t="s">
        <v>254</v>
      </c>
      <c r="B207">
        <v>61.48</v>
      </c>
      <c r="C207" s="6">
        <f t="shared" si="6"/>
        <v>9.7688049495281426E-4</v>
      </c>
      <c r="D207" s="6">
        <f t="shared" si="7"/>
        <v>9.7640365771883299E-4</v>
      </c>
    </row>
    <row r="208" spans="1:4" x14ac:dyDescent="0.25">
      <c r="A208" t="s">
        <v>255</v>
      </c>
      <c r="B208">
        <v>61.42</v>
      </c>
      <c r="C208" s="6">
        <f t="shared" si="6"/>
        <v>-1.7751479289940808E-2</v>
      </c>
      <c r="D208" s="6">
        <f t="shared" si="7"/>
        <v>-1.7910926566530219E-2</v>
      </c>
    </row>
    <row r="209" spans="1:4" x14ac:dyDescent="0.25">
      <c r="A209" t="s">
        <v>256</v>
      </c>
      <c r="B209">
        <v>62.53</v>
      </c>
      <c r="C209" s="6">
        <f t="shared" si="6"/>
        <v>4.3366527465467097E-3</v>
      </c>
      <c r="D209" s="6">
        <f t="shared" si="7"/>
        <v>4.3272765657444085E-3</v>
      </c>
    </row>
    <row r="210" spans="1:4" x14ac:dyDescent="0.25">
      <c r="A210" t="s">
        <v>257</v>
      </c>
      <c r="B210">
        <v>62.26</v>
      </c>
      <c r="C210" s="6">
        <f t="shared" si="6"/>
        <v>2.7379610243194463E-3</v>
      </c>
      <c r="D210" s="6">
        <f t="shared" si="7"/>
        <v>2.7342196366605931E-3</v>
      </c>
    </row>
    <row r="211" spans="1:4" x14ac:dyDescent="0.25">
      <c r="A211" t="s">
        <v>258</v>
      </c>
      <c r="B211">
        <v>62.09</v>
      </c>
      <c r="C211" s="6">
        <f t="shared" si="6"/>
        <v>8.0593165699549552E-4</v>
      </c>
      <c r="D211" s="6">
        <f t="shared" si="7"/>
        <v>8.0560706846336308E-4</v>
      </c>
    </row>
    <row r="212" spans="1:4" x14ac:dyDescent="0.25">
      <c r="A212" t="s">
        <v>259</v>
      </c>
      <c r="B212">
        <v>62.04</v>
      </c>
      <c r="C212" s="6">
        <f t="shared" si="6"/>
        <v>-7.2011521843495796E-3</v>
      </c>
      <c r="D212" s="6">
        <f t="shared" si="7"/>
        <v>-7.2272056326523285E-3</v>
      </c>
    </row>
    <row r="213" spans="1:4" x14ac:dyDescent="0.25">
      <c r="A213" t="s">
        <v>260</v>
      </c>
      <c r="B213">
        <v>62.49</v>
      </c>
      <c r="C213" s="6">
        <f t="shared" si="6"/>
        <v>3.0507915567282273E-2</v>
      </c>
      <c r="D213" s="6">
        <f t="shared" si="7"/>
        <v>3.0051802606874053E-2</v>
      </c>
    </row>
    <row r="214" spans="1:4" x14ac:dyDescent="0.25">
      <c r="A214" t="s">
        <v>261</v>
      </c>
      <c r="B214">
        <v>60.64</v>
      </c>
      <c r="C214" s="6">
        <f t="shared" si="6"/>
        <v>-2.0197123929552419E-2</v>
      </c>
      <c r="D214" s="6">
        <f t="shared" si="7"/>
        <v>-2.0403874417153915E-2</v>
      </c>
    </row>
    <row r="215" spans="1:4" x14ac:dyDescent="0.25">
      <c r="A215" t="s">
        <v>262</v>
      </c>
      <c r="B215">
        <v>61.89</v>
      </c>
      <c r="C215" s="6">
        <f t="shared" si="6"/>
        <v>-2.0960980328926793E-3</v>
      </c>
      <c r="D215" s="6">
        <f t="shared" si="7"/>
        <v>-2.0982979210328024E-3</v>
      </c>
    </row>
    <row r="216" spans="1:4" x14ac:dyDescent="0.25">
      <c r="A216" t="s">
        <v>263</v>
      </c>
      <c r="B216">
        <v>62.02</v>
      </c>
      <c r="C216" s="6">
        <f t="shared" si="6"/>
        <v>-5.930437570123348E-3</v>
      </c>
      <c r="D216" s="6">
        <f t="shared" si="7"/>
        <v>-5.9480924503920295E-3</v>
      </c>
    </row>
    <row r="217" spans="1:4" x14ac:dyDescent="0.25">
      <c r="A217" t="s">
        <v>264</v>
      </c>
      <c r="B217">
        <v>62.39</v>
      </c>
      <c r="C217" s="6">
        <f t="shared" si="6"/>
        <v>5.8036433983557068E-3</v>
      </c>
      <c r="D217" s="6">
        <f t="shared" si="7"/>
        <v>5.786867137668893E-3</v>
      </c>
    </row>
    <row r="218" spans="1:4" x14ac:dyDescent="0.25">
      <c r="A218" t="s">
        <v>265</v>
      </c>
      <c r="B218">
        <v>62.03</v>
      </c>
      <c r="C218" s="6">
        <f t="shared" si="6"/>
        <v>1.2734693877550995E-2</v>
      </c>
      <c r="D218" s="6">
        <f t="shared" si="7"/>
        <v>1.2654289560189772E-2</v>
      </c>
    </row>
    <row r="219" spans="1:4" x14ac:dyDescent="0.25">
      <c r="A219" t="s">
        <v>266</v>
      </c>
      <c r="B219">
        <v>61.25</v>
      </c>
      <c r="C219" s="6">
        <f t="shared" si="6"/>
        <v>1.0726072607260662E-2</v>
      </c>
      <c r="D219" s="6">
        <f t="shared" si="7"/>
        <v>1.0668956349567535E-2</v>
      </c>
    </row>
    <row r="220" spans="1:4" x14ac:dyDescent="0.25">
      <c r="A220" t="s">
        <v>267</v>
      </c>
      <c r="B220">
        <v>60.6</v>
      </c>
      <c r="C220" s="6">
        <f t="shared" si="6"/>
        <v>-5.9055118110236116E-3</v>
      </c>
      <c r="D220" s="6">
        <f t="shared" si="7"/>
        <v>-5.9230183031220556E-3</v>
      </c>
    </row>
    <row r="221" spans="1:4" x14ac:dyDescent="0.25">
      <c r="A221" t="s">
        <v>268</v>
      </c>
      <c r="B221">
        <v>60.96</v>
      </c>
      <c r="C221" s="6">
        <f t="shared" si="6"/>
        <v>-1.1469768966082539E-3</v>
      </c>
      <c r="D221" s="6">
        <f t="shared" si="7"/>
        <v>-1.1476351780127796E-3</v>
      </c>
    </row>
    <row r="222" spans="1:4" x14ac:dyDescent="0.25">
      <c r="A222" t="s">
        <v>269</v>
      </c>
      <c r="B222">
        <v>61.03</v>
      </c>
      <c r="C222" s="6">
        <f t="shared" si="6"/>
        <v>-1.5803902596355335E-2</v>
      </c>
      <c r="D222" s="6">
        <f t="shared" si="7"/>
        <v>-1.5930115805382908E-2</v>
      </c>
    </row>
    <row r="223" spans="1:4" x14ac:dyDescent="0.25">
      <c r="A223" t="s">
        <v>270</v>
      </c>
      <c r="B223">
        <v>62.01</v>
      </c>
      <c r="C223" s="6">
        <f t="shared" si="6"/>
        <v>-6.2499999999999778E-3</v>
      </c>
      <c r="D223" s="6">
        <f t="shared" si="7"/>
        <v>-6.2696130135953742E-3</v>
      </c>
    </row>
    <row r="224" spans="1:4" x14ac:dyDescent="0.25">
      <c r="A224" t="s">
        <v>271</v>
      </c>
      <c r="B224">
        <v>62.4</v>
      </c>
      <c r="C224" s="6">
        <f t="shared" si="6"/>
        <v>-3.0356286946797706E-3</v>
      </c>
      <c r="D224" s="6">
        <f t="shared" si="7"/>
        <v>-3.0402455612282254E-3</v>
      </c>
    </row>
    <row r="225" spans="1:4" x14ac:dyDescent="0.25">
      <c r="A225" t="s">
        <v>272</v>
      </c>
      <c r="B225">
        <v>62.59</v>
      </c>
      <c r="C225" s="6">
        <f t="shared" si="6"/>
        <v>-1.2776025236592936E-2</v>
      </c>
      <c r="D225" s="6">
        <f t="shared" si="7"/>
        <v>-1.2858340506570018E-2</v>
      </c>
    </row>
    <row r="226" spans="1:4" x14ac:dyDescent="0.25">
      <c r="A226" t="s">
        <v>273</v>
      </c>
      <c r="B226">
        <v>63.4</v>
      </c>
      <c r="C226" s="6">
        <f t="shared" si="6"/>
        <v>9.7149227584010234E-3</v>
      </c>
      <c r="D226" s="6">
        <f t="shared" si="7"/>
        <v>9.6680363171621885E-3</v>
      </c>
    </row>
    <row r="227" spans="1:4" x14ac:dyDescent="0.25">
      <c r="A227" t="s">
        <v>274</v>
      </c>
      <c r="B227">
        <v>62.79</v>
      </c>
      <c r="C227" s="6">
        <f t="shared" si="6"/>
        <v>2.0146222583265594E-2</v>
      </c>
      <c r="D227" s="6">
        <f t="shared" si="7"/>
        <v>1.9945972495555495E-2</v>
      </c>
    </row>
    <row r="228" spans="1:4" x14ac:dyDescent="0.25">
      <c r="A228" t="s">
        <v>275</v>
      </c>
      <c r="B228">
        <v>61.55</v>
      </c>
      <c r="C228" s="6">
        <f t="shared" si="6"/>
        <v>2.6860193526860199E-2</v>
      </c>
      <c r="D228" s="6">
        <f t="shared" si="7"/>
        <v>2.6505790741945371E-2</v>
      </c>
    </row>
    <row r="229" spans="1:4" x14ac:dyDescent="0.25">
      <c r="A229" t="s">
        <v>276</v>
      </c>
      <c r="B229">
        <v>59.94</v>
      </c>
      <c r="C229" s="6">
        <f t="shared" si="6"/>
        <v>-6.0354287505878679E-2</v>
      </c>
      <c r="D229" s="6">
        <f t="shared" si="7"/>
        <v>-6.2252376365346807E-2</v>
      </c>
    </row>
    <row r="230" spans="1:4" x14ac:dyDescent="0.25">
      <c r="A230" t="s">
        <v>277</v>
      </c>
      <c r="B230">
        <v>63.79</v>
      </c>
      <c r="C230" s="6">
        <f t="shared" si="6"/>
        <v>2.1995286724274532E-3</v>
      </c>
      <c r="D230" s="6">
        <f t="shared" si="7"/>
        <v>2.1971132504485292E-3</v>
      </c>
    </row>
    <row r="231" spans="1:4" x14ac:dyDescent="0.25">
      <c r="A231" t="s">
        <v>278</v>
      </c>
      <c r="B231">
        <v>63.65</v>
      </c>
      <c r="C231" s="6">
        <f t="shared" si="6"/>
        <v>0</v>
      </c>
      <c r="D231" s="6">
        <f t="shared" si="7"/>
        <v>0</v>
      </c>
    </row>
    <row r="232" spans="1:4" x14ac:dyDescent="0.25">
      <c r="A232" t="s">
        <v>279</v>
      </c>
      <c r="B232">
        <v>63.65</v>
      </c>
      <c r="C232" s="6">
        <f t="shared" si="6"/>
        <v>-1.4095415117720056E-2</v>
      </c>
      <c r="D232" s="6">
        <f t="shared" si="7"/>
        <v>-1.4195698958277939E-2</v>
      </c>
    </row>
    <row r="233" spans="1:4" x14ac:dyDescent="0.25">
      <c r="A233" t="s">
        <v>280</v>
      </c>
      <c r="B233">
        <v>64.56</v>
      </c>
      <c r="C233" s="6">
        <f t="shared" si="6"/>
        <v>-7.2274334922343142E-3</v>
      </c>
      <c r="D233" s="6">
        <f t="shared" si="7"/>
        <v>-7.2536779193670574E-3</v>
      </c>
    </row>
    <row r="234" spans="1:4" x14ac:dyDescent="0.25">
      <c r="A234" t="s">
        <v>281</v>
      </c>
      <c r="B234">
        <v>65.03</v>
      </c>
      <c r="C234" s="6">
        <f t="shared" si="6"/>
        <v>-6.1472260642370102E-4</v>
      </c>
      <c r="D234" s="6">
        <f t="shared" si="7"/>
        <v>-6.1491162583209697E-4</v>
      </c>
    </row>
    <row r="235" spans="1:4" x14ac:dyDescent="0.25">
      <c r="A235" t="s">
        <v>282</v>
      </c>
      <c r="B235">
        <v>65.069999999999993</v>
      </c>
      <c r="C235" s="6">
        <f t="shared" si="6"/>
        <v>-1.9882512426570353E-2</v>
      </c>
      <c r="D235" s="6">
        <f t="shared" si="7"/>
        <v>-2.0082829224175369E-2</v>
      </c>
    </row>
    <row r="236" spans="1:4" x14ac:dyDescent="0.25">
      <c r="A236" t="s">
        <v>283</v>
      </c>
      <c r="B236">
        <v>66.39</v>
      </c>
      <c r="C236" s="6">
        <f t="shared" si="6"/>
        <v>-3.4524166916842791E-3</v>
      </c>
      <c r="D236" s="6">
        <f t="shared" si="7"/>
        <v>-3.4583900344657128E-3</v>
      </c>
    </row>
    <row r="237" spans="1:4" x14ac:dyDescent="0.25">
      <c r="A237" t="s">
        <v>284</v>
      </c>
      <c r="B237">
        <v>66.62</v>
      </c>
      <c r="C237" s="6">
        <f t="shared" si="6"/>
        <v>-2.3959269242287418E-3</v>
      </c>
      <c r="D237" s="6">
        <f t="shared" si="7"/>
        <v>-2.3988017499748E-3</v>
      </c>
    </row>
    <row r="238" spans="1:4" x14ac:dyDescent="0.25">
      <c r="A238" t="s">
        <v>285</v>
      </c>
      <c r="B238">
        <v>66.78</v>
      </c>
      <c r="C238" s="6">
        <f t="shared" si="6"/>
        <v>-1.750772399588052E-2</v>
      </c>
      <c r="D238" s="6">
        <f t="shared" si="7"/>
        <v>-1.766279684303837E-2</v>
      </c>
    </row>
    <row r="239" spans="1:4" x14ac:dyDescent="0.25">
      <c r="A239" t="s">
        <v>286</v>
      </c>
      <c r="B239">
        <v>67.97</v>
      </c>
      <c r="C239" s="6">
        <f t="shared" si="6"/>
        <v>1.0309278350515427E-3</v>
      </c>
      <c r="D239" s="6">
        <f t="shared" si="7"/>
        <v>1.0303967938964016E-3</v>
      </c>
    </row>
    <row r="240" spans="1:4" x14ac:dyDescent="0.25">
      <c r="A240" t="s">
        <v>287</v>
      </c>
      <c r="B240">
        <v>67.900000000000006</v>
      </c>
      <c r="C240" s="6">
        <f t="shared" si="6"/>
        <v>-2.4974291170851703E-3</v>
      </c>
      <c r="D240" s="6">
        <f t="shared" si="7"/>
        <v>-2.500552895209424E-3</v>
      </c>
    </row>
    <row r="241" spans="1:4" x14ac:dyDescent="0.25">
      <c r="A241" t="s">
        <v>288</v>
      </c>
      <c r="B241">
        <v>68.069999999999993</v>
      </c>
      <c r="C241" s="6">
        <f t="shared" si="6"/>
        <v>5.019932083271561E-3</v>
      </c>
      <c r="D241" s="6">
        <f t="shared" si="7"/>
        <v>5.0073742330475129E-3</v>
      </c>
    </row>
    <row r="242" spans="1:4" x14ac:dyDescent="0.25">
      <c r="A242" t="s">
        <v>289</v>
      </c>
      <c r="B242">
        <v>67.73</v>
      </c>
      <c r="C242" s="6">
        <f t="shared" si="6"/>
        <v>9.2385635523768439E-3</v>
      </c>
      <c r="D242" s="6">
        <f t="shared" si="7"/>
        <v>9.1961490566645019E-3</v>
      </c>
    </row>
    <row r="243" spans="1:4" x14ac:dyDescent="0.25">
      <c r="A243" t="s">
        <v>290</v>
      </c>
      <c r="B243">
        <v>67.11</v>
      </c>
      <c r="C243" s="6">
        <f t="shared" si="6"/>
        <v>-2.0291970802919668E-2</v>
      </c>
      <c r="D243" s="6">
        <f t="shared" si="7"/>
        <v>-2.0500681098031635E-2</v>
      </c>
    </row>
    <row r="244" spans="1:4" x14ac:dyDescent="0.25">
      <c r="A244" t="s">
        <v>291</v>
      </c>
      <c r="B244">
        <v>68.5</v>
      </c>
      <c r="C244" s="6">
        <f t="shared" si="6"/>
        <v>-7.2463768115942351E-3</v>
      </c>
      <c r="D244" s="6">
        <f t="shared" si="7"/>
        <v>-7.2727593290798087E-3</v>
      </c>
    </row>
    <row r="245" spans="1:4" x14ac:dyDescent="0.25">
      <c r="A245" t="s">
        <v>292</v>
      </c>
      <c r="B245">
        <v>69</v>
      </c>
      <c r="C245" s="6">
        <f t="shared" si="6"/>
        <v>9.6575943810359721E-3</v>
      </c>
      <c r="D245" s="6">
        <f t="shared" si="7"/>
        <v>9.611257910113585E-3</v>
      </c>
    </row>
    <row r="246" spans="1:4" x14ac:dyDescent="0.25">
      <c r="A246" t="s">
        <v>293</v>
      </c>
      <c r="B246">
        <v>68.34</v>
      </c>
      <c r="C246" s="6">
        <f t="shared" si="6"/>
        <v>2.7669172932330843E-2</v>
      </c>
      <c r="D246" s="6">
        <f t="shared" si="7"/>
        <v>2.7293299025337333E-2</v>
      </c>
    </row>
    <row r="247" spans="1:4" x14ac:dyDescent="0.25">
      <c r="A247" t="s">
        <v>294</v>
      </c>
      <c r="B247">
        <v>66.5</v>
      </c>
      <c r="C247" s="6">
        <f t="shared" si="6"/>
        <v>1.4802380589043151E-2</v>
      </c>
      <c r="D247" s="6">
        <f t="shared" si="7"/>
        <v>1.4693894610402922E-2</v>
      </c>
    </row>
    <row r="248" spans="1:4" x14ac:dyDescent="0.25">
      <c r="A248" t="s">
        <v>295</v>
      </c>
      <c r="B248">
        <v>65.53</v>
      </c>
      <c r="C248" s="6">
        <f t="shared" si="6"/>
        <v>-2.1318714786051629E-3</v>
      </c>
      <c r="D248" s="6">
        <f t="shared" si="7"/>
        <v>-2.1341471514757788E-3</v>
      </c>
    </row>
    <row r="249" spans="1:4" x14ac:dyDescent="0.25">
      <c r="A249" t="s">
        <v>296</v>
      </c>
      <c r="B249">
        <v>65.67</v>
      </c>
      <c r="C249" s="6">
        <f t="shared" si="6"/>
        <v>2.0671433012123153E-2</v>
      </c>
      <c r="D249" s="6">
        <f t="shared" si="7"/>
        <v>2.0460678392001028E-2</v>
      </c>
    </row>
    <row r="250" spans="1:4" x14ac:dyDescent="0.25">
      <c r="A250" t="s">
        <v>297</v>
      </c>
      <c r="B250">
        <v>64.34</v>
      </c>
      <c r="C250" s="6">
        <f t="shared" si="6"/>
        <v>1.3387935107890936E-2</v>
      </c>
      <c r="D250" s="6">
        <f t="shared" si="7"/>
        <v>1.329910862852168E-2</v>
      </c>
    </row>
    <row r="251" spans="1:4" x14ac:dyDescent="0.25">
      <c r="A251" t="s">
        <v>298</v>
      </c>
      <c r="B251">
        <v>63.49</v>
      </c>
      <c r="C251" s="6">
        <f t="shared" si="6"/>
        <v>-6.7271589486858074E-3</v>
      </c>
      <c r="D251" s="6">
        <f t="shared" si="7"/>
        <v>-6.7498882756606374E-3</v>
      </c>
    </row>
    <row r="252" spans="1:4" x14ac:dyDescent="0.25">
      <c r="A252" t="s">
        <v>299</v>
      </c>
      <c r="B252">
        <v>63.92</v>
      </c>
      <c r="C252" s="6">
        <f t="shared" si="6"/>
        <v>-4.3972479808555121E-2</v>
      </c>
      <c r="D252" s="6">
        <f t="shared" si="7"/>
        <v>-4.4968579533933253E-2</v>
      </c>
    </row>
    <row r="253" spans="1:4" x14ac:dyDescent="0.25">
      <c r="A253" t="s">
        <v>300</v>
      </c>
      <c r="B253">
        <v>66.86</v>
      </c>
      <c r="C253" s="6">
        <f t="shared" si="6"/>
        <v>6.0186578393019996E-3</v>
      </c>
      <c r="D253" s="6">
        <f t="shared" si="7"/>
        <v>6.0006180655044926E-3</v>
      </c>
    </row>
    <row r="254" spans="1:4" x14ac:dyDescent="0.25">
      <c r="A254" t="s">
        <v>301</v>
      </c>
      <c r="B254">
        <v>66.459999999999994</v>
      </c>
      <c r="C254" s="6">
        <f t="shared" si="6"/>
        <v>-1.6281823564239351E-2</v>
      </c>
      <c r="D254" s="6">
        <f t="shared" si="7"/>
        <v>-1.6415829013151261E-2</v>
      </c>
    </row>
    <row r="255" spans="1:4" x14ac:dyDescent="0.25">
      <c r="A255" t="s">
        <v>302</v>
      </c>
      <c r="B255">
        <v>67.56</v>
      </c>
      <c r="C255" s="6">
        <f t="shared" si="6"/>
        <v>2.8154010044133537E-2</v>
      </c>
      <c r="D255" s="6">
        <f t="shared" si="7"/>
        <v>2.7764971029823043E-2</v>
      </c>
    </row>
    <row r="256" spans="1:4" x14ac:dyDescent="0.25">
      <c r="A256" t="s">
        <v>303</v>
      </c>
      <c r="B256">
        <v>65.709999999999994</v>
      </c>
      <c r="C256" s="6">
        <f t="shared" si="6"/>
        <v>7.513032812020759E-3</v>
      </c>
      <c r="D256" s="6">
        <f t="shared" si="7"/>
        <v>7.4849505486033309E-3</v>
      </c>
    </row>
    <row r="257" spans="1:4" x14ac:dyDescent="0.25">
      <c r="A257" t="s">
        <v>304</v>
      </c>
      <c r="B257">
        <v>65.22</v>
      </c>
      <c r="C257" s="6">
        <f t="shared" si="6"/>
        <v>1.7313991576977106E-2</v>
      </c>
      <c r="D257" s="6">
        <f t="shared" si="7"/>
        <v>1.7165812362007166E-2</v>
      </c>
    </row>
    <row r="258" spans="1:4" x14ac:dyDescent="0.25">
      <c r="A258" t="s">
        <v>305</v>
      </c>
      <c r="B258">
        <v>64.11</v>
      </c>
      <c r="C258" s="6">
        <f t="shared" si="6"/>
        <v>-3.8844002486015938E-3</v>
      </c>
      <c r="D258" s="6">
        <f t="shared" si="7"/>
        <v>-3.8919641250164949E-3</v>
      </c>
    </row>
    <row r="259" spans="1:4" x14ac:dyDescent="0.25">
      <c r="A259" t="s">
        <v>306</v>
      </c>
      <c r="B259">
        <v>64.36</v>
      </c>
      <c r="C259" s="6">
        <f t="shared" ref="C259:C322" si="8">(B259/B260)-1</f>
        <v>1.9806686737442458E-2</v>
      </c>
      <c r="D259" s="6">
        <f t="shared" ref="D259:D322" si="9">LN(B259/B260)</f>
        <v>1.9613086528034198E-2</v>
      </c>
    </row>
    <row r="260" spans="1:4" x14ac:dyDescent="0.25">
      <c r="A260" t="s">
        <v>307</v>
      </c>
      <c r="B260">
        <v>63.11</v>
      </c>
      <c r="C260" s="6">
        <f t="shared" si="8"/>
        <v>-9.883903357389423E-3</v>
      </c>
      <c r="D260" s="6">
        <f t="shared" si="9"/>
        <v>-9.9330733930422209E-3</v>
      </c>
    </row>
    <row r="261" spans="1:4" x14ac:dyDescent="0.25">
      <c r="A261" t="s">
        <v>308</v>
      </c>
      <c r="B261">
        <v>63.74</v>
      </c>
      <c r="C261" s="6">
        <f t="shared" si="8"/>
        <v>3.7795275590550848E-3</v>
      </c>
      <c r="D261" s="6">
        <f t="shared" si="9"/>
        <v>3.772403090544356E-3</v>
      </c>
    </row>
    <row r="262" spans="1:4" x14ac:dyDescent="0.25">
      <c r="A262" t="s">
        <v>309</v>
      </c>
      <c r="B262">
        <v>63.5</v>
      </c>
      <c r="C262" s="6">
        <f t="shared" si="8"/>
        <v>-2.9348822989911372E-2</v>
      </c>
      <c r="D262" s="6">
        <f t="shared" si="9"/>
        <v>-2.9788116211591917E-2</v>
      </c>
    </row>
    <row r="263" spans="1:4" x14ac:dyDescent="0.25">
      <c r="A263" t="s">
        <v>310</v>
      </c>
      <c r="B263">
        <v>65.42</v>
      </c>
      <c r="C263" s="6">
        <f t="shared" si="8"/>
        <v>8.7895142636855716E-3</v>
      </c>
      <c r="D263" s="6">
        <f t="shared" si="9"/>
        <v>8.7511113477851052E-3</v>
      </c>
    </row>
    <row r="264" spans="1:4" x14ac:dyDescent="0.25">
      <c r="A264" t="s">
        <v>311</v>
      </c>
      <c r="B264">
        <v>64.849999999999994</v>
      </c>
      <c r="C264" s="6">
        <f t="shared" si="8"/>
        <v>-1.5485046303324923E-2</v>
      </c>
      <c r="D264" s="6">
        <f t="shared" si="9"/>
        <v>-1.5606191890148878E-2</v>
      </c>
    </row>
    <row r="265" spans="1:4" x14ac:dyDescent="0.25">
      <c r="A265" t="s">
        <v>312</v>
      </c>
      <c r="B265">
        <v>65.87</v>
      </c>
      <c r="C265" s="6">
        <f t="shared" si="8"/>
        <v>1.3540544699184531E-2</v>
      </c>
      <c r="D265" s="6">
        <f t="shared" si="9"/>
        <v>1.34496907463441E-2</v>
      </c>
    </row>
    <row r="266" spans="1:4" x14ac:dyDescent="0.25">
      <c r="A266" t="s">
        <v>313</v>
      </c>
      <c r="B266">
        <v>64.989999999999995</v>
      </c>
      <c r="C266" s="6">
        <f t="shared" si="8"/>
        <v>-1.185951041508293E-2</v>
      </c>
      <c r="D266" s="6">
        <f t="shared" si="9"/>
        <v>-1.1930395407002203E-2</v>
      </c>
    </row>
    <row r="267" spans="1:4" x14ac:dyDescent="0.25">
      <c r="A267" t="s">
        <v>314</v>
      </c>
      <c r="B267">
        <v>65.77</v>
      </c>
      <c r="C267" s="6">
        <f t="shared" si="8"/>
        <v>-3.484848484848535E-3</v>
      </c>
      <c r="D267" s="6">
        <f t="shared" si="9"/>
        <v>-3.4909347131659458E-3</v>
      </c>
    </row>
    <row r="268" spans="1:4" x14ac:dyDescent="0.25">
      <c r="A268" t="s">
        <v>315</v>
      </c>
      <c r="B268">
        <v>66</v>
      </c>
      <c r="C268" s="6">
        <f t="shared" si="8"/>
        <v>-1.1828117981733888E-2</v>
      </c>
      <c r="D268" s="6">
        <f t="shared" si="9"/>
        <v>-1.1898626711119156E-2</v>
      </c>
    </row>
    <row r="269" spans="1:4" x14ac:dyDescent="0.25">
      <c r="A269" t="s">
        <v>316</v>
      </c>
      <c r="B269">
        <v>66.790000000000006</v>
      </c>
      <c r="C269" s="6">
        <f t="shared" si="8"/>
        <v>2.6117683207866005E-2</v>
      </c>
      <c r="D269" s="6">
        <f t="shared" si="9"/>
        <v>2.5782441153248629E-2</v>
      </c>
    </row>
    <row r="270" spans="1:4" x14ac:dyDescent="0.25">
      <c r="A270" t="s">
        <v>317</v>
      </c>
      <c r="B270">
        <v>65.09</v>
      </c>
      <c r="C270" s="6">
        <f t="shared" si="8"/>
        <v>-2.0171609212705111E-2</v>
      </c>
      <c r="D270" s="6">
        <f t="shared" si="9"/>
        <v>-2.0377834092853861E-2</v>
      </c>
    </row>
    <row r="271" spans="1:4" x14ac:dyDescent="0.25">
      <c r="A271" t="s">
        <v>318</v>
      </c>
      <c r="B271">
        <v>66.430000000000007</v>
      </c>
      <c r="C271" s="6">
        <f t="shared" si="8"/>
        <v>1.809681797617424E-3</v>
      </c>
      <c r="D271" s="6">
        <f t="shared" si="9"/>
        <v>1.8080462963737183E-3</v>
      </c>
    </row>
    <row r="272" spans="1:4" x14ac:dyDescent="0.25">
      <c r="A272" t="s">
        <v>319</v>
      </c>
      <c r="B272">
        <v>66.31</v>
      </c>
      <c r="C272" s="6">
        <f t="shared" si="8"/>
        <v>3.6325109732102678E-3</v>
      </c>
      <c r="D272" s="6">
        <f t="shared" si="9"/>
        <v>3.625929338981964E-3</v>
      </c>
    </row>
    <row r="273" spans="1:4" x14ac:dyDescent="0.25">
      <c r="A273" t="s">
        <v>320</v>
      </c>
      <c r="B273">
        <v>66.069999999999993</v>
      </c>
      <c r="C273" s="6">
        <f t="shared" si="8"/>
        <v>-1.38805970149255E-2</v>
      </c>
      <c r="D273" s="6">
        <f t="shared" si="9"/>
        <v>-1.397783334917186E-2</v>
      </c>
    </row>
    <row r="274" spans="1:4" x14ac:dyDescent="0.25">
      <c r="A274" t="s">
        <v>321</v>
      </c>
      <c r="B274">
        <v>67</v>
      </c>
      <c r="C274" s="6">
        <f t="shared" si="8"/>
        <v>-2.9841838257227415E-4</v>
      </c>
      <c r="D274" s="6">
        <f t="shared" si="9"/>
        <v>-2.9846291819818935E-4</v>
      </c>
    </row>
    <row r="275" spans="1:4" x14ac:dyDescent="0.25">
      <c r="A275" t="s">
        <v>322</v>
      </c>
      <c r="B275">
        <v>67.02</v>
      </c>
      <c r="C275" s="6">
        <f t="shared" si="8"/>
        <v>1.0455563853621896E-3</v>
      </c>
      <c r="D275" s="6">
        <f t="shared" si="9"/>
        <v>1.045010171982807E-3</v>
      </c>
    </row>
    <row r="276" spans="1:4" x14ac:dyDescent="0.25">
      <c r="A276" t="s">
        <v>323</v>
      </c>
      <c r="B276">
        <v>66.95</v>
      </c>
      <c r="C276" s="6">
        <f t="shared" si="8"/>
        <v>0</v>
      </c>
      <c r="D276" s="6">
        <f t="shared" si="9"/>
        <v>0</v>
      </c>
    </row>
    <row r="277" spans="1:4" x14ac:dyDescent="0.25">
      <c r="A277" t="s">
        <v>324</v>
      </c>
      <c r="B277">
        <v>66.95</v>
      </c>
      <c r="C277" s="6">
        <f t="shared" si="8"/>
        <v>-8.4419431279619817E-3</v>
      </c>
      <c r="D277" s="6">
        <f t="shared" si="9"/>
        <v>-8.4777781505200565E-3</v>
      </c>
    </row>
    <row r="278" spans="1:4" x14ac:dyDescent="0.25">
      <c r="A278" t="s">
        <v>325</v>
      </c>
      <c r="B278">
        <v>67.52</v>
      </c>
      <c r="C278" s="6">
        <f t="shared" si="8"/>
        <v>-3.8359398052523197E-3</v>
      </c>
      <c r="D278" s="6">
        <f t="shared" si="9"/>
        <v>-3.843315891203636E-3</v>
      </c>
    </row>
    <row r="279" spans="1:4" x14ac:dyDescent="0.25">
      <c r="A279" t="s">
        <v>326</v>
      </c>
      <c r="B279">
        <v>67.78</v>
      </c>
      <c r="C279" s="6">
        <f t="shared" si="8"/>
        <v>3.4809160305343534E-2</v>
      </c>
      <c r="D279" s="6">
        <f t="shared" si="9"/>
        <v>3.4217023537699065E-2</v>
      </c>
    </row>
    <row r="280" spans="1:4" x14ac:dyDescent="0.25">
      <c r="A280" t="s">
        <v>327</v>
      </c>
      <c r="B280">
        <v>65.5</v>
      </c>
      <c r="C280" s="6">
        <f t="shared" si="8"/>
        <v>-1.4148103552077074E-2</v>
      </c>
      <c r="D280" s="6">
        <f t="shared" si="9"/>
        <v>-1.4249142103887901E-2</v>
      </c>
    </row>
    <row r="281" spans="1:4" x14ac:dyDescent="0.25">
      <c r="A281" t="s">
        <v>328</v>
      </c>
      <c r="B281">
        <v>66.44</v>
      </c>
      <c r="C281" s="6">
        <f t="shared" si="8"/>
        <v>-1.2925271133561234E-2</v>
      </c>
      <c r="D281" s="6">
        <f t="shared" si="9"/>
        <v>-1.3009529277527715E-2</v>
      </c>
    </row>
    <row r="282" spans="1:4" x14ac:dyDescent="0.25">
      <c r="A282" t="s">
        <v>329</v>
      </c>
      <c r="B282">
        <v>67.31</v>
      </c>
      <c r="C282" s="6">
        <f t="shared" si="8"/>
        <v>-1.0388839418223883E-3</v>
      </c>
      <c r="D282" s="6">
        <f t="shared" si="9"/>
        <v>-1.0394239557849632E-3</v>
      </c>
    </row>
    <row r="283" spans="1:4" x14ac:dyDescent="0.25">
      <c r="A283" t="s">
        <v>330</v>
      </c>
      <c r="B283">
        <v>67.38</v>
      </c>
      <c r="C283" s="6">
        <f t="shared" si="8"/>
        <v>3.5746201966040392E-3</v>
      </c>
      <c r="D283" s="6">
        <f t="shared" si="9"/>
        <v>3.5682464265178763E-3</v>
      </c>
    </row>
    <row r="284" spans="1:4" x14ac:dyDescent="0.25">
      <c r="A284" t="s">
        <v>331</v>
      </c>
      <c r="B284">
        <v>67.14</v>
      </c>
      <c r="C284" s="6">
        <f t="shared" si="8"/>
        <v>6.5967016491754737E-3</v>
      </c>
      <c r="D284" s="6">
        <f t="shared" si="9"/>
        <v>6.575038630310893E-3</v>
      </c>
    </row>
    <row r="285" spans="1:4" x14ac:dyDescent="0.25">
      <c r="A285" t="s">
        <v>332</v>
      </c>
      <c r="B285">
        <v>66.7</v>
      </c>
      <c r="C285" s="6">
        <f t="shared" si="8"/>
        <v>-5.9612518628910927E-3</v>
      </c>
      <c r="D285" s="6">
        <f t="shared" si="9"/>
        <v>-5.9790910560579592E-3</v>
      </c>
    </row>
    <row r="286" spans="1:4" x14ac:dyDescent="0.25">
      <c r="A286" t="s">
        <v>333</v>
      </c>
      <c r="B286">
        <v>67.099999999999994</v>
      </c>
      <c r="C286" s="6">
        <f t="shared" si="8"/>
        <v>6.4496775161240194E-3</v>
      </c>
      <c r="D286" s="6">
        <f t="shared" si="9"/>
        <v>6.4289673476672846E-3</v>
      </c>
    </row>
    <row r="287" spans="1:4" x14ac:dyDescent="0.25">
      <c r="A287" t="s">
        <v>334</v>
      </c>
      <c r="B287">
        <v>66.67</v>
      </c>
      <c r="C287" s="6">
        <f t="shared" si="8"/>
        <v>-1.7966761491241545E-3</v>
      </c>
      <c r="D287" s="6">
        <f t="shared" si="9"/>
        <v>-1.7982921075759865E-3</v>
      </c>
    </row>
    <row r="288" spans="1:4" x14ac:dyDescent="0.25">
      <c r="A288" t="s">
        <v>335</v>
      </c>
      <c r="B288">
        <v>66.790000000000006</v>
      </c>
      <c r="C288" s="6">
        <f t="shared" si="8"/>
        <v>-4.4896737503719031E-4</v>
      </c>
      <c r="D288" s="6">
        <f t="shared" si="9"/>
        <v>-4.4906819106564855E-4</v>
      </c>
    </row>
    <row r="289" spans="1:4" x14ac:dyDescent="0.25">
      <c r="A289" t="s">
        <v>336</v>
      </c>
      <c r="B289">
        <v>66.819999999999993</v>
      </c>
      <c r="C289" s="6">
        <f t="shared" si="8"/>
        <v>-5.9506099375187249E-3</v>
      </c>
      <c r="D289" s="6">
        <f t="shared" si="9"/>
        <v>-5.9683853683492579E-3</v>
      </c>
    </row>
    <row r="290" spans="1:4" x14ac:dyDescent="0.25">
      <c r="A290" t="s">
        <v>337</v>
      </c>
      <c r="B290">
        <v>67.22</v>
      </c>
      <c r="C290" s="6">
        <f t="shared" si="8"/>
        <v>-4.5905523471050369E-3</v>
      </c>
      <c r="D290" s="6">
        <f t="shared" si="9"/>
        <v>-4.6011212897910086E-3</v>
      </c>
    </row>
    <row r="291" spans="1:4" x14ac:dyDescent="0.25">
      <c r="A291" t="s">
        <v>338</v>
      </c>
      <c r="B291">
        <v>67.53</v>
      </c>
      <c r="C291" s="6">
        <f t="shared" si="8"/>
        <v>-1.0549450549450556E-2</v>
      </c>
      <c r="D291" s="6">
        <f t="shared" si="9"/>
        <v>-1.0605490478318555E-2</v>
      </c>
    </row>
    <row r="292" spans="1:4" x14ac:dyDescent="0.25">
      <c r="A292" t="s">
        <v>339</v>
      </c>
      <c r="B292">
        <v>68.25</v>
      </c>
      <c r="C292" s="6">
        <f t="shared" si="8"/>
        <v>8.1240768094534843E-3</v>
      </c>
      <c r="D292" s="6">
        <f t="shared" si="9"/>
        <v>8.0912541468398172E-3</v>
      </c>
    </row>
    <row r="293" spans="1:4" x14ac:dyDescent="0.25">
      <c r="A293" t="s">
        <v>340</v>
      </c>
      <c r="B293">
        <v>67.7</v>
      </c>
      <c r="C293" s="6">
        <f t="shared" si="8"/>
        <v>-2.3577954612437058E-3</v>
      </c>
      <c r="D293" s="6">
        <f t="shared" si="9"/>
        <v>-2.3605794378547466E-3</v>
      </c>
    </row>
    <row r="294" spans="1:4" x14ac:dyDescent="0.25">
      <c r="A294" t="s">
        <v>341</v>
      </c>
      <c r="B294">
        <v>67.86</v>
      </c>
      <c r="C294" s="6">
        <f t="shared" si="8"/>
        <v>-1.552299434208626E-2</v>
      </c>
      <c r="D294" s="6">
        <f t="shared" si="9"/>
        <v>-1.5644737541476449E-2</v>
      </c>
    </row>
    <row r="295" spans="1:4" x14ac:dyDescent="0.25">
      <c r="A295" t="s">
        <v>342</v>
      </c>
      <c r="B295">
        <v>68.930000000000007</v>
      </c>
      <c r="C295" s="6">
        <f t="shared" si="8"/>
        <v>-9.7687113920412738E-3</v>
      </c>
      <c r="D295" s="6">
        <f t="shared" si="9"/>
        <v>-9.816738283014553E-3</v>
      </c>
    </row>
    <row r="296" spans="1:4" x14ac:dyDescent="0.25">
      <c r="A296" t="s">
        <v>343</v>
      </c>
      <c r="B296">
        <v>69.61</v>
      </c>
      <c r="C296" s="6">
        <f t="shared" si="8"/>
        <v>1.2803724719918419E-2</v>
      </c>
      <c r="D296" s="6">
        <f t="shared" si="9"/>
        <v>1.2722450047061157E-2</v>
      </c>
    </row>
    <row r="297" spans="1:4" x14ac:dyDescent="0.25">
      <c r="A297" t="s">
        <v>344</v>
      </c>
      <c r="B297">
        <v>68.73</v>
      </c>
      <c r="C297" s="6">
        <f t="shared" si="8"/>
        <v>-3.9130434782608248E-3</v>
      </c>
      <c r="D297" s="6">
        <f t="shared" si="9"/>
        <v>-3.9207194637454921E-3</v>
      </c>
    </row>
    <row r="298" spans="1:4" x14ac:dyDescent="0.25">
      <c r="A298" t="s">
        <v>345</v>
      </c>
      <c r="B298">
        <v>69</v>
      </c>
      <c r="C298" s="6">
        <f t="shared" si="8"/>
        <v>7.2516316171133965E-4</v>
      </c>
      <c r="D298" s="6">
        <f t="shared" si="9"/>
        <v>7.2490035794851838E-4</v>
      </c>
    </row>
    <row r="299" spans="1:4" x14ac:dyDescent="0.25">
      <c r="A299" t="s">
        <v>346</v>
      </c>
      <c r="B299">
        <v>68.95</v>
      </c>
      <c r="C299" s="6">
        <f t="shared" si="8"/>
        <v>7.8935828095307858E-3</v>
      </c>
      <c r="D299" s="6">
        <f t="shared" si="9"/>
        <v>7.8625914664041969E-3</v>
      </c>
    </row>
    <row r="300" spans="1:4" x14ac:dyDescent="0.25">
      <c r="A300" t="s">
        <v>347</v>
      </c>
      <c r="B300">
        <v>68.41</v>
      </c>
      <c r="C300" s="6">
        <f t="shared" si="8"/>
        <v>5.8814880164681504E-3</v>
      </c>
      <c r="D300" s="6">
        <f t="shared" si="9"/>
        <v>5.8642595853593028E-3</v>
      </c>
    </row>
    <row r="301" spans="1:4" x14ac:dyDescent="0.25">
      <c r="A301" t="s">
        <v>348</v>
      </c>
      <c r="B301">
        <v>68.010000000000005</v>
      </c>
      <c r="C301" s="6">
        <f t="shared" si="8"/>
        <v>-1.0331781140861418E-2</v>
      </c>
      <c r="D301" s="6">
        <f t="shared" si="9"/>
        <v>-1.0385524488452565E-2</v>
      </c>
    </row>
    <row r="302" spans="1:4" x14ac:dyDescent="0.25">
      <c r="A302" t="s">
        <v>349</v>
      </c>
      <c r="B302">
        <v>68.72</v>
      </c>
      <c r="C302" s="6">
        <f t="shared" si="8"/>
        <v>-2.8555272830081968E-2</v>
      </c>
      <c r="D302" s="6">
        <f t="shared" si="9"/>
        <v>-2.8970906101334605E-2</v>
      </c>
    </row>
    <row r="303" spans="1:4" x14ac:dyDescent="0.25">
      <c r="A303" t="s">
        <v>350</v>
      </c>
      <c r="B303">
        <v>70.739999999999995</v>
      </c>
      <c r="C303" s="6">
        <f t="shared" si="8"/>
        <v>7.0731362286036159E-4</v>
      </c>
      <c r="D303" s="6">
        <f t="shared" si="9"/>
        <v>7.0706359447186319E-4</v>
      </c>
    </row>
    <row r="304" spans="1:4" x14ac:dyDescent="0.25">
      <c r="A304" t="s">
        <v>351</v>
      </c>
      <c r="B304">
        <v>70.69</v>
      </c>
      <c r="C304" s="6">
        <f t="shared" si="8"/>
        <v>-9.9439775910364903E-3</v>
      </c>
      <c r="D304" s="6">
        <f t="shared" si="9"/>
        <v>-9.9937491626760962E-3</v>
      </c>
    </row>
    <row r="305" spans="1:4" x14ac:dyDescent="0.25">
      <c r="A305" t="s">
        <v>352</v>
      </c>
      <c r="B305">
        <v>71.400000000000006</v>
      </c>
      <c r="C305" s="6">
        <f t="shared" si="8"/>
        <v>-5.1553573916677253E-3</v>
      </c>
      <c r="D305" s="6">
        <f t="shared" si="9"/>
        <v>-5.1686920964417191E-3</v>
      </c>
    </row>
    <row r="306" spans="1:4" x14ac:dyDescent="0.25">
      <c r="A306" t="s">
        <v>353</v>
      </c>
      <c r="B306">
        <v>71.77</v>
      </c>
      <c r="C306" s="6">
        <f t="shared" si="8"/>
        <v>2.934600335382731E-3</v>
      </c>
      <c r="D306" s="6">
        <f t="shared" si="9"/>
        <v>2.9303028014619498E-3</v>
      </c>
    </row>
    <row r="307" spans="1:4" x14ac:dyDescent="0.25">
      <c r="A307" t="s">
        <v>354</v>
      </c>
      <c r="B307">
        <v>71.56</v>
      </c>
      <c r="C307" s="6">
        <f t="shared" si="8"/>
        <v>-6.982265046781011E-4</v>
      </c>
      <c r="D307" s="6">
        <f t="shared" si="9"/>
        <v>-6.9847037832999122E-4</v>
      </c>
    </row>
    <row r="308" spans="1:4" x14ac:dyDescent="0.25">
      <c r="A308" t="s">
        <v>355</v>
      </c>
      <c r="B308">
        <v>71.61</v>
      </c>
      <c r="C308" s="6">
        <f t="shared" si="8"/>
        <v>-1.7425905598243641E-2</v>
      </c>
      <c r="D308" s="6">
        <f t="shared" si="9"/>
        <v>-1.7579523932854415E-2</v>
      </c>
    </row>
    <row r="309" spans="1:4" x14ac:dyDescent="0.25">
      <c r="A309" t="s">
        <v>356</v>
      </c>
      <c r="B309">
        <v>72.88</v>
      </c>
      <c r="C309" s="6">
        <f t="shared" si="8"/>
        <v>1.4759120022277861E-2</v>
      </c>
      <c r="D309" s="6">
        <f t="shared" si="9"/>
        <v>1.4651264153766046E-2</v>
      </c>
    </row>
    <row r="310" spans="1:4" x14ac:dyDescent="0.25">
      <c r="A310" t="s">
        <v>357</v>
      </c>
      <c r="B310">
        <v>71.819999999999993</v>
      </c>
      <c r="C310" s="6">
        <f t="shared" si="8"/>
        <v>-1.9455252918287869E-3</v>
      </c>
      <c r="D310" s="6">
        <f t="shared" si="9"/>
        <v>-1.9474202843955666E-3</v>
      </c>
    </row>
    <row r="311" spans="1:4" x14ac:dyDescent="0.25">
      <c r="A311" t="s">
        <v>358</v>
      </c>
      <c r="B311">
        <v>71.959999999999994</v>
      </c>
      <c r="C311" s="6">
        <f t="shared" si="8"/>
        <v>1.1953311770496411E-2</v>
      </c>
      <c r="D311" s="6">
        <f t="shared" si="9"/>
        <v>1.1882435186905778E-2</v>
      </c>
    </row>
    <row r="312" spans="1:4" x14ac:dyDescent="0.25">
      <c r="A312" t="s">
        <v>359</v>
      </c>
      <c r="B312">
        <v>71.11</v>
      </c>
      <c r="C312" s="6">
        <f t="shared" si="8"/>
        <v>-9.3340763443856556E-3</v>
      </c>
      <c r="D312" s="6">
        <f t="shared" si="9"/>
        <v>-9.3779118240346678E-3</v>
      </c>
    </row>
    <row r="313" spans="1:4" x14ac:dyDescent="0.25">
      <c r="A313" t="s">
        <v>360</v>
      </c>
      <c r="B313">
        <v>71.78</v>
      </c>
      <c r="C313" s="6">
        <f t="shared" si="8"/>
        <v>1.8156028368794264E-2</v>
      </c>
      <c r="D313" s="6">
        <f t="shared" si="9"/>
        <v>1.7993175901238178E-2</v>
      </c>
    </row>
    <row r="314" spans="1:4" x14ac:dyDescent="0.25">
      <c r="A314" t="s">
        <v>361</v>
      </c>
      <c r="B314">
        <v>70.5</v>
      </c>
      <c r="C314" s="6">
        <f t="shared" si="8"/>
        <v>-3.1108597285067763E-3</v>
      </c>
      <c r="D314" s="6">
        <f t="shared" si="9"/>
        <v>-3.1157085111650153E-3</v>
      </c>
    </row>
    <row r="315" spans="1:4" x14ac:dyDescent="0.25">
      <c r="A315" t="s">
        <v>362</v>
      </c>
      <c r="B315">
        <v>70.72</v>
      </c>
      <c r="C315" s="6">
        <f t="shared" si="8"/>
        <v>2.1817656408033681E-2</v>
      </c>
      <c r="D315" s="6">
        <f t="shared" si="9"/>
        <v>2.1583057475616164E-2</v>
      </c>
    </row>
    <row r="316" spans="1:4" x14ac:dyDescent="0.25">
      <c r="A316" t="s">
        <v>363</v>
      </c>
      <c r="B316">
        <v>69.209999999999994</v>
      </c>
      <c r="C316" s="6">
        <f t="shared" si="8"/>
        <v>3.6853932584269611E-2</v>
      </c>
      <c r="D316" s="6">
        <f t="shared" si="9"/>
        <v>3.6191063573413028E-2</v>
      </c>
    </row>
    <row r="317" spans="1:4" x14ac:dyDescent="0.25">
      <c r="A317" t="s">
        <v>364</v>
      </c>
      <c r="B317">
        <v>66.75</v>
      </c>
      <c r="C317" s="6">
        <f t="shared" si="8"/>
        <v>-9.3499554764023829E-3</v>
      </c>
      <c r="D317" s="6">
        <f t="shared" si="9"/>
        <v>-9.3939406980477914E-3</v>
      </c>
    </row>
    <row r="318" spans="1:4" x14ac:dyDescent="0.25">
      <c r="A318" t="s">
        <v>365</v>
      </c>
      <c r="B318">
        <v>67.38</v>
      </c>
      <c r="C318" s="6">
        <f t="shared" si="8"/>
        <v>2.2148058252427161E-2</v>
      </c>
      <c r="D318" s="6">
        <f t="shared" si="9"/>
        <v>2.1906352377190529E-2</v>
      </c>
    </row>
    <row r="319" spans="1:4" x14ac:dyDescent="0.25">
      <c r="A319" t="s">
        <v>366</v>
      </c>
      <c r="B319">
        <v>65.92</v>
      </c>
      <c r="C319" s="6">
        <f t="shared" si="8"/>
        <v>-3.6539023677287341E-2</v>
      </c>
      <c r="D319" s="6">
        <f t="shared" si="9"/>
        <v>-3.7223293948242357E-2</v>
      </c>
    </row>
    <row r="320" spans="1:4" x14ac:dyDescent="0.25">
      <c r="A320" t="s">
        <v>367</v>
      </c>
      <c r="B320">
        <v>68.42</v>
      </c>
      <c r="C320" s="6">
        <f t="shared" si="8"/>
        <v>2.9316915860451154E-3</v>
      </c>
      <c r="D320" s="6">
        <f t="shared" si="9"/>
        <v>2.9274025589589151E-3</v>
      </c>
    </row>
    <row r="321" spans="1:4" x14ac:dyDescent="0.25">
      <c r="A321" t="s">
        <v>368</v>
      </c>
      <c r="B321">
        <v>68.22</v>
      </c>
      <c r="C321" s="6">
        <f t="shared" si="8"/>
        <v>-1.0874293170943905E-2</v>
      </c>
      <c r="D321" s="6">
        <f t="shared" si="9"/>
        <v>-1.0933850452700216E-2</v>
      </c>
    </row>
    <row r="322" spans="1:4" x14ac:dyDescent="0.25">
      <c r="A322" t="s">
        <v>369</v>
      </c>
      <c r="B322">
        <v>68.97</v>
      </c>
      <c r="C322" s="6">
        <f t="shared" si="8"/>
        <v>-1.6400456360524895E-2</v>
      </c>
      <c r="D322" s="6">
        <f t="shared" si="9"/>
        <v>-1.6536432609833961E-2</v>
      </c>
    </row>
    <row r="323" spans="1:4" x14ac:dyDescent="0.25">
      <c r="A323" t="s">
        <v>370</v>
      </c>
      <c r="B323">
        <v>70.12</v>
      </c>
      <c r="C323" s="6">
        <f t="shared" ref="C323:C386" si="10">(B323/B324)-1</f>
        <v>-6.0949681077249185E-3</v>
      </c>
      <c r="D323" s="6">
        <f t="shared" ref="D323:D386" si="11">LN(B323/B324)</f>
        <v>-6.1136182457891611E-3</v>
      </c>
    </row>
    <row r="324" spans="1:4" x14ac:dyDescent="0.25">
      <c r="A324" t="s">
        <v>371</v>
      </c>
      <c r="B324">
        <v>70.55</v>
      </c>
      <c r="C324" s="6">
        <f t="shared" si="10"/>
        <v>-5.3573946144087614E-3</v>
      </c>
      <c r="D324" s="6">
        <f t="shared" si="11"/>
        <v>-5.3717969151725635E-3</v>
      </c>
    </row>
    <row r="325" spans="1:4" x14ac:dyDescent="0.25">
      <c r="A325" t="s">
        <v>372</v>
      </c>
      <c r="B325">
        <v>70.930000000000007</v>
      </c>
      <c r="C325" s="6">
        <f t="shared" si="10"/>
        <v>1.3430490070010181E-2</v>
      </c>
      <c r="D325" s="6">
        <f t="shared" si="11"/>
        <v>1.3341100512547268E-2</v>
      </c>
    </row>
    <row r="326" spans="1:4" x14ac:dyDescent="0.25">
      <c r="A326" t="s">
        <v>373</v>
      </c>
      <c r="B326">
        <v>69.989999999999995</v>
      </c>
      <c r="C326" s="6">
        <f t="shared" si="10"/>
        <v>5.7479522919958725E-3</v>
      </c>
      <c r="D326" s="6">
        <f t="shared" si="11"/>
        <v>5.7314958446895046E-3</v>
      </c>
    </row>
    <row r="327" spans="1:4" x14ac:dyDescent="0.25">
      <c r="A327" t="s">
        <v>374</v>
      </c>
      <c r="B327">
        <v>69.59</v>
      </c>
      <c r="C327" s="6">
        <f t="shared" si="10"/>
        <v>2.8372986552386514E-2</v>
      </c>
      <c r="D327" s="6">
        <f t="shared" si="11"/>
        <v>2.7977928612624475E-2</v>
      </c>
    </row>
    <row r="328" spans="1:4" x14ac:dyDescent="0.25">
      <c r="A328" t="s">
        <v>375</v>
      </c>
      <c r="B328">
        <v>67.67</v>
      </c>
      <c r="C328" s="6">
        <f t="shared" si="10"/>
        <v>-3.5215283718277757E-2</v>
      </c>
      <c r="D328" s="6">
        <f t="shared" si="11"/>
        <v>-3.5850294467897934E-2</v>
      </c>
    </row>
    <row r="329" spans="1:4" x14ac:dyDescent="0.25">
      <c r="A329" t="s">
        <v>376</v>
      </c>
      <c r="B329">
        <v>70.14</v>
      </c>
      <c r="C329" s="6">
        <f t="shared" si="10"/>
        <v>7.4691180695201087E-3</v>
      </c>
      <c r="D329" s="6">
        <f t="shared" si="11"/>
        <v>7.4413623287390594E-3</v>
      </c>
    </row>
    <row r="330" spans="1:4" x14ac:dyDescent="0.25">
      <c r="A330" t="s">
        <v>377</v>
      </c>
      <c r="B330">
        <v>69.62</v>
      </c>
      <c r="C330" s="6">
        <f t="shared" si="10"/>
        <v>-5.1443269505573319E-3</v>
      </c>
      <c r="D330" s="6">
        <f t="shared" si="11"/>
        <v>-5.1576045562491558E-3</v>
      </c>
    </row>
    <row r="331" spans="1:4" x14ac:dyDescent="0.25">
      <c r="A331" t="s">
        <v>378</v>
      </c>
      <c r="B331">
        <v>69.98</v>
      </c>
      <c r="C331" s="6">
        <f t="shared" si="10"/>
        <v>1.4310246136235438E-3</v>
      </c>
      <c r="D331" s="6">
        <f t="shared" si="11"/>
        <v>1.4300016736863417E-3</v>
      </c>
    </row>
    <row r="332" spans="1:4" x14ac:dyDescent="0.25">
      <c r="A332" t="s">
        <v>379</v>
      </c>
      <c r="B332">
        <v>69.88</v>
      </c>
      <c r="C332" s="6">
        <f t="shared" si="10"/>
        <v>-2.5247593806667634E-2</v>
      </c>
      <c r="D332" s="6">
        <f t="shared" si="11"/>
        <v>-2.5571782598925088E-2</v>
      </c>
    </row>
    <row r="333" spans="1:4" x14ac:dyDescent="0.25">
      <c r="A333" t="s">
        <v>380</v>
      </c>
      <c r="B333">
        <v>71.69</v>
      </c>
      <c r="C333" s="6">
        <f t="shared" si="10"/>
        <v>1.6766801732570613E-3</v>
      </c>
      <c r="D333" s="6">
        <f t="shared" si="11"/>
        <v>1.6752761142748451E-3</v>
      </c>
    </row>
    <row r="334" spans="1:4" x14ac:dyDescent="0.25">
      <c r="A334" t="s">
        <v>381</v>
      </c>
      <c r="B334">
        <v>71.569999999999993</v>
      </c>
      <c r="C334" s="6">
        <f t="shared" si="10"/>
        <v>1.9599608007838665E-3</v>
      </c>
      <c r="D334" s="6">
        <f t="shared" si="11"/>
        <v>1.9580425836249081E-3</v>
      </c>
    </row>
    <row r="335" spans="1:4" x14ac:dyDescent="0.25">
      <c r="A335" t="s">
        <v>382</v>
      </c>
      <c r="B335">
        <v>71.430000000000007</v>
      </c>
      <c r="C335" s="6">
        <f t="shared" si="10"/>
        <v>-6.5368567454797688E-3</v>
      </c>
      <c r="D335" s="6">
        <f t="shared" si="11"/>
        <v>-6.5583155601198354E-3</v>
      </c>
    </row>
    <row r="336" spans="1:4" x14ac:dyDescent="0.25">
      <c r="A336" t="s">
        <v>383</v>
      </c>
      <c r="B336">
        <v>71.900000000000006</v>
      </c>
      <c r="C336" s="6">
        <f t="shared" si="10"/>
        <v>8.4151472650773051E-3</v>
      </c>
      <c r="D336" s="6">
        <f t="shared" si="11"/>
        <v>8.3799373067509168E-3</v>
      </c>
    </row>
    <row r="337" spans="1:4" x14ac:dyDescent="0.25">
      <c r="A337" t="s">
        <v>384</v>
      </c>
      <c r="B337">
        <v>71.3</v>
      </c>
      <c r="C337" s="6">
        <f t="shared" si="10"/>
        <v>9.4860540846666286E-3</v>
      </c>
      <c r="D337" s="6">
        <f t="shared" si="11"/>
        <v>9.4413439994194149E-3</v>
      </c>
    </row>
    <row r="338" spans="1:4" x14ac:dyDescent="0.25">
      <c r="A338" t="s">
        <v>385</v>
      </c>
      <c r="B338">
        <v>70.63</v>
      </c>
      <c r="C338" s="6">
        <f t="shared" si="10"/>
        <v>-1.6961130742050301E-3</v>
      </c>
      <c r="D338" s="6">
        <f t="shared" si="11"/>
        <v>-1.6975531025161955E-3</v>
      </c>
    </row>
    <row r="339" spans="1:4" x14ac:dyDescent="0.25">
      <c r="A339" t="s">
        <v>386</v>
      </c>
      <c r="B339">
        <v>70.75</v>
      </c>
      <c r="C339" s="6">
        <f t="shared" si="10"/>
        <v>-4.2384854478672018E-4</v>
      </c>
      <c r="D339" s="6">
        <f t="shared" si="11"/>
        <v>-4.239383939703732E-4</v>
      </c>
    </row>
    <row r="340" spans="1:4" x14ac:dyDescent="0.25">
      <c r="A340" t="s">
        <v>387</v>
      </c>
      <c r="B340">
        <v>70.78</v>
      </c>
      <c r="C340" s="6">
        <f t="shared" si="10"/>
        <v>-1.0208362466787912E-2</v>
      </c>
      <c r="D340" s="6">
        <f t="shared" si="11"/>
        <v>-1.0260825142987312E-2</v>
      </c>
    </row>
    <row r="341" spans="1:4" x14ac:dyDescent="0.25">
      <c r="A341" t="s">
        <v>388</v>
      </c>
      <c r="B341">
        <v>71.510000000000005</v>
      </c>
      <c r="C341" s="6">
        <f t="shared" si="10"/>
        <v>2.0405251141552672E-2</v>
      </c>
      <c r="D341" s="6">
        <f t="shared" si="11"/>
        <v>2.0199853432168739E-2</v>
      </c>
    </row>
    <row r="342" spans="1:4" x14ac:dyDescent="0.25">
      <c r="A342" t="s">
        <v>389</v>
      </c>
      <c r="B342">
        <v>70.08</v>
      </c>
      <c r="C342" s="6">
        <f t="shared" si="10"/>
        <v>1.6683592049905549E-2</v>
      </c>
      <c r="D342" s="6">
        <f t="shared" si="11"/>
        <v>1.65459497305754E-2</v>
      </c>
    </row>
    <row r="343" spans="1:4" x14ac:dyDescent="0.25">
      <c r="A343" t="s">
        <v>390</v>
      </c>
      <c r="B343">
        <v>68.930000000000007</v>
      </c>
      <c r="C343" s="6">
        <f t="shared" si="10"/>
        <v>-1.6690442225392066E-2</v>
      </c>
      <c r="D343" s="6">
        <f t="shared" si="11"/>
        <v>-1.6831297142983724E-2</v>
      </c>
    </row>
    <row r="344" spans="1:4" x14ac:dyDescent="0.25">
      <c r="A344" t="s">
        <v>391</v>
      </c>
      <c r="B344">
        <v>70.099999999999994</v>
      </c>
      <c r="C344" s="6">
        <f t="shared" si="10"/>
        <v>3.4228385954558682E-2</v>
      </c>
      <c r="D344" s="6">
        <f t="shared" si="11"/>
        <v>3.3655627861638948E-2</v>
      </c>
    </row>
    <row r="345" spans="1:4" x14ac:dyDescent="0.25">
      <c r="A345" t="s">
        <v>392</v>
      </c>
      <c r="B345">
        <v>67.78</v>
      </c>
      <c r="C345" s="6">
        <f t="shared" si="10"/>
        <v>2.7748294162244003E-2</v>
      </c>
      <c r="D345" s="6">
        <f t="shared" si="11"/>
        <v>2.7370287015581553E-2</v>
      </c>
    </row>
    <row r="346" spans="1:4" x14ac:dyDescent="0.25">
      <c r="A346" t="s">
        <v>393</v>
      </c>
      <c r="B346">
        <v>65.95</v>
      </c>
      <c r="C346" s="6">
        <f t="shared" si="10"/>
        <v>-2.420208743004082E-3</v>
      </c>
      <c r="D346" s="6">
        <f t="shared" si="11"/>
        <v>-2.4231421821631479E-3</v>
      </c>
    </row>
    <row r="347" spans="1:4" x14ac:dyDescent="0.25">
      <c r="A347" t="s">
        <v>394</v>
      </c>
      <c r="B347">
        <v>66.11</v>
      </c>
      <c r="C347" s="6">
        <f t="shared" si="10"/>
        <v>9.0840272520820164E-4</v>
      </c>
      <c r="D347" s="6">
        <f t="shared" si="11"/>
        <v>9.0799037715245587E-4</v>
      </c>
    </row>
    <row r="348" spans="1:4" x14ac:dyDescent="0.25">
      <c r="A348" t="s">
        <v>395</v>
      </c>
      <c r="B348">
        <v>66.05</v>
      </c>
      <c r="C348" s="6">
        <f t="shared" si="10"/>
        <v>-6.3186399879645583E-3</v>
      </c>
      <c r="D348" s="6">
        <f t="shared" si="11"/>
        <v>-6.3386870851562215E-3</v>
      </c>
    </row>
    <row r="349" spans="1:4" x14ac:dyDescent="0.25">
      <c r="A349" t="s">
        <v>396</v>
      </c>
      <c r="B349">
        <v>66.47</v>
      </c>
      <c r="C349" s="6">
        <f t="shared" si="10"/>
        <v>-7.0212130265909778E-3</v>
      </c>
      <c r="D349" s="6">
        <f t="shared" si="11"/>
        <v>-7.0459777296900689E-3</v>
      </c>
    </row>
    <row r="350" spans="1:4" x14ac:dyDescent="0.25">
      <c r="A350" t="s">
        <v>397</v>
      </c>
      <c r="B350">
        <v>66.94</v>
      </c>
      <c r="C350" s="6">
        <f t="shared" si="10"/>
        <v>1.1636693365573381E-2</v>
      </c>
      <c r="D350" s="6">
        <f t="shared" si="11"/>
        <v>1.15695077592123E-2</v>
      </c>
    </row>
    <row r="351" spans="1:4" x14ac:dyDescent="0.25">
      <c r="A351" t="s">
        <v>398</v>
      </c>
      <c r="B351">
        <v>66.17</v>
      </c>
      <c r="C351" s="6">
        <f t="shared" si="10"/>
        <v>-1.5913146936347267E-2</v>
      </c>
      <c r="D351" s="6">
        <f t="shared" si="11"/>
        <v>-1.60411205164466E-2</v>
      </c>
    </row>
    <row r="352" spans="1:4" x14ac:dyDescent="0.25">
      <c r="A352" t="s">
        <v>399</v>
      </c>
      <c r="B352">
        <v>67.239999999999995</v>
      </c>
      <c r="C352" s="6">
        <f t="shared" si="10"/>
        <v>-1.2483477750036887E-2</v>
      </c>
      <c r="D352" s="6">
        <f t="shared" si="11"/>
        <v>-1.2562050954460592E-2</v>
      </c>
    </row>
    <row r="353" spans="1:4" x14ac:dyDescent="0.25">
      <c r="A353" t="s">
        <v>400</v>
      </c>
      <c r="B353">
        <v>68.09</v>
      </c>
      <c r="C353" s="6">
        <f t="shared" si="10"/>
        <v>1.6723906226668639E-2</v>
      </c>
      <c r="D353" s="6">
        <f t="shared" si="11"/>
        <v>1.6585601572916438E-2</v>
      </c>
    </row>
    <row r="354" spans="1:4" x14ac:dyDescent="0.25">
      <c r="A354" t="s">
        <v>401</v>
      </c>
      <c r="B354">
        <v>66.97</v>
      </c>
      <c r="C354" s="6">
        <f t="shared" si="10"/>
        <v>-7.4604595643090743E-4</v>
      </c>
      <c r="D354" s="6">
        <f t="shared" si="11"/>
        <v>-7.4632438720550944E-4</v>
      </c>
    </row>
    <row r="355" spans="1:4" x14ac:dyDescent="0.25">
      <c r="A355" t="s">
        <v>402</v>
      </c>
      <c r="B355">
        <v>67.02</v>
      </c>
      <c r="C355" s="6">
        <f t="shared" si="10"/>
        <v>7.9711234772146256E-3</v>
      </c>
      <c r="D355" s="6">
        <f t="shared" si="11"/>
        <v>7.9395218948007662E-3</v>
      </c>
    </row>
    <row r="356" spans="1:4" x14ac:dyDescent="0.25">
      <c r="A356" t="s">
        <v>403</v>
      </c>
      <c r="B356">
        <v>66.489999999999995</v>
      </c>
      <c r="C356" s="6">
        <f t="shared" si="10"/>
        <v>-4.1101817132968121E-2</v>
      </c>
      <c r="D356" s="6">
        <f t="shared" si="11"/>
        <v>-4.1970379842513936E-2</v>
      </c>
    </row>
    <row r="357" spans="1:4" x14ac:dyDescent="0.25">
      <c r="A357" t="s">
        <v>404</v>
      </c>
      <c r="B357">
        <v>69.34</v>
      </c>
      <c r="C357" s="6">
        <f t="shared" si="10"/>
        <v>-7.8695092287880408E-3</v>
      </c>
      <c r="D357" s="6">
        <f t="shared" si="11"/>
        <v>-7.9006372321602254E-3</v>
      </c>
    </row>
    <row r="358" spans="1:4" x14ac:dyDescent="0.25">
      <c r="A358" t="s">
        <v>405</v>
      </c>
      <c r="B358">
        <v>69.89</v>
      </c>
      <c r="C358" s="6">
        <f t="shared" si="10"/>
        <v>2.5821259503659988E-3</v>
      </c>
      <c r="D358" s="6">
        <f t="shared" si="11"/>
        <v>2.5787979907304992E-3</v>
      </c>
    </row>
    <row r="359" spans="1:4" x14ac:dyDescent="0.25">
      <c r="A359" t="s">
        <v>406</v>
      </c>
      <c r="B359">
        <v>69.709999999999994</v>
      </c>
      <c r="C359" s="6">
        <f t="shared" si="10"/>
        <v>2.5448661370991221E-2</v>
      </c>
      <c r="D359" s="6">
        <f t="shared" si="11"/>
        <v>2.5130235230337163E-2</v>
      </c>
    </row>
    <row r="360" spans="1:4" x14ac:dyDescent="0.25">
      <c r="A360" t="s">
        <v>407</v>
      </c>
      <c r="B360">
        <v>67.98</v>
      </c>
      <c r="C360" s="6">
        <f t="shared" si="10"/>
        <v>-2.7871497726271732E-3</v>
      </c>
      <c r="D360" s="6">
        <f t="shared" si="11"/>
        <v>-2.7910411067238682E-3</v>
      </c>
    </row>
    <row r="361" spans="1:4" x14ac:dyDescent="0.25">
      <c r="A361" t="s">
        <v>408</v>
      </c>
      <c r="B361">
        <v>68.17</v>
      </c>
      <c r="C361" s="6">
        <f t="shared" si="10"/>
        <v>1.7634092578986404E-3</v>
      </c>
      <c r="D361" s="6">
        <f t="shared" si="11"/>
        <v>1.7618562772188562E-3</v>
      </c>
    </row>
    <row r="362" spans="1:4" x14ac:dyDescent="0.25">
      <c r="A362" t="s">
        <v>409</v>
      </c>
      <c r="B362">
        <v>68.05</v>
      </c>
      <c r="C362" s="6">
        <f t="shared" si="10"/>
        <v>-1.3911027387335295E-2</v>
      </c>
      <c r="D362" s="6">
        <f t="shared" si="11"/>
        <v>-1.4008692535035512E-2</v>
      </c>
    </row>
    <row r="363" spans="1:4" x14ac:dyDescent="0.25">
      <c r="A363" t="s">
        <v>410</v>
      </c>
      <c r="B363">
        <v>69.010000000000005</v>
      </c>
      <c r="C363" s="6">
        <f t="shared" si="10"/>
        <v>-7.9068430132259726E-3</v>
      </c>
      <c r="D363" s="6">
        <f t="shared" si="11"/>
        <v>-7.9382678535718006E-3</v>
      </c>
    </row>
    <row r="364" spans="1:4" x14ac:dyDescent="0.25">
      <c r="A364" t="s">
        <v>411</v>
      </c>
      <c r="B364">
        <v>69.56</v>
      </c>
      <c r="C364" s="6">
        <f t="shared" si="10"/>
        <v>5.3141559424678464E-2</v>
      </c>
      <c r="D364" s="6">
        <f t="shared" si="11"/>
        <v>5.177765851774814E-2</v>
      </c>
    </row>
    <row r="365" spans="1:4" x14ac:dyDescent="0.25">
      <c r="A365" t="s">
        <v>412</v>
      </c>
      <c r="B365">
        <v>66.05</v>
      </c>
      <c r="C365" s="6">
        <f t="shared" si="10"/>
        <v>-1.373749440047789E-2</v>
      </c>
      <c r="D365" s="6">
        <f t="shared" si="11"/>
        <v>-1.3832726953624563E-2</v>
      </c>
    </row>
    <row r="366" spans="1:4" x14ac:dyDescent="0.25">
      <c r="A366" t="s">
        <v>413</v>
      </c>
      <c r="B366">
        <v>66.97</v>
      </c>
      <c r="C366" s="6">
        <f t="shared" si="10"/>
        <v>3.8133622694155767E-2</v>
      </c>
      <c r="D366" s="6">
        <f t="shared" si="11"/>
        <v>3.742450737780835E-2</v>
      </c>
    </row>
    <row r="367" spans="1:4" x14ac:dyDescent="0.25">
      <c r="A367" t="s">
        <v>414</v>
      </c>
      <c r="B367">
        <v>64.510000000000005</v>
      </c>
      <c r="C367" s="6">
        <f t="shared" si="10"/>
        <v>-1.5865751334858791E-2</v>
      </c>
      <c r="D367" s="6">
        <f t="shared" si="11"/>
        <v>-1.599295966555845E-2</v>
      </c>
    </row>
    <row r="368" spans="1:4" x14ac:dyDescent="0.25">
      <c r="A368" t="s">
        <v>415</v>
      </c>
      <c r="B368">
        <v>65.55</v>
      </c>
      <c r="C368" s="6">
        <f t="shared" si="10"/>
        <v>-9.6691343103187943E-3</v>
      </c>
      <c r="D368" s="6">
        <f t="shared" si="11"/>
        <v>-9.7161839211225929E-3</v>
      </c>
    </row>
    <row r="369" spans="1:4" x14ac:dyDescent="0.25">
      <c r="A369" t="s">
        <v>416</v>
      </c>
      <c r="B369">
        <v>66.19</v>
      </c>
      <c r="C369" s="6">
        <f t="shared" si="10"/>
        <v>-1.0020939276099372E-2</v>
      </c>
      <c r="D369" s="6">
        <f t="shared" si="11"/>
        <v>-1.0071486861121186E-2</v>
      </c>
    </row>
    <row r="370" spans="1:4" x14ac:dyDescent="0.25">
      <c r="A370" t="s">
        <v>417</v>
      </c>
      <c r="B370">
        <v>66.86</v>
      </c>
      <c r="C370" s="6">
        <f t="shared" si="10"/>
        <v>-1.3442867811800374E-3</v>
      </c>
      <c r="D370" s="6">
        <f t="shared" si="11"/>
        <v>-1.3451911452290147E-3</v>
      </c>
    </row>
    <row r="371" spans="1:4" x14ac:dyDescent="0.25">
      <c r="A371" t="s">
        <v>418</v>
      </c>
      <c r="B371">
        <v>66.95</v>
      </c>
      <c r="C371" s="6">
        <f t="shared" si="10"/>
        <v>2.6840490797545913E-2</v>
      </c>
      <c r="D371" s="6">
        <f t="shared" si="11"/>
        <v>2.6486603204574147E-2</v>
      </c>
    </row>
    <row r="372" spans="1:4" x14ac:dyDescent="0.25">
      <c r="A372" t="s">
        <v>419</v>
      </c>
      <c r="B372">
        <v>65.2</v>
      </c>
      <c r="C372" s="6">
        <f t="shared" si="10"/>
        <v>1.0382767704943507E-2</v>
      </c>
      <c r="D372" s="6">
        <f t="shared" si="11"/>
        <v>1.0329236984858966E-2</v>
      </c>
    </row>
    <row r="373" spans="1:4" x14ac:dyDescent="0.25">
      <c r="A373" t="s">
        <v>420</v>
      </c>
      <c r="B373">
        <v>64.53</v>
      </c>
      <c r="C373" s="6">
        <f t="shared" si="10"/>
        <v>-4.6274872744099804E-3</v>
      </c>
      <c r="D373" s="6">
        <f t="shared" si="11"/>
        <v>-4.6382272391559095E-3</v>
      </c>
    </row>
    <row r="374" spans="1:4" x14ac:dyDescent="0.25">
      <c r="A374" t="s">
        <v>421</v>
      </c>
      <c r="B374">
        <v>64.83</v>
      </c>
      <c r="C374" s="6">
        <f t="shared" si="10"/>
        <v>-2.0842772995015801E-2</v>
      </c>
      <c r="D374" s="6">
        <f t="shared" si="11"/>
        <v>-2.1063049749850366E-2</v>
      </c>
    </row>
    <row r="375" spans="1:4" x14ac:dyDescent="0.25">
      <c r="A375" t="s">
        <v>422</v>
      </c>
      <c r="B375">
        <v>66.209999999999994</v>
      </c>
      <c r="C375" s="6">
        <f t="shared" si="10"/>
        <v>3.2112236944660699E-2</v>
      </c>
      <c r="D375" s="6">
        <f t="shared" si="11"/>
        <v>3.1607417875109046E-2</v>
      </c>
    </row>
    <row r="376" spans="1:4" x14ac:dyDescent="0.25">
      <c r="A376" t="s">
        <v>423</v>
      </c>
      <c r="B376">
        <v>64.150000000000006</v>
      </c>
      <c r="C376" s="6">
        <f t="shared" si="10"/>
        <v>5.7185234014502484E-2</v>
      </c>
      <c r="D376" s="6">
        <f t="shared" si="11"/>
        <v>5.56099365813141E-2</v>
      </c>
    </row>
    <row r="377" spans="1:4" x14ac:dyDescent="0.25">
      <c r="A377" t="s">
        <v>424</v>
      </c>
      <c r="B377">
        <v>60.68</v>
      </c>
      <c r="C377" s="6">
        <f t="shared" si="10"/>
        <v>1.0996334555148257E-2</v>
      </c>
      <c r="D377" s="6">
        <f t="shared" si="11"/>
        <v>1.0936314468110416E-2</v>
      </c>
    </row>
    <row r="378" spans="1:4" x14ac:dyDescent="0.25">
      <c r="A378" t="s">
        <v>425</v>
      </c>
      <c r="B378">
        <v>60.02</v>
      </c>
      <c r="C378" s="6">
        <f t="shared" si="10"/>
        <v>-3.8174273858920804E-3</v>
      </c>
      <c r="D378" s="6">
        <f t="shared" si="11"/>
        <v>-3.8247323585432849E-3</v>
      </c>
    </row>
    <row r="379" spans="1:4" x14ac:dyDescent="0.25">
      <c r="A379" t="s">
        <v>426</v>
      </c>
      <c r="B379">
        <v>60.25</v>
      </c>
      <c r="C379" s="6">
        <f t="shared" si="10"/>
        <v>1.2434884893295362E-2</v>
      </c>
      <c r="D379" s="6">
        <f t="shared" si="11"/>
        <v>1.2358206714003795E-2</v>
      </c>
    </row>
    <row r="380" spans="1:4" x14ac:dyDescent="0.25">
      <c r="A380" t="s">
        <v>427</v>
      </c>
      <c r="B380">
        <v>59.51</v>
      </c>
      <c r="C380" s="6">
        <f t="shared" si="10"/>
        <v>-1.0640066500415601E-2</v>
      </c>
      <c r="D380" s="6">
        <f t="shared" si="11"/>
        <v>-1.0697076763927159E-2</v>
      </c>
    </row>
    <row r="381" spans="1:4" x14ac:dyDescent="0.25">
      <c r="A381" t="s">
        <v>428</v>
      </c>
      <c r="B381">
        <v>60.15</v>
      </c>
      <c r="C381" s="6">
        <f t="shared" si="10"/>
        <v>-3.8092083471348293E-3</v>
      </c>
      <c r="D381" s="6">
        <f t="shared" si="11"/>
        <v>-3.816481858004876E-3</v>
      </c>
    </row>
    <row r="382" spans="1:4" x14ac:dyDescent="0.25">
      <c r="A382" t="s">
        <v>429</v>
      </c>
      <c r="B382">
        <v>60.38</v>
      </c>
      <c r="C382" s="6">
        <f t="shared" si="10"/>
        <v>6.5010835139189815E-3</v>
      </c>
      <c r="D382" s="6">
        <f t="shared" si="11"/>
        <v>6.4800426136910122E-3</v>
      </c>
    </row>
    <row r="383" spans="1:4" x14ac:dyDescent="0.25">
      <c r="A383" t="s">
        <v>430</v>
      </c>
      <c r="B383">
        <v>59.99</v>
      </c>
      <c r="C383" s="6">
        <f t="shared" si="10"/>
        <v>-1.5750615258408596E-2</v>
      </c>
      <c r="D383" s="6">
        <f t="shared" si="11"/>
        <v>-1.587597426227887E-2</v>
      </c>
    </row>
    <row r="384" spans="1:4" x14ac:dyDescent="0.25">
      <c r="A384" t="s">
        <v>431</v>
      </c>
      <c r="B384">
        <v>60.95</v>
      </c>
      <c r="C384" s="6">
        <f t="shared" si="10"/>
        <v>1.7699115044247815E-2</v>
      </c>
      <c r="D384" s="6">
        <f t="shared" si="11"/>
        <v>1.7544309650909525E-2</v>
      </c>
    </row>
    <row r="385" spans="1:4" x14ac:dyDescent="0.25">
      <c r="A385" t="s">
        <v>432</v>
      </c>
      <c r="B385">
        <v>59.89</v>
      </c>
      <c r="C385" s="6">
        <f t="shared" si="10"/>
        <v>-2.6495448634590413E-2</v>
      </c>
      <c r="D385" s="6">
        <f t="shared" si="11"/>
        <v>-2.6852778921017537E-2</v>
      </c>
    </row>
    <row r="386" spans="1:4" x14ac:dyDescent="0.25">
      <c r="A386" t="s">
        <v>433</v>
      </c>
      <c r="B386">
        <v>61.52</v>
      </c>
      <c r="C386" s="6">
        <f t="shared" si="10"/>
        <v>-5.0137473718259162E-3</v>
      </c>
      <c r="D386" s="6">
        <f t="shared" si="11"/>
        <v>-5.0263583730887611E-3</v>
      </c>
    </row>
    <row r="387" spans="1:4" x14ac:dyDescent="0.25">
      <c r="A387" t="s">
        <v>434</v>
      </c>
      <c r="B387">
        <v>61.83</v>
      </c>
      <c r="C387" s="6">
        <f t="shared" ref="C387:C450" si="12">(B387/B388)-1</f>
        <v>-1.4347202295552308E-2</v>
      </c>
      <c r="D387" s="6">
        <f t="shared" ref="D387:D450" si="13">LN(B387/B388)</f>
        <v>-1.4451118538174485E-2</v>
      </c>
    </row>
    <row r="388" spans="1:4" x14ac:dyDescent="0.25">
      <c r="A388" t="s">
        <v>435</v>
      </c>
      <c r="B388">
        <v>62.73</v>
      </c>
      <c r="C388" s="6">
        <f t="shared" si="12"/>
        <v>3.3443163097199191E-2</v>
      </c>
      <c r="D388" s="6">
        <f t="shared" si="13"/>
        <v>3.2896104043199176E-2</v>
      </c>
    </row>
    <row r="389" spans="1:4" x14ac:dyDescent="0.25">
      <c r="A389" t="s">
        <v>436</v>
      </c>
      <c r="B389">
        <v>60.7</v>
      </c>
      <c r="C389" s="6">
        <f t="shared" si="12"/>
        <v>-5.2006871778853658E-2</v>
      </c>
      <c r="D389" s="6">
        <f t="shared" si="13"/>
        <v>-5.3408025465258233E-2</v>
      </c>
    </row>
    <row r="390" spans="1:4" x14ac:dyDescent="0.25">
      <c r="A390" t="s">
        <v>437</v>
      </c>
      <c r="B390">
        <v>64.03</v>
      </c>
      <c r="C390" s="6">
        <f t="shared" si="12"/>
        <v>-1.3709180529882903E-2</v>
      </c>
      <c r="D390" s="6">
        <f t="shared" si="13"/>
        <v>-1.3804019115679618E-2</v>
      </c>
    </row>
    <row r="391" spans="1:4" x14ac:dyDescent="0.25">
      <c r="A391" t="s">
        <v>438</v>
      </c>
      <c r="B391">
        <v>64.92</v>
      </c>
      <c r="C391" s="6">
        <f t="shared" si="12"/>
        <v>-1.1721723245547211E-2</v>
      </c>
      <c r="D391" s="6">
        <f t="shared" si="13"/>
        <v>-1.1790964257991055E-2</v>
      </c>
    </row>
    <row r="392" spans="1:4" x14ac:dyDescent="0.25">
      <c r="A392" t="s">
        <v>439</v>
      </c>
      <c r="B392">
        <v>65.69</v>
      </c>
      <c r="C392" s="6">
        <f t="shared" si="12"/>
        <v>1.2484586929716546E-2</v>
      </c>
      <c r="D392" s="6">
        <f t="shared" si="13"/>
        <v>1.2407297097224238E-2</v>
      </c>
    </row>
    <row r="393" spans="1:4" x14ac:dyDescent="0.25">
      <c r="A393" t="s">
        <v>440</v>
      </c>
      <c r="B393">
        <v>64.88</v>
      </c>
      <c r="C393" s="6">
        <f t="shared" si="12"/>
        <v>-1.2029846200700578E-2</v>
      </c>
      <c r="D393" s="6">
        <f t="shared" si="13"/>
        <v>-1.2102790395723888E-2</v>
      </c>
    </row>
    <row r="394" spans="1:4" x14ac:dyDescent="0.25">
      <c r="A394" t="s">
        <v>441</v>
      </c>
      <c r="B394">
        <v>65.67</v>
      </c>
      <c r="C394" s="6">
        <f t="shared" si="12"/>
        <v>1.067073170731847E-3</v>
      </c>
      <c r="D394" s="6">
        <f t="shared" si="13"/>
        <v>1.0665042528380448E-3</v>
      </c>
    </row>
    <row r="395" spans="1:4" x14ac:dyDescent="0.25">
      <c r="A395" t="s">
        <v>442</v>
      </c>
      <c r="B395">
        <v>65.599999999999994</v>
      </c>
      <c r="C395" s="6">
        <f t="shared" si="12"/>
        <v>-7.5642965204235635E-3</v>
      </c>
      <c r="D395" s="6">
        <f t="shared" si="13"/>
        <v>-7.5930509075972071E-3</v>
      </c>
    </row>
    <row r="396" spans="1:4" x14ac:dyDescent="0.25">
      <c r="A396" t="s">
        <v>443</v>
      </c>
      <c r="B396">
        <v>66.099999999999994</v>
      </c>
      <c r="C396" s="6">
        <f t="shared" si="12"/>
        <v>1.060124185976008E-3</v>
      </c>
      <c r="D396" s="6">
        <f t="shared" si="13"/>
        <v>1.0595626511605478E-3</v>
      </c>
    </row>
    <row r="397" spans="1:4" x14ac:dyDescent="0.25">
      <c r="A397" t="s">
        <v>444</v>
      </c>
      <c r="B397">
        <v>66.03</v>
      </c>
      <c r="C397" s="6">
        <f t="shared" si="12"/>
        <v>6.0615244734063545E-4</v>
      </c>
      <c r="D397" s="6">
        <f t="shared" si="13"/>
        <v>6.0596881114986399E-4</v>
      </c>
    </row>
    <row r="398" spans="1:4" x14ac:dyDescent="0.25">
      <c r="A398" t="s">
        <v>445</v>
      </c>
      <c r="B398">
        <v>65.989999999999995</v>
      </c>
      <c r="C398" s="6">
        <f t="shared" si="12"/>
        <v>-6.6235134728287459E-3</v>
      </c>
      <c r="D398" s="6">
        <f t="shared" si="13"/>
        <v>-6.645546281819752E-3</v>
      </c>
    </row>
    <row r="399" spans="1:4" x14ac:dyDescent="0.25">
      <c r="A399" t="s">
        <v>446</v>
      </c>
      <c r="B399">
        <v>66.430000000000007</v>
      </c>
      <c r="C399" s="6">
        <f t="shared" si="12"/>
        <v>-5.0921072337875017E-3</v>
      </c>
      <c r="D399" s="6">
        <f t="shared" si="13"/>
        <v>-5.1051161926275075E-3</v>
      </c>
    </row>
    <row r="400" spans="1:4" x14ac:dyDescent="0.25">
      <c r="A400" t="s">
        <v>447</v>
      </c>
      <c r="B400">
        <v>66.77</v>
      </c>
      <c r="C400" s="6">
        <f t="shared" si="12"/>
        <v>2.7031085748610018E-3</v>
      </c>
      <c r="D400" s="6">
        <f t="shared" si="13"/>
        <v>2.6994617472463514E-3</v>
      </c>
    </row>
    <row r="401" spans="1:4" x14ac:dyDescent="0.25">
      <c r="A401" t="s">
        <v>448</v>
      </c>
      <c r="B401">
        <v>66.59</v>
      </c>
      <c r="C401" s="6">
        <f t="shared" si="12"/>
        <v>1.2313773183338483E-2</v>
      </c>
      <c r="D401" s="6">
        <f t="shared" si="13"/>
        <v>1.2238575361620168E-2</v>
      </c>
    </row>
    <row r="402" spans="1:4" x14ac:dyDescent="0.25">
      <c r="A402" t="s">
        <v>449</v>
      </c>
      <c r="B402">
        <v>65.78</v>
      </c>
      <c r="C402" s="6">
        <f t="shared" si="12"/>
        <v>-6.077180188391873E-4</v>
      </c>
      <c r="D402" s="6">
        <f t="shared" si="13"/>
        <v>-6.0790275428289505E-4</v>
      </c>
    </row>
    <row r="403" spans="1:4" x14ac:dyDescent="0.25">
      <c r="A403" t="s">
        <v>450</v>
      </c>
      <c r="B403">
        <v>65.819999999999993</v>
      </c>
      <c r="C403" s="6">
        <f t="shared" si="12"/>
        <v>1.5897515048618471E-2</v>
      </c>
      <c r="D403" s="6">
        <f t="shared" si="13"/>
        <v>1.5772473053327855E-2</v>
      </c>
    </row>
    <row r="404" spans="1:4" x14ac:dyDescent="0.25">
      <c r="A404" t="s">
        <v>451</v>
      </c>
      <c r="B404">
        <v>64.790000000000006</v>
      </c>
      <c r="C404" s="6">
        <f t="shared" si="12"/>
        <v>2.596991290577999E-2</v>
      </c>
      <c r="D404" s="6">
        <f t="shared" si="13"/>
        <v>2.5638421665365865E-2</v>
      </c>
    </row>
    <row r="405" spans="1:4" x14ac:dyDescent="0.25">
      <c r="A405" t="s">
        <v>452</v>
      </c>
      <c r="B405">
        <v>63.15</v>
      </c>
      <c r="C405" s="6">
        <f t="shared" si="12"/>
        <v>-1.8342919322244633E-2</v>
      </c>
      <c r="D405" s="6">
        <f t="shared" si="13"/>
        <v>-1.8513236626408826E-2</v>
      </c>
    </row>
    <row r="406" spans="1:4" x14ac:dyDescent="0.25">
      <c r="A406" t="s">
        <v>453</v>
      </c>
      <c r="B406">
        <v>64.33</v>
      </c>
      <c r="C406" s="6">
        <f t="shared" si="12"/>
        <v>-8.0185042405550577E-3</v>
      </c>
      <c r="D406" s="6">
        <f t="shared" si="13"/>
        <v>-8.0508253395438316E-3</v>
      </c>
    </row>
    <row r="407" spans="1:4" x14ac:dyDescent="0.25">
      <c r="A407" t="s">
        <v>454</v>
      </c>
      <c r="B407">
        <v>64.849999999999994</v>
      </c>
      <c r="C407" s="6">
        <f t="shared" si="12"/>
        <v>-1.158360006096637E-2</v>
      </c>
      <c r="D407" s="6">
        <f t="shared" si="13"/>
        <v>-1.165121259433333E-2</v>
      </c>
    </row>
    <row r="408" spans="1:4" x14ac:dyDescent="0.25">
      <c r="A408" t="s">
        <v>455</v>
      </c>
      <c r="B408">
        <v>65.61</v>
      </c>
      <c r="C408" s="6">
        <f t="shared" si="12"/>
        <v>-1.1003919204100154E-2</v>
      </c>
      <c r="D408" s="6">
        <f t="shared" si="13"/>
        <v>-1.1064910162120262E-2</v>
      </c>
    </row>
    <row r="409" spans="1:4" x14ac:dyDescent="0.25">
      <c r="A409" t="s">
        <v>456</v>
      </c>
      <c r="B409">
        <v>66.34</v>
      </c>
      <c r="C409" s="6">
        <f t="shared" si="12"/>
        <v>-7.629020194465097E-3</v>
      </c>
      <c r="D409" s="6">
        <f t="shared" si="13"/>
        <v>-7.658270029045699E-3</v>
      </c>
    </row>
    <row r="410" spans="1:4" x14ac:dyDescent="0.25">
      <c r="A410" t="s">
        <v>457</v>
      </c>
      <c r="B410">
        <v>66.849999999999994</v>
      </c>
      <c r="C410" s="6">
        <f t="shared" si="12"/>
        <v>5.9871276754974723E-4</v>
      </c>
      <c r="D410" s="6">
        <f t="shared" si="13"/>
        <v>5.9853361056621602E-4</v>
      </c>
    </row>
    <row r="411" spans="1:4" x14ac:dyDescent="0.25">
      <c r="A411" t="s">
        <v>458</v>
      </c>
      <c r="B411">
        <v>66.81</v>
      </c>
      <c r="C411" s="6">
        <f t="shared" si="12"/>
        <v>-8.4594835262687962E-3</v>
      </c>
      <c r="D411" s="6">
        <f t="shared" si="13"/>
        <v>-8.495468041020738E-3</v>
      </c>
    </row>
    <row r="412" spans="1:4" x14ac:dyDescent="0.25">
      <c r="A412" t="s">
        <v>459</v>
      </c>
      <c r="B412">
        <v>67.38</v>
      </c>
      <c r="C412" s="6">
        <f t="shared" si="12"/>
        <v>0</v>
      </c>
      <c r="D412" s="6">
        <f t="shared" si="13"/>
        <v>0</v>
      </c>
    </row>
    <row r="413" spans="1:4" x14ac:dyDescent="0.25">
      <c r="A413" t="s">
        <v>460</v>
      </c>
      <c r="B413">
        <v>67.38</v>
      </c>
      <c r="C413" s="6">
        <f t="shared" si="12"/>
        <v>2.2311468094600162E-3</v>
      </c>
      <c r="D413" s="6">
        <f t="shared" si="13"/>
        <v>2.228661497461446E-3</v>
      </c>
    </row>
    <row r="414" spans="1:4" x14ac:dyDescent="0.25">
      <c r="A414" t="s">
        <v>461</v>
      </c>
      <c r="B414">
        <v>67.23</v>
      </c>
      <c r="C414" s="6">
        <f t="shared" si="12"/>
        <v>-4.46030330062408E-4</v>
      </c>
      <c r="D414" s="6">
        <f t="shared" si="13"/>
        <v>-4.4612983117818609E-4</v>
      </c>
    </row>
    <row r="415" spans="1:4" x14ac:dyDescent="0.25">
      <c r="A415" t="s">
        <v>462</v>
      </c>
      <c r="B415">
        <v>67.260000000000005</v>
      </c>
      <c r="C415" s="6">
        <f t="shared" si="12"/>
        <v>1.3398838767306742E-3</v>
      </c>
      <c r="D415" s="6">
        <f t="shared" si="13"/>
        <v>1.3389870333503839E-3</v>
      </c>
    </row>
    <row r="416" spans="1:4" x14ac:dyDescent="0.25">
      <c r="A416" t="s">
        <v>463</v>
      </c>
      <c r="B416">
        <v>67.17</v>
      </c>
      <c r="C416" s="6">
        <f t="shared" si="12"/>
        <v>-2.5108853410740206E-2</v>
      </c>
      <c r="D416" s="6">
        <f t="shared" si="13"/>
        <v>-2.5429458740839739E-2</v>
      </c>
    </row>
    <row r="417" spans="1:4" x14ac:dyDescent="0.25">
      <c r="A417" t="s">
        <v>464</v>
      </c>
      <c r="B417">
        <v>68.900000000000006</v>
      </c>
      <c r="C417" s="6">
        <f t="shared" si="12"/>
        <v>-2.1723388848658987E-3</v>
      </c>
      <c r="D417" s="6">
        <f t="shared" si="13"/>
        <v>-2.174701835688098E-3</v>
      </c>
    </row>
    <row r="418" spans="1:4" x14ac:dyDescent="0.25">
      <c r="A418" t="s">
        <v>465</v>
      </c>
      <c r="B418">
        <v>69.05</v>
      </c>
      <c r="C418" s="6">
        <f t="shared" si="12"/>
        <v>8.1763761133013535E-3</v>
      </c>
      <c r="D418" s="6">
        <f t="shared" si="13"/>
        <v>8.1431306454874137E-3</v>
      </c>
    </row>
    <row r="419" spans="1:4" x14ac:dyDescent="0.25">
      <c r="A419" t="s">
        <v>466</v>
      </c>
      <c r="B419">
        <v>68.489999999999995</v>
      </c>
      <c r="C419" s="6">
        <f t="shared" si="12"/>
        <v>9.730207872622687E-3</v>
      </c>
      <c r="D419" s="6">
        <f t="shared" si="13"/>
        <v>9.683174251825636E-3</v>
      </c>
    </row>
    <row r="420" spans="1:4" x14ac:dyDescent="0.25">
      <c r="A420" t="s">
        <v>467</v>
      </c>
      <c r="B420">
        <v>67.83</v>
      </c>
      <c r="C420" s="6">
        <f t="shared" si="12"/>
        <v>-1.912889935255957E-3</v>
      </c>
      <c r="D420" s="6">
        <f t="shared" si="13"/>
        <v>-1.9147218457430295E-3</v>
      </c>
    </row>
    <row r="421" spans="1:4" x14ac:dyDescent="0.25">
      <c r="A421" t="s">
        <v>468</v>
      </c>
      <c r="B421">
        <v>67.959999999999994</v>
      </c>
      <c r="C421" s="6">
        <f t="shared" si="12"/>
        <v>-1.1203259129928811E-2</v>
      </c>
      <c r="D421" s="6">
        <f t="shared" si="13"/>
        <v>-1.1266488329782677E-2</v>
      </c>
    </row>
    <row r="422" spans="1:4" x14ac:dyDescent="0.25">
      <c r="A422" t="s">
        <v>469</v>
      </c>
      <c r="B422">
        <v>68.73</v>
      </c>
      <c r="C422" s="6">
        <f t="shared" si="12"/>
        <v>9.9926524614255552E-3</v>
      </c>
      <c r="D422" s="6">
        <f t="shared" si="13"/>
        <v>9.943056036038898E-3</v>
      </c>
    </row>
    <row r="423" spans="1:4" x14ac:dyDescent="0.25">
      <c r="A423" t="s">
        <v>470</v>
      </c>
      <c r="B423">
        <v>68.05</v>
      </c>
      <c r="C423" s="6">
        <f t="shared" si="12"/>
        <v>-2.1994134897361795E-3</v>
      </c>
      <c r="D423" s="6">
        <f t="shared" si="13"/>
        <v>-2.2018357519414463E-3</v>
      </c>
    </row>
    <row r="424" spans="1:4" x14ac:dyDescent="0.25">
      <c r="A424" t="s">
        <v>471</v>
      </c>
      <c r="B424">
        <v>68.2</v>
      </c>
      <c r="C424" s="6">
        <f t="shared" si="12"/>
        <v>1.5485407980941224E-2</v>
      </c>
      <c r="D424" s="6">
        <f t="shared" si="13"/>
        <v>1.5366732640076529E-2</v>
      </c>
    </row>
    <row r="425" spans="1:4" x14ac:dyDescent="0.25">
      <c r="A425" t="s">
        <v>472</v>
      </c>
      <c r="B425">
        <v>67.16</v>
      </c>
      <c r="C425" s="6">
        <f t="shared" si="12"/>
        <v>4.468940861015458E-4</v>
      </c>
      <c r="D425" s="6">
        <f t="shared" si="13"/>
        <v>4.467942586798651E-4</v>
      </c>
    </row>
    <row r="426" spans="1:4" x14ac:dyDescent="0.25">
      <c r="A426" t="s">
        <v>473</v>
      </c>
      <c r="B426">
        <v>67.13</v>
      </c>
      <c r="C426" s="6">
        <f t="shared" si="12"/>
        <v>-2.8930999566034954E-2</v>
      </c>
      <c r="D426" s="6">
        <f t="shared" si="13"/>
        <v>-2.9357752006513426E-2</v>
      </c>
    </row>
    <row r="427" spans="1:4" x14ac:dyDescent="0.25">
      <c r="A427" t="s">
        <v>474</v>
      </c>
      <c r="B427">
        <v>69.13</v>
      </c>
      <c r="C427" s="6">
        <f t="shared" si="12"/>
        <v>-7.6083835773758102E-3</v>
      </c>
      <c r="D427" s="6">
        <f t="shared" si="13"/>
        <v>-7.6374749806814787E-3</v>
      </c>
    </row>
    <row r="428" spans="1:4" x14ac:dyDescent="0.25">
      <c r="A428" t="s">
        <v>475</v>
      </c>
      <c r="B428">
        <v>69.66</v>
      </c>
      <c r="C428" s="6">
        <f t="shared" si="12"/>
        <v>1.2058695336335967E-2</v>
      </c>
      <c r="D428" s="6">
        <f t="shared" si="13"/>
        <v>1.1986568527582371E-2</v>
      </c>
    </row>
    <row r="429" spans="1:4" x14ac:dyDescent="0.25">
      <c r="A429" t="s">
        <v>476</v>
      </c>
      <c r="B429">
        <v>68.83</v>
      </c>
      <c r="C429" s="6">
        <f t="shared" si="12"/>
        <v>1.3845927235233368E-2</v>
      </c>
      <c r="D429" s="6">
        <f t="shared" si="13"/>
        <v>1.3750948096717031E-2</v>
      </c>
    </row>
    <row r="430" spans="1:4" x14ac:dyDescent="0.25">
      <c r="A430" t="s">
        <v>477</v>
      </c>
      <c r="B430">
        <v>67.89</v>
      </c>
      <c r="C430" s="6">
        <f t="shared" si="12"/>
        <v>-8.3260297984223408E-3</v>
      </c>
      <c r="D430" s="6">
        <f t="shared" si="13"/>
        <v>-8.3608847884834771E-3</v>
      </c>
    </row>
    <row r="431" spans="1:4" x14ac:dyDescent="0.25">
      <c r="A431" t="s">
        <v>478</v>
      </c>
      <c r="B431">
        <v>68.459999999999994</v>
      </c>
      <c r="C431" s="6">
        <f t="shared" si="12"/>
        <v>2.9299736302370594E-3</v>
      </c>
      <c r="D431" s="6">
        <f t="shared" si="13"/>
        <v>2.9256896234780218E-3</v>
      </c>
    </row>
    <row r="432" spans="1:4" x14ac:dyDescent="0.25">
      <c r="A432" t="s">
        <v>479</v>
      </c>
      <c r="B432">
        <v>68.260000000000005</v>
      </c>
      <c r="C432" s="6">
        <f t="shared" si="12"/>
        <v>7.0817350250811373E-3</v>
      </c>
      <c r="D432" s="6">
        <f t="shared" si="13"/>
        <v>7.0567772996556971E-3</v>
      </c>
    </row>
    <row r="433" spans="1:4" x14ac:dyDescent="0.25">
      <c r="A433" t="s">
        <v>480</v>
      </c>
      <c r="B433">
        <v>67.78</v>
      </c>
      <c r="C433" s="6">
        <f t="shared" si="12"/>
        <v>-8.3394294074614628E-3</v>
      </c>
      <c r="D433" s="6">
        <f t="shared" si="13"/>
        <v>-8.3743969910531554E-3</v>
      </c>
    </row>
    <row r="434" spans="1:4" x14ac:dyDescent="0.25">
      <c r="A434" t="s">
        <v>481</v>
      </c>
      <c r="B434">
        <v>68.349999999999994</v>
      </c>
      <c r="C434" s="6">
        <f t="shared" si="12"/>
        <v>-9.7073312083454377E-3</v>
      </c>
      <c r="D434" s="6">
        <f t="shared" si="13"/>
        <v>-9.7547544998988177E-3</v>
      </c>
    </row>
    <row r="435" spans="1:4" x14ac:dyDescent="0.25">
      <c r="A435" t="s">
        <v>482</v>
      </c>
      <c r="B435">
        <v>69.02</v>
      </c>
      <c r="C435" s="6">
        <f t="shared" si="12"/>
        <v>2.267002518891692E-2</v>
      </c>
      <c r="D435" s="6">
        <f t="shared" si="13"/>
        <v>2.2416878914542273E-2</v>
      </c>
    </row>
    <row r="436" spans="1:4" x14ac:dyDescent="0.25">
      <c r="A436" t="s">
        <v>483</v>
      </c>
      <c r="B436">
        <v>67.489999999999995</v>
      </c>
      <c r="C436" s="6">
        <f t="shared" si="12"/>
        <v>-2.7661720213225771E-2</v>
      </c>
      <c r="D436" s="6">
        <f t="shared" si="13"/>
        <v>-2.805151059617722E-2</v>
      </c>
    </row>
    <row r="437" spans="1:4" x14ac:dyDescent="0.25">
      <c r="A437" t="s">
        <v>484</v>
      </c>
      <c r="B437">
        <v>69.41</v>
      </c>
      <c r="C437" s="6">
        <f t="shared" si="12"/>
        <v>-1.7273113407900276E-2</v>
      </c>
      <c r="D437" s="6">
        <f t="shared" si="13"/>
        <v>-1.7424034069338509E-2</v>
      </c>
    </row>
    <row r="438" spans="1:4" x14ac:dyDescent="0.25">
      <c r="A438" t="s">
        <v>485</v>
      </c>
      <c r="B438">
        <v>70.63</v>
      </c>
      <c r="C438" s="6">
        <f t="shared" si="12"/>
        <v>1.3197532635202958E-2</v>
      </c>
      <c r="D438" s="6">
        <f t="shared" si="13"/>
        <v>1.3111203922523516E-2</v>
      </c>
    </row>
    <row r="439" spans="1:4" x14ac:dyDescent="0.25">
      <c r="A439" t="s">
        <v>486</v>
      </c>
      <c r="B439">
        <v>69.709999999999994</v>
      </c>
      <c r="C439" s="6">
        <f t="shared" si="12"/>
        <v>-6.1305959509553309E-3</v>
      </c>
      <c r="D439" s="6">
        <f t="shared" si="13"/>
        <v>-6.149465213724792E-3</v>
      </c>
    </row>
    <row r="440" spans="1:4" x14ac:dyDescent="0.25">
      <c r="A440" t="s">
        <v>487</v>
      </c>
      <c r="B440">
        <v>70.14</v>
      </c>
      <c r="C440" s="6">
        <f t="shared" si="12"/>
        <v>3.7206639954208143E-3</v>
      </c>
      <c r="D440" s="6">
        <f t="shared" si="13"/>
        <v>3.7137594461763221E-3</v>
      </c>
    </row>
    <row r="441" spans="1:4" x14ac:dyDescent="0.25">
      <c r="A441" t="s">
        <v>488</v>
      </c>
      <c r="B441">
        <v>69.88</v>
      </c>
      <c r="C441" s="6">
        <f t="shared" si="12"/>
        <v>3.7345590347599433E-3</v>
      </c>
      <c r="D441" s="6">
        <f t="shared" si="13"/>
        <v>3.7276028825627906E-3</v>
      </c>
    </row>
    <row r="442" spans="1:4" x14ac:dyDescent="0.25">
      <c r="A442" t="s">
        <v>489</v>
      </c>
      <c r="B442">
        <v>69.62</v>
      </c>
      <c r="C442" s="6">
        <f t="shared" si="12"/>
        <v>1.3981939994174297E-2</v>
      </c>
      <c r="D442" s="6">
        <f t="shared" si="13"/>
        <v>1.3885094353746949E-2</v>
      </c>
    </row>
    <row r="443" spans="1:4" x14ac:dyDescent="0.25">
      <c r="A443" t="s">
        <v>490</v>
      </c>
      <c r="B443">
        <v>68.66</v>
      </c>
      <c r="C443" s="6">
        <f t="shared" si="12"/>
        <v>6.1547479484174161E-3</v>
      </c>
      <c r="D443" s="6">
        <f t="shared" si="13"/>
        <v>6.1358848461223843E-3</v>
      </c>
    </row>
    <row r="444" spans="1:4" x14ac:dyDescent="0.25">
      <c r="A444" t="s">
        <v>491</v>
      </c>
      <c r="B444">
        <v>68.239999999999995</v>
      </c>
      <c r="C444" s="6">
        <f t="shared" si="12"/>
        <v>-5.2478134110787167E-3</v>
      </c>
      <c r="D444" s="6">
        <f t="shared" si="13"/>
        <v>-5.2616315484158623E-3</v>
      </c>
    </row>
    <row r="445" spans="1:4" x14ac:dyDescent="0.25">
      <c r="A445" t="s">
        <v>492</v>
      </c>
      <c r="B445">
        <v>68.599999999999994</v>
      </c>
      <c r="C445" s="6">
        <f t="shared" si="12"/>
        <v>5.2754982415006424E-3</v>
      </c>
      <c r="D445" s="6">
        <f t="shared" si="13"/>
        <v>5.2616315484159187E-3</v>
      </c>
    </row>
    <row r="446" spans="1:4" x14ac:dyDescent="0.25">
      <c r="A446" t="s">
        <v>493</v>
      </c>
      <c r="B446">
        <v>68.239999999999995</v>
      </c>
      <c r="C446" s="6">
        <f t="shared" si="12"/>
        <v>-2.9222676797194813E-3</v>
      </c>
      <c r="D446" s="6">
        <f t="shared" si="13"/>
        <v>-2.9265458405690697E-3</v>
      </c>
    </row>
    <row r="447" spans="1:4" x14ac:dyDescent="0.25">
      <c r="A447" t="s">
        <v>494</v>
      </c>
      <c r="B447">
        <v>68.44</v>
      </c>
      <c r="C447" s="6">
        <f t="shared" si="12"/>
        <v>-2.3323615160348865E-3</v>
      </c>
      <c r="D447" s="6">
        <f t="shared" si="13"/>
        <v>-2.3350857078467129E-3</v>
      </c>
    </row>
    <row r="448" spans="1:4" x14ac:dyDescent="0.25">
      <c r="A448" t="s">
        <v>495</v>
      </c>
      <c r="B448">
        <v>68.599999999999994</v>
      </c>
      <c r="C448" s="6">
        <f t="shared" si="12"/>
        <v>1.0458093975548532E-2</v>
      </c>
      <c r="D448" s="6">
        <f t="shared" si="13"/>
        <v>1.0403786418283694E-2</v>
      </c>
    </row>
    <row r="449" spans="1:4" x14ac:dyDescent="0.25">
      <c r="A449" t="s">
        <v>496</v>
      </c>
      <c r="B449">
        <v>67.89</v>
      </c>
      <c r="C449" s="6">
        <f t="shared" si="12"/>
        <v>4.4385264092321464E-3</v>
      </c>
      <c r="D449" s="6">
        <f t="shared" si="13"/>
        <v>4.4287052012929509E-3</v>
      </c>
    </row>
    <row r="450" spans="1:4" x14ac:dyDescent="0.25">
      <c r="A450" t="s">
        <v>497</v>
      </c>
      <c r="B450">
        <v>67.59</v>
      </c>
      <c r="C450" s="6">
        <f t="shared" si="12"/>
        <v>-1.0540184453227908E-2</v>
      </c>
      <c r="D450" s="6">
        <f t="shared" si="13"/>
        <v>-1.0596125631495158E-2</v>
      </c>
    </row>
    <row r="451" spans="1:4" x14ac:dyDescent="0.25">
      <c r="A451" t="s">
        <v>498</v>
      </c>
      <c r="B451">
        <v>68.31</v>
      </c>
      <c r="C451" s="6">
        <f t="shared" ref="C451:C514" si="14">(B451/B452)-1</f>
        <v>-4.0822277299897847E-3</v>
      </c>
      <c r="D451" s="6">
        <f t="shared" ref="D451:D514" si="15">LN(B451/B452)</f>
        <v>-4.0905827674720613E-3</v>
      </c>
    </row>
    <row r="452" spans="1:4" x14ac:dyDescent="0.25">
      <c r="A452" t="s">
        <v>499</v>
      </c>
      <c r="B452">
        <v>68.59</v>
      </c>
      <c r="C452" s="6">
        <f t="shared" si="14"/>
        <v>-1.4794599253088236E-2</v>
      </c>
      <c r="D452" s="6">
        <f t="shared" si="15"/>
        <v>-1.4905130872062874E-2</v>
      </c>
    </row>
    <row r="453" spans="1:4" x14ac:dyDescent="0.25">
      <c r="A453" t="s">
        <v>500</v>
      </c>
      <c r="B453">
        <v>69.62</v>
      </c>
      <c r="C453" s="6">
        <f t="shared" si="14"/>
        <v>7.5253256150507042E-3</v>
      </c>
      <c r="D453" s="6">
        <f t="shared" si="15"/>
        <v>7.4971516096686824E-3</v>
      </c>
    </row>
    <row r="454" spans="1:4" x14ac:dyDescent="0.25">
      <c r="A454" t="s">
        <v>501</v>
      </c>
      <c r="B454">
        <v>69.099999999999994</v>
      </c>
      <c r="C454" s="6">
        <f t="shared" si="14"/>
        <v>4.5064689635119226E-3</v>
      </c>
      <c r="D454" s="6">
        <f t="shared" si="15"/>
        <v>4.4963452357012343E-3</v>
      </c>
    </row>
    <row r="455" spans="1:4" x14ac:dyDescent="0.25">
      <c r="A455" t="s">
        <v>502</v>
      </c>
      <c r="B455">
        <v>68.790000000000006</v>
      </c>
      <c r="C455" s="6">
        <f t="shared" si="14"/>
        <v>1.1171541966779497E-2</v>
      </c>
      <c r="D455" s="6">
        <f t="shared" si="15"/>
        <v>1.110960118095349E-2</v>
      </c>
    </row>
    <row r="456" spans="1:4" x14ac:dyDescent="0.25">
      <c r="A456" t="s">
        <v>503</v>
      </c>
      <c r="B456">
        <v>68.03</v>
      </c>
      <c r="C456" s="6">
        <f t="shared" si="14"/>
        <v>-5.8453894490720915E-3</v>
      </c>
      <c r="D456" s="6">
        <f t="shared" si="15"/>
        <v>-5.8625406074369942E-3</v>
      </c>
    </row>
    <row r="457" spans="1:4" x14ac:dyDescent="0.25">
      <c r="A457" t="s">
        <v>504</v>
      </c>
      <c r="B457">
        <v>68.430000000000007</v>
      </c>
      <c r="C457" s="6">
        <f t="shared" si="14"/>
        <v>-5.6669572798603296E-3</v>
      </c>
      <c r="D457" s="6">
        <f t="shared" si="15"/>
        <v>-5.6830754049277919E-3</v>
      </c>
    </row>
    <row r="458" spans="1:4" x14ac:dyDescent="0.25">
      <c r="A458" t="s">
        <v>505</v>
      </c>
      <c r="B458">
        <v>68.819999999999993</v>
      </c>
      <c r="C458" s="6">
        <f t="shared" si="14"/>
        <v>-1.885424220449794E-3</v>
      </c>
      <c r="D458" s="6">
        <f t="shared" si="15"/>
        <v>-1.8872038699766886E-3</v>
      </c>
    </row>
    <row r="459" spans="1:4" x14ac:dyDescent="0.25">
      <c r="A459" t="s">
        <v>506</v>
      </c>
      <c r="B459">
        <v>68.95</v>
      </c>
      <c r="C459" s="6">
        <f t="shared" si="14"/>
        <v>1.8163024217365598E-2</v>
      </c>
      <c r="D459" s="6">
        <f t="shared" si="15"/>
        <v>1.8000046974376228E-2</v>
      </c>
    </row>
    <row r="460" spans="1:4" x14ac:dyDescent="0.25">
      <c r="A460" t="s">
        <v>507</v>
      </c>
      <c r="B460">
        <v>67.72</v>
      </c>
      <c r="C460" s="6">
        <f t="shared" si="14"/>
        <v>-5.1417658292932655E-3</v>
      </c>
      <c r="D460" s="6">
        <f t="shared" si="15"/>
        <v>-5.155030194925375E-3</v>
      </c>
    </row>
    <row r="461" spans="1:4" x14ac:dyDescent="0.25">
      <c r="A461" t="s">
        <v>508</v>
      </c>
      <c r="B461">
        <v>68.069999999999993</v>
      </c>
      <c r="C461" s="6">
        <f t="shared" si="14"/>
        <v>-6.277372262773806E-3</v>
      </c>
      <c r="D461" s="6">
        <f t="shared" si="15"/>
        <v>-6.2971578083196389E-3</v>
      </c>
    </row>
    <row r="462" spans="1:4" x14ac:dyDescent="0.25">
      <c r="A462" t="s">
        <v>509</v>
      </c>
      <c r="B462">
        <v>68.5</v>
      </c>
      <c r="C462" s="6">
        <f t="shared" si="14"/>
        <v>-1.7921146953404965E-2</v>
      </c>
      <c r="D462" s="6">
        <f t="shared" si="15"/>
        <v>-1.8083675433295351E-2</v>
      </c>
    </row>
    <row r="463" spans="1:4" x14ac:dyDescent="0.25">
      <c r="A463" t="s">
        <v>510</v>
      </c>
      <c r="B463">
        <v>69.75</v>
      </c>
      <c r="C463" s="6">
        <f t="shared" si="14"/>
        <v>1.8843120070114017E-2</v>
      </c>
      <c r="D463" s="6">
        <f t="shared" si="15"/>
        <v>1.8667787599435819E-2</v>
      </c>
    </row>
    <row r="464" spans="1:4" x14ac:dyDescent="0.25">
      <c r="A464" t="s">
        <v>511</v>
      </c>
      <c r="B464">
        <v>68.459999999999994</v>
      </c>
      <c r="C464" s="6">
        <f t="shared" si="14"/>
        <v>1.107665042091277E-2</v>
      </c>
      <c r="D464" s="6">
        <f t="shared" si="15"/>
        <v>1.1015753604485309E-2</v>
      </c>
    </row>
    <row r="465" spans="1:4" x14ac:dyDescent="0.25">
      <c r="A465" t="s">
        <v>512</v>
      </c>
      <c r="B465">
        <v>67.709999999999994</v>
      </c>
      <c r="C465" s="6">
        <f t="shared" si="14"/>
        <v>-2.210433244916099E-3</v>
      </c>
      <c r="D465" s="6">
        <f t="shared" si="15"/>
        <v>-2.2128798585301667E-3</v>
      </c>
    </row>
    <row r="466" spans="1:4" x14ac:dyDescent="0.25">
      <c r="A466" t="s">
        <v>513</v>
      </c>
      <c r="B466">
        <v>67.86</v>
      </c>
      <c r="C466" s="6">
        <f t="shared" si="14"/>
        <v>-6.2966759408406014E-3</v>
      </c>
      <c r="D466" s="6">
        <f t="shared" si="15"/>
        <v>-6.3165836169138704E-3</v>
      </c>
    </row>
    <row r="467" spans="1:4" x14ac:dyDescent="0.25">
      <c r="A467" t="s">
        <v>514</v>
      </c>
      <c r="B467">
        <v>68.290000000000006</v>
      </c>
      <c r="C467" s="6">
        <f t="shared" si="14"/>
        <v>9.0130023640662138E-3</v>
      </c>
      <c r="D467" s="6">
        <f t="shared" si="15"/>
        <v>8.9726276750300687E-3</v>
      </c>
    </row>
    <row r="468" spans="1:4" x14ac:dyDescent="0.25">
      <c r="A468" t="s">
        <v>515</v>
      </c>
      <c r="B468">
        <v>67.680000000000007</v>
      </c>
      <c r="C468" s="6">
        <f t="shared" si="14"/>
        <v>-1.9556714471968606E-2</v>
      </c>
      <c r="D468" s="6">
        <f t="shared" si="15"/>
        <v>-1.9750477417416257E-2</v>
      </c>
    </row>
    <row r="469" spans="1:4" x14ac:dyDescent="0.25">
      <c r="A469" t="s">
        <v>516</v>
      </c>
      <c r="B469">
        <v>69.03</v>
      </c>
      <c r="C469" s="6">
        <f t="shared" si="14"/>
        <v>1.3358778625954137E-2</v>
      </c>
      <c r="D469" s="6">
        <f t="shared" si="15"/>
        <v>1.327033692089661E-2</v>
      </c>
    </row>
    <row r="470" spans="1:4" x14ac:dyDescent="0.25">
      <c r="A470" t="s">
        <v>517</v>
      </c>
      <c r="B470">
        <v>68.12</v>
      </c>
      <c r="C470" s="6">
        <f t="shared" si="14"/>
        <v>-2.6857142857142802E-2</v>
      </c>
      <c r="D470" s="6">
        <f t="shared" si="15"/>
        <v>-2.7224386254871401E-2</v>
      </c>
    </row>
    <row r="471" spans="1:4" x14ac:dyDescent="0.25">
      <c r="A471" t="s">
        <v>518</v>
      </c>
      <c r="B471">
        <v>70</v>
      </c>
      <c r="C471" s="6">
        <f t="shared" si="14"/>
        <v>2.2345552796845247E-2</v>
      </c>
      <c r="D471" s="6">
        <f t="shared" si="15"/>
        <v>2.2099548916387362E-2</v>
      </c>
    </row>
    <row r="472" spans="1:4" x14ac:dyDescent="0.25">
      <c r="A472" t="s">
        <v>519</v>
      </c>
      <c r="B472">
        <v>68.47</v>
      </c>
      <c r="C472" s="6">
        <f t="shared" si="14"/>
        <v>2.6075228532893568E-2</v>
      </c>
      <c r="D472" s="6">
        <f t="shared" si="15"/>
        <v>2.5741066217456185E-2</v>
      </c>
    </row>
    <row r="473" spans="1:4" x14ac:dyDescent="0.25">
      <c r="A473" t="s">
        <v>520</v>
      </c>
      <c r="B473">
        <v>66.73</v>
      </c>
      <c r="C473" s="6">
        <f t="shared" si="14"/>
        <v>-4.029850746268604E-3</v>
      </c>
      <c r="D473" s="6">
        <f t="shared" si="15"/>
        <v>-4.0379924754508261E-3</v>
      </c>
    </row>
    <row r="474" spans="1:4" x14ac:dyDescent="0.25">
      <c r="A474" t="s">
        <v>521</v>
      </c>
      <c r="B474">
        <v>67</v>
      </c>
      <c r="C474" s="6">
        <f t="shared" si="14"/>
        <v>-6.9660589891803459E-3</v>
      </c>
      <c r="D474" s="6">
        <f t="shared" si="15"/>
        <v>-6.9904352483679162E-3</v>
      </c>
    </row>
    <row r="475" spans="1:4" x14ac:dyDescent="0.25">
      <c r="A475" t="s">
        <v>522</v>
      </c>
      <c r="B475">
        <v>67.47</v>
      </c>
      <c r="C475" s="6">
        <f t="shared" si="14"/>
        <v>-1.0993843447669294E-2</v>
      </c>
      <c r="D475" s="6">
        <f t="shared" si="15"/>
        <v>-1.1054722351165653E-2</v>
      </c>
    </row>
    <row r="476" spans="1:4" x14ac:dyDescent="0.25">
      <c r="A476" t="s">
        <v>523</v>
      </c>
      <c r="B476">
        <v>68.22</v>
      </c>
      <c r="C476" s="6">
        <f t="shared" si="14"/>
        <v>-2.067183462532296E-2</v>
      </c>
      <c r="D476" s="6">
        <f t="shared" si="15"/>
        <v>-2.0888487947355421E-2</v>
      </c>
    </row>
    <row r="477" spans="1:4" x14ac:dyDescent="0.25">
      <c r="A477" t="s">
        <v>524</v>
      </c>
      <c r="B477">
        <v>69.66</v>
      </c>
      <c r="C477" s="6">
        <f t="shared" si="14"/>
        <v>2.0138089758343636E-3</v>
      </c>
      <c r="D477" s="6">
        <f t="shared" si="15"/>
        <v>2.0117839807186032E-3</v>
      </c>
    </row>
    <row r="478" spans="1:4" x14ac:dyDescent="0.25">
      <c r="A478" t="s">
        <v>525</v>
      </c>
      <c r="B478">
        <v>69.52</v>
      </c>
      <c r="C478" s="6">
        <f t="shared" si="14"/>
        <v>3.8989169675089919E-3</v>
      </c>
      <c r="D478" s="6">
        <f t="shared" si="15"/>
        <v>3.8913358896886839E-3</v>
      </c>
    </row>
    <row r="479" spans="1:4" x14ac:dyDescent="0.25">
      <c r="A479" t="s">
        <v>526</v>
      </c>
      <c r="B479">
        <v>69.25</v>
      </c>
      <c r="C479" s="6">
        <f t="shared" si="14"/>
        <v>2.8974739970282437E-2</v>
      </c>
      <c r="D479" s="6">
        <f t="shared" si="15"/>
        <v>2.8562908416765877E-2</v>
      </c>
    </row>
    <row r="480" spans="1:4" x14ac:dyDescent="0.25">
      <c r="A480" t="s">
        <v>527</v>
      </c>
      <c r="B480">
        <v>67.3</v>
      </c>
      <c r="C480" s="6">
        <f t="shared" si="14"/>
        <v>1.0965900555806041E-2</v>
      </c>
      <c r="D480" s="6">
        <f t="shared" si="15"/>
        <v>1.0906211038069999E-2</v>
      </c>
    </row>
    <row r="481" spans="1:4" x14ac:dyDescent="0.25">
      <c r="A481" t="s">
        <v>528</v>
      </c>
      <c r="B481">
        <v>66.569999999999993</v>
      </c>
      <c r="C481" s="6">
        <f t="shared" si="14"/>
        <v>-9.6697411484677476E-3</v>
      </c>
      <c r="D481" s="6">
        <f t="shared" si="15"/>
        <v>-9.716796684347391E-3</v>
      </c>
    </row>
    <row r="482" spans="1:4" x14ac:dyDescent="0.25">
      <c r="A482" t="s">
        <v>529</v>
      </c>
      <c r="B482">
        <v>67.22</v>
      </c>
      <c r="C482" s="6">
        <f t="shared" si="14"/>
        <v>-1.6820242796548257E-2</v>
      </c>
      <c r="D482" s="6">
        <f t="shared" si="15"/>
        <v>-1.6963309628743043E-2</v>
      </c>
    </row>
    <row r="483" spans="1:4" x14ac:dyDescent="0.25">
      <c r="A483" t="s">
        <v>530</v>
      </c>
      <c r="B483">
        <v>68.37</v>
      </c>
      <c r="C483" s="6">
        <f t="shared" si="14"/>
        <v>-7.692307692307665E-3</v>
      </c>
      <c r="D483" s="6">
        <f t="shared" si="15"/>
        <v>-7.7220460939102778E-3</v>
      </c>
    </row>
    <row r="484" spans="1:4" x14ac:dyDescent="0.25">
      <c r="A484" t="s">
        <v>531</v>
      </c>
      <c r="B484">
        <v>68.900000000000006</v>
      </c>
      <c r="C484" s="6">
        <f t="shared" si="14"/>
        <v>5.9862753686670267E-3</v>
      </c>
      <c r="D484" s="6">
        <f t="shared" si="15"/>
        <v>5.9684288097991024E-3</v>
      </c>
    </row>
    <row r="485" spans="1:4" x14ac:dyDescent="0.25">
      <c r="A485" t="s">
        <v>532</v>
      </c>
      <c r="B485">
        <v>68.489999999999995</v>
      </c>
      <c r="C485" s="6">
        <f t="shared" si="14"/>
        <v>-2.1990575467656814E-2</v>
      </c>
      <c r="D485" s="6">
        <f t="shared" si="15"/>
        <v>-2.2235972457612607E-2</v>
      </c>
    </row>
    <row r="486" spans="1:4" x14ac:dyDescent="0.25">
      <c r="A486" t="s">
        <v>533</v>
      </c>
      <c r="B486">
        <v>70.03</v>
      </c>
      <c r="C486" s="6">
        <f t="shared" si="14"/>
        <v>-7.7925758005100709E-3</v>
      </c>
      <c r="D486" s="6">
        <f t="shared" si="15"/>
        <v>-7.8230965796976595E-3</v>
      </c>
    </row>
    <row r="487" spans="1:4" x14ac:dyDescent="0.25">
      <c r="A487" t="s">
        <v>534</v>
      </c>
      <c r="B487">
        <v>70.58</v>
      </c>
      <c r="C487" s="6">
        <f t="shared" si="14"/>
        <v>-7.1740047826699405E-3</v>
      </c>
      <c r="D487" s="6">
        <f t="shared" si="15"/>
        <v>-7.1998616942678109E-3</v>
      </c>
    </row>
    <row r="488" spans="1:4" x14ac:dyDescent="0.25">
      <c r="A488" t="s">
        <v>535</v>
      </c>
      <c r="B488">
        <v>71.09</v>
      </c>
      <c r="C488" s="6">
        <f t="shared" si="14"/>
        <v>6.7979039796064455E-3</v>
      </c>
      <c r="D488" s="6">
        <f t="shared" si="15"/>
        <v>6.7749024131364133E-3</v>
      </c>
    </row>
    <row r="489" spans="1:4" x14ac:dyDescent="0.25">
      <c r="A489" t="s">
        <v>536</v>
      </c>
      <c r="B489">
        <v>70.61</v>
      </c>
      <c r="C489" s="6">
        <f t="shared" si="14"/>
        <v>-1.9850083287062836E-2</v>
      </c>
      <c r="D489" s="6">
        <f t="shared" si="15"/>
        <v>-2.004974277949995E-2</v>
      </c>
    </row>
    <row r="490" spans="1:4" x14ac:dyDescent="0.25">
      <c r="A490" t="s">
        <v>537</v>
      </c>
      <c r="B490">
        <v>72.040000000000006</v>
      </c>
      <c r="C490" s="6">
        <f t="shared" si="14"/>
        <v>-1.1092623405435376E-3</v>
      </c>
      <c r="D490" s="6">
        <f t="shared" si="15"/>
        <v>-1.1098780273611913E-3</v>
      </c>
    </row>
    <row r="491" spans="1:4" x14ac:dyDescent="0.25">
      <c r="A491" t="s">
        <v>538</v>
      </c>
      <c r="B491">
        <v>72.12</v>
      </c>
      <c r="C491" s="6">
        <f t="shared" si="14"/>
        <v>2.7739251040226343E-4</v>
      </c>
      <c r="D491" s="6">
        <f t="shared" si="15"/>
        <v>2.7735404421317387E-4</v>
      </c>
    </row>
    <row r="492" spans="1:4" x14ac:dyDescent="0.25">
      <c r="A492" t="s">
        <v>539</v>
      </c>
      <c r="B492">
        <v>72.099999999999994</v>
      </c>
      <c r="C492" s="6">
        <f t="shared" si="14"/>
        <v>-1.0702524698133931E-2</v>
      </c>
      <c r="D492" s="6">
        <f t="shared" si="15"/>
        <v>-1.07602086607995E-2</v>
      </c>
    </row>
    <row r="493" spans="1:4" x14ac:dyDescent="0.25">
      <c r="A493" t="s">
        <v>540</v>
      </c>
      <c r="B493">
        <v>72.88</v>
      </c>
      <c r="C493" s="6">
        <f t="shared" si="14"/>
        <v>1.9246631839429096E-3</v>
      </c>
      <c r="D493" s="6">
        <f t="shared" si="15"/>
        <v>1.9228133928600045E-3</v>
      </c>
    </row>
    <row r="494" spans="1:4" x14ac:dyDescent="0.25">
      <c r="A494" t="s">
        <v>541</v>
      </c>
      <c r="B494">
        <v>72.739999999999995</v>
      </c>
      <c r="C494" s="6">
        <f t="shared" si="14"/>
        <v>-1.7292623615239089E-2</v>
      </c>
      <c r="D494" s="6">
        <f t="shared" si="15"/>
        <v>-1.7443887399166906E-2</v>
      </c>
    </row>
    <row r="495" spans="1:4" x14ac:dyDescent="0.25">
      <c r="A495" t="s">
        <v>542</v>
      </c>
      <c r="B495">
        <v>74.02</v>
      </c>
      <c r="C495" s="6">
        <f t="shared" si="14"/>
        <v>1.3528138528138278E-3</v>
      </c>
      <c r="D495" s="6">
        <f t="shared" si="15"/>
        <v>1.3518996245811723E-3</v>
      </c>
    </row>
    <row r="496" spans="1:4" x14ac:dyDescent="0.25">
      <c r="A496" t="s">
        <v>543</v>
      </c>
      <c r="B496">
        <v>73.92</v>
      </c>
      <c r="C496" s="6">
        <f t="shared" si="14"/>
        <v>-1.2688660344597369E-2</v>
      </c>
      <c r="D496" s="6">
        <f t="shared" si="15"/>
        <v>-1.2769848909165193E-2</v>
      </c>
    </row>
    <row r="497" spans="1:4" x14ac:dyDescent="0.25">
      <c r="A497" t="s">
        <v>544</v>
      </c>
      <c r="B497">
        <v>74.87</v>
      </c>
      <c r="C497" s="6">
        <f t="shared" si="14"/>
        <v>1.7808591625883663E-2</v>
      </c>
      <c r="D497" s="6">
        <f t="shared" si="15"/>
        <v>1.7651876506473534E-2</v>
      </c>
    </row>
    <row r="498" spans="1:4" x14ac:dyDescent="0.25">
      <c r="A498" t="s">
        <v>545</v>
      </c>
      <c r="B498">
        <v>73.56</v>
      </c>
      <c r="C498" s="6">
        <f t="shared" si="14"/>
        <v>9.7460535346602928E-3</v>
      </c>
      <c r="D498" s="6">
        <f t="shared" si="15"/>
        <v>9.6988670949065339E-3</v>
      </c>
    </row>
    <row r="499" spans="1:4" x14ac:dyDescent="0.25">
      <c r="A499" t="s">
        <v>546</v>
      </c>
      <c r="B499">
        <v>72.849999999999994</v>
      </c>
      <c r="C499" s="6">
        <f t="shared" si="14"/>
        <v>6.0765087695069386E-3</v>
      </c>
      <c r="D499" s="6">
        <f t="shared" si="15"/>
        <v>6.0581212404844141E-3</v>
      </c>
    </row>
    <row r="500" spans="1:4" x14ac:dyDescent="0.25">
      <c r="A500" t="s">
        <v>547</v>
      </c>
      <c r="B500">
        <v>72.41</v>
      </c>
      <c r="C500" s="6">
        <f t="shared" si="14"/>
        <v>9.7615395342351974E-3</v>
      </c>
      <c r="D500" s="6">
        <f t="shared" si="15"/>
        <v>9.7142035062459681E-3</v>
      </c>
    </row>
    <row r="501" spans="1:4" x14ac:dyDescent="0.25">
      <c r="A501" t="s">
        <v>548</v>
      </c>
      <c r="B501">
        <v>71.709999999999994</v>
      </c>
      <c r="C501" s="6">
        <f t="shared" si="14"/>
        <v>-4.8570635581460797E-3</v>
      </c>
      <c r="D501" s="6">
        <f t="shared" si="15"/>
        <v>-4.8688974254637602E-3</v>
      </c>
    </row>
    <row r="502" spans="1:4" x14ac:dyDescent="0.25">
      <c r="A502" t="s">
        <v>549</v>
      </c>
      <c r="B502">
        <v>72.06</v>
      </c>
      <c r="C502" s="6">
        <f t="shared" si="14"/>
        <v>-1.6625103906899863E-3</v>
      </c>
      <c r="D502" s="6">
        <f t="shared" si="15"/>
        <v>-1.6638938946953808E-3</v>
      </c>
    </row>
    <row r="503" spans="1:4" x14ac:dyDescent="0.25">
      <c r="A503" t="s">
        <v>550</v>
      </c>
      <c r="B503">
        <v>72.180000000000007</v>
      </c>
      <c r="C503" s="6">
        <f t="shared" si="14"/>
        <v>-4.2764519244031796E-3</v>
      </c>
      <c r="D503" s="6">
        <f t="shared" si="15"/>
        <v>-4.2856220981436982E-3</v>
      </c>
    </row>
    <row r="504" spans="1:4" x14ac:dyDescent="0.25">
      <c r="A504" t="s">
        <v>551</v>
      </c>
      <c r="B504">
        <v>72.489999999999995</v>
      </c>
      <c r="C504" s="6">
        <f t="shared" si="14"/>
        <v>8.0656376025587395E-3</v>
      </c>
      <c r="D504" s="6">
        <f t="shared" si="15"/>
        <v>8.0332841983836983E-3</v>
      </c>
    </row>
    <row r="505" spans="1:4" x14ac:dyDescent="0.25">
      <c r="A505" t="s">
        <v>552</v>
      </c>
      <c r="B505">
        <v>71.91</v>
      </c>
      <c r="C505" s="6">
        <f t="shared" si="14"/>
        <v>-4.8436202601717104E-3</v>
      </c>
      <c r="D505" s="6">
        <f t="shared" si="15"/>
        <v>-4.8553886050915918E-3</v>
      </c>
    </row>
    <row r="506" spans="1:4" x14ac:dyDescent="0.25">
      <c r="A506" t="s">
        <v>553</v>
      </c>
      <c r="B506">
        <v>72.260000000000005</v>
      </c>
      <c r="C506" s="6">
        <f t="shared" si="14"/>
        <v>-2.4848150193262919E-3</v>
      </c>
      <c r="D506" s="6">
        <f t="shared" si="15"/>
        <v>-2.4879072957184199E-3</v>
      </c>
    </row>
    <row r="507" spans="1:4" x14ac:dyDescent="0.25">
      <c r="A507" t="s">
        <v>554</v>
      </c>
      <c r="B507">
        <v>72.44</v>
      </c>
      <c r="C507" s="6">
        <f t="shared" si="14"/>
        <v>6.6703724291272692E-3</v>
      </c>
      <c r="D507" s="6">
        <f t="shared" si="15"/>
        <v>6.6482239328802548E-3</v>
      </c>
    </row>
    <row r="508" spans="1:4" x14ac:dyDescent="0.25">
      <c r="A508" t="s">
        <v>555</v>
      </c>
      <c r="B508">
        <v>71.959999999999994</v>
      </c>
      <c r="C508" s="6">
        <f t="shared" si="14"/>
        <v>1.0674157303370624E-2</v>
      </c>
      <c r="D508" s="6">
        <f t="shared" si="15"/>
        <v>1.0617590664402111E-2</v>
      </c>
    </row>
    <row r="509" spans="1:4" x14ac:dyDescent="0.25">
      <c r="A509" t="s">
        <v>556</v>
      </c>
      <c r="B509">
        <v>71.2</v>
      </c>
      <c r="C509" s="6">
        <f t="shared" si="14"/>
        <v>1.0932841118841408E-2</v>
      </c>
      <c r="D509" s="6">
        <f t="shared" si="15"/>
        <v>1.0873509660611107E-2</v>
      </c>
    </row>
    <row r="510" spans="1:4" x14ac:dyDescent="0.25">
      <c r="A510" t="s">
        <v>557</v>
      </c>
      <c r="B510">
        <v>70.430000000000007</v>
      </c>
      <c r="C510" s="6">
        <f t="shared" si="14"/>
        <v>7.1500071500072426E-3</v>
      </c>
      <c r="D510" s="6">
        <f t="shared" si="15"/>
        <v>7.1245670415436158E-3</v>
      </c>
    </row>
    <row r="511" spans="1:4" x14ac:dyDescent="0.25">
      <c r="A511" t="s">
        <v>558</v>
      </c>
      <c r="B511">
        <v>69.930000000000007</v>
      </c>
      <c r="C511" s="6">
        <f t="shared" si="14"/>
        <v>-2.1404109589039377E-3</v>
      </c>
      <c r="D511" s="6">
        <f t="shared" si="15"/>
        <v>-2.1427049123603718E-3</v>
      </c>
    </row>
    <row r="512" spans="1:4" x14ac:dyDescent="0.25">
      <c r="A512" t="s">
        <v>559</v>
      </c>
      <c r="B512">
        <v>70.08</v>
      </c>
      <c r="C512" s="6">
        <f t="shared" si="14"/>
        <v>-2.7038565532944148E-3</v>
      </c>
      <c r="D512" s="6">
        <f t="shared" si="15"/>
        <v>-2.707518575970326E-3</v>
      </c>
    </row>
    <row r="513" spans="1:4" x14ac:dyDescent="0.25">
      <c r="A513" t="s">
        <v>560</v>
      </c>
      <c r="B513">
        <v>70.27</v>
      </c>
      <c r="C513" s="6">
        <f t="shared" si="14"/>
        <v>-3.4037725145370512E-3</v>
      </c>
      <c r="D513" s="6">
        <f t="shared" si="15"/>
        <v>-3.4095785268429758E-3</v>
      </c>
    </row>
    <row r="514" spans="1:4" x14ac:dyDescent="0.25">
      <c r="A514" t="s">
        <v>561</v>
      </c>
      <c r="B514">
        <v>70.510000000000005</v>
      </c>
      <c r="C514" s="6">
        <f t="shared" si="14"/>
        <v>-3.8146369030799265E-3</v>
      </c>
      <c r="D514" s="6">
        <f t="shared" si="15"/>
        <v>-3.8219311863680661E-3</v>
      </c>
    </row>
    <row r="515" spans="1:4" x14ac:dyDescent="0.25">
      <c r="A515" t="s">
        <v>562</v>
      </c>
      <c r="B515">
        <v>70.78</v>
      </c>
      <c r="C515" s="6">
        <f t="shared" ref="C515:C578" si="16">(B515/B516)-1</f>
        <v>-2.9581631215663817E-3</v>
      </c>
      <c r="D515" s="6">
        <f t="shared" ref="D515:D578" si="17">LN(B515/B516)</f>
        <v>-2.9625471339771686E-3</v>
      </c>
    </row>
    <row r="516" spans="1:4" x14ac:dyDescent="0.25">
      <c r="A516" t="s">
        <v>563</v>
      </c>
      <c r="B516">
        <v>70.989999999999995</v>
      </c>
      <c r="C516" s="6">
        <f t="shared" si="16"/>
        <v>-3.2294299354114209E-3</v>
      </c>
      <c r="D516" s="6">
        <f t="shared" si="17"/>
        <v>-3.2346557983371632E-3</v>
      </c>
    </row>
    <row r="517" spans="1:4" x14ac:dyDescent="0.25">
      <c r="A517" t="s">
        <v>564</v>
      </c>
      <c r="B517">
        <v>71.22</v>
      </c>
      <c r="C517" s="6">
        <f t="shared" si="16"/>
        <v>9.6399206124184733E-3</v>
      </c>
      <c r="D517" s="6">
        <f t="shared" si="17"/>
        <v>9.5937530417257218E-3</v>
      </c>
    </row>
    <row r="518" spans="1:4" x14ac:dyDescent="0.25">
      <c r="A518" t="s">
        <v>565</v>
      </c>
      <c r="B518">
        <v>70.540000000000006</v>
      </c>
      <c r="C518" s="6">
        <f t="shared" si="16"/>
        <v>2.9859235034837006E-3</v>
      </c>
      <c r="D518" s="6">
        <f t="shared" si="17"/>
        <v>2.9814744879791688E-3</v>
      </c>
    </row>
    <row r="519" spans="1:4" x14ac:dyDescent="0.25">
      <c r="A519" t="s">
        <v>566</v>
      </c>
      <c r="B519">
        <v>70.33</v>
      </c>
      <c r="C519" s="6">
        <f t="shared" si="16"/>
        <v>-1.6638702460850086E-2</v>
      </c>
      <c r="D519" s="6">
        <f t="shared" si="17"/>
        <v>-1.6778680545331787E-2</v>
      </c>
    </row>
    <row r="520" spans="1:4" x14ac:dyDescent="0.25">
      <c r="A520" t="s">
        <v>567</v>
      </c>
      <c r="B520">
        <v>71.52</v>
      </c>
      <c r="C520" s="6">
        <f t="shared" si="16"/>
        <v>-1.2700165654334628E-2</v>
      </c>
      <c r="D520" s="6">
        <f t="shared" si="17"/>
        <v>-1.2781502149953937E-2</v>
      </c>
    </row>
    <row r="521" spans="1:4" x14ac:dyDescent="0.25">
      <c r="A521" t="s">
        <v>568</v>
      </c>
      <c r="B521">
        <v>72.44</v>
      </c>
      <c r="C521" s="6">
        <f t="shared" si="16"/>
        <v>5.6920727474663035E-3</v>
      </c>
      <c r="D521" s="6">
        <f t="shared" si="17"/>
        <v>5.6759341139410594E-3</v>
      </c>
    </row>
    <row r="522" spans="1:4" x14ac:dyDescent="0.25">
      <c r="A522" t="s">
        <v>569</v>
      </c>
      <c r="B522">
        <v>72.03</v>
      </c>
      <c r="C522" s="6">
        <f t="shared" si="16"/>
        <v>-2.0000000000000018E-2</v>
      </c>
      <c r="D522" s="6">
        <f t="shared" si="17"/>
        <v>-2.0202707317519466E-2</v>
      </c>
    </row>
    <row r="523" spans="1:4" x14ac:dyDescent="0.25">
      <c r="A523" t="s">
        <v>570</v>
      </c>
      <c r="B523">
        <v>73.5</v>
      </c>
      <c r="C523" s="6">
        <f t="shared" si="16"/>
        <v>3.6870135190494313E-3</v>
      </c>
      <c r="D523" s="6">
        <f t="shared" si="17"/>
        <v>3.6802331458124617E-3</v>
      </c>
    </row>
    <row r="524" spans="1:4" x14ac:dyDescent="0.25">
      <c r="A524" t="s">
        <v>571</v>
      </c>
      <c r="B524">
        <v>73.23</v>
      </c>
      <c r="C524" s="6">
        <f t="shared" si="16"/>
        <v>-1.000405569825602E-2</v>
      </c>
      <c r="D524" s="6">
        <f t="shared" si="17"/>
        <v>-1.0054432526797866E-2</v>
      </c>
    </row>
    <row r="525" spans="1:4" x14ac:dyDescent="0.25">
      <c r="A525" t="s">
        <v>572</v>
      </c>
      <c r="B525">
        <v>73.97</v>
      </c>
      <c r="C525" s="6">
        <f t="shared" si="16"/>
        <v>5.8471580092465114E-3</v>
      </c>
      <c r="D525" s="6">
        <f t="shared" si="17"/>
        <v>5.8301297266501843E-3</v>
      </c>
    </row>
    <row r="526" spans="1:4" x14ac:dyDescent="0.25">
      <c r="A526" t="s">
        <v>573</v>
      </c>
      <c r="B526">
        <v>73.540000000000006</v>
      </c>
      <c r="C526" s="6">
        <f t="shared" si="16"/>
        <v>8.2259391280505856E-3</v>
      </c>
      <c r="D526" s="6">
        <f t="shared" si="17"/>
        <v>8.1922904925919148E-3</v>
      </c>
    </row>
    <row r="527" spans="1:4" x14ac:dyDescent="0.25">
      <c r="A527" t="s">
        <v>574</v>
      </c>
      <c r="B527">
        <v>72.94</v>
      </c>
      <c r="C527" s="6">
        <f t="shared" si="16"/>
        <v>9.8297106465456974E-3</v>
      </c>
      <c r="D527" s="6">
        <f t="shared" si="17"/>
        <v>9.7817133177786619E-3</v>
      </c>
    </row>
    <row r="528" spans="1:4" x14ac:dyDescent="0.25">
      <c r="A528" t="s">
        <v>575</v>
      </c>
      <c r="B528">
        <v>72.23</v>
      </c>
      <c r="C528" s="6">
        <f t="shared" si="16"/>
        <v>-3.8615363398152303E-3</v>
      </c>
      <c r="D528" s="6">
        <f t="shared" si="17"/>
        <v>-3.8690113207459245E-3</v>
      </c>
    </row>
    <row r="529" spans="1:4" x14ac:dyDescent="0.25">
      <c r="A529" t="s">
        <v>576</v>
      </c>
      <c r="B529">
        <v>72.510000000000005</v>
      </c>
      <c r="C529" s="6">
        <f t="shared" si="16"/>
        <v>-1.3789299503574881E-4</v>
      </c>
      <c r="D529" s="6">
        <f t="shared" si="17"/>
        <v>-1.3790250314886694E-4</v>
      </c>
    </row>
    <row r="530" spans="1:4" x14ac:dyDescent="0.25">
      <c r="A530" t="s">
        <v>577</v>
      </c>
      <c r="B530">
        <v>72.52</v>
      </c>
      <c r="C530" s="6">
        <f t="shared" si="16"/>
        <v>1.6968167157481284E-2</v>
      </c>
      <c r="D530" s="6">
        <f t="shared" si="17"/>
        <v>1.6825815846437924E-2</v>
      </c>
    </row>
    <row r="531" spans="1:4" x14ac:dyDescent="0.25">
      <c r="A531" t="s">
        <v>578</v>
      </c>
      <c r="B531">
        <v>71.31</v>
      </c>
      <c r="C531" s="6">
        <f t="shared" si="16"/>
        <v>-2.6883187772925754E-2</v>
      </c>
      <c r="D531" s="6">
        <f t="shared" si="17"/>
        <v>-2.7251150325662572E-2</v>
      </c>
    </row>
    <row r="532" spans="1:4" x14ac:dyDescent="0.25">
      <c r="A532" t="s">
        <v>579</v>
      </c>
      <c r="B532">
        <v>73.28</v>
      </c>
      <c r="C532" s="6">
        <f t="shared" si="16"/>
        <v>-1.4258810868980398E-2</v>
      </c>
      <c r="D532" s="6">
        <f t="shared" si="17"/>
        <v>-1.4361444503231291E-2</v>
      </c>
    </row>
    <row r="533" spans="1:4" x14ac:dyDescent="0.25">
      <c r="A533" t="s">
        <v>580</v>
      </c>
      <c r="B533">
        <v>74.34</v>
      </c>
      <c r="C533" s="6">
        <f t="shared" si="16"/>
        <v>9.5057034220533687E-3</v>
      </c>
      <c r="D533" s="6">
        <f t="shared" si="17"/>
        <v>9.4608085042291092E-3</v>
      </c>
    </row>
    <row r="534" spans="1:4" x14ac:dyDescent="0.25">
      <c r="A534" t="s">
        <v>581</v>
      </c>
      <c r="B534">
        <v>73.64</v>
      </c>
      <c r="C534" s="6">
        <f t="shared" si="16"/>
        <v>-1.8975332068311701E-3</v>
      </c>
      <c r="D534" s="6">
        <f t="shared" si="17"/>
        <v>-1.8993358036525163E-3</v>
      </c>
    </row>
    <row r="535" spans="1:4" x14ac:dyDescent="0.25">
      <c r="A535" t="s">
        <v>582</v>
      </c>
      <c r="B535">
        <v>73.78</v>
      </c>
      <c r="C535" s="6">
        <f t="shared" si="16"/>
        <v>6.4111308143499635E-3</v>
      </c>
      <c r="D535" s="6">
        <f t="shared" si="17"/>
        <v>6.3906669330343023E-3</v>
      </c>
    </row>
    <row r="536" spans="1:4" x14ac:dyDescent="0.25">
      <c r="A536" t="s">
        <v>583</v>
      </c>
      <c r="B536">
        <v>73.31</v>
      </c>
      <c r="C536" s="6">
        <f t="shared" si="16"/>
        <v>1.9185319060197381E-2</v>
      </c>
      <c r="D536" s="6">
        <f t="shared" si="17"/>
        <v>1.9003601356230332E-2</v>
      </c>
    </row>
    <row r="537" spans="1:4" x14ac:dyDescent="0.25">
      <c r="A537" t="s">
        <v>584</v>
      </c>
      <c r="B537">
        <v>71.930000000000007</v>
      </c>
      <c r="C537" s="6">
        <f t="shared" si="16"/>
        <v>-6.3544688492884749E-3</v>
      </c>
      <c r="D537" s="6">
        <f t="shared" si="17"/>
        <v>-6.3747444257851059E-3</v>
      </c>
    </row>
    <row r="538" spans="1:4" x14ac:dyDescent="0.25">
      <c r="A538" t="s">
        <v>585</v>
      </c>
      <c r="B538">
        <v>72.39</v>
      </c>
      <c r="C538" s="6">
        <f t="shared" si="16"/>
        <v>-3.4416299559471009E-3</v>
      </c>
      <c r="D538" s="6">
        <f t="shared" si="17"/>
        <v>-3.447565987987762E-3</v>
      </c>
    </row>
    <row r="539" spans="1:4" x14ac:dyDescent="0.25">
      <c r="A539" t="s">
        <v>586</v>
      </c>
      <c r="B539">
        <v>72.64</v>
      </c>
      <c r="C539" s="6">
        <f t="shared" si="16"/>
        <v>-7.9213329691341094E-3</v>
      </c>
      <c r="D539" s="6">
        <f t="shared" si="17"/>
        <v>-7.9528733990522869E-3</v>
      </c>
    </row>
    <row r="540" spans="1:4" x14ac:dyDescent="0.25">
      <c r="A540" t="s">
        <v>587</v>
      </c>
      <c r="B540">
        <v>73.22</v>
      </c>
      <c r="C540" s="6">
        <f t="shared" si="16"/>
        <v>1.328535842789913E-2</v>
      </c>
      <c r="D540" s="6">
        <f t="shared" si="17"/>
        <v>1.3197881972595861E-2</v>
      </c>
    </row>
    <row r="541" spans="1:4" x14ac:dyDescent="0.25">
      <c r="A541" t="s">
        <v>588</v>
      </c>
      <c r="B541">
        <v>72.260000000000005</v>
      </c>
      <c r="C541" s="6">
        <f t="shared" si="16"/>
        <v>1.660101294316263E-2</v>
      </c>
      <c r="D541" s="6">
        <f t="shared" si="17"/>
        <v>1.6464722433043578E-2</v>
      </c>
    </row>
    <row r="542" spans="1:4" x14ac:dyDescent="0.25">
      <c r="A542" t="s">
        <v>589</v>
      </c>
      <c r="B542">
        <v>71.08</v>
      </c>
      <c r="C542" s="6">
        <f t="shared" si="16"/>
        <v>-2.9457146864918515E-3</v>
      </c>
      <c r="D542" s="6">
        <f t="shared" si="17"/>
        <v>-2.9500618430865684E-3</v>
      </c>
    </row>
    <row r="543" spans="1:4" x14ac:dyDescent="0.25">
      <c r="A543" t="s">
        <v>590</v>
      </c>
      <c r="B543">
        <v>71.290000000000006</v>
      </c>
      <c r="C543" s="6">
        <f t="shared" si="16"/>
        <v>-9.998611303985494E-3</v>
      </c>
      <c r="D543" s="6">
        <f t="shared" si="17"/>
        <v>-1.004893313123828E-2</v>
      </c>
    </row>
    <row r="544" spans="1:4" x14ac:dyDescent="0.25">
      <c r="A544" t="s">
        <v>591</v>
      </c>
      <c r="B544">
        <v>72.010000000000005</v>
      </c>
      <c r="C544" s="6">
        <f t="shared" si="16"/>
        <v>2.505916747876924E-3</v>
      </c>
      <c r="D544" s="6">
        <f t="shared" si="17"/>
        <v>2.5027821740651948E-3</v>
      </c>
    </row>
    <row r="545" spans="1:4" x14ac:dyDescent="0.25">
      <c r="A545" t="s">
        <v>592</v>
      </c>
      <c r="B545">
        <v>71.83</v>
      </c>
      <c r="C545" s="6">
        <f t="shared" si="16"/>
        <v>1.5983026874115902E-2</v>
      </c>
      <c r="D545" s="6">
        <f t="shared" si="17"/>
        <v>1.5856643184183086E-2</v>
      </c>
    </row>
    <row r="546" spans="1:4" x14ac:dyDescent="0.25">
      <c r="A546" t="s">
        <v>593</v>
      </c>
      <c r="B546">
        <v>70.7</v>
      </c>
      <c r="C546" s="6">
        <f t="shared" si="16"/>
        <v>-1.835380488493521E-3</v>
      </c>
      <c r="D546" s="6">
        <f t="shared" si="17"/>
        <v>-1.8370668630041146E-3</v>
      </c>
    </row>
    <row r="547" spans="1:4" x14ac:dyDescent="0.25">
      <c r="A547" t="s">
        <v>594</v>
      </c>
      <c r="B547">
        <v>70.83</v>
      </c>
      <c r="C547" s="6">
        <f t="shared" si="16"/>
        <v>-1.7886855241264654E-2</v>
      </c>
      <c r="D547" s="6">
        <f t="shared" si="17"/>
        <v>-1.8048758569585377E-2</v>
      </c>
    </row>
    <row r="548" spans="1:4" x14ac:dyDescent="0.25">
      <c r="A548" t="s">
        <v>595</v>
      </c>
      <c r="B548">
        <v>72.12</v>
      </c>
      <c r="C548" s="6">
        <f t="shared" si="16"/>
        <v>2.6911576249466052E-2</v>
      </c>
      <c r="D548" s="6">
        <f t="shared" si="17"/>
        <v>2.6555828164187445E-2</v>
      </c>
    </row>
    <row r="549" spans="1:4" x14ac:dyDescent="0.25">
      <c r="A549" t="s">
        <v>596</v>
      </c>
      <c r="B549">
        <v>70.23</v>
      </c>
      <c r="C549" s="6">
        <f t="shared" si="16"/>
        <v>-3.829787234042481E-3</v>
      </c>
      <c r="D549" s="6">
        <f t="shared" si="17"/>
        <v>-3.8371396472938074E-3</v>
      </c>
    </row>
    <row r="550" spans="1:4" x14ac:dyDescent="0.25">
      <c r="A550" t="s">
        <v>597</v>
      </c>
      <c r="B550">
        <v>70.5</v>
      </c>
      <c r="C550" s="6">
        <f t="shared" si="16"/>
        <v>-4.0966238169233282E-3</v>
      </c>
      <c r="D550" s="6">
        <f t="shared" si="17"/>
        <v>-4.1050379678749431E-3</v>
      </c>
    </row>
    <row r="551" spans="1:4" x14ac:dyDescent="0.25">
      <c r="A551" t="s">
        <v>598</v>
      </c>
      <c r="B551">
        <v>70.790000000000006</v>
      </c>
      <c r="C551" s="6">
        <f t="shared" si="16"/>
        <v>-3.6593947923996284E-3</v>
      </c>
      <c r="D551" s="6">
        <f t="shared" si="17"/>
        <v>-3.6661067570116753E-3</v>
      </c>
    </row>
    <row r="552" spans="1:4" x14ac:dyDescent="0.25">
      <c r="A552" t="s">
        <v>599</v>
      </c>
      <c r="B552">
        <v>71.05</v>
      </c>
      <c r="C552" s="6">
        <f t="shared" si="16"/>
        <v>-7.2656140841134143E-3</v>
      </c>
      <c r="D552" s="6">
        <f t="shared" si="17"/>
        <v>-7.2921372073964444E-3</v>
      </c>
    </row>
    <row r="553" spans="1:4" x14ac:dyDescent="0.25">
      <c r="A553" t="s">
        <v>600</v>
      </c>
      <c r="B553">
        <v>71.569999999999993</v>
      </c>
      <c r="C553" s="6">
        <f t="shared" si="16"/>
        <v>9.0229804032142535E-3</v>
      </c>
      <c r="D553" s="6">
        <f t="shared" si="17"/>
        <v>8.9825165365105663E-3</v>
      </c>
    </row>
    <row r="554" spans="1:4" x14ac:dyDescent="0.25">
      <c r="A554" t="s">
        <v>601</v>
      </c>
      <c r="B554">
        <v>70.930000000000007</v>
      </c>
      <c r="C554" s="6">
        <f t="shared" si="16"/>
        <v>-5.1893408134641161E-3</v>
      </c>
      <c r="D554" s="6">
        <f t="shared" si="17"/>
        <v>-5.2028522062547503E-3</v>
      </c>
    </row>
    <row r="555" spans="1:4" x14ac:dyDescent="0.25">
      <c r="A555" t="s">
        <v>602</v>
      </c>
      <c r="B555">
        <v>71.3</v>
      </c>
      <c r="C555" s="6">
        <f t="shared" si="16"/>
        <v>4.209344745333965E-4</v>
      </c>
      <c r="D555" s="6">
        <f t="shared" si="17"/>
        <v>4.2084590647083344E-4</v>
      </c>
    </row>
    <row r="556" spans="1:4" x14ac:dyDescent="0.25">
      <c r="A556" t="s">
        <v>603</v>
      </c>
      <c r="B556">
        <v>71.27</v>
      </c>
      <c r="C556" s="6">
        <f t="shared" si="16"/>
        <v>-8.4116080190665965E-4</v>
      </c>
      <c r="D556" s="6">
        <f t="shared" si="17"/>
        <v>-8.4151477616742755E-4</v>
      </c>
    </row>
    <row r="557" spans="1:4" x14ac:dyDescent="0.25">
      <c r="A557" t="s">
        <v>604</v>
      </c>
      <c r="B557">
        <v>71.33</v>
      </c>
      <c r="C557" s="6">
        <f t="shared" si="16"/>
        <v>-8.8925941364457195E-3</v>
      </c>
      <c r="D557" s="6">
        <f t="shared" si="17"/>
        <v>-8.9323692297661236E-3</v>
      </c>
    </row>
    <row r="558" spans="1:4" x14ac:dyDescent="0.25">
      <c r="A558" t="s">
        <v>605</v>
      </c>
      <c r="B558">
        <v>71.97</v>
      </c>
      <c r="C558" s="6">
        <f t="shared" si="16"/>
        <v>-2.6330376940132405E-3</v>
      </c>
      <c r="D558" s="6">
        <f t="shared" si="17"/>
        <v>-2.6365102346552574E-3</v>
      </c>
    </row>
    <row r="559" spans="1:4" x14ac:dyDescent="0.25">
      <c r="A559" t="s">
        <v>606</v>
      </c>
      <c r="B559">
        <v>72.16</v>
      </c>
      <c r="C559" s="6">
        <f t="shared" si="16"/>
        <v>-1.1506849315068512E-2</v>
      </c>
      <c r="D559" s="6">
        <f t="shared" si="17"/>
        <v>-1.1573565394022932E-2</v>
      </c>
    </row>
    <row r="560" spans="1:4" x14ac:dyDescent="0.25">
      <c r="A560" t="s">
        <v>607</v>
      </c>
      <c r="B560">
        <v>73</v>
      </c>
      <c r="C560" s="6">
        <f t="shared" si="16"/>
        <v>5.5096418732782926E-3</v>
      </c>
      <c r="D560" s="6">
        <f t="shared" si="17"/>
        <v>5.4945193176407798E-3</v>
      </c>
    </row>
    <row r="561" spans="1:4" x14ac:dyDescent="0.25">
      <c r="A561" t="s">
        <v>608</v>
      </c>
      <c r="B561">
        <v>72.599999999999994</v>
      </c>
      <c r="C561" s="6">
        <f t="shared" si="16"/>
        <v>-3.1354236157438375E-2</v>
      </c>
      <c r="D561" s="6">
        <f t="shared" si="17"/>
        <v>-3.1856302717856388E-2</v>
      </c>
    </row>
    <row r="562" spans="1:4" x14ac:dyDescent="0.25">
      <c r="A562" t="s">
        <v>609</v>
      </c>
      <c r="B562">
        <v>74.95</v>
      </c>
      <c r="C562" s="6">
        <f t="shared" si="16"/>
        <v>1.6133405639913168E-2</v>
      </c>
      <c r="D562" s="6">
        <f t="shared" si="17"/>
        <v>1.600464530026826E-2</v>
      </c>
    </row>
    <row r="563" spans="1:4" x14ac:dyDescent="0.25">
      <c r="A563" t="s">
        <v>610</v>
      </c>
      <c r="B563">
        <v>73.760000000000005</v>
      </c>
      <c r="C563" s="6">
        <f t="shared" si="16"/>
        <v>-2.291694264140931E-2</v>
      </c>
      <c r="D563" s="6">
        <f t="shared" si="17"/>
        <v>-2.3183617903194939E-2</v>
      </c>
    </row>
    <row r="564" spans="1:4" x14ac:dyDescent="0.25">
      <c r="A564" t="s">
        <v>611</v>
      </c>
      <c r="B564">
        <v>75.489999999999995</v>
      </c>
      <c r="C564" s="6">
        <f t="shared" si="16"/>
        <v>9.2813577300443484E-4</v>
      </c>
      <c r="D564" s="6">
        <f t="shared" si="17"/>
        <v>9.2770532132234918E-4</v>
      </c>
    </row>
    <row r="565" spans="1:4" x14ac:dyDescent="0.25">
      <c r="A565" t="s">
        <v>612</v>
      </c>
      <c r="B565">
        <v>75.42</v>
      </c>
      <c r="C565" s="6">
        <f t="shared" si="16"/>
        <v>-6.9782751810402166E-3</v>
      </c>
      <c r="D565" s="6">
        <f t="shared" si="17"/>
        <v>-7.0027372115708669E-3</v>
      </c>
    </row>
    <row r="566" spans="1:4" x14ac:dyDescent="0.25">
      <c r="A566" t="s">
        <v>613</v>
      </c>
      <c r="B566">
        <v>75.95</v>
      </c>
      <c r="C566" s="6">
        <f t="shared" si="16"/>
        <v>-1.3164823591349517E-4</v>
      </c>
      <c r="D566" s="6">
        <f t="shared" si="17"/>
        <v>-1.3165690230312302E-4</v>
      </c>
    </row>
    <row r="567" spans="1:4" x14ac:dyDescent="0.25">
      <c r="A567" t="s">
        <v>614</v>
      </c>
      <c r="B567">
        <v>75.959999999999994</v>
      </c>
      <c r="C567" s="6">
        <f t="shared" si="16"/>
        <v>9.8378090933262108E-3</v>
      </c>
      <c r="D567" s="6">
        <f t="shared" si="17"/>
        <v>9.7897329018947644E-3</v>
      </c>
    </row>
    <row r="568" spans="1:4" x14ac:dyDescent="0.25">
      <c r="A568" t="s">
        <v>615</v>
      </c>
      <c r="B568">
        <v>75.22</v>
      </c>
      <c r="C568" s="6">
        <f t="shared" si="16"/>
        <v>8.3109919571047186E-3</v>
      </c>
      <c r="D568" s="6">
        <f t="shared" si="17"/>
        <v>8.2766458324753257E-3</v>
      </c>
    </row>
    <row r="569" spans="1:4" x14ac:dyDescent="0.25">
      <c r="A569" t="s">
        <v>616</v>
      </c>
      <c r="B569">
        <v>74.599999999999994</v>
      </c>
      <c r="C569" s="6">
        <f t="shared" si="16"/>
        <v>9.4722598105545508E-3</v>
      </c>
      <c r="D569" s="6">
        <f t="shared" si="17"/>
        <v>9.4276792555588254E-3</v>
      </c>
    </row>
    <row r="570" spans="1:4" x14ac:dyDescent="0.25">
      <c r="A570" t="s">
        <v>617</v>
      </c>
      <c r="B570">
        <v>73.900000000000006</v>
      </c>
      <c r="C570" s="6">
        <f t="shared" si="16"/>
        <v>1.5249347437834793E-2</v>
      </c>
      <c r="D570" s="6">
        <f t="shared" si="17"/>
        <v>1.5134244823989472E-2</v>
      </c>
    </row>
    <row r="571" spans="1:4" x14ac:dyDescent="0.25">
      <c r="A571" t="s">
        <v>618</v>
      </c>
      <c r="B571">
        <v>72.790000000000006</v>
      </c>
      <c r="C571" s="6">
        <f t="shared" si="16"/>
        <v>1.4777638366095136E-2</v>
      </c>
      <c r="D571" s="6">
        <f t="shared" si="17"/>
        <v>1.4669512991823548E-2</v>
      </c>
    </row>
    <row r="572" spans="1:4" x14ac:dyDescent="0.25">
      <c r="A572" t="s">
        <v>619</v>
      </c>
      <c r="B572">
        <v>71.73</v>
      </c>
      <c r="C572" s="6">
        <f t="shared" si="16"/>
        <v>-1.670146137786932E-3</v>
      </c>
      <c r="D572" s="6">
        <f t="shared" si="17"/>
        <v>-1.6715423866907543E-3</v>
      </c>
    </row>
    <row r="573" spans="1:4" x14ac:dyDescent="0.25">
      <c r="A573" t="s">
        <v>620</v>
      </c>
      <c r="B573">
        <v>71.849999999999994</v>
      </c>
      <c r="C573" s="6">
        <f t="shared" si="16"/>
        <v>-5.2609718953344764E-3</v>
      </c>
      <c r="D573" s="6">
        <f t="shared" si="17"/>
        <v>-5.2748595377216387E-3</v>
      </c>
    </row>
    <row r="574" spans="1:4" x14ac:dyDescent="0.25">
      <c r="A574" t="s">
        <v>621</v>
      </c>
      <c r="B574">
        <v>72.23</v>
      </c>
      <c r="C574" s="6">
        <f t="shared" si="16"/>
        <v>-1.5000681849174913E-2</v>
      </c>
      <c r="D574" s="6">
        <f t="shared" si="17"/>
        <v>-1.5114330042952651E-2</v>
      </c>
    </row>
    <row r="575" spans="1:4" x14ac:dyDescent="0.25">
      <c r="A575" t="s">
        <v>622</v>
      </c>
      <c r="B575">
        <v>73.33</v>
      </c>
      <c r="C575" s="6">
        <f t="shared" si="16"/>
        <v>6.0364933461380943E-3</v>
      </c>
      <c r="D575" s="6">
        <f t="shared" si="17"/>
        <v>6.0183467115866385E-3</v>
      </c>
    </row>
    <row r="576" spans="1:4" x14ac:dyDescent="0.25">
      <c r="A576" t="s">
        <v>623</v>
      </c>
      <c r="B576">
        <v>72.89</v>
      </c>
      <c r="C576" s="6">
        <f t="shared" si="16"/>
        <v>-2.7431079412965076E-4</v>
      </c>
      <c r="D576" s="6">
        <f t="shared" si="17"/>
        <v>-2.7434842421725556E-4</v>
      </c>
    </row>
    <row r="577" spans="1:4" x14ac:dyDescent="0.25">
      <c r="A577" t="s">
        <v>624</v>
      </c>
      <c r="B577">
        <v>72.91</v>
      </c>
      <c r="C577" s="6">
        <f t="shared" si="16"/>
        <v>1.0253567964528143E-2</v>
      </c>
      <c r="D577" s="6">
        <f t="shared" si="17"/>
        <v>1.0201356734157022E-2</v>
      </c>
    </row>
    <row r="578" spans="1:4" x14ac:dyDescent="0.25">
      <c r="A578" t="s">
        <v>625</v>
      </c>
      <c r="B578">
        <v>72.17</v>
      </c>
      <c r="C578" s="6">
        <f t="shared" si="16"/>
        <v>-2.2120835061523181E-3</v>
      </c>
      <c r="D578" s="6">
        <f t="shared" si="17"/>
        <v>-2.2145337770074713E-3</v>
      </c>
    </row>
    <row r="579" spans="1:4" x14ac:dyDescent="0.25">
      <c r="A579" t="s">
        <v>626</v>
      </c>
      <c r="B579">
        <v>72.33</v>
      </c>
      <c r="C579" s="6">
        <f t="shared" ref="C579:C625" si="18">(B579/B580)-1</f>
        <v>-1.7940932928511844E-3</v>
      </c>
      <c r="D579" s="6">
        <f t="shared" ref="D579:D625" si="19">LN(B579/B580)</f>
        <v>-1.7957046057417562E-3</v>
      </c>
    </row>
    <row r="580" spans="1:4" x14ac:dyDescent="0.25">
      <c r="A580" t="s">
        <v>627</v>
      </c>
      <c r="B580">
        <v>72.459999999999994</v>
      </c>
      <c r="C580" s="6">
        <f t="shared" si="18"/>
        <v>2.7947226556958471E-2</v>
      </c>
      <c r="D580" s="6">
        <f t="shared" si="19"/>
        <v>2.7563829681146977E-2</v>
      </c>
    </row>
    <row r="581" spans="1:4" x14ac:dyDescent="0.25">
      <c r="A581" t="s">
        <v>628</v>
      </c>
      <c r="B581">
        <v>70.489999999999995</v>
      </c>
      <c r="C581" s="6">
        <f t="shared" si="18"/>
        <v>-1.8408382894365971E-3</v>
      </c>
      <c r="D581" s="6">
        <f t="shared" si="19"/>
        <v>-1.842534714456296E-3</v>
      </c>
    </row>
    <row r="582" spans="1:4" x14ac:dyDescent="0.25">
      <c r="A582" t="s">
        <v>629</v>
      </c>
      <c r="B582">
        <v>70.62</v>
      </c>
      <c r="C582" s="6">
        <f t="shared" si="18"/>
        <v>1.9930675909878737E-2</v>
      </c>
      <c r="D582" s="6">
        <f t="shared" si="19"/>
        <v>1.9734660192231898E-2</v>
      </c>
    </row>
    <row r="583" spans="1:4" x14ac:dyDescent="0.25">
      <c r="A583" t="s">
        <v>630</v>
      </c>
      <c r="B583">
        <v>69.239999999999995</v>
      </c>
      <c r="C583" s="6">
        <f t="shared" si="18"/>
        <v>7.2264778147124176E-4</v>
      </c>
      <c r="D583" s="6">
        <f t="shared" si="19"/>
        <v>7.2238679728873394E-4</v>
      </c>
    </row>
    <row r="584" spans="1:4" x14ac:dyDescent="0.25">
      <c r="A584" t="s">
        <v>631</v>
      </c>
      <c r="B584">
        <v>69.19</v>
      </c>
      <c r="C584" s="6">
        <f t="shared" si="18"/>
        <v>8.7476308499780941E-3</v>
      </c>
      <c r="D584" s="6">
        <f t="shared" si="19"/>
        <v>8.7095919994896517E-3</v>
      </c>
    </row>
    <row r="585" spans="1:4" x14ac:dyDescent="0.25">
      <c r="A585" t="s">
        <v>632</v>
      </c>
      <c r="B585">
        <v>68.59</v>
      </c>
      <c r="C585" s="6">
        <f t="shared" si="18"/>
        <v>-1.9302259079210682E-2</v>
      </c>
      <c r="D585" s="6">
        <f t="shared" si="19"/>
        <v>-1.9490980123999701E-2</v>
      </c>
    </row>
    <row r="586" spans="1:4" x14ac:dyDescent="0.25">
      <c r="A586" t="s">
        <v>633</v>
      </c>
      <c r="B586">
        <v>69.94</v>
      </c>
      <c r="C586" s="6">
        <f t="shared" si="18"/>
        <v>-1.8552875695732052E-3</v>
      </c>
      <c r="D586" s="6">
        <f t="shared" si="19"/>
        <v>-1.8570107472126599E-3</v>
      </c>
    </row>
    <row r="587" spans="1:4" x14ac:dyDescent="0.25">
      <c r="A587" t="s">
        <v>634</v>
      </c>
      <c r="B587">
        <v>70.069999999999993</v>
      </c>
      <c r="C587" s="6">
        <f t="shared" si="18"/>
        <v>-1.3654279279279424E-2</v>
      </c>
      <c r="D587" s="6">
        <f t="shared" si="19"/>
        <v>-1.374835630147225E-2</v>
      </c>
    </row>
    <row r="588" spans="1:4" x14ac:dyDescent="0.25">
      <c r="A588" t="s">
        <v>635</v>
      </c>
      <c r="B588">
        <v>71.040000000000006</v>
      </c>
      <c r="C588" s="6">
        <f t="shared" si="18"/>
        <v>1.4078558355623549E-4</v>
      </c>
      <c r="D588" s="6">
        <f t="shared" si="19"/>
        <v>1.4077567419601932E-4</v>
      </c>
    </row>
    <row r="589" spans="1:4" x14ac:dyDescent="0.25">
      <c r="A589" t="s">
        <v>636</v>
      </c>
      <c r="B589">
        <v>71.03</v>
      </c>
      <c r="C589" s="6">
        <f t="shared" si="18"/>
        <v>-1.017279821627648E-2</v>
      </c>
      <c r="D589" s="6">
        <f t="shared" si="19"/>
        <v>-1.0224894740822084E-2</v>
      </c>
    </row>
    <row r="590" spans="1:4" x14ac:dyDescent="0.25">
      <c r="A590" t="s">
        <v>637</v>
      </c>
      <c r="B590">
        <v>71.760000000000005</v>
      </c>
      <c r="C590" s="6">
        <f t="shared" si="18"/>
        <v>-1.061629670481179E-2</v>
      </c>
      <c r="D590" s="6">
        <f t="shared" si="19"/>
        <v>-1.0673051624780324E-2</v>
      </c>
    </row>
    <row r="591" spans="1:4" x14ac:dyDescent="0.25">
      <c r="A591" t="s">
        <v>638</v>
      </c>
      <c r="B591">
        <v>72.53</v>
      </c>
      <c r="C591" s="6">
        <f t="shared" si="18"/>
        <v>6.8984547461359291E-4</v>
      </c>
      <c r="D591" s="6">
        <f t="shared" si="19"/>
        <v>6.8960764059703154E-4</v>
      </c>
    </row>
    <row r="592" spans="1:4" x14ac:dyDescent="0.25">
      <c r="A592" t="s">
        <v>639</v>
      </c>
      <c r="B592">
        <v>72.48</v>
      </c>
      <c r="C592" s="6">
        <f t="shared" si="18"/>
        <v>8.2069828905273479E-3</v>
      </c>
      <c r="D592" s="6">
        <f t="shared" si="19"/>
        <v>8.1734887389438744E-3</v>
      </c>
    </row>
    <row r="593" spans="1:4" x14ac:dyDescent="0.25">
      <c r="A593" t="s">
        <v>640</v>
      </c>
      <c r="B593">
        <v>71.89</v>
      </c>
      <c r="C593" s="6">
        <f t="shared" si="18"/>
        <v>1.3677382966723162E-2</v>
      </c>
      <c r="D593" s="6">
        <f t="shared" si="19"/>
        <v>1.358469178977312E-2</v>
      </c>
    </row>
    <row r="594" spans="1:4" x14ac:dyDescent="0.25">
      <c r="A594" t="s">
        <v>641</v>
      </c>
      <c r="B594">
        <v>70.92</v>
      </c>
      <c r="C594" s="6">
        <f t="shared" si="18"/>
        <v>5.3870144598808789E-3</v>
      </c>
      <c r="D594" s="6">
        <f t="shared" si="19"/>
        <v>5.3725563981011654E-3</v>
      </c>
    </row>
    <row r="595" spans="1:4" x14ac:dyDescent="0.25">
      <c r="A595" t="s">
        <v>642</v>
      </c>
      <c r="B595">
        <v>70.540000000000006</v>
      </c>
      <c r="C595" s="6">
        <f t="shared" si="18"/>
        <v>2.5439744148858745E-2</v>
      </c>
      <c r="D595" s="6">
        <f t="shared" si="19"/>
        <v>2.5121539269983072E-2</v>
      </c>
    </row>
    <row r="596" spans="1:4" x14ac:dyDescent="0.25">
      <c r="A596" t="s">
        <v>643</v>
      </c>
      <c r="B596">
        <v>68.790000000000006</v>
      </c>
      <c r="C596" s="6">
        <f t="shared" si="18"/>
        <v>-4.7743055555555802E-3</v>
      </c>
      <c r="D596" s="6">
        <f t="shared" si="19"/>
        <v>-4.7857389578774426E-3</v>
      </c>
    </row>
    <row r="597" spans="1:4" x14ac:dyDescent="0.25">
      <c r="A597" t="s">
        <v>644</v>
      </c>
      <c r="B597">
        <v>69.12</v>
      </c>
      <c r="C597" s="6">
        <f t="shared" si="18"/>
        <v>4.7972088966419246E-3</v>
      </c>
      <c r="D597" s="6">
        <f t="shared" si="19"/>
        <v>4.7857389578773888E-3</v>
      </c>
    </row>
    <row r="598" spans="1:4" x14ac:dyDescent="0.25">
      <c r="A598" t="s">
        <v>645</v>
      </c>
      <c r="B598">
        <v>68.790000000000006</v>
      </c>
      <c r="C598" s="6">
        <f t="shared" si="18"/>
        <v>-2.9349513193170584E-2</v>
      </c>
      <c r="D598" s="6">
        <f t="shared" si="19"/>
        <v>-2.978882728424186E-2</v>
      </c>
    </row>
    <row r="599" spans="1:4" x14ac:dyDescent="0.25">
      <c r="A599" t="s">
        <v>646</v>
      </c>
      <c r="B599">
        <v>70.87</v>
      </c>
      <c r="C599" s="6">
        <f t="shared" si="18"/>
        <v>-2.5037831888842899E-2</v>
      </c>
      <c r="D599" s="6">
        <f t="shared" si="19"/>
        <v>-2.5356610674379287E-2</v>
      </c>
    </row>
    <row r="600" spans="1:4" x14ac:dyDescent="0.25">
      <c r="A600" t="s">
        <v>647</v>
      </c>
      <c r="B600">
        <v>72.69</v>
      </c>
      <c r="C600" s="6">
        <f t="shared" si="18"/>
        <v>2.7521673317743023E-4</v>
      </c>
      <c r="D600" s="6">
        <f t="shared" si="19"/>
        <v>2.7517886799958085E-4</v>
      </c>
    </row>
    <row r="601" spans="1:4" x14ac:dyDescent="0.25">
      <c r="A601" t="s">
        <v>648</v>
      </c>
      <c r="B601">
        <v>72.67</v>
      </c>
      <c r="C601" s="6">
        <f t="shared" si="18"/>
        <v>-1.3306177868296021E-2</v>
      </c>
      <c r="D601" s="6">
        <f t="shared" si="19"/>
        <v>-1.3395498280094776E-2</v>
      </c>
    </row>
    <row r="602" spans="1:4" x14ac:dyDescent="0.25">
      <c r="A602" t="s">
        <v>649</v>
      </c>
      <c r="B602">
        <v>73.650000000000006</v>
      </c>
      <c r="C602" s="6">
        <f t="shared" si="18"/>
        <v>9.4572368421055319E-3</v>
      </c>
      <c r="D602" s="6">
        <f t="shared" si="19"/>
        <v>9.4127971425635934E-3</v>
      </c>
    </row>
    <row r="603" spans="1:4" x14ac:dyDescent="0.25">
      <c r="A603" t="s">
        <v>650</v>
      </c>
      <c r="B603">
        <v>72.959999999999994</v>
      </c>
      <c r="C603" s="6">
        <f t="shared" si="18"/>
        <v>-2.6421136909527632E-2</v>
      </c>
      <c r="D603" s="6">
        <f t="shared" si="19"/>
        <v>-2.6776447599465368E-2</v>
      </c>
    </row>
    <row r="604" spans="1:4" x14ac:dyDescent="0.25">
      <c r="A604" t="s">
        <v>651</v>
      </c>
      <c r="B604">
        <v>74.94</v>
      </c>
      <c r="C604" s="6">
        <f t="shared" si="18"/>
        <v>2.615363549226335E-2</v>
      </c>
      <c r="D604" s="6">
        <f t="shared" si="19"/>
        <v>2.5817477733522814E-2</v>
      </c>
    </row>
    <row r="605" spans="1:4" x14ac:dyDescent="0.25">
      <c r="A605" t="s">
        <v>652</v>
      </c>
      <c r="B605">
        <v>73.03</v>
      </c>
      <c r="C605" s="6">
        <f t="shared" si="18"/>
        <v>-4.8096976016684057E-2</v>
      </c>
      <c r="D605" s="6">
        <f t="shared" si="19"/>
        <v>-4.9292114943164399E-2</v>
      </c>
    </row>
    <row r="606" spans="1:4" x14ac:dyDescent="0.25">
      <c r="A606" t="s">
        <v>653</v>
      </c>
      <c r="B606">
        <v>76.72</v>
      </c>
      <c r="C606" s="6">
        <f t="shared" si="18"/>
        <v>5.9961315280464333E-2</v>
      </c>
      <c r="D606" s="6">
        <f t="shared" si="19"/>
        <v>5.823241243958651E-2</v>
      </c>
    </row>
    <row r="607" spans="1:4" x14ac:dyDescent="0.25">
      <c r="A607" t="s">
        <v>654</v>
      </c>
      <c r="B607">
        <v>72.38</v>
      </c>
      <c r="C607" s="6">
        <f t="shared" si="18"/>
        <v>-3.5704769517719281E-2</v>
      </c>
      <c r="D607" s="6">
        <f t="shared" si="19"/>
        <v>-3.6357775571278526E-2</v>
      </c>
    </row>
    <row r="608" spans="1:4" x14ac:dyDescent="0.25">
      <c r="A608" t="s">
        <v>655</v>
      </c>
      <c r="B608">
        <v>75.06</v>
      </c>
      <c r="C608" s="6">
        <f t="shared" si="18"/>
        <v>4.5503211991435588E-3</v>
      </c>
      <c r="D608" s="6">
        <f t="shared" si="19"/>
        <v>4.5399997862876811E-3</v>
      </c>
    </row>
    <row r="609" spans="1:4" x14ac:dyDescent="0.25">
      <c r="A609" t="s">
        <v>656</v>
      </c>
      <c r="B609">
        <v>74.72</v>
      </c>
      <c r="C609" s="6">
        <f t="shared" si="18"/>
        <v>-1.3365410318095794E-3</v>
      </c>
      <c r="D609" s="6">
        <f t="shared" si="19"/>
        <v>-1.3374349994128049E-3</v>
      </c>
    </row>
    <row r="610" spans="1:4" x14ac:dyDescent="0.25">
      <c r="A610" t="s">
        <v>657</v>
      </c>
      <c r="B610">
        <v>74.819999999999993</v>
      </c>
      <c r="C610" s="6">
        <f t="shared" si="18"/>
        <v>-3.7283621837550518E-3</v>
      </c>
      <c r="D610" s="6">
        <f t="shared" si="19"/>
        <v>-3.7353298500890355E-3</v>
      </c>
    </row>
    <row r="611" spans="1:4" x14ac:dyDescent="0.25">
      <c r="A611" t="s">
        <v>658</v>
      </c>
      <c r="B611">
        <v>75.099999999999994</v>
      </c>
      <c r="C611" s="6">
        <f t="shared" si="18"/>
        <v>1.090321712208886E-2</v>
      </c>
      <c r="D611" s="6">
        <f t="shared" si="19"/>
        <v>1.0844205606373948E-2</v>
      </c>
    </row>
    <row r="612" spans="1:4" x14ac:dyDescent="0.25">
      <c r="A612" t="s">
        <v>659</v>
      </c>
      <c r="B612">
        <v>74.290000000000006</v>
      </c>
      <c r="C612" s="6">
        <f t="shared" si="18"/>
        <v>4.1643297812675506E-2</v>
      </c>
      <c r="D612" s="6">
        <f t="shared" si="19"/>
        <v>4.0799560168775437E-2</v>
      </c>
    </row>
    <row r="613" spans="1:4" x14ac:dyDescent="0.25">
      <c r="A613" t="s">
        <v>660</v>
      </c>
      <c r="B613">
        <v>71.319999999999993</v>
      </c>
      <c r="C613" s="6">
        <f t="shared" si="18"/>
        <v>-9.7195223549014775E-3</v>
      </c>
      <c r="D613" s="6">
        <f t="shared" si="19"/>
        <v>-9.7670652257895799E-3</v>
      </c>
    </row>
    <row r="614" spans="1:4" x14ac:dyDescent="0.25">
      <c r="A614" t="s">
        <v>661</v>
      </c>
      <c r="B614">
        <v>72.02</v>
      </c>
      <c r="C614" s="6">
        <f t="shared" si="18"/>
        <v>-1.1257550796265892E-2</v>
      </c>
      <c r="D614" s="6">
        <f t="shared" si="19"/>
        <v>-1.1321396638678132E-2</v>
      </c>
    </row>
    <row r="615" spans="1:4" x14ac:dyDescent="0.25">
      <c r="A615" t="s">
        <v>662</v>
      </c>
      <c r="B615">
        <v>72.84</v>
      </c>
      <c r="C615" s="6">
        <f t="shared" si="18"/>
        <v>1.5474696779590014E-2</v>
      </c>
      <c r="D615" s="6">
        <f t="shared" si="19"/>
        <v>1.5356184721064037E-2</v>
      </c>
    </row>
    <row r="616" spans="1:4" x14ac:dyDescent="0.25">
      <c r="A616" t="s">
        <v>663</v>
      </c>
      <c r="B616">
        <v>71.73</v>
      </c>
      <c r="C616" s="6">
        <f t="shared" si="18"/>
        <v>-7.8838174273857531E-3</v>
      </c>
      <c r="D616" s="6">
        <f t="shared" si="19"/>
        <v>-7.9150590263758081E-3</v>
      </c>
    </row>
    <row r="617" spans="1:4" x14ac:dyDescent="0.25">
      <c r="A617" t="s">
        <v>664</v>
      </c>
      <c r="B617">
        <v>72.3</v>
      </c>
      <c r="C617" s="6">
        <f t="shared" si="18"/>
        <v>-5.5020632737277086E-3</v>
      </c>
      <c r="D617" s="6">
        <f t="shared" si="19"/>
        <v>-5.5172553747547398E-3</v>
      </c>
    </row>
    <row r="618" spans="1:4" x14ac:dyDescent="0.25">
      <c r="A618" t="s">
        <v>665</v>
      </c>
      <c r="B618">
        <v>72.7</v>
      </c>
      <c r="C618" s="6">
        <f t="shared" si="18"/>
        <v>-8.1855388813095731E-3</v>
      </c>
      <c r="D618" s="6">
        <f t="shared" si="19"/>
        <v>-8.2192243531320121E-3</v>
      </c>
    </row>
    <row r="619" spans="1:4" x14ac:dyDescent="0.25">
      <c r="A619" t="s">
        <v>666</v>
      </c>
      <c r="B619">
        <v>73.3</v>
      </c>
      <c r="C619" s="6">
        <f t="shared" si="18"/>
        <v>-9.1916734252501797E-3</v>
      </c>
      <c r="D619" s="6">
        <f t="shared" si="19"/>
        <v>-9.2341775117022358E-3</v>
      </c>
    </row>
    <row r="620" spans="1:4" x14ac:dyDescent="0.25">
      <c r="A620" t="s">
        <v>667</v>
      </c>
      <c r="B620">
        <v>73.98</v>
      </c>
      <c r="C620" s="6">
        <f t="shared" si="18"/>
        <v>-1.8832891246684413E-2</v>
      </c>
      <c r="D620" s="6">
        <f t="shared" si="19"/>
        <v>-1.9012488609602522E-2</v>
      </c>
    </row>
    <row r="621" spans="1:4" x14ac:dyDescent="0.25">
      <c r="A621" t="s">
        <v>668</v>
      </c>
      <c r="B621">
        <v>75.400000000000006</v>
      </c>
      <c r="C621" s="6">
        <f t="shared" si="18"/>
        <v>-8.2862028146784006E-3</v>
      </c>
      <c r="D621" s="6">
        <f t="shared" si="19"/>
        <v>-8.3207242264348724E-3</v>
      </c>
    </row>
    <row r="622" spans="1:4" x14ac:dyDescent="0.25">
      <c r="A622" t="s">
        <v>669</v>
      </c>
      <c r="B622">
        <v>76.03</v>
      </c>
      <c r="C622" s="6">
        <f t="shared" si="18"/>
        <v>-4.3216343635410492E-3</v>
      </c>
      <c r="D622" s="6">
        <f t="shared" si="19"/>
        <v>-4.3309996172015168E-3</v>
      </c>
    </row>
    <row r="623" spans="1:4" x14ac:dyDescent="0.25">
      <c r="A623" t="s">
        <v>670</v>
      </c>
      <c r="B623">
        <v>76.36</v>
      </c>
      <c r="C623" s="6">
        <f t="shared" si="18"/>
        <v>-1.3436692506460068E-2</v>
      </c>
      <c r="D623" s="6">
        <f t="shared" si="19"/>
        <v>-1.3527781738134688E-2</v>
      </c>
    </row>
    <row r="624" spans="1:4" x14ac:dyDescent="0.25">
      <c r="A624" t="s">
        <v>671</v>
      </c>
      <c r="B624">
        <v>77.400000000000006</v>
      </c>
      <c r="C624" s="6">
        <f t="shared" si="18"/>
        <v>-1.8887057928761553E-2</v>
      </c>
      <c r="D624" s="6">
        <f t="shared" si="19"/>
        <v>-1.9067696511316793E-2</v>
      </c>
    </row>
    <row r="625" spans="1:4" x14ac:dyDescent="0.25">
      <c r="A625" t="s">
        <v>672</v>
      </c>
      <c r="B625">
        <v>78.89</v>
      </c>
      <c r="C625" s="6">
        <f t="shared" si="18"/>
        <v>3.0837580033973522E-2</v>
      </c>
      <c r="D625" s="6">
        <f t="shared" si="19"/>
        <v>3.0371656285168438E-2</v>
      </c>
    </row>
    <row r="626" spans="1:4" x14ac:dyDescent="0.25">
      <c r="A626" t="s">
        <v>673</v>
      </c>
      <c r="B626">
        <v>76.53</v>
      </c>
      <c r="C626" s="6">
        <f>(B626/B627)-1</f>
        <v>1.2837480148226499E-2</v>
      </c>
      <c r="D626" s="6">
        <f>LN(B626/B627)</f>
        <v>1.275577818852084E-2</v>
      </c>
    </row>
    <row r="627" spans="1:4" x14ac:dyDescent="0.25">
      <c r="A627" t="s">
        <v>674</v>
      </c>
      <c r="B627">
        <v>75.56</v>
      </c>
      <c r="C627" s="6">
        <f>(B627/B628)-1</f>
        <v>-5.7894736842104555E-3</v>
      </c>
      <c r="D627" s="6">
        <f t="shared" ref="D627:D690" si="20">LN(B627/B628)</f>
        <v>-5.8062976530222042E-3</v>
      </c>
    </row>
    <row r="628" spans="1:4" x14ac:dyDescent="0.25">
      <c r="A628" t="s">
        <v>675</v>
      </c>
      <c r="B628">
        <v>76</v>
      </c>
      <c r="C628" s="6">
        <f t="shared" ref="C628:C691" si="21">(B628/B629)-1</f>
        <v>-1.2602312589320541E-2</v>
      </c>
      <c r="D628" s="6">
        <f t="shared" si="20"/>
        <v>-1.2682395259895E-2</v>
      </c>
    </row>
    <row r="629" spans="1:4" x14ac:dyDescent="0.25">
      <c r="A629" t="s">
        <v>676</v>
      </c>
      <c r="B629">
        <v>76.97</v>
      </c>
      <c r="C629" s="6">
        <f t="shared" si="21"/>
        <v>1.974032856385799E-2</v>
      </c>
      <c r="D629" s="6">
        <f t="shared" si="20"/>
        <v>1.95480150458766E-2</v>
      </c>
    </row>
    <row r="630" spans="1:4" x14ac:dyDescent="0.25">
      <c r="A630" t="s">
        <v>677</v>
      </c>
      <c r="B630">
        <v>75.48</v>
      </c>
      <c r="C630" s="6">
        <f t="shared" si="21"/>
        <v>8.8211708099439345E-3</v>
      </c>
      <c r="D630" s="6">
        <f t="shared" si="20"/>
        <v>8.7824915803494524E-3</v>
      </c>
    </row>
    <row r="631" spans="1:4" x14ac:dyDescent="0.25">
      <c r="A631" t="s">
        <v>678</v>
      </c>
      <c r="B631">
        <v>74.819999999999993</v>
      </c>
      <c r="C631" s="6">
        <f t="shared" si="21"/>
        <v>1.2043356081894441E-3</v>
      </c>
      <c r="D631" s="6">
        <f t="shared" si="20"/>
        <v>1.203610977801301E-3</v>
      </c>
    </row>
    <row r="632" spans="1:4" x14ac:dyDescent="0.25">
      <c r="A632" t="s">
        <v>679</v>
      </c>
      <c r="B632">
        <v>74.73</v>
      </c>
      <c r="C632" s="6">
        <f t="shared" si="21"/>
        <v>2.5102880658436133E-2</v>
      </c>
      <c r="D632" s="6">
        <f t="shared" si="20"/>
        <v>2.4792978927586203E-2</v>
      </c>
    </row>
    <row r="633" spans="1:4" x14ac:dyDescent="0.25">
      <c r="A633" t="s">
        <v>680</v>
      </c>
      <c r="B633">
        <v>72.900000000000006</v>
      </c>
      <c r="C633" s="6">
        <f t="shared" si="21"/>
        <v>2.37326218227778E-2</v>
      </c>
      <c r="D633" s="6">
        <f t="shared" si="20"/>
        <v>2.3455381020579171E-2</v>
      </c>
    </row>
    <row r="634" spans="1:4" x14ac:dyDescent="0.25">
      <c r="A634" t="s">
        <v>681</v>
      </c>
      <c r="B634">
        <v>71.209999999999994</v>
      </c>
      <c r="C634" s="6">
        <f t="shared" si="21"/>
        <v>-4.0559440559441162E-3</v>
      </c>
      <c r="D634" s="6">
        <f t="shared" si="20"/>
        <v>-4.0641917059286402E-3</v>
      </c>
    </row>
    <row r="635" spans="1:4" x14ac:dyDescent="0.25">
      <c r="A635" t="s">
        <v>682</v>
      </c>
      <c r="B635">
        <v>71.5</v>
      </c>
      <c r="C635" s="6">
        <f t="shared" si="21"/>
        <v>8.036091921612698E-3</v>
      </c>
      <c r="D635" s="6">
        <f t="shared" si="20"/>
        <v>8.0039744859664291E-3</v>
      </c>
    </row>
    <row r="636" spans="1:4" x14ac:dyDescent="0.25">
      <c r="A636" t="s">
        <v>683</v>
      </c>
      <c r="B636">
        <v>70.930000000000007</v>
      </c>
      <c r="C636" s="6">
        <f t="shared" si="21"/>
        <v>-7.4167366358800502E-3</v>
      </c>
      <c r="D636" s="6">
        <f t="shared" si="20"/>
        <v>-7.4443773812681909E-3</v>
      </c>
    </row>
    <row r="637" spans="1:4" x14ac:dyDescent="0.25">
      <c r="A637" t="s">
        <v>684</v>
      </c>
      <c r="B637">
        <v>71.459999999999994</v>
      </c>
      <c r="C637" s="6">
        <f t="shared" si="21"/>
        <v>-1.7191583000962685E-2</v>
      </c>
      <c r="D637" s="6">
        <f t="shared" si="20"/>
        <v>-1.734107406670168E-2</v>
      </c>
    </row>
    <row r="638" spans="1:4" x14ac:dyDescent="0.25">
      <c r="A638" t="s">
        <v>685</v>
      </c>
      <c r="B638">
        <v>72.709999999999994</v>
      </c>
      <c r="C638" s="6">
        <f t="shared" si="21"/>
        <v>-1.0882873078492894E-2</v>
      </c>
      <c r="D638" s="6">
        <f t="shared" si="20"/>
        <v>-1.0942524724030976E-2</v>
      </c>
    </row>
    <row r="639" spans="1:4" x14ac:dyDescent="0.25">
      <c r="A639" t="s">
        <v>686</v>
      </c>
      <c r="B639">
        <v>73.510000000000005</v>
      </c>
      <c r="C639" s="6">
        <f t="shared" si="21"/>
        <v>1.9081368406705934E-3</v>
      </c>
      <c r="D639" s="6">
        <f t="shared" si="20"/>
        <v>1.9063186600933905E-3</v>
      </c>
    </row>
    <row r="640" spans="1:4" x14ac:dyDescent="0.25">
      <c r="A640" t="s">
        <v>687</v>
      </c>
      <c r="B640">
        <v>73.37</v>
      </c>
      <c r="C640" s="6">
        <f t="shared" si="21"/>
        <v>8.5223367697595531E-3</v>
      </c>
      <c r="D640" s="6">
        <f t="shared" si="20"/>
        <v>8.4862266743011006E-3</v>
      </c>
    </row>
    <row r="641" spans="1:4" x14ac:dyDescent="0.25">
      <c r="A641" t="s">
        <v>688</v>
      </c>
      <c r="B641">
        <v>72.75</v>
      </c>
      <c r="C641" s="6">
        <f t="shared" si="21"/>
        <v>1.1962720823480266E-2</v>
      </c>
      <c r="D641" s="6">
        <f t="shared" si="20"/>
        <v>1.1891733055821677E-2</v>
      </c>
    </row>
    <row r="642" spans="1:4" x14ac:dyDescent="0.25">
      <c r="A642" t="s">
        <v>689</v>
      </c>
      <c r="B642">
        <v>71.89</v>
      </c>
      <c r="C642" s="6">
        <f t="shared" si="21"/>
        <v>-2.3764258555133089E-2</v>
      </c>
      <c r="D642" s="6">
        <f t="shared" si="20"/>
        <v>-2.4051183369096948E-2</v>
      </c>
    </row>
    <row r="643" spans="1:4" x14ac:dyDescent="0.25">
      <c r="A643" t="s">
        <v>690</v>
      </c>
      <c r="B643">
        <v>73.64</v>
      </c>
      <c r="C643" s="6">
        <f t="shared" si="21"/>
        <v>1.0289477294553429E-2</v>
      </c>
      <c r="D643" s="6">
        <f t="shared" si="20"/>
        <v>1.0236900970755516E-2</v>
      </c>
    </row>
    <row r="644" spans="1:4" x14ac:dyDescent="0.25">
      <c r="A644" t="s">
        <v>691</v>
      </c>
      <c r="B644">
        <v>72.89</v>
      </c>
      <c r="C644" s="6">
        <f t="shared" si="21"/>
        <v>1.7022464071438481E-2</v>
      </c>
      <c r="D644" s="6">
        <f t="shared" si="20"/>
        <v>1.6879205388293669E-2</v>
      </c>
    </row>
    <row r="645" spans="1:4" x14ac:dyDescent="0.25">
      <c r="A645" t="s">
        <v>692</v>
      </c>
      <c r="B645">
        <v>71.67</v>
      </c>
      <c r="C645" s="6">
        <f t="shared" si="21"/>
        <v>4.9074593381941423E-3</v>
      </c>
      <c r="D645" s="6">
        <f t="shared" si="20"/>
        <v>4.8954570108882848E-3</v>
      </c>
    </row>
    <row r="646" spans="1:4" x14ac:dyDescent="0.25">
      <c r="A646" t="s">
        <v>693</v>
      </c>
      <c r="B646">
        <v>71.319999999999993</v>
      </c>
      <c r="C646" s="6">
        <f t="shared" si="21"/>
        <v>6.9179726104757755E-3</v>
      </c>
      <c r="D646" s="6">
        <f t="shared" si="20"/>
        <v>6.8941532294084056E-3</v>
      </c>
    </row>
    <row r="647" spans="1:4" x14ac:dyDescent="0.25">
      <c r="A647" t="s">
        <v>694</v>
      </c>
      <c r="B647">
        <v>70.83</v>
      </c>
      <c r="C647" s="6">
        <f t="shared" si="21"/>
        <v>-2.9593094944512899E-2</v>
      </c>
      <c r="D647" s="6">
        <f t="shared" si="20"/>
        <v>-3.0039805698009646E-2</v>
      </c>
    </row>
    <row r="648" spans="1:4" x14ac:dyDescent="0.25">
      <c r="A648" t="s">
        <v>695</v>
      </c>
      <c r="B648">
        <v>72.989999999999995</v>
      </c>
      <c r="C648" s="6">
        <f t="shared" si="21"/>
        <v>9.9626400996264408E-3</v>
      </c>
      <c r="D648" s="6">
        <f t="shared" si="20"/>
        <v>9.913340168651287E-3</v>
      </c>
    </row>
    <row r="649" spans="1:4" x14ac:dyDescent="0.25">
      <c r="A649" t="s">
        <v>696</v>
      </c>
      <c r="B649">
        <v>72.27</v>
      </c>
      <c r="C649" s="6">
        <f t="shared" si="21"/>
        <v>-6.3247628213942697E-3</v>
      </c>
      <c r="D649" s="6">
        <f t="shared" si="20"/>
        <v>-6.3448488715597143E-3</v>
      </c>
    </row>
    <row r="650" spans="1:4" x14ac:dyDescent="0.25">
      <c r="A650" t="s">
        <v>697</v>
      </c>
      <c r="B650">
        <v>72.73</v>
      </c>
      <c r="C650" s="6">
        <f t="shared" si="21"/>
        <v>3.0340642669977047E-3</v>
      </c>
      <c r="D650" s="6">
        <f t="shared" si="20"/>
        <v>3.0294707829480439E-3</v>
      </c>
    </row>
    <row r="651" spans="1:4" x14ac:dyDescent="0.25">
      <c r="A651" t="s">
        <v>698</v>
      </c>
      <c r="B651">
        <v>72.510000000000005</v>
      </c>
      <c r="C651" s="6">
        <f t="shared" si="21"/>
        <v>-1.1047463175122618E-2</v>
      </c>
      <c r="D651" s="6">
        <f t="shared" si="20"/>
        <v>-1.1108939588002797E-2</v>
      </c>
    </row>
    <row r="652" spans="1:4" x14ac:dyDescent="0.25">
      <c r="A652" t="s">
        <v>699</v>
      </c>
      <c r="B652">
        <v>73.319999999999993</v>
      </c>
      <c r="C652" s="6">
        <f t="shared" si="21"/>
        <v>-1.8867924528301994E-2</v>
      </c>
      <c r="D652" s="6">
        <f t="shared" si="20"/>
        <v>-1.9048194970694588E-2</v>
      </c>
    </row>
    <row r="653" spans="1:4" x14ac:dyDescent="0.25">
      <c r="A653" t="s">
        <v>700</v>
      </c>
      <c r="B653">
        <v>74.73</v>
      </c>
      <c r="C653" s="6">
        <f t="shared" si="21"/>
        <v>-1.9033867156734052E-2</v>
      </c>
      <c r="D653" s="6">
        <f t="shared" si="20"/>
        <v>-1.921734310825924E-2</v>
      </c>
    </row>
    <row r="654" spans="1:4" x14ac:dyDescent="0.25">
      <c r="A654" t="s">
        <v>701</v>
      </c>
      <c r="B654">
        <v>76.180000000000007</v>
      </c>
      <c r="C654" s="6">
        <f t="shared" si="21"/>
        <v>1.051248357424539E-3</v>
      </c>
      <c r="D654" s="6">
        <f t="shared" si="20"/>
        <v>1.0506961828179284E-3</v>
      </c>
    </row>
    <row r="655" spans="1:4" x14ac:dyDescent="0.25">
      <c r="A655" t="s">
        <v>702</v>
      </c>
      <c r="B655">
        <v>76.099999999999994</v>
      </c>
      <c r="C655" s="6">
        <f t="shared" si="21"/>
        <v>3.7208668393076128E-2</v>
      </c>
      <c r="D655" s="6">
        <f t="shared" si="20"/>
        <v>3.6533132141737201E-2</v>
      </c>
    </row>
    <row r="656" spans="1:4" x14ac:dyDescent="0.25">
      <c r="A656" t="s">
        <v>703</v>
      </c>
      <c r="B656">
        <v>73.37</v>
      </c>
      <c r="C656" s="6">
        <f t="shared" si="21"/>
        <v>2.8704209950793924E-3</v>
      </c>
      <c r="D656" s="6">
        <f t="shared" si="20"/>
        <v>2.8663092032380605E-3</v>
      </c>
    </row>
    <row r="657" spans="1:4" x14ac:dyDescent="0.25">
      <c r="A657" t="s">
        <v>704</v>
      </c>
      <c r="B657">
        <v>73.16</v>
      </c>
      <c r="C657" s="6">
        <f t="shared" si="21"/>
        <v>1.3687380235423152E-3</v>
      </c>
      <c r="D657" s="6">
        <f t="shared" si="20"/>
        <v>1.367802155528526E-3</v>
      </c>
    </row>
    <row r="658" spans="1:4" x14ac:dyDescent="0.25">
      <c r="A658" t="s">
        <v>705</v>
      </c>
      <c r="B658">
        <v>73.06</v>
      </c>
      <c r="C658" s="6">
        <f t="shared" si="21"/>
        <v>-1.3635749966248056E-2</v>
      </c>
      <c r="D658" s="6">
        <f t="shared" si="20"/>
        <v>-1.3729570658061296E-2</v>
      </c>
    </row>
    <row r="659" spans="1:4" x14ac:dyDescent="0.25">
      <c r="A659" t="s">
        <v>706</v>
      </c>
      <c r="B659">
        <v>74.069999999999993</v>
      </c>
      <c r="C659" s="6">
        <f t="shared" si="21"/>
        <v>-1.2663289789389576E-2</v>
      </c>
      <c r="D659" s="6">
        <f t="shared" si="20"/>
        <v>-1.274415262854353E-2</v>
      </c>
    </row>
    <row r="660" spans="1:4" x14ac:dyDescent="0.25">
      <c r="A660" t="s">
        <v>707</v>
      </c>
      <c r="B660">
        <v>75.02</v>
      </c>
      <c r="C660" s="6">
        <f t="shared" si="21"/>
        <v>1.3509862199405642E-2</v>
      </c>
      <c r="D660" s="6">
        <f t="shared" si="20"/>
        <v>1.3419417695731434E-2</v>
      </c>
    </row>
    <row r="661" spans="1:4" x14ac:dyDescent="0.25">
      <c r="A661" t="s">
        <v>708</v>
      </c>
      <c r="B661">
        <v>74.02</v>
      </c>
      <c r="C661" s="6">
        <f t="shared" si="21"/>
        <v>1.2031719989062051E-2</v>
      </c>
      <c r="D661" s="6">
        <f t="shared" si="20"/>
        <v>1.1959914236774737E-2</v>
      </c>
    </row>
    <row r="662" spans="1:4" x14ac:dyDescent="0.25">
      <c r="A662" t="s">
        <v>709</v>
      </c>
      <c r="B662">
        <v>73.14</v>
      </c>
      <c r="C662" s="6">
        <f t="shared" si="21"/>
        <v>3.1157479204849681E-2</v>
      </c>
      <c r="D662" s="6">
        <f t="shared" si="20"/>
        <v>3.0681937507239607E-2</v>
      </c>
    </row>
    <row r="663" spans="1:4" x14ac:dyDescent="0.25">
      <c r="A663" t="s">
        <v>710</v>
      </c>
      <c r="B663">
        <v>70.930000000000007</v>
      </c>
      <c r="C663" s="6">
        <f t="shared" si="21"/>
        <v>5.1013178404422099E-3</v>
      </c>
      <c r="D663" s="6">
        <f t="shared" si="20"/>
        <v>5.0883502012566036E-3</v>
      </c>
    </row>
    <row r="664" spans="1:4" x14ac:dyDescent="0.25">
      <c r="A664" t="s">
        <v>711</v>
      </c>
      <c r="B664">
        <v>70.569999999999993</v>
      </c>
      <c r="C664" s="6">
        <f t="shared" si="21"/>
        <v>1.2769580022700122E-3</v>
      </c>
      <c r="D664" s="6">
        <f t="shared" si="20"/>
        <v>1.276143384814671E-3</v>
      </c>
    </row>
    <row r="665" spans="1:4" x14ac:dyDescent="0.25">
      <c r="A665" t="s">
        <v>712</v>
      </c>
      <c r="B665">
        <v>70.48</v>
      </c>
      <c r="C665" s="6">
        <f t="shared" si="21"/>
        <v>1.6147635524798254E-2</v>
      </c>
      <c r="D665" s="6">
        <f t="shared" si="20"/>
        <v>1.6018649155637756E-2</v>
      </c>
    </row>
    <row r="666" spans="1:4" x14ac:dyDescent="0.25">
      <c r="A666" t="s">
        <v>713</v>
      </c>
      <c r="B666">
        <v>69.36</v>
      </c>
      <c r="C666" s="6">
        <f t="shared" si="21"/>
        <v>-4.8780487804878092E-3</v>
      </c>
      <c r="D666" s="6">
        <f t="shared" si="20"/>
        <v>-4.8899852941917919E-3</v>
      </c>
    </row>
    <row r="667" spans="1:4" x14ac:dyDescent="0.25">
      <c r="A667" t="s">
        <v>714</v>
      </c>
      <c r="B667">
        <v>69.7</v>
      </c>
      <c r="C667" s="6">
        <f t="shared" si="21"/>
        <v>5.862697448359655E-2</v>
      </c>
      <c r="D667" s="6">
        <f t="shared" si="20"/>
        <v>5.6972761397663781E-2</v>
      </c>
    </row>
    <row r="668" spans="1:4" x14ac:dyDescent="0.25">
      <c r="A668" t="s">
        <v>715</v>
      </c>
      <c r="B668">
        <v>65.84</v>
      </c>
      <c r="C668" s="6">
        <f t="shared" si="21"/>
        <v>-2.3290313009939112E-2</v>
      </c>
      <c r="D668" s="6">
        <f t="shared" si="20"/>
        <v>-2.3565818496533053E-2</v>
      </c>
    </row>
    <row r="669" spans="1:4" x14ac:dyDescent="0.25">
      <c r="A669" t="s">
        <v>716</v>
      </c>
      <c r="B669">
        <v>67.41</v>
      </c>
      <c r="C669" s="6">
        <f t="shared" si="21"/>
        <v>-1.6486723081412413E-2</v>
      </c>
      <c r="D669" s="6">
        <f t="shared" si="20"/>
        <v>-1.662414158111538E-2</v>
      </c>
    </row>
    <row r="670" spans="1:4" x14ac:dyDescent="0.25">
      <c r="A670" t="s">
        <v>717</v>
      </c>
      <c r="B670">
        <v>68.540000000000006</v>
      </c>
      <c r="C670" s="6">
        <f t="shared" si="21"/>
        <v>-5.6579138256201977E-3</v>
      </c>
      <c r="D670" s="6">
        <f t="shared" si="20"/>
        <v>-5.6739804510976795E-3</v>
      </c>
    </row>
    <row r="671" spans="1:4" x14ac:dyDescent="0.25">
      <c r="A671" t="s">
        <v>718</v>
      </c>
      <c r="B671">
        <v>68.930000000000007</v>
      </c>
      <c r="C671" s="6">
        <f t="shared" si="21"/>
        <v>-1.0621501363571095E-2</v>
      </c>
      <c r="D671" s="6">
        <f t="shared" si="20"/>
        <v>-1.0678312144467062E-2</v>
      </c>
    </row>
    <row r="672" spans="1:4" x14ac:dyDescent="0.25">
      <c r="A672" t="s">
        <v>719</v>
      </c>
      <c r="B672">
        <v>69.67</v>
      </c>
      <c r="C672" s="6">
        <f t="shared" si="21"/>
        <v>2.0135193441679355E-3</v>
      </c>
      <c r="D672" s="6">
        <f t="shared" si="20"/>
        <v>2.0114949311010304E-3</v>
      </c>
    </row>
    <row r="673" spans="1:4" x14ac:dyDescent="0.25">
      <c r="A673" t="s">
        <v>720</v>
      </c>
      <c r="B673">
        <v>69.53</v>
      </c>
      <c r="C673" s="6">
        <f t="shared" si="21"/>
        <v>-2.0842134910576071E-2</v>
      </c>
      <c r="D673" s="6">
        <f t="shared" si="20"/>
        <v>-2.1062398083075896E-2</v>
      </c>
    </row>
    <row r="674" spans="1:4" x14ac:dyDescent="0.25">
      <c r="A674" t="s">
        <v>721</v>
      </c>
      <c r="B674">
        <v>71.010000000000005</v>
      </c>
      <c r="C674" s="6">
        <f t="shared" si="21"/>
        <v>1.3125980881723454E-2</v>
      </c>
      <c r="D674" s="6">
        <f t="shared" si="20"/>
        <v>1.3040581681768823E-2</v>
      </c>
    </row>
    <row r="675" spans="1:4" x14ac:dyDescent="0.25">
      <c r="A675" t="s">
        <v>722</v>
      </c>
      <c r="B675">
        <v>70.09</v>
      </c>
      <c r="C675" s="6">
        <f t="shared" si="21"/>
        <v>-1.8622234668160154E-2</v>
      </c>
      <c r="D675" s="6">
        <f t="shared" si="20"/>
        <v>-1.879781165406897E-2</v>
      </c>
    </row>
    <row r="676" spans="1:4" x14ac:dyDescent="0.25">
      <c r="A676" t="s">
        <v>723</v>
      </c>
      <c r="B676">
        <v>71.42</v>
      </c>
      <c r="C676" s="6">
        <f t="shared" si="21"/>
        <v>-1.9898449293262011E-2</v>
      </c>
      <c r="D676" s="6">
        <f t="shared" si="20"/>
        <v>-2.0099089515888471E-2</v>
      </c>
    </row>
    <row r="677" spans="1:4" x14ac:dyDescent="0.25">
      <c r="A677" t="s">
        <v>724</v>
      </c>
      <c r="B677">
        <v>72.87</v>
      </c>
      <c r="C677" s="6">
        <f t="shared" si="21"/>
        <v>8.2406262875989178E-4</v>
      </c>
      <c r="D677" s="6">
        <f t="shared" si="20"/>
        <v>8.2372327557122258E-4</v>
      </c>
    </row>
    <row r="678" spans="1:4" x14ac:dyDescent="0.25">
      <c r="A678" t="s">
        <v>725</v>
      </c>
      <c r="B678">
        <v>72.81</v>
      </c>
      <c r="C678" s="6">
        <f t="shared" si="21"/>
        <v>1.1812117843246428E-2</v>
      </c>
      <c r="D678" s="6">
        <f t="shared" si="20"/>
        <v>1.1742899324287528E-2</v>
      </c>
    </row>
    <row r="679" spans="1:4" x14ac:dyDescent="0.25">
      <c r="A679" t="s">
        <v>726</v>
      </c>
      <c r="B679">
        <v>71.959999999999994</v>
      </c>
      <c r="C679" s="6">
        <f t="shared" si="21"/>
        <v>5.4492105630850052E-3</v>
      </c>
      <c r="D679" s="6">
        <f t="shared" si="20"/>
        <v>5.4344173318261382E-3</v>
      </c>
    </row>
    <row r="680" spans="1:4" x14ac:dyDescent="0.25">
      <c r="A680" t="s">
        <v>727</v>
      </c>
      <c r="B680">
        <v>71.569999999999993</v>
      </c>
      <c r="C680" s="6">
        <f t="shared" si="21"/>
        <v>-2.9256060183896482E-3</v>
      </c>
      <c r="D680" s="6">
        <f t="shared" si="20"/>
        <v>-2.9298939689552032E-3</v>
      </c>
    </row>
    <row r="681" spans="1:4" x14ac:dyDescent="0.25">
      <c r="A681" t="s">
        <v>728</v>
      </c>
      <c r="B681">
        <v>71.78</v>
      </c>
      <c r="C681" s="6">
        <f t="shared" si="21"/>
        <v>6.9705841349509967E-4</v>
      </c>
      <c r="D681" s="6">
        <f t="shared" si="20"/>
        <v>6.9681558111820254E-4</v>
      </c>
    </row>
    <row r="682" spans="1:4" x14ac:dyDescent="0.25">
      <c r="A682" t="s">
        <v>729</v>
      </c>
      <c r="B682">
        <v>71.73</v>
      </c>
      <c r="C682" s="6">
        <f t="shared" si="21"/>
        <v>3.2167832167833144E-3</v>
      </c>
      <c r="D682" s="6">
        <f t="shared" si="20"/>
        <v>3.2116204383811808E-3</v>
      </c>
    </row>
    <row r="683" spans="1:4" x14ac:dyDescent="0.25">
      <c r="A683" t="s">
        <v>730</v>
      </c>
      <c r="B683">
        <v>71.5</v>
      </c>
      <c r="C683" s="6">
        <f t="shared" si="21"/>
        <v>4.6367851622874934E-3</v>
      </c>
      <c r="D683" s="6">
        <f t="shared" si="20"/>
        <v>4.6260683887822431E-3</v>
      </c>
    </row>
    <row r="684" spans="1:4" x14ac:dyDescent="0.25">
      <c r="A684" t="s">
        <v>731</v>
      </c>
      <c r="B684">
        <v>71.17</v>
      </c>
      <c r="C684" s="6">
        <f t="shared" si="21"/>
        <v>1.829954954954971E-3</v>
      </c>
      <c r="D684" s="6">
        <f t="shared" si="20"/>
        <v>1.8282826272651325E-3</v>
      </c>
    </row>
    <row r="685" spans="1:4" x14ac:dyDescent="0.25">
      <c r="A685" t="s">
        <v>732</v>
      </c>
      <c r="B685">
        <v>71.040000000000006</v>
      </c>
      <c r="C685" s="6">
        <f t="shared" si="21"/>
        <v>1.5873015873015817E-2</v>
      </c>
      <c r="D685" s="6">
        <f t="shared" si="20"/>
        <v>1.5748356968139112E-2</v>
      </c>
    </row>
    <row r="686" spans="1:4" x14ac:dyDescent="0.25">
      <c r="A686" t="s">
        <v>733</v>
      </c>
      <c r="B686">
        <v>69.930000000000007</v>
      </c>
      <c r="C686" s="6">
        <f t="shared" si="21"/>
        <v>2.4369266055046523E-3</v>
      </c>
      <c r="D686" s="6">
        <f t="shared" si="20"/>
        <v>2.4339621150513318E-3</v>
      </c>
    </row>
    <row r="687" spans="1:4" x14ac:dyDescent="0.25">
      <c r="A687" t="s">
        <v>734</v>
      </c>
      <c r="B687">
        <v>69.760000000000005</v>
      </c>
      <c r="C687" s="6">
        <f t="shared" si="21"/>
        <v>-1.5245623941276043E-2</v>
      </c>
      <c r="D687" s="6">
        <f t="shared" si="20"/>
        <v>-1.5363033313908529E-2</v>
      </c>
    </row>
    <row r="688" spans="1:4" x14ac:dyDescent="0.25">
      <c r="A688" t="s">
        <v>735</v>
      </c>
      <c r="B688">
        <v>70.84</v>
      </c>
      <c r="C688" s="6">
        <f t="shared" si="21"/>
        <v>1.0556348074179933E-2</v>
      </c>
      <c r="D688" s="6">
        <f t="shared" si="20"/>
        <v>1.0501018874088571E-2</v>
      </c>
    </row>
    <row r="689" spans="1:4" x14ac:dyDescent="0.25">
      <c r="A689" t="s">
        <v>736</v>
      </c>
      <c r="B689">
        <v>70.099999999999994</v>
      </c>
      <c r="C689" s="6">
        <f t="shared" si="21"/>
        <v>-2.3268775254284502E-2</v>
      </c>
      <c r="D689" s="6">
        <f t="shared" si="20"/>
        <v>-2.35437674014361E-2</v>
      </c>
    </row>
    <row r="690" spans="1:4" x14ac:dyDescent="0.25">
      <c r="A690" t="s">
        <v>737</v>
      </c>
      <c r="B690">
        <v>71.77</v>
      </c>
      <c r="C690" s="6">
        <f t="shared" si="21"/>
        <v>-2.8033586132177768E-2</v>
      </c>
      <c r="D690" s="6">
        <f t="shared" si="20"/>
        <v>-2.8434028752616282E-2</v>
      </c>
    </row>
    <row r="691" spans="1:4" x14ac:dyDescent="0.25">
      <c r="A691" t="s">
        <v>738</v>
      </c>
      <c r="B691">
        <v>73.84</v>
      </c>
      <c r="C691" s="6">
        <f t="shared" si="21"/>
        <v>3.260869565217428E-3</v>
      </c>
      <c r="D691" s="6">
        <f t="shared" ref="D691:D754" si="22">LN(B691/B692)</f>
        <v>3.2555644597662002E-3</v>
      </c>
    </row>
    <row r="692" spans="1:4" x14ac:dyDescent="0.25">
      <c r="A692" t="s">
        <v>739</v>
      </c>
      <c r="B692">
        <v>73.599999999999994</v>
      </c>
      <c r="C692" s="6">
        <f t="shared" ref="C692:C755" si="23">(B692/B693)-1</f>
        <v>2.9946823397704936E-2</v>
      </c>
      <c r="D692" s="6">
        <f t="shared" si="22"/>
        <v>2.9507173139566745E-2</v>
      </c>
    </row>
    <row r="693" spans="1:4" x14ac:dyDescent="0.25">
      <c r="A693" t="s">
        <v>740</v>
      </c>
      <c r="B693">
        <v>71.459999999999994</v>
      </c>
      <c r="C693" s="6">
        <f t="shared" si="23"/>
        <v>9.8925946862633563E-3</v>
      </c>
      <c r="D693" s="6">
        <f t="shared" si="22"/>
        <v>9.8439833036791415E-3</v>
      </c>
    </row>
    <row r="694" spans="1:4" x14ac:dyDescent="0.25">
      <c r="A694" t="s">
        <v>741</v>
      </c>
      <c r="B694">
        <v>70.760000000000005</v>
      </c>
      <c r="C694" s="6">
        <f t="shared" si="23"/>
        <v>-1.5307542443640298E-2</v>
      </c>
      <c r="D694" s="6">
        <f t="shared" si="22"/>
        <v>-1.542591239378803E-2</v>
      </c>
    </row>
    <row r="695" spans="1:4" x14ac:dyDescent="0.25">
      <c r="A695" t="s">
        <v>742</v>
      </c>
      <c r="B695">
        <v>71.86</v>
      </c>
      <c r="C695" s="6">
        <f t="shared" si="23"/>
        <v>-1.9377729257641918E-2</v>
      </c>
      <c r="D695" s="6">
        <f t="shared" si="22"/>
        <v>-1.9567938680502151E-2</v>
      </c>
    </row>
    <row r="696" spans="1:4" x14ac:dyDescent="0.25">
      <c r="A696" t="s">
        <v>743</v>
      </c>
      <c r="B696">
        <v>73.28</v>
      </c>
      <c r="C696" s="6">
        <f t="shared" si="23"/>
        <v>9.366391184573164E-3</v>
      </c>
      <c r="D696" s="6">
        <f t="shared" si="22"/>
        <v>9.322798535124582E-3</v>
      </c>
    </row>
    <row r="697" spans="1:4" x14ac:dyDescent="0.25">
      <c r="A697" t="s">
        <v>744</v>
      </c>
      <c r="B697">
        <v>72.599999999999994</v>
      </c>
      <c r="C697" s="6">
        <f t="shared" si="23"/>
        <v>1.8375648758591545E-2</v>
      </c>
      <c r="D697" s="6">
        <f t="shared" si="22"/>
        <v>1.8208856701213191E-2</v>
      </c>
    </row>
    <row r="698" spans="1:4" x14ac:dyDescent="0.25">
      <c r="A698" t="s">
        <v>745</v>
      </c>
      <c r="B698">
        <v>71.290000000000006</v>
      </c>
      <c r="C698" s="6">
        <f t="shared" si="23"/>
        <v>5.0754264768080315E-3</v>
      </c>
      <c r="D698" s="6">
        <f t="shared" si="22"/>
        <v>5.0625899155416236E-3</v>
      </c>
    </row>
    <row r="699" spans="1:4" x14ac:dyDescent="0.25">
      <c r="A699" t="s">
        <v>746</v>
      </c>
      <c r="B699">
        <v>70.930000000000007</v>
      </c>
      <c r="C699" s="6">
        <f t="shared" si="23"/>
        <v>-1.0601199609429401E-2</v>
      </c>
      <c r="D699" s="6">
        <f t="shared" si="22"/>
        <v>-1.0657792650785395E-2</v>
      </c>
    </row>
    <row r="700" spans="1:4" x14ac:dyDescent="0.25">
      <c r="A700" t="s">
        <v>747</v>
      </c>
      <c r="B700">
        <v>71.69</v>
      </c>
      <c r="C700" s="6">
        <f t="shared" si="23"/>
        <v>-1.4163916391639164E-2</v>
      </c>
      <c r="D700" s="6">
        <f t="shared" si="22"/>
        <v>-1.4265182004442529E-2</v>
      </c>
    </row>
    <row r="701" spans="1:4" x14ac:dyDescent="0.25">
      <c r="A701" t="s">
        <v>748</v>
      </c>
      <c r="B701">
        <v>72.72</v>
      </c>
      <c r="C701" s="6">
        <f t="shared" si="23"/>
        <v>1.9915848527349178E-2</v>
      </c>
      <c r="D701" s="6">
        <f t="shared" si="22"/>
        <v>1.9720122448973091E-2</v>
      </c>
    </row>
    <row r="702" spans="1:4" x14ac:dyDescent="0.25">
      <c r="A702" t="s">
        <v>749</v>
      </c>
      <c r="B702">
        <v>71.3</v>
      </c>
      <c r="C702" s="6">
        <f t="shared" si="23"/>
        <v>-2.2350198820787148E-2</v>
      </c>
      <c r="D702" s="6">
        <f t="shared" si="22"/>
        <v>-2.2603749575891525E-2</v>
      </c>
    </row>
    <row r="703" spans="1:4" x14ac:dyDescent="0.25">
      <c r="A703" t="s">
        <v>750</v>
      </c>
      <c r="B703">
        <v>72.930000000000007</v>
      </c>
      <c r="C703" s="6">
        <f t="shared" si="23"/>
        <v>3.6526435474701691E-2</v>
      </c>
      <c r="D703" s="6">
        <f t="shared" si="22"/>
        <v>3.5875157126784414E-2</v>
      </c>
    </row>
    <row r="704" spans="1:4" x14ac:dyDescent="0.25">
      <c r="A704" t="s">
        <v>751</v>
      </c>
      <c r="B704">
        <v>70.36</v>
      </c>
      <c r="C704" s="6">
        <f t="shared" si="23"/>
        <v>1.882421083116137E-2</v>
      </c>
      <c r="D704" s="6">
        <f t="shared" si="22"/>
        <v>1.8649227907511202E-2</v>
      </c>
    </row>
    <row r="705" spans="1:4" x14ac:dyDescent="0.25">
      <c r="A705" t="s">
        <v>752</v>
      </c>
      <c r="B705">
        <v>69.06</v>
      </c>
      <c r="C705" s="6">
        <f t="shared" si="23"/>
        <v>7.2928821470243932E-3</v>
      </c>
      <c r="D705" s="6">
        <f t="shared" si="22"/>
        <v>7.266417672321817E-3</v>
      </c>
    </row>
    <row r="706" spans="1:4" x14ac:dyDescent="0.25">
      <c r="A706" t="s">
        <v>753</v>
      </c>
      <c r="B706">
        <v>68.56</v>
      </c>
      <c r="C706" s="6">
        <f t="shared" si="23"/>
        <v>-4.9346879535558941E-3</v>
      </c>
      <c r="D706" s="6">
        <f t="shared" si="22"/>
        <v>-4.9469037300885529E-3</v>
      </c>
    </row>
    <row r="707" spans="1:4" x14ac:dyDescent="0.25">
      <c r="A707" t="s">
        <v>754</v>
      </c>
      <c r="B707">
        <v>68.900000000000006</v>
      </c>
      <c r="C707" s="6">
        <f t="shared" si="23"/>
        <v>8.7158628704253616E-4</v>
      </c>
      <c r="D707" s="6">
        <f t="shared" si="22"/>
        <v>8.7120667627433571E-4</v>
      </c>
    </row>
    <row r="708" spans="1:4" x14ac:dyDescent="0.25">
      <c r="A708" t="s">
        <v>755</v>
      </c>
      <c r="B708">
        <v>68.84</v>
      </c>
      <c r="C708" s="6">
        <f t="shared" si="23"/>
        <v>-1.1771461383864423E-2</v>
      </c>
      <c r="D708" s="6">
        <f t="shared" si="22"/>
        <v>-1.1841293594516399E-2</v>
      </c>
    </row>
    <row r="709" spans="1:4" x14ac:dyDescent="0.25">
      <c r="A709" t="s">
        <v>756</v>
      </c>
      <c r="B709">
        <v>69.66</v>
      </c>
      <c r="C709" s="6">
        <f t="shared" si="23"/>
        <v>-1.8627310502938865E-3</v>
      </c>
      <c r="D709" s="6">
        <f t="shared" si="22"/>
        <v>-1.8644680912052853E-3</v>
      </c>
    </row>
    <row r="710" spans="1:4" x14ac:dyDescent="0.25">
      <c r="A710" t="s">
        <v>757</v>
      </c>
      <c r="B710">
        <v>69.790000000000006</v>
      </c>
      <c r="C710" s="6">
        <f t="shared" si="23"/>
        <v>-6.2651288623095658E-3</v>
      </c>
      <c r="D710" s="6">
        <f t="shared" si="22"/>
        <v>-6.2848371418688332E-3</v>
      </c>
    </row>
    <row r="711" spans="1:4" x14ac:dyDescent="0.25">
      <c r="A711" t="s">
        <v>758</v>
      </c>
      <c r="B711">
        <v>70.23</v>
      </c>
      <c r="C711" s="6">
        <f t="shared" si="23"/>
        <v>1.2981393336218172E-2</v>
      </c>
      <c r="D711" s="6">
        <f t="shared" si="22"/>
        <v>1.2897857216530122E-2</v>
      </c>
    </row>
    <row r="712" spans="1:4" x14ac:dyDescent="0.25">
      <c r="A712" t="s">
        <v>759</v>
      </c>
      <c r="B712">
        <v>69.33</v>
      </c>
      <c r="C712" s="6">
        <f t="shared" si="23"/>
        <v>-4.7372954349698126E-3</v>
      </c>
      <c r="D712" s="6">
        <f t="shared" si="22"/>
        <v>-4.748551983456039E-3</v>
      </c>
    </row>
    <row r="713" spans="1:4" x14ac:dyDescent="0.25">
      <c r="A713" t="s">
        <v>760</v>
      </c>
      <c r="B713">
        <v>69.66</v>
      </c>
      <c r="C713" s="6">
        <f t="shared" si="23"/>
        <v>0</v>
      </c>
      <c r="D713" s="6">
        <f t="shared" si="22"/>
        <v>0</v>
      </c>
    </row>
    <row r="714" spans="1:4" x14ac:dyDescent="0.25">
      <c r="A714" t="s">
        <v>761</v>
      </c>
      <c r="B714">
        <v>69.66</v>
      </c>
      <c r="C714" s="6">
        <f t="shared" si="23"/>
        <v>2.5467392904460429E-2</v>
      </c>
      <c r="D714" s="6">
        <f t="shared" si="22"/>
        <v>2.5148501734644522E-2</v>
      </c>
    </row>
    <row r="715" spans="1:4" x14ac:dyDescent="0.25">
      <c r="A715" t="s">
        <v>762</v>
      </c>
      <c r="B715">
        <v>67.930000000000007</v>
      </c>
      <c r="C715" s="6">
        <f t="shared" si="23"/>
        <v>1.9969969969970247E-2</v>
      </c>
      <c r="D715" s="6">
        <f t="shared" si="22"/>
        <v>1.9773185656867382E-2</v>
      </c>
    </row>
    <row r="716" spans="1:4" x14ac:dyDescent="0.25">
      <c r="A716" t="s">
        <v>763</v>
      </c>
      <c r="B716">
        <v>66.599999999999994</v>
      </c>
      <c r="C716" s="6">
        <f t="shared" si="23"/>
        <v>7.1072130651745891E-3</v>
      </c>
      <c r="D716" s="6">
        <f t="shared" si="22"/>
        <v>7.0820758597723811E-3</v>
      </c>
    </row>
    <row r="717" spans="1:4" x14ac:dyDescent="0.25">
      <c r="A717" t="s">
        <v>764</v>
      </c>
      <c r="B717">
        <v>66.13</v>
      </c>
      <c r="C717" s="6">
        <f t="shared" si="23"/>
        <v>-3.9162524476578087E-3</v>
      </c>
      <c r="D717" s="6">
        <f t="shared" si="22"/>
        <v>-3.9239410444970053E-3</v>
      </c>
    </row>
    <row r="718" spans="1:4" x14ac:dyDescent="0.25">
      <c r="A718" t="s">
        <v>765</v>
      </c>
      <c r="B718">
        <v>66.39</v>
      </c>
      <c r="C718" s="6">
        <f t="shared" si="23"/>
        <v>-3.2779720279720315E-2</v>
      </c>
      <c r="D718" s="6">
        <f t="shared" si="22"/>
        <v>-3.3329012448638895E-2</v>
      </c>
    </row>
    <row r="719" spans="1:4" x14ac:dyDescent="0.25">
      <c r="A719" t="s">
        <v>766</v>
      </c>
      <c r="B719">
        <v>68.64</v>
      </c>
      <c r="C719" s="6">
        <f t="shared" si="23"/>
        <v>8.5218924478400737E-3</v>
      </c>
      <c r="D719" s="6">
        <f t="shared" si="22"/>
        <v>8.4857861069471061E-3</v>
      </c>
    </row>
    <row r="720" spans="1:4" x14ac:dyDescent="0.25">
      <c r="A720" t="s">
        <v>767</v>
      </c>
      <c r="B720">
        <v>68.06</v>
      </c>
      <c r="C720" s="6">
        <f t="shared" si="23"/>
        <v>-1.1186982420456126E-2</v>
      </c>
      <c r="D720" s="6">
        <f t="shared" si="22"/>
        <v>-1.1250027337513086E-2</v>
      </c>
    </row>
    <row r="721" spans="1:4" x14ac:dyDescent="0.25">
      <c r="A721" t="s">
        <v>768</v>
      </c>
      <c r="B721">
        <v>68.83</v>
      </c>
      <c r="C721" s="6">
        <f t="shared" si="23"/>
        <v>2.1840419336049965E-3</v>
      </c>
      <c r="D721" s="6">
        <f t="shared" si="22"/>
        <v>2.1816603809979153E-3</v>
      </c>
    </row>
    <row r="722" spans="1:4" x14ac:dyDescent="0.25">
      <c r="A722" t="s">
        <v>769</v>
      </c>
      <c r="B722">
        <v>68.680000000000007</v>
      </c>
      <c r="C722" s="6">
        <f t="shared" si="23"/>
        <v>-5.2143684820393776E-3</v>
      </c>
      <c r="D722" s="6">
        <f t="shared" si="22"/>
        <v>-5.2280107458977038E-3</v>
      </c>
    </row>
    <row r="723" spans="1:4" x14ac:dyDescent="0.25">
      <c r="A723" t="s">
        <v>770</v>
      </c>
      <c r="B723">
        <v>69.040000000000006</v>
      </c>
      <c r="C723" s="6">
        <f t="shared" si="23"/>
        <v>3.601440576230508E-2</v>
      </c>
      <c r="D723" s="6">
        <f t="shared" si="22"/>
        <v>3.538104891658541E-2</v>
      </c>
    </row>
    <row r="724" spans="1:4" x14ac:dyDescent="0.25">
      <c r="A724" t="s">
        <v>771</v>
      </c>
      <c r="B724">
        <v>66.64</v>
      </c>
      <c r="C724" s="6">
        <f t="shared" si="23"/>
        <v>-1.449275362318847E-2</v>
      </c>
      <c r="D724" s="6">
        <f t="shared" si="22"/>
        <v>-1.4598799421152749E-2</v>
      </c>
    </row>
    <row r="725" spans="1:4" x14ac:dyDescent="0.25">
      <c r="A725" t="s">
        <v>772</v>
      </c>
      <c r="B725">
        <v>67.62</v>
      </c>
      <c r="C725" s="6">
        <f t="shared" si="23"/>
        <v>-1.478633742421076E-4</v>
      </c>
      <c r="D725" s="6">
        <f t="shared" si="22"/>
        <v>-1.478743071085557E-4</v>
      </c>
    </row>
    <row r="726" spans="1:4" x14ac:dyDescent="0.25">
      <c r="A726" t="s">
        <v>773</v>
      </c>
      <c r="B726">
        <v>67.63</v>
      </c>
      <c r="C726" s="6">
        <f t="shared" si="23"/>
        <v>-1.413994169096211E-2</v>
      </c>
      <c r="D726" s="6">
        <f t="shared" si="22"/>
        <v>-1.424086314499097E-2</v>
      </c>
    </row>
    <row r="727" spans="1:4" x14ac:dyDescent="0.25">
      <c r="A727" t="s">
        <v>774</v>
      </c>
      <c r="B727">
        <v>68.599999999999994</v>
      </c>
      <c r="C727" s="6">
        <f t="shared" si="23"/>
        <v>-1.0814708002883977E-2</v>
      </c>
      <c r="D727" s="6">
        <f t="shared" si="22"/>
        <v>-1.087361202900111E-2</v>
      </c>
    </row>
    <row r="728" spans="1:4" x14ac:dyDescent="0.25">
      <c r="A728" t="s">
        <v>775</v>
      </c>
      <c r="B728">
        <v>69.349999999999994</v>
      </c>
      <c r="C728" s="6">
        <f t="shared" si="23"/>
        <v>1.2408759124087565E-2</v>
      </c>
      <c r="D728" s="6">
        <f t="shared" si="22"/>
        <v>1.2332401492660964E-2</v>
      </c>
    </row>
    <row r="729" spans="1:4" x14ac:dyDescent="0.25">
      <c r="A729" t="s">
        <v>776</v>
      </c>
      <c r="B729">
        <v>68.5</v>
      </c>
      <c r="C729" s="6">
        <f t="shared" si="23"/>
        <v>-1.1115923199076061E-2</v>
      </c>
      <c r="D729" s="6">
        <f t="shared" si="22"/>
        <v>-1.1178166766334057E-2</v>
      </c>
    </row>
    <row r="730" spans="1:4" x14ac:dyDescent="0.25">
      <c r="A730" t="s">
        <v>777</v>
      </c>
      <c r="B730">
        <v>69.27</v>
      </c>
      <c r="C730" s="6">
        <f t="shared" si="23"/>
        <v>-2.6970080067425184E-2</v>
      </c>
      <c r="D730" s="6">
        <f t="shared" si="22"/>
        <v>-2.734044708126819E-2</v>
      </c>
    </row>
    <row r="731" spans="1:4" x14ac:dyDescent="0.25">
      <c r="A731" t="s">
        <v>778</v>
      </c>
      <c r="B731">
        <v>71.19</v>
      </c>
      <c r="C731" s="6">
        <f t="shared" si="23"/>
        <v>-1.5427769985975059E-3</v>
      </c>
      <c r="D731" s="6">
        <f t="shared" si="22"/>
        <v>-1.5439683044683949E-3</v>
      </c>
    </row>
    <row r="732" spans="1:4" x14ac:dyDescent="0.25">
      <c r="A732" t="s">
        <v>779</v>
      </c>
      <c r="B732">
        <v>71.3</v>
      </c>
      <c r="C732" s="6">
        <f t="shared" si="23"/>
        <v>-3.125E-2</v>
      </c>
      <c r="D732" s="6">
        <f t="shared" si="22"/>
        <v>-3.1748698314580298E-2</v>
      </c>
    </row>
    <row r="733" spans="1:4" x14ac:dyDescent="0.25">
      <c r="A733" t="s">
        <v>780</v>
      </c>
      <c r="B733">
        <v>73.599999999999994</v>
      </c>
      <c r="C733" s="6">
        <f t="shared" si="23"/>
        <v>1.1405799093032742E-2</v>
      </c>
      <c r="D733" s="6">
        <f t="shared" si="22"/>
        <v>1.1341243375835372E-2</v>
      </c>
    </row>
    <row r="734" spans="1:4" x14ac:dyDescent="0.25">
      <c r="A734" t="s">
        <v>781</v>
      </c>
      <c r="B734">
        <v>72.77</v>
      </c>
      <c r="C734" s="6">
        <f t="shared" si="23"/>
        <v>1.6056967327562122E-2</v>
      </c>
      <c r="D734" s="6">
        <f t="shared" si="22"/>
        <v>1.5929417788708426E-2</v>
      </c>
    </row>
    <row r="735" spans="1:4" x14ac:dyDescent="0.25">
      <c r="A735" t="s">
        <v>782</v>
      </c>
      <c r="B735">
        <v>71.62</v>
      </c>
      <c r="C735" s="6">
        <f t="shared" si="23"/>
        <v>-2.3452413416962026E-2</v>
      </c>
      <c r="D735" s="6">
        <f t="shared" si="22"/>
        <v>-2.3731798072893242E-2</v>
      </c>
    </row>
    <row r="736" spans="1:4" x14ac:dyDescent="0.25">
      <c r="A736" t="s">
        <v>783</v>
      </c>
      <c r="B736">
        <v>73.34</v>
      </c>
      <c r="C736" s="6">
        <f t="shared" si="23"/>
        <v>1.0749724366041935E-2</v>
      </c>
      <c r="D736" s="6">
        <f t="shared" si="22"/>
        <v>1.0692356836298829E-2</v>
      </c>
    </row>
    <row r="737" spans="1:4" x14ac:dyDescent="0.25">
      <c r="A737" t="s">
        <v>784</v>
      </c>
      <c r="B737">
        <v>72.56</v>
      </c>
      <c r="C737" s="6">
        <f t="shared" si="23"/>
        <v>1.3266303588884254E-2</v>
      </c>
      <c r="D737" s="6">
        <f t="shared" si="22"/>
        <v>1.3179076788032764E-2</v>
      </c>
    </row>
    <row r="738" spans="1:4" x14ac:dyDescent="0.25">
      <c r="A738" t="s">
        <v>785</v>
      </c>
      <c r="B738">
        <v>71.61</v>
      </c>
      <c r="C738" s="6">
        <f t="shared" si="23"/>
        <v>5.4759898904801485E-3</v>
      </c>
      <c r="D738" s="6">
        <f t="shared" si="22"/>
        <v>5.4610511692166951E-3</v>
      </c>
    </row>
    <row r="739" spans="1:4" x14ac:dyDescent="0.25">
      <c r="A739" t="s">
        <v>786</v>
      </c>
      <c r="B739">
        <v>71.22</v>
      </c>
      <c r="C739" s="6">
        <f t="shared" si="23"/>
        <v>-1.6977225672877849E-2</v>
      </c>
      <c r="D739" s="6">
        <f t="shared" si="22"/>
        <v>-1.7122990917059717E-2</v>
      </c>
    </row>
    <row r="740" spans="1:4" x14ac:dyDescent="0.25">
      <c r="A740" t="s">
        <v>787</v>
      </c>
      <c r="B740">
        <v>72.45</v>
      </c>
      <c r="C740" s="6">
        <f t="shared" si="23"/>
        <v>-1.6960651289009476E-2</v>
      </c>
      <c r="D740" s="6">
        <f t="shared" si="22"/>
        <v>-1.7106130428599511E-2</v>
      </c>
    </row>
    <row r="741" spans="1:4" x14ac:dyDescent="0.25">
      <c r="A741" t="s">
        <v>788</v>
      </c>
      <c r="B741">
        <v>73.7</v>
      </c>
      <c r="C741" s="6">
        <f t="shared" si="23"/>
        <v>-1.5364061456245692E-2</v>
      </c>
      <c r="D741" s="6">
        <f t="shared" si="22"/>
        <v>-1.5483311670346309E-2</v>
      </c>
    </row>
    <row r="742" spans="1:4" x14ac:dyDescent="0.25">
      <c r="A742" t="s">
        <v>789</v>
      </c>
      <c r="B742">
        <v>74.849999999999994</v>
      </c>
      <c r="C742" s="6">
        <f t="shared" si="23"/>
        <v>-1.0575016523463487E-2</v>
      </c>
      <c r="D742" s="6">
        <f t="shared" si="22"/>
        <v>-1.0631329368727733E-2</v>
      </c>
    </row>
    <row r="743" spans="1:4" x14ac:dyDescent="0.25">
      <c r="A743" t="s">
        <v>790</v>
      </c>
      <c r="B743">
        <v>75.650000000000006</v>
      </c>
      <c r="C743" s="6">
        <f t="shared" si="23"/>
        <v>-2.0585189021232408E-2</v>
      </c>
      <c r="D743" s="6">
        <f t="shared" si="22"/>
        <v>-2.0800017325948651E-2</v>
      </c>
    </row>
    <row r="744" spans="1:4" x14ac:dyDescent="0.25">
      <c r="A744" t="s">
        <v>791</v>
      </c>
      <c r="B744">
        <v>77.239999999999995</v>
      </c>
      <c r="C744" s="6">
        <f t="shared" si="23"/>
        <v>6.7778936392075551E-3</v>
      </c>
      <c r="D744" s="6">
        <f t="shared" si="22"/>
        <v>6.7550269851309585E-3</v>
      </c>
    </row>
    <row r="745" spans="1:4" x14ac:dyDescent="0.25">
      <c r="A745" t="s">
        <v>792</v>
      </c>
      <c r="B745">
        <v>76.72</v>
      </c>
      <c r="C745" s="6">
        <f t="shared" si="23"/>
        <v>3.368364322285089E-2</v>
      </c>
      <c r="D745" s="6">
        <f t="shared" si="22"/>
        <v>3.3128774942731157E-2</v>
      </c>
    </row>
    <row r="746" spans="1:4" x14ac:dyDescent="0.25">
      <c r="A746" t="s">
        <v>793</v>
      </c>
      <c r="B746">
        <v>74.22</v>
      </c>
      <c r="C746" s="6">
        <f t="shared" si="23"/>
        <v>6.7824199674444419E-3</v>
      </c>
      <c r="D746" s="6">
        <f t="shared" si="22"/>
        <v>6.7595228308290562E-3</v>
      </c>
    </row>
    <row r="747" spans="1:4" x14ac:dyDescent="0.25">
      <c r="A747" t="s">
        <v>794</v>
      </c>
      <c r="B747">
        <v>73.72</v>
      </c>
      <c r="C747" s="6">
        <f t="shared" si="23"/>
        <v>-2.5706940874035134E-3</v>
      </c>
      <c r="D747" s="6">
        <f t="shared" si="22"/>
        <v>-2.5740039951727659E-3</v>
      </c>
    </row>
    <row r="748" spans="1:4" x14ac:dyDescent="0.25">
      <c r="A748" t="s">
        <v>795</v>
      </c>
      <c r="B748">
        <v>73.91</v>
      </c>
      <c r="C748" s="6">
        <f t="shared" si="23"/>
        <v>2.6527777777777706E-2</v>
      </c>
      <c r="D748" s="6">
        <f t="shared" si="22"/>
        <v>2.6182017780740002E-2</v>
      </c>
    </row>
    <row r="749" spans="1:4" x14ac:dyDescent="0.25">
      <c r="A749" t="s">
        <v>796</v>
      </c>
      <c r="B749">
        <v>72</v>
      </c>
      <c r="C749" s="6">
        <f t="shared" si="23"/>
        <v>3.6269430051813378E-2</v>
      </c>
      <c r="D749" s="6">
        <f t="shared" si="22"/>
        <v>3.5627177643151035E-2</v>
      </c>
    </row>
    <row r="750" spans="1:4" x14ac:dyDescent="0.25">
      <c r="A750" t="s">
        <v>797</v>
      </c>
      <c r="B750">
        <v>69.48</v>
      </c>
      <c r="C750" s="6">
        <f t="shared" si="23"/>
        <v>-2.2975301550832716E-3</v>
      </c>
      <c r="D750" s="6">
        <f t="shared" si="22"/>
        <v>-2.3001735270840934E-3</v>
      </c>
    </row>
    <row r="751" spans="1:4" x14ac:dyDescent="0.25">
      <c r="A751" t="s">
        <v>798</v>
      </c>
      <c r="B751">
        <v>69.64</v>
      </c>
      <c r="C751" s="6">
        <f t="shared" si="23"/>
        <v>-2.2047465243645425E-2</v>
      </c>
      <c r="D751" s="6">
        <f t="shared" si="22"/>
        <v>-2.2294143094044965E-2</v>
      </c>
    </row>
    <row r="752" spans="1:4" x14ac:dyDescent="0.25">
      <c r="A752" t="s">
        <v>799</v>
      </c>
      <c r="B752">
        <v>71.209999999999994</v>
      </c>
      <c r="C752" s="6">
        <f t="shared" si="23"/>
        <v>-1.7793103448275893E-2</v>
      </c>
      <c r="D752" s="6">
        <f t="shared" si="22"/>
        <v>-1.7953303866595733E-2</v>
      </c>
    </row>
    <row r="753" spans="1:4" x14ac:dyDescent="0.25">
      <c r="A753" t="s">
        <v>800</v>
      </c>
      <c r="B753">
        <v>72.5</v>
      </c>
      <c r="C753" s="6">
        <f t="shared" si="23"/>
        <v>1.7401066516979924E-2</v>
      </c>
      <c r="D753" s="6">
        <f t="shared" si="22"/>
        <v>1.7251401682938955E-2</v>
      </c>
    </row>
    <row r="754" spans="1:4" x14ac:dyDescent="0.25">
      <c r="A754" t="s">
        <v>801</v>
      </c>
      <c r="B754">
        <v>71.260000000000005</v>
      </c>
      <c r="C754" s="6">
        <f t="shared" si="23"/>
        <v>-3.3369506239826263E-2</v>
      </c>
      <c r="D754" s="6">
        <f t="shared" si="22"/>
        <v>-3.3938972623932431E-2</v>
      </c>
    </row>
    <row r="755" spans="1:4" x14ac:dyDescent="0.25">
      <c r="A755" t="s">
        <v>802</v>
      </c>
      <c r="B755">
        <v>73.72</v>
      </c>
      <c r="C755" s="6">
        <f t="shared" si="23"/>
        <v>2.1618625277161962E-2</v>
      </c>
      <c r="D755" s="6">
        <f t="shared" ref="D755:D818" si="24">LN(B755/B756)</f>
        <v>2.1388257047254413E-2</v>
      </c>
    </row>
    <row r="756" spans="1:4" x14ac:dyDescent="0.25">
      <c r="A756" t="s">
        <v>803</v>
      </c>
      <c r="B756">
        <v>72.16</v>
      </c>
      <c r="C756" s="6">
        <f t="shared" ref="C756:C819" si="25">(B756/B757)-1</f>
        <v>-1.6089446413962483E-2</v>
      </c>
      <c r="D756" s="6">
        <f t="shared" si="24"/>
        <v>-1.6220286888811854E-2</v>
      </c>
    </row>
    <row r="757" spans="1:4" x14ac:dyDescent="0.25">
      <c r="A757" t="s">
        <v>804</v>
      </c>
      <c r="B757">
        <v>73.34</v>
      </c>
      <c r="C757" s="6">
        <f t="shared" si="25"/>
        <v>-1.0122823592927488E-2</v>
      </c>
      <c r="D757" s="6">
        <f t="shared" si="24"/>
        <v>-1.0174407785385559E-2</v>
      </c>
    </row>
    <row r="758" spans="1:4" x14ac:dyDescent="0.25">
      <c r="A758" t="s">
        <v>805</v>
      </c>
      <c r="B758">
        <v>74.09</v>
      </c>
      <c r="C758" s="6">
        <f t="shared" si="25"/>
        <v>-2.9219077568134022E-2</v>
      </c>
      <c r="D758" s="6">
        <f t="shared" si="24"/>
        <v>-2.9654456711465386E-2</v>
      </c>
    </row>
    <row r="759" spans="1:4" x14ac:dyDescent="0.25">
      <c r="A759" t="s">
        <v>806</v>
      </c>
      <c r="B759">
        <v>76.319999999999993</v>
      </c>
      <c r="C759" s="6">
        <f t="shared" si="25"/>
        <v>-4.3052837573387404E-3</v>
      </c>
      <c r="D759" s="6">
        <f t="shared" si="24"/>
        <v>-4.3145781777922353E-3</v>
      </c>
    </row>
    <row r="760" spans="1:4" x14ac:dyDescent="0.25">
      <c r="A760" t="s">
        <v>807</v>
      </c>
      <c r="B760">
        <v>76.650000000000006</v>
      </c>
      <c r="C760" s="6">
        <f t="shared" si="25"/>
        <v>1.2549537648612885E-2</v>
      </c>
      <c r="D760" s="6">
        <f t="shared" si="24"/>
        <v>1.2471444874419979E-2</v>
      </c>
    </row>
    <row r="761" spans="1:4" x14ac:dyDescent="0.25">
      <c r="A761" t="s">
        <v>808</v>
      </c>
      <c r="B761">
        <v>75.7</v>
      </c>
      <c r="C761" s="6">
        <f t="shared" si="25"/>
        <v>-4.4713308784850581E-3</v>
      </c>
      <c r="D761" s="6">
        <f t="shared" si="24"/>
        <v>-4.4813571768253704E-3</v>
      </c>
    </row>
    <row r="762" spans="1:4" x14ac:dyDescent="0.25">
      <c r="A762" t="s">
        <v>809</v>
      </c>
      <c r="B762">
        <v>76.040000000000006</v>
      </c>
      <c r="C762" s="6">
        <f t="shared" si="25"/>
        <v>-5.7531380753137462E-3</v>
      </c>
      <c r="D762" s="6">
        <f t="shared" si="24"/>
        <v>-5.7697511229173725E-3</v>
      </c>
    </row>
    <row r="763" spans="1:4" x14ac:dyDescent="0.25">
      <c r="A763" t="s">
        <v>810</v>
      </c>
      <c r="B763">
        <v>76.48</v>
      </c>
      <c r="C763" s="6">
        <f t="shared" si="25"/>
        <v>3.6745406824147953E-3</v>
      </c>
      <c r="D763" s="6">
        <f t="shared" si="24"/>
        <v>3.6678060505453531E-3</v>
      </c>
    </row>
    <row r="764" spans="1:4" x14ac:dyDescent="0.25">
      <c r="A764" t="s">
        <v>811</v>
      </c>
      <c r="B764">
        <v>76.2</v>
      </c>
      <c r="C764" s="6">
        <f t="shared" si="25"/>
        <v>-1.7914679726768967E-2</v>
      </c>
      <c r="D764" s="6">
        <f t="shared" si="24"/>
        <v>-1.8077090213257364E-2</v>
      </c>
    </row>
    <row r="765" spans="1:4" x14ac:dyDescent="0.25">
      <c r="A765" t="s">
        <v>812</v>
      </c>
      <c r="B765">
        <v>77.59</v>
      </c>
      <c r="C765" s="6">
        <f t="shared" si="25"/>
        <v>-3.4677626509118653E-3</v>
      </c>
      <c r="D765" s="6">
        <f t="shared" si="24"/>
        <v>-3.473789276451744E-3</v>
      </c>
    </row>
    <row r="766" spans="1:4" x14ac:dyDescent="0.25">
      <c r="A766" t="s">
        <v>813</v>
      </c>
      <c r="B766">
        <v>77.86</v>
      </c>
      <c r="C766" s="6">
        <f t="shared" si="25"/>
        <v>-1.6422435573521965E-2</v>
      </c>
      <c r="D766" s="6">
        <f t="shared" si="24"/>
        <v>-1.6558778552055294E-2</v>
      </c>
    </row>
    <row r="767" spans="1:4" x14ac:dyDescent="0.25">
      <c r="A767" t="s">
        <v>814</v>
      </c>
      <c r="B767">
        <v>79.16</v>
      </c>
      <c r="C767" s="6">
        <f t="shared" si="25"/>
        <v>3.0410542321337442E-3</v>
      </c>
      <c r="D767" s="6">
        <f t="shared" si="24"/>
        <v>3.0364395799503188E-3</v>
      </c>
    </row>
    <row r="768" spans="1:4" x14ac:dyDescent="0.25">
      <c r="A768" t="s">
        <v>815</v>
      </c>
      <c r="B768">
        <v>78.92</v>
      </c>
      <c r="C768" s="6">
        <f t="shared" si="25"/>
        <v>-8.9162375988948162E-3</v>
      </c>
      <c r="D768" s="6">
        <f t="shared" si="24"/>
        <v>-8.9562251149388119E-3</v>
      </c>
    </row>
    <row r="769" spans="1:4" x14ac:dyDescent="0.25">
      <c r="A769" t="s">
        <v>816</v>
      </c>
      <c r="B769">
        <v>79.63</v>
      </c>
      <c r="C769" s="6">
        <f t="shared" si="25"/>
        <v>-7.7258566978193333E-3</v>
      </c>
      <c r="D769" s="6">
        <f t="shared" si="24"/>
        <v>-7.7558557407717832E-3</v>
      </c>
    </row>
    <row r="770" spans="1:4" x14ac:dyDescent="0.25">
      <c r="A770" t="s">
        <v>817</v>
      </c>
      <c r="B770">
        <v>80.25</v>
      </c>
      <c r="C770" s="6">
        <f t="shared" si="25"/>
        <v>-7.0527097253154647E-3</v>
      </c>
      <c r="D770" s="6">
        <f t="shared" si="24"/>
        <v>-7.07769764020232E-3</v>
      </c>
    </row>
    <row r="771" spans="1:4" x14ac:dyDescent="0.25">
      <c r="A771" t="s">
        <v>818</v>
      </c>
      <c r="B771">
        <v>80.819999999999993</v>
      </c>
      <c r="C771" s="6">
        <f t="shared" si="25"/>
        <v>2.7329350451251955E-2</v>
      </c>
      <c r="D771" s="6">
        <f t="shared" si="24"/>
        <v>2.6962571309176377E-2</v>
      </c>
    </row>
    <row r="772" spans="1:4" x14ac:dyDescent="0.25">
      <c r="A772" t="s">
        <v>819</v>
      </c>
      <c r="B772">
        <v>78.67</v>
      </c>
      <c r="C772" s="6">
        <f t="shared" si="25"/>
        <v>8.7190665469933926E-3</v>
      </c>
      <c r="D772" s="6">
        <f t="shared" si="24"/>
        <v>8.6812749987446435E-3</v>
      </c>
    </row>
    <row r="773" spans="1:4" x14ac:dyDescent="0.25">
      <c r="A773" t="s">
        <v>820</v>
      </c>
      <c r="B773">
        <v>77.989999999999995</v>
      </c>
      <c r="C773" s="6">
        <f t="shared" si="25"/>
        <v>-3.1300459570239858E-2</v>
      </c>
      <c r="D773" s="6">
        <f t="shared" si="24"/>
        <v>-3.1800786969482846E-2</v>
      </c>
    </row>
    <row r="774" spans="1:4" x14ac:dyDescent="0.25">
      <c r="A774" t="s">
        <v>821</v>
      </c>
      <c r="B774">
        <v>80.510000000000005</v>
      </c>
      <c r="C774" s="6">
        <f t="shared" si="25"/>
        <v>-1.72119140625E-2</v>
      </c>
      <c r="D774" s="6">
        <f t="shared" si="24"/>
        <v>-1.7361760979308277E-2</v>
      </c>
    </row>
    <row r="775" spans="1:4" x14ac:dyDescent="0.25">
      <c r="A775" t="s">
        <v>822</v>
      </c>
      <c r="B775">
        <v>81.92</v>
      </c>
      <c r="C775" s="6">
        <f t="shared" si="25"/>
        <v>1.9666417724670149E-2</v>
      </c>
      <c r="D775" s="6">
        <f t="shared" si="24"/>
        <v>1.9475532360061512E-2</v>
      </c>
    </row>
    <row r="776" spans="1:4" x14ac:dyDescent="0.25">
      <c r="A776" t="s">
        <v>823</v>
      </c>
      <c r="B776">
        <v>80.34</v>
      </c>
      <c r="C776" s="6">
        <f t="shared" si="25"/>
        <v>2.2397556630185944E-2</v>
      </c>
      <c r="D776" s="6">
        <f t="shared" si="24"/>
        <v>2.2150414800822579E-2</v>
      </c>
    </row>
    <row r="777" spans="1:4" x14ac:dyDescent="0.25">
      <c r="A777" t="s">
        <v>824</v>
      </c>
      <c r="B777">
        <v>78.58</v>
      </c>
      <c r="C777" s="6">
        <f t="shared" si="25"/>
        <v>-1.5658273831892777E-2</v>
      </c>
      <c r="D777" s="6">
        <f t="shared" si="24"/>
        <v>-1.5782159527393806E-2</v>
      </c>
    </row>
    <row r="778" spans="1:4" x14ac:dyDescent="0.25">
      <c r="A778" t="s">
        <v>825</v>
      </c>
      <c r="B778">
        <v>79.83</v>
      </c>
      <c r="C778" s="6">
        <f t="shared" si="25"/>
        <v>1.5778088815370905E-2</v>
      </c>
      <c r="D778" s="6">
        <f t="shared" si="24"/>
        <v>1.565490877962394E-2</v>
      </c>
    </row>
    <row r="779" spans="1:4" x14ac:dyDescent="0.25">
      <c r="A779" t="s">
        <v>826</v>
      </c>
      <c r="B779">
        <v>78.59</v>
      </c>
      <c r="C779" s="6">
        <f t="shared" si="25"/>
        <v>3.8187372708753387E-4</v>
      </c>
      <c r="D779" s="6">
        <f t="shared" si="24"/>
        <v>3.8180083187306838E-4</v>
      </c>
    </row>
    <row r="780" spans="1:4" x14ac:dyDescent="0.25">
      <c r="A780" t="s">
        <v>827</v>
      </c>
      <c r="B780">
        <v>78.56</v>
      </c>
      <c r="C780" s="6">
        <f t="shared" si="25"/>
        <v>7.3086293114503764E-3</v>
      </c>
      <c r="D780" s="6">
        <f t="shared" si="24"/>
        <v>7.2820507038039621E-3</v>
      </c>
    </row>
    <row r="781" spans="1:4" x14ac:dyDescent="0.25">
      <c r="A781" t="s">
        <v>828</v>
      </c>
      <c r="B781">
        <v>77.989999999999995</v>
      </c>
      <c r="C781" s="6">
        <f t="shared" si="25"/>
        <v>-1.1408290024084278E-2</v>
      </c>
      <c r="D781" s="6">
        <f t="shared" si="24"/>
        <v>-1.1473863764591674E-2</v>
      </c>
    </row>
    <row r="782" spans="1:4" x14ac:dyDescent="0.25">
      <c r="A782" t="s">
        <v>829</v>
      </c>
      <c r="B782">
        <v>78.89</v>
      </c>
      <c r="C782" s="6">
        <f t="shared" si="25"/>
        <v>1.5446003346634152E-2</v>
      </c>
      <c r="D782" s="6">
        <f t="shared" si="24"/>
        <v>1.5327928144668919E-2</v>
      </c>
    </row>
    <row r="783" spans="1:4" x14ac:dyDescent="0.25">
      <c r="A783" t="s">
        <v>830</v>
      </c>
      <c r="B783">
        <v>77.69</v>
      </c>
      <c r="C783" s="6">
        <f t="shared" si="25"/>
        <v>7.1298936997665763E-3</v>
      </c>
      <c r="D783" s="6">
        <f t="shared" si="24"/>
        <v>7.1045961822475967E-3</v>
      </c>
    </row>
    <row r="784" spans="1:4" x14ac:dyDescent="0.25">
      <c r="A784" t="s">
        <v>831</v>
      </c>
      <c r="B784">
        <v>77.14</v>
      </c>
      <c r="C784" s="6">
        <f t="shared" si="25"/>
        <v>6.7867397546332864E-3</v>
      </c>
      <c r="D784" s="6">
        <f t="shared" si="24"/>
        <v>6.7638135075788405E-3</v>
      </c>
    </row>
    <row r="785" spans="1:4" x14ac:dyDescent="0.25">
      <c r="A785" t="s">
        <v>832</v>
      </c>
      <c r="B785">
        <v>76.62</v>
      </c>
      <c r="C785" s="6">
        <f t="shared" si="25"/>
        <v>-1.8950064020486379E-2</v>
      </c>
      <c r="D785" s="6">
        <f t="shared" si="24"/>
        <v>-1.9131917573137178E-2</v>
      </c>
    </row>
    <row r="786" spans="1:4" x14ac:dyDescent="0.25">
      <c r="A786" t="s">
        <v>833</v>
      </c>
      <c r="B786">
        <v>78.099999999999994</v>
      </c>
      <c r="C786" s="6">
        <f t="shared" si="25"/>
        <v>2.8037383177569986E-2</v>
      </c>
      <c r="D786" s="6">
        <f t="shared" si="24"/>
        <v>2.7651531330509949E-2</v>
      </c>
    </row>
    <row r="787" spans="1:4" x14ac:dyDescent="0.25">
      <c r="A787" t="s">
        <v>834</v>
      </c>
      <c r="B787">
        <v>75.97</v>
      </c>
      <c r="C787" s="6">
        <f t="shared" si="25"/>
        <v>-1.4458464773922097E-3</v>
      </c>
      <c r="D787" s="6">
        <f t="shared" si="24"/>
        <v>-1.4468927220046303E-3</v>
      </c>
    </row>
    <row r="788" spans="1:4" x14ac:dyDescent="0.25">
      <c r="A788" t="s">
        <v>835</v>
      </c>
      <c r="B788">
        <v>76.08</v>
      </c>
      <c r="C788" s="6">
        <f t="shared" si="25"/>
        <v>-3.0828025477707022E-2</v>
      </c>
      <c r="D788" s="6">
        <f t="shared" si="24"/>
        <v>-3.13132065512279E-2</v>
      </c>
    </row>
    <row r="789" spans="1:4" x14ac:dyDescent="0.25">
      <c r="A789" t="s">
        <v>836</v>
      </c>
      <c r="B789">
        <v>78.5</v>
      </c>
      <c r="C789" s="6">
        <f t="shared" si="25"/>
        <v>-1.2826961770623702E-2</v>
      </c>
      <c r="D789" s="6">
        <f t="shared" si="24"/>
        <v>-1.2909937559955807E-2</v>
      </c>
    </row>
    <row r="790" spans="1:4" x14ac:dyDescent="0.25">
      <c r="A790" t="s">
        <v>837</v>
      </c>
      <c r="B790">
        <v>79.52</v>
      </c>
      <c r="C790" s="6">
        <f t="shared" si="25"/>
        <v>3.4070221066319739E-2</v>
      </c>
      <c r="D790" s="6">
        <f t="shared" si="24"/>
        <v>3.3502685836720156E-2</v>
      </c>
    </row>
    <row r="791" spans="1:4" x14ac:dyDescent="0.25">
      <c r="A791" t="s">
        <v>838</v>
      </c>
      <c r="B791">
        <v>76.900000000000006</v>
      </c>
      <c r="C791" s="6">
        <f t="shared" si="25"/>
        <v>3.1937734836285703E-2</v>
      </c>
      <c r="D791" s="6">
        <f t="shared" si="24"/>
        <v>3.1438330778210719E-2</v>
      </c>
    </row>
    <row r="792" spans="1:4" x14ac:dyDescent="0.25">
      <c r="A792" t="s">
        <v>839</v>
      </c>
      <c r="B792">
        <v>74.52</v>
      </c>
      <c r="C792" s="6">
        <f t="shared" si="25"/>
        <v>-1.5977815924996808E-2</v>
      </c>
      <c r="D792" s="6">
        <f t="shared" si="24"/>
        <v>-1.6106837392343715E-2</v>
      </c>
    </row>
    <row r="793" spans="1:4" x14ac:dyDescent="0.25">
      <c r="A793" t="s">
        <v>840</v>
      </c>
      <c r="B793">
        <v>75.73</v>
      </c>
      <c r="C793" s="6">
        <f t="shared" si="25"/>
        <v>6.3787375415282899E-3</v>
      </c>
      <c r="D793" s="6">
        <f t="shared" si="24"/>
        <v>6.3584794967462511E-3</v>
      </c>
    </row>
    <row r="794" spans="1:4" x14ac:dyDescent="0.25">
      <c r="A794" t="s">
        <v>841</v>
      </c>
      <c r="B794">
        <v>75.25</v>
      </c>
      <c r="C794" s="6">
        <f t="shared" si="25"/>
        <v>1.1696692659317165E-2</v>
      </c>
      <c r="D794" s="6">
        <f t="shared" si="24"/>
        <v>1.1628815132061267E-2</v>
      </c>
    </row>
    <row r="795" spans="1:4" x14ac:dyDescent="0.25">
      <c r="A795" t="s">
        <v>842</v>
      </c>
      <c r="B795">
        <v>74.38</v>
      </c>
      <c r="C795" s="6">
        <f t="shared" si="25"/>
        <v>-3.163650566332521E-2</v>
      </c>
      <c r="D795" s="6">
        <f t="shared" si="24"/>
        <v>-3.2147751513666709E-2</v>
      </c>
    </row>
    <row r="796" spans="1:4" x14ac:dyDescent="0.25">
      <c r="A796" t="s">
        <v>843</v>
      </c>
      <c r="B796">
        <v>76.81</v>
      </c>
      <c r="C796" s="6">
        <f t="shared" si="25"/>
        <v>-1.3992297817715049E-2</v>
      </c>
      <c r="D796" s="6">
        <f t="shared" si="24"/>
        <v>-1.4091112866112041E-2</v>
      </c>
    </row>
    <row r="797" spans="1:4" x14ac:dyDescent="0.25">
      <c r="A797" t="s">
        <v>844</v>
      </c>
      <c r="B797">
        <v>77.900000000000006</v>
      </c>
      <c r="C797" s="6">
        <f t="shared" si="25"/>
        <v>3.1378260293922988E-2</v>
      </c>
      <c r="D797" s="6">
        <f t="shared" si="24"/>
        <v>3.0896024551346025E-2</v>
      </c>
    </row>
    <row r="798" spans="1:4" x14ac:dyDescent="0.25">
      <c r="A798" t="s">
        <v>845</v>
      </c>
      <c r="B798">
        <v>75.53</v>
      </c>
      <c r="C798" s="6">
        <f t="shared" si="25"/>
        <v>4.4530493707647612E-2</v>
      </c>
      <c r="D798" s="6">
        <f t="shared" si="24"/>
        <v>4.3567496138496094E-2</v>
      </c>
    </row>
    <row r="799" spans="1:4" x14ac:dyDescent="0.25">
      <c r="A799" t="s">
        <v>846</v>
      </c>
      <c r="B799">
        <v>72.31</v>
      </c>
      <c r="C799" s="6">
        <f t="shared" si="25"/>
        <v>1.0480715483510261E-2</v>
      </c>
      <c r="D799" s="6">
        <f t="shared" si="24"/>
        <v>1.0426173546341995E-2</v>
      </c>
    </row>
    <row r="800" spans="1:4" x14ac:dyDescent="0.25">
      <c r="A800" t="s">
        <v>847</v>
      </c>
      <c r="B800">
        <v>71.56</v>
      </c>
      <c r="C800" s="6">
        <f t="shared" si="25"/>
        <v>-9.9612617598229258E-3</v>
      </c>
      <c r="D800" s="6">
        <f t="shared" si="24"/>
        <v>-1.0011207083509348E-2</v>
      </c>
    </row>
    <row r="801" spans="1:4" x14ac:dyDescent="0.25">
      <c r="A801" t="s">
        <v>848</v>
      </c>
      <c r="B801">
        <v>72.28</v>
      </c>
      <c r="C801" s="6">
        <f t="shared" si="25"/>
        <v>6.8254631564284018E-3</v>
      </c>
      <c r="D801" s="6">
        <f t="shared" si="24"/>
        <v>6.8022751356360276E-3</v>
      </c>
    </row>
    <row r="802" spans="1:4" x14ac:dyDescent="0.25">
      <c r="A802" t="s">
        <v>849</v>
      </c>
      <c r="B802">
        <v>71.790000000000006</v>
      </c>
      <c r="C802" s="6">
        <f t="shared" si="25"/>
        <v>-9.7931034482757751E-3</v>
      </c>
      <c r="D802" s="6">
        <f t="shared" si="24"/>
        <v>-9.8413712722373575E-3</v>
      </c>
    </row>
    <row r="803" spans="1:4" x14ac:dyDescent="0.25">
      <c r="A803" t="s">
        <v>850</v>
      </c>
      <c r="B803">
        <v>72.5</v>
      </c>
      <c r="C803" s="6">
        <f t="shared" si="25"/>
        <v>-1.0238907849829393E-2</v>
      </c>
      <c r="D803" s="6">
        <f t="shared" si="24"/>
        <v>-1.0291686036547636E-2</v>
      </c>
    </row>
    <row r="804" spans="1:4" x14ac:dyDescent="0.25">
      <c r="A804" t="s">
        <v>851</v>
      </c>
      <c r="B804">
        <v>73.25</v>
      </c>
      <c r="C804" s="6">
        <f t="shared" si="25"/>
        <v>-3.4914361001317618E-2</v>
      </c>
      <c r="D804" s="6">
        <f t="shared" si="24"/>
        <v>-3.5538436504407654E-2</v>
      </c>
    </row>
    <row r="805" spans="1:4" x14ac:dyDescent="0.25">
      <c r="A805" t="s">
        <v>852</v>
      </c>
      <c r="B805">
        <v>75.900000000000006</v>
      </c>
      <c r="C805" s="6">
        <f t="shared" si="25"/>
        <v>1.7289907519099312E-2</v>
      </c>
      <c r="D805" s="6">
        <f t="shared" si="24"/>
        <v>1.714213791816125E-2</v>
      </c>
    </row>
    <row r="806" spans="1:4" x14ac:dyDescent="0.25">
      <c r="A806" t="s">
        <v>853</v>
      </c>
      <c r="B806">
        <v>74.61</v>
      </c>
      <c r="C806" s="6">
        <f t="shared" si="25"/>
        <v>2.5426058273776642E-2</v>
      </c>
      <c r="D806" s="6">
        <f t="shared" si="24"/>
        <v>2.5108192833501328E-2</v>
      </c>
    </row>
    <row r="807" spans="1:4" x14ac:dyDescent="0.25">
      <c r="A807" t="s">
        <v>854</v>
      </c>
      <c r="B807">
        <v>72.760000000000005</v>
      </c>
      <c r="C807" s="6">
        <f t="shared" si="25"/>
        <v>-2.7142666131835802E-2</v>
      </c>
      <c r="D807" s="6">
        <f t="shared" si="24"/>
        <v>-2.7517832553654697E-2</v>
      </c>
    </row>
    <row r="808" spans="1:4" x14ac:dyDescent="0.25">
      <c r="A808" t="s">
        <v>855</v>
      </c>
      <c r="B808">
        <v>74.790000000000006</v>
      </c>
      <c r="C808" s="6">
        <f t="shared" si="25"/>
        <v>1.7966516945692179E-2</v>
      </c>
      <c r="D808" s="6">
        <f t="shared" si="24"/>
        <v>1.7807026571390203E-2</v>
      </c>
    </row>
    <row r="809" spans="1:4" x14ac:dyDescent="0.25">
      <c r="A809" t="s">
        <v>856</v>
      </c>
      <c r="B809">
        <v>73.47</v>
      </c>
      <c r="C809" s="6">
        <f t="shared" si="25"/>
        <v>-2.5794189519413591E-3</v>
      </c>
      <c r="D809" s="6">
        <f t="shared" si="24"/>
        <v>-2.5827513847331849E-3</v>
      </c>
    </row>
    <row r="810" spans="1:4" x14ac:dyDescent="0.25">
      <c r="A810" t="s">
        <v>857</v>
      </c>
      <c r="B810">
        <v>73.66</v>
      </c>
      <c r="C810" s="6">
        <f t="shared" si="25"/>
        <v>5.7345712725287434E-3</v>
      </c>
      <c r="D810" s="6">
        <f t="shared" si="24"/>
        <v>5.7181912106093495E-3</v>
      </c>
    </row>
    <row r="811" spans="1:4" x14ac:dyDescent="0.25">
      <c r="A811" t="s">
        <v>858</v>
      </c>
      <c r="B811">
        <v>73.239999999999995</v>
      </c>
      <c r="C811" s="6">
        <f t="shared" si="25"/>
        <v>2.8796179238657071E-2</v>
      </c>
      <c r="D811" s="6">
        <f t="shared" si="24"/>
        <v>2.8389360690528033E-2</v>
      </c>
    </row>
    <row r="812" spans="1:4" x14ac:dyDescent="0.25">
      <c r="A812" t="s">
        <v>859</v>
      </c>
      <c r="B812">
        <v>71.19</v>
      </c>
      <c r="C812" s="6">
        <f t="shared" si="25"/>
        <v>1.1796475270039686E-2</v>
      </c>
      <c r="D812" s="6">
        <f t="shared" si="24"/>
        <v>1.1727439246424359E-2</v>
      </c>
    </row>
    <row r="813" spans="1:4" x14ac:dyDescent="0.25">
      <c r="A813" t="s">
        <v>860</v>
      </c>
      <c r="B813">
        <v>70.36</v>
      </c>
      <c r="C813" s="6">
        <f t="shared" si="25"/>
        <v>-3.2320176041809812E-2</v>
      </c>
      <c r="D813" s="6">
        <f t="shared" si="24"/>
        <v>-3.2854006792607922E-2</v>
      </c>
    </row>
    <row r="814" spans="1:4" x14ac:dyDescent="0.25">
      <c r="A814" t="s">
        <v>861</v>
      </c>
      <c r="B814">
        <v>72.709999999999994</v>
      </c>
      <c r="C814" s="6">
        <f t="shared" si="25"/>
        <v>1.2392091339459732E-2</v>
      </c>
      <c r="D814" s="6">
        <f t="shared" si="24"/>
        <v>1.2315937864028653E-2</v>
      </c>
    </row>
    <row r="815" spans="1:4" x14ac:dyDescent="0.25">
      <c r="A815" t="s">
        <v>862</v>
      </c>
      <c r="B815">
        <v>71.819999999999993</v>
      </c>
      <c r="C815" s="6">
        <f t="shared" si="25"/>
        <v>2.39520958083832E-2</v>
      </c>
      <c r="D815" s="6">
        <f t="shared" si="24"/>
        <v>2.3669744085904703E-2</v>
      </c>
    </row>
    <row r="816" spans="1:4" x14ac:dyDescent="0.25">
      <c r="A816" t="s">
        <v>863</v>
      </c>
      <c r="B816">
        <v>70.14</v>
      </c>
      <c r="C816" s="6">
        <f t="shared" si="25"/>
        <v>-8.5470085470085166E-4</v>
      </c>
      <c r="D816" s="6">
        <f t="shared" si="24"/>
        <v>-8.5506631973338747E-4</v>
      </c>
    </row>
    <row r="817" spans="1:4" x14ac:dyDescent="0.25">
      <c r="A817" t="s">
        <v>864</v>
      </c>
      <c r="B817">
        <v>70.2</v>
      </c>
      <c r="C817" s="6">
        <f t="shared" si="25"/>
        <v>9.2006900517538348E-3</v>
      </c>
      <c r="D817" s="6">
        <f t="shared" si="24"/>
        <v>9.1586215456831068E-3</v>
      </c>
    </row>
    <row r="818" spans="1:4" x14ac:dyDescent="0.25">
      <c r="A818" t="s">
        <v>865</v>
      </c>
      <c r="B818">
        <v>69.56</v>
      </c>
      <c r="C818" s="6">
        <f t="shared" si="25"/>
        <v>2.305475504322807E-3</v>
      </c>
      <c r="D818" s="6">
        <f t="shared" si="24"/>
        <v>2.3028219733235047E-3</v>
      </c>
    </row>
    <row r="819" spans="1:4" x14ac:dyDescent="0.25">
      <c r="A819" t="s">
        <v>866</v>
      </c>
      <c r="B819">
        <v>69.400000000000006</v>
      </c>
      <c r="C819" s="6">
        <f t="shared" si="25"/>
        <v>-2.2672862977045516E-2</v>
      </c>
      <c r="D819" s="6">
        <f t="shared" ref="D819:D882" si="26">LN(B819/B820)</f>
        <v>-2.293384468124347E-2</v>
      </c>
    </row>
    <row r="820" spans="1:4" x14ac:dyDescent="0.25">
      <c r="A820" t="s">
        <v>867</v>
      </c>
      <c r="B820">
        <v>71.010000000000005</v>
      </c>
      <c r="C820" s="6">
        <f t="shared" ref="C820:C883" si="27">(B820/B821)-1</f>
        <v>5.6649199830052233E-3</v>
      </c>
      <c r="D820" s="6">
        <f t="shared" si="26"/>
        <v>5.6489346657467646E-3</v>
      </c>
    </row>
    <row r="821" spans="1:4" x14ac:dyDescent="0.25">
      <c r="A821" t="s">
        <v>868</v>
      </c>
      <c r="B821">
        <v>70.61</v>
      </c>
      <c r="C821" s="6">
        <f t="shared" si="27"/>
        <v>9.9234476892529067E-4</v>
      </c>
      <c r="D821" s="6">
        <f t="shared" si="26"/>
        <v>9.9185272034939937E-4</v>
      </c>
    </row>
    <row r="822" spans="1:4" x14ac:dyDescent="0.25">
      <c r="A822" t="s">
        <v>869</v>
      </c>
      <c r="B822">
        <v>70.540000000000006</v>
      </c>
      <c r="C822" s="6">
        <f t="shared" si="27"/>
        <v>1.7040613462084853E-3</v>
      </c>
      <c r="D822" s="6">
        <f t="shared" si="26"/>
        <v>1.7026110809995043E-3</v>
      </c>
    </row>
    <row r="823" spans="1:4" x14ac:dyDescent="0.25">
      <c r="A823" t="s">
        <v>870</v>
      </c>
      <c r="B823">
        <v>70.42</v>
      </c>
      <c r="C823" s="6">
        <f t="shared" si="27"/>
        <v>-1.039910061832483E-2</v>
      </c>
      <c r="D823" s="6">
        <f t="shared" si="26"/>
        <v>-1.0453549070727869E-2</v>
      </c>
    </row>
    <row r="824" spans="1:4" x14ac:dyDescent="0.25">
      <c r="A824" t="s">
        <v>871</v>
      </c>
      <c r="B824">
        <v>71.16</v>
      </c>
      <c r="C824" s="6">
        <f t="shared" si="27"/>
        <v>2.9598308668075113E-3</v>
      </c>
      <c r="D824" s="6">
        <f t="shared" si="26"/>
        <v>2.9554591915826297E-3</v>
      </c>
    </row>
    <row r="825" spans="1:4" x14ac:dyDescent="0.25">
      <c r="A825" t="s">
        <v>872</v>
      </c>
      <c r="B825">
        <v>70.95</v>
      </c>
      <c r="C825" s="6">
        <f t="shared" si="27"/>
        <v>-6.0240963855420215E-3</v>
      </c>
      <c r="D825" s="6">
        <f t="shared" si="26"/>
        <v>-6.0423144559624744E-3</v>
      </c>
    </row>
    <row r="826" spans="1:4" x14ac:dyDescent="0.25">
      <c r="A826" t="s">
        <v>873</v>
      </c>
      <c r="B826">
        <v>71.38</v>
      </c>
      <c r="C826" s="6">
        <f t="shared" si="27"/>
        <v>-1.1195074167366093E-3</v>
      </c>
      <c r="D826" s="6">
        <f t="shared" si="26"/>
        <v>-1.1201345332494223E-3</v>
      </c>
    </row>
    <row r="827" spans="1:4" x14ac:dyDescent="0.25">
      <c r="A827" t="s">
        <v>874</v>
      </c>
      <c r="B827">
        <v>71.459999999999994</v>
      </c>
      <c r="C827" s="6">
        <f t="shared" si="27"/>
        <v>-5.4279749478078898E-3</v>
      </c>
      <c r="D827" s="6">
        <f t="shared" si="26"/>
        <v>-5.4427599297701525E-3</v>
      </c>
    </row>
    <row r="828" spans="1:4" x14ac:dyDescent="0.25">
      <c r="A828" t="s">
        <v>875</v>
      </c>
      <c r="B828">
        <v>71.849999999999994</v>
      </c>
      <c r="C828" s="6">
        <f t="shared" si="27"/>
        <v>-1.2099546267015149E-2</v>
      </c>
      <c r="D828" s="6">
        <f t="shared" si="26"/>
        <v>-1.217334164141556E-2</v>
      </c>
    </row>
    <row r="829" spans="1:4" x14ac:dyDescent="0.25">
      <c r="A829" t="s">
        <v>876</v>
      </c>
      <c r="B829">
        <v>72.73</v>
      </c>
      <c r="C829" s="6">
        <f t="shared" si="27"/>
        <v>6.2257885998893148E-3</v>
      </c>
      <c r="D829" s="6">
        <f t="shared" si="26"/>
        <v>6.2064884424215816E-3</v>
      </c>
    </row>
    <row r="830" spans="1:4" x14ac:dyDescent="0.25">
      <c r="A830" t="s">
        <v>877</v>
      </c>
      <c r="B830">
        <v>72.28</v>
      </c>
      <c r="C830" s="6">
        <f t="shared" si="27"/>
        <v>1.9406709176601478E-3</v>
      </c>
      <c r="D830" s="6">
        <f t="shared" si="26"/>
        <v>1.9387902486348516E-3</v>
      </c>
    </row>
    <row r="831" spans="1:4" x14ac:dyDescent="0.25">
      <c r="A831" t="s">
        <v>878</v>
      </c>
      <c r="B831">
        <v>72.14</v>
      </c>
      <c r="C831" s="6">
        <f t="shared" si="27"/>
        <v>-1.3402625820568947E-2</v>
      </c>
      <c r="D831" s="6">
        <f t="shared" si="26"/>
        <v>-1.3493251670501654E-2</v>
      </c>
    </row>
    <row r="832" spans="1:4" x14ac:dyDescent="0.25">
      <c r="A832" t="s">
        <v>879</v>
      </c>
      <c r="B832">
        <v>73.12</v>
      </c>
      <c r="C832" s="6">
        <f t="shared" si="27"/>
        <v>9.5824777549635698E-4</v>
      </c>
      <c r="D832" s="6">
        <f t="shared" si="26"/>
        <v>9.5778894918620153E-4</v>
      </c>
    </row>
    <row r="833" spans="1:4" x14ac:dyDescent="0.25">
      <c r="A833" t="s">
        <v>880</v>
      </c>
      <c r="B833">
        <v>73.05</v>
      </c>
      <c r="C833" s="6">
        <f t="shared" si="27"/>
        <v>-1.0296707763175816E-2</v>
      </c>
      <c r="D833" s="6">
        <f t="shared" si="26"/>
        <v>-1.0350085585252576E-2</v>
      </c>
    </row>
    <row r="834" spans="1:4" x14ac:dyDescent="0.25">
      <c r="A834" t="s">
        <v>881</v>
      </c>
      <c r="B834">
        <v>73.81</v>
      </c>
      <c r="C834" s="6">
        <f t="shared" si="27"/>
        <v>4.3543339229827893E-3</v>
      </c>
      <c r="D834" s="6">
        <f t="shared" si="26"/>
        <v>4.3448812411811741E-3</v>
      </c>
    </row>
    <row r="835" spans="1:4" x14ac:dyDescent="0.25">
      <c r="A835" t="s">
        <v>882</v>
      </c>
      <c r="B835">
        <v>73.489999999999995</v>
      </c>
      <c r="C835" s="6">
        <f t="shared" si="27"/>
        <v>-6.6234117329009301E-3</v>
      </c>
      <c r="D835" s="6">
        <f t="shared" si="26"/>
        <v>-6.6454438635282125E-3</v>
      </c>
    </row>
    <row r="836" spans="1:4" x14ac:dyDescent="0.25">
      <c r="A836" t="s">
        <v>883</v>
      </c>
      <c r="B836">
        <v>73.98</v>
      </c>
      <c r="C836" s="6">
        <f t="shared" si="27"/>
        <v>-2.7730319358654221E-2</v>
      </c>
      <c r="D836" s="6">
        <f t="shared" si="26"/>
        <v>-2.8122063784123446E-2</v>
      </c>
    </row>
    <row r="837" spans="1:4" x14ac:dyDescent="0.25">
      <c r="A837" t="s">
        <v>884</v>
      </c>
      <c r="B837">
        <v>76.09</v>
      </c>
      <c r="C837" s="6">
        <f t="shared" si="27"/>
        <v>-1.7055890842297972E-3</v>
      </c>
      <c r="D837" s="6">
        <f t="shared" si="26"/>
        <v>-1.7070452572827124E-3</v>
      </c>
    </row>
    <row r="838" spans="1:4" x14ac:dyDescent="0.25">
      <c r="A838" t="s">
        <v>885</v>
      </c>
      <c r="B838">
        <v>76.22</v>
      </c>
      <c r="C838" s="6">
        <f t="shared" si="27"/>
        <v>1.4452765733805606E-3</v>
      </c>
      <c r="D838" s="6">
        <f t="shared" si="26"/>
        <v>1.4442331664138864E-3</v>
      </c>
    </row>
    <row r="839" spans="1:4" x14ac:dyDescent="0.25">
      <c r="A839" t="s">
        <v>886</v>
      </c>
      <c r="B839">
        <v>76.11</v>
      </c>
      <c r="C839" s="6">
        <f t="shared" si="27"/>
        <v>-1.8442094402888909E-2</v>
      </c>
      <c r="D839" s="6">
        <f t="shared" si="26"/>
        <v>-1.8614269963482949E-2</v>
      </c>
    </row>
    <row r="840" spans="1:4" x14ac:dyDescent="0.25">
      <c r="A840" t="s">
        <v>887</v>
      </c>
      <c r="B840">
        <v>77.540000000000006</v>
      </c>
      <c r="C840" s="6">
        <f t="shared" si="27"/>
        <v>-1.8022657054582725E-3</v>
      </c>
      <c r="D840" s="6">
        <f t="shared" si="26"/>
        <v>-1.8038917402863849E-3</v>
      </c>
    </row>
    <row r="841" spans="1:4" x14ac:dyDescent="0.25">
      <c r="A841" t="s">
        <v>888</v>
      </c>
      <c r="B841">
        <v>77.680000000000007</v>
      </c>
      <c r="C841" s="6">
        <f t="shared" si="27"/>
        <v>3.4879214571761352E-3</v>
      </c>
      <c r="D841" s="6">
        <f t="shared" si="26"/>
        <v>3.4818527664474816E-3</v>
      </c>
    </row>
    <row r="842" spans="1:4" x14ac:dyDescent="0.25">
      <c r="A842" t="s">
        <v>889</v>
      </c>
      <c r="B842">
        <v>77.41</v>
      </c>
      <c r="C842" s="6">
        <f t="shared" si="27"/>
        <v>-6.4549444874772988E-4</v>
      </c>
      <c r="D842" s="6">
        <f t="shared" si="26"/>
        <v>-6.4570286998407215E-4</v>
      </c>
    </row>
    <row r="843" spans="1:4" x14ac:dyDescent="0.25">
      <c r="A843" t="s">
        <v>890</v>
      </c>
      <c r="B843">
        <v>77.459999999999994</v>
      </c>
      <c r="C843" s="6">
        <f t="shared" si="27"/>
        <v>1.4221073044602406E-3</v>
      </c>
      <c r="D843" s="6">
        <f t="shared" si="26"/>
        <v>1.4210970675309995E-3</v>
      </c>
    </row>
    <row r="844" spans="1:4" x14ac:dyDescent="0.25">
      <c r="A844" t="s">
        <v>891</v>
      </c>
      <c r="B844">
        <v>77.349999999999994</v>
      </c>
      <c r="C844" s="6">
        <f t="shared" si="27"/>
        <v>1.0186757215619791E-2</v>
      </c>
      <c r="D844" s="6">
        <f t="shared" si="26"/>
        <v>1.0135221894043148E-2</v>
      </c>
    </row>
    <row r="845" spans="1:4" x14ac:dyDescent="0.25">
      <c r="A845" t="s">
        <v>892</v>
      </c>
      <c r="B845">
        <v>76.569999999999993</v>
      </c>
      <c r="C845" s="6">
        <f t="shared" si="27"/>
        <v>-3.9026928580722098E-3</v>
      </c>
      <c r="D845" s="6">
        <f t="shared" si="26"/>
        <v>-3.9103282360086833E-3</v>
      </c>
    </row>
    <row r="846" spans="1:4" x14ac:dyDescent="0.25">
      <c r="A846" t="s">
        <v>893</v>
      </c>
      <c r="B846">
        <v>76.87</v>
      </c>
      <c r="C846" s="6">
        <f t="shared" si="27"/>
        <v>-2.4244732165524252E-2</v>
      </c>
      <c r="D846" s="6">
        <f t="shared" si="26"/>
        <v>-2.4543474181719212E-2</v>
      </c>
    </row>
    <row r="847" spans="1:4" x14ac:dyDescent="0.25">
      <c r="A847" t="s">
        <v>894</v>
      </c>
      <c r="B847">
        <v>78.78</v>
      </c>
      <c r="C847" s="6">
        <f t="shared" si="27"/>
        <v>2.3914738757473408E-2</v>
      </c>
      <c r="D847" s="6">
        <f t="shared" si="26"/>
        <v>2.3633260218610806E-2</v>
      </c>
    </row>
    <row r="848" spans="1:4" x14ac:dyDescent="0.25">
      <c r="A848" t="s">
        <v>895</v>
      </c>
      <c r="B848">
        <v>76.94</v>
      </c>
      <c r="C848" s="6">
        <f t="shared" si="27"/>
        <v>1.8937889021321652E-2</v>
      </c>
      <c r="D848" s="6">
        <f t="shared" si="26"/>
        <v>1.8760799508814846E-2</v>
      </c>
    </row>
    <row r="849" spans="1:4" x14ac:dyDescent="0.25">
      <c r="A849" t="s">
        <v>896</v>
      </c>
      <c r="B849">
        <v>75.510000000000005</v>
      </c>
      <c r="C849" s="6">
        <f t="shared" si="27"/>
        <v>-7.9396585946789333E-4</v>
      </c>
      <c r="D849" s="6">
        <f t="shared" si="26"/>
        <v>-7.9428121729417428E-4</v>
      </c>
    </row>
    <row r="850" spans="1:4" x14ac:dyDescent="0.25">
      <c r="A850" t="s">
        <v>897</v>
      </c>
      <c r="B850">
        <v>75.569999999999993</v>
      </c>
      <c r="C850" s="6">
        <f t="shared" si="27"/>
        <v>1.4362416107382536E-2</v>
      </c>
      <c r="D850" s="6">
        <f t="shared" si="26"/>
        <v>1.426025364711467E-2</v>
      </c>
    </row>
    <row r="851" spans="1:4" x14ac:dyDescent="0.25">
      <c r="A851" t="s">
        <v>898</v>
      </c>
      <c r="B851">
        <v>74.5</v>
      </c>
      <c r="C851" s="6">
        <f t="shared" si="27"/>
        <v>1.0854816824966029E-2</v>
      </c>
      <c r="D851" s="6">
        <f t="shared" si="26"/>
        <v>1.0796326190222864E-2</v>
      </c>
    </row>
    <row r="852" spans="1:4" x14ac:dyDescent="0.25">
      <c r="A852" t="s">
        <v>899</v>
      </c>
      <c r="B852">
        <v>73.7</v>
      </c>
      <c r="C852" s="6">
        <f t="shared" si="27"/>
        <v>1.389462099325911E-2</v>
      </c>
      <c r="D852" s="6">
        <f t="shared" si="26"/>
        <v>1.3798975698746928E-2</v>
      </c>
    </row>
    <row r="853" spans="1:4" x14ac:dyDescent="0.25">
      <c r="A853" t="s">
        <v>900</v>
      </c>
      <c r="B853">
        <v>72.69</v>
      </c>
      <c r="C853" s="6">
        <f t="shared" si="27"/>
        <v>-6.6958185296530637E-3</v>
      </c>
      <c r="D853" s="6">
        <f t="shared" si="26"/>
        <v>-6.7183360945168502E-3</v>
      </c>
    </row>
    <row r="854" spans="1:4" x14ac:dyDescent="0.25">
      <c r="A854" t="s">
        <v>901</v>
      </c>
      <c r="B854">
        <v>73.180000000000007</v>
      </c>
      <c r="C854" s="6">
        <f t="shared" si="27"/>
        <v>4.7073973386750678E-2</v>
      </c>
      <c r="D854" s="6">
        <f t="shared" si="26"/>
        <v>4.5999582102023165E-2</v>
      </c>
    </row>
    <row r="855" spans="1:4" x14ac:dyDescent="0.25">
      <c r="A855" t="s">
        <v>902</v>
      </c>
      <c r="B855">
        <v>69.89</v>
      </c>
      <c r="C855" s="6">
        <f t="shared" si="27"/>
        <v>-3.4222158847853068E-3</v>
      </c>
      <c r="D855" s="6">
        <f t="shared" si="26"/>
        <v>-3.4280850597813322E-3</v>
      </c>
    </row>
    <row r="856" spans="1:4" x14ac:dyDescent="0.25">
      <c r="A856" t="s">
        <v>903</v>
      </c>
      <c r="B856">
        <v>70.13</v>
      </c>
      <c r="C856" s="6">
        <f t="shared" si="27"/>
        <v>3.8648726023475799E-3</v>
      </c>
      <c r="D856" s="6">
        <f t="shared" si="26"/>
        <v>3.8574231701331944E-3</v>
      </c>
    </row>
    <row r="857" spans="1:4" x14ac:dyDescent="0.25">
      <c r="A857" t="s">
        <v>904</v>
      </c>
      <c r="B857">
        <v>69.86</v>
      </c>
      <c r="C857" s="6">
        <f t="shared" si="27"/>
        <v>-2.5699600228441533E-3</v>
      </c>
      <c r="D857" s="6">
        <f t="shared" si="26"/>
        <v>-2.5732680389652543E-3</v>
      </c>
    </row>
    <row r="858" spans="1:4" x14ac:dyDescent="0.25">
      <c r="A858" t="s">
        <v>905</v>
      </c>
      <c r="B858">
        <v>70.040000000000006</v>
      </c>
      <c r="C858" s="6">
        <f t="shared" si="27"/>
        <v>6.0327492099971902E-3</v>
      </c>
      <c r="D858" s="6">
        <f t="shared" si="26"/>
        <v>6.0146250343583217E-3</v>
      </c>
    </row>
    <row r="859" spans="1:4" x14ac:dyDescent="0.25">
      <c r="A859" t="s">
        <v>906</v>
      </c>
      <c r="B859">
        <v>69.62</v>
      </c>
      <c r="C859" s="6">
        <f t="shared" si="27"/>
        <v>3.32442861383202E-2</v>
      </c>
      <c r="D859" s="6">
        <f t="shared" si="26"/>
        <v>3.2703644404886247E-2</v>
      </c>
    </row>
    <row r="860" spans="1:4" x14ac:dyDescent="0.25">
      <c r="A860" t="s">
        <v>907</v>
      </c>
      <c r="B860">
        <v>67.38</v>
      </c>
      <c r="C860" s="6">
        <f t="shared" si="27"/>
        <v>-3.4532167932368685E-2</v>
      </c>
      <c r="D860" s="6">
        <f t="shared" si="26"/>
        <v>-3.5142495050653609E-2</v>
      </c>
    </row>
    <row r="861" spans="1:4" x14ac:dyDescent="0.25">
      <c r="A861" t="s">
        <v>908</v>
      </c>
      <c r="B861">
        <v>69.790000000000006</v>
      </c>
      <c r="C861" s="6">
        <f t="shared" si="27"/>
        <v>-2.4870755903311226E-2</v>
      </c>
      <c r="D861" s="6">
        <f t="shared" si="26"/>
        <v>-2.5185258721445638E-2</v>
      </c>
    </row>
    <row r="862" spans="1:4" x14ac:dyDescent="0.25">
      <c r="A862" t="s">
        <v>909</v>
      </c>
      <c r="B862">
        <v>71.569999999999993</v>
      </c>
      <c r="C862" s="6">
        <f t="shared" si="27"/>
        <v>2.6618100308208881E-3</v>
      </c>
      <c r="D862" s="6">
        <f t="shared" si="26"/>
        <v>2.6582736884917715E-3</v>
      </c>
    </row>
    <row r="863" spans="1:4" x14ac:dyDescent="0.25">
      <c r="A863" t="s">
        <v>910</v>
      </c>
      <c r="B863">
        <v>71.38</v>
      </c>
      <c r="C863" s="6">
        <f t="shared" si="27"/>
        <v>-7.232267037552309E-3</v>
      </c>
      <c r="D863" s="6">
        <f t="shared" si="26"/>
        <v>-7.2585466649868705E-3</v>
      </c>
    </row>
    <row r="864" spans="1:4" x14ac:dyDescent="0.25">
      <c r="A864" t="s">
        <v>911</v>
      </c>
      <c r="B864">
        <v>71.900000000000006</v>
      </c>
      <c r="C864" s="6">
        <f t="shared" si="27"/>
        <v>-1.1819681143485417E-2</v>
      </c>
      <c r="D864" s="6">
        <f t="shared" si="26"/>
        <v>-1.1890088922920485E-2</v>
      </c>
    </row>
    <row r="865" spans="1:4" x14ac:dyDescent="0.25">
      <c r="A865" t="s">
        <v>912</v>
      </c>
      <c r="B865">
        <v>72.760000000000005</v>
      </c>
      <c r="C865" s="6">
        <f t="shared" si="27"/>
        <v>1.0976795887175372E-2</v>
      </c>
      <c r="D865" s="6">
        <f t="shared" si="26"/>
        <v>1.0916988130208766E-2</v>
      </c>
    </row>
    <row r="866" spans="1:4" x14ac:dyDescent="0.25">
      <c r="A866" t="s">
        <v>913</v>
      </c>
      <c r="B866">
        <v>71.97</v>
      </c>
      <c r="C866" s="6">
        <f t="shared" si="27"/>
        <v>-6.7623516422853358E-3</v>
      </c>
      <c r="D866" s="6">
        <f t="shared" si="26"/>
        <v>-6.7853199472182133E-3</v>
      </c>
    </row>
    <row r="867" spans="1:4" x14ac:dyDescent="0.25">
      <c r="A867" t="s">
        <v>914</v>
      </c>
      <c r="B867">
        <v>72.459999999999994</v>
      </c>
      <c r="C867" s="6">
        <f t="shared" si="27"/>
        <v>4.2966042966041673E-3</v>
      </c>
      <c r="D867" s="6">
        <f t="shared" si="26"/>
        <v>4.2874002470511662E-3</v>
      </c>
    </row>
    <row r="868" spans="1:4" x14ac:dyDescent="0.25">
      <c r="A868" t="s">
        <v>915</v>
      </c>
      <c r="B868">
        <v>72.150000000000006</v>
      </c>
      <c r="C868" s="6">
        <f t="shared" si="27"/>
        <v>-5.6504961411245613E-3</v>
      </c>
      <c r="D868" s="6">
        <f t="shared" si="26"/>
        <v>-5.6665205870012596E-3</v>
      </c>
    </row>
    <row r="869" spans="1:4" x14ac:dyDescent="0.25">
      <c r="A869" t="s">
        <v>916</v>
      </c>
      <c r="B869">
        <v>72.56</v>
      </c>
      <c r="C869" s="6">
        <f t="shared" si="27"/>
        <v>6.9386622259228758E-3</v>
      </c>
      <c r="D869" s="6">
        <f t="shared" si="26"/>
        <v>6.9147004869340228E-3</v>
      </c>
    </row>
    <row r="870" spans="1:4" x14ac:dyDescent="0.25">
      <c r="A870" t="s">
        <v>917</v>
      </c>
      <c r="B870">
        <v>72.06</v>
      </c>
      <c r="C870" s="6">
        <f t="shared" si="27"/>
        <v>-2.0125101985314142E-2</v>
      </c>
      <c r="D870" s="6">
        <f t="shared" si="26"/>
        <v>-2.0330370553178802E-2</v>
      </c>
    </row>
    <row r="871" spans="1:4" x14ac:dyDescent="0.25">
      <c r="A871" t="s">
        <v>918</v>
      </c>
      <c r="B871">
        <v>73.540000000000006</v>
      </c>
      <c r="C871" s="6">
        <f t="shared" si="27"/>
        <v>1.8559556786703624E-2</v>
      </c>
      <c r="D871" s="6">
        <f t="shared" si="26"/>
        <v>1.8389429974345426E-2</v>
      </c>
    </row>
    <row r="872" spans="1:4" x14ac:dyDescent="0.25">
      <c r="A872" t="s">
        <v>919</v>
      </c>
      <c r="B872">
        <v>72.2</v>
      </c>
      <c r="C872" s="6">
        <f t="shared" si="27"/>
        <v>-2.0219839869724421E-2</v>
      </c>
      <c r="D872" s="6">
        <f t="shared" si="26"/>
        <v>-2.0427058880127285E-2</v>
      </c>
    </row>
    <row r="873" spans="1:4" x14ac:dyDescent="0.25">
      <c r="A873" t="s">
        <v>920</v>
      </c>
      <c r="B873">
        <v>73.69</v>
      </c>
      <c r="C873" s="6">
        <f t="shared" si="27"/>
        <v>-1.1403273410249604E-2</v>
      </c>
      <c r="D873" s="6">
        <f t="shared" si="26"/>
        <v>-1.1468789272204495E-2</v>
      </c>
    </row>
    <row r="874" spans="1:4" x14ac:dyDescent="0.25">
      <c r="A874" t="s">
        <v>921</v>
      </c>
      <c r="B874">
        <v>74.540000000000006</v>
      </c>
      <c r="C874" s="6">
        <f t="shared" si="27"/>
        <v>-1.7400474558396994E-2</v>
      </c>
      <c r="D874" s="6">
        <f t="shared" si="26"/>
        <v>-1.7553642209640469E-2</v>
      </c>
    </row>
    <row r="875" spans="1:4" x14ac:dyDescent="0.25">
      <c r="A875" t="s">
        <v>922</v>
      </c>
      <c r="B875">
        <v>75.86</v>
      </c>
      <c r="C875" s="6">
        <f t="shared" si="27"/>
        <v>-5.6363874688688531E-3</v>
      </c>
      <c r="D875" s="6">
        <f t="shared" si="26"/>
        <v>-5.6523318413851439E-3</v>
      </c>
    </row>
    <row r="876" spans="1:4" x14ac:dyDescent="0.25">
      <c r="A876" t="s">
        <v>923</v>
      </c>
      <c r="B876">
        <v>76.290000000000006</v>
      </c>
      <c r="C876" s="6">
        <f t="shared" si="27"/>
        <v>5.5357848952155564E-3</v>
      </c>
      <c r="D876" s="6">
        <f t="shared" si="26"/>
        <v>5.5205187521545438E-3</v>
      </c>
    </row>
    <row r="877" spans="1:4" x14ac:dyDescent="0.25">
      <c r="A877" t="s">
        <v>924</v>
      </c>
      <c r="B877">
        <v>75.87</v>
      </c>
      <c r="C877" s="6">
        <f t="shared" si="27"/>
        <v>1.0791366906474753E-2</v>
      </c>
      <c r="D877" s="6">
        <f t="shared" si="26"/>
        <v>1.0733555643108633E-2</v>
      </c>
    </row>
    <row r="878" spans="1:4" x14ac:dyDescent="0.25">
      <c r="A878" t="s">
        <v>925</v>
      </c>
      <c r="B878">
        <v>75.06</v>
      </c>
      <c r="C878" s="6">
        <f t="shared" si="27"/>
        <v>2.3591981453702449E-2</v>
      </c>
      <c r="D878" s="6">
        <f t="shared" si="26"/>
        <v>2.3317991601166637E-2</v>
      </c>
    </row>
    <row r="879" spans="1:4" x14ac:dyDescent="0.25">
      <c r="A879" t="s">
        <v>926</v>
      </c>
      <c r="B879">
        <v>73.33</v>
      </c>
      <c r="C879" s="6">
        <f t="shared" si="27"/>
        <v>2.1166968388803831E-2</v>
      </c>
      <c r="D879" s="6">
        <f t="shared" si="26"/>
        <v>2.0946059983482024E-2</v>
      </c>
    </row>
    <row r="880" spans="1:4" x14ac:dyDescent="0.25">
      <c r="A880" t="s">
        <v>927</v>
      </c>
      <c r="B880">
        <v>71.81</v>
      </c>
      <c r="C880" s="6">
        <f t="shared" si="27"/>
        <v>-1.1834319526627168E-2</v>
      </c>
      <c r="D880" s="6">
        <f t="shared" si="26"/>
        <v>-1.1904902506318314E-2</v>
      </c>
    </row>
    <row r="881" spans="1:4" x14ac:dyDescent="0.25">
      <c r="A881" t="s">
        <v>928</v>
      </c>
      <c r="B881">
        <v>72.67</v>
      </c>
      <c r="C881" s="6">
        <f t="shared" si="27"/>
        <v>-4.1265474552953929E-4</v>
      </c>
      <c r="D881" s="6">
        <f t="shared" si="26"/>
        <v>-4.1273991092912002E-4</v>
      </c>
    </row>
    <row r="882" spans="1:4" x14ac:dyDescent="0.25">
      <c r="A882" t="s">
        <v>929</v>
      </c>
      <c r="B882">
        <v>72.7</v>
      </c>
      <c r="C882" s="6">
        <f t="shared" si="27"/>
        <v>-5.6079879633428309E-3</v>
      </c>
      <c r="D882" s="6">
        <f t="shared" si="26"/>
        <v>-5.6237717657507888E-3</v>
      </c>
    </row>
    <row r="883" spans="1:4" x14ac:dyDescent="0.25">
      <c r="A883" t="s">
        <v>930</v>
      </c>
      <c r="B883">
        <v>73.11</v>
      </c>
      <c r="C883" s="6">
        <f t="shared" si="27"/>
        <v>-9.5654550423618367E-4</v>
      </c>
      <c r="D883" s="6">
        <f t="shared" ref="D883:D946" si="28">LN(B883/B884)</f>
        <v>-9.5700328583625711E-4</v>
      </c>
    </row>
    <row r="884" spans="1:4" x14ac:dyDescent="0.25">
      <c r="A884" t="s">
        <v>931</v>
      </c>
      <c r="B884">
        <v>73.180000000000007</v>
      </c>
      <c r="C884" s="6">
        <f t="shared" ref="C884:C947" si="29">(B884/B885)-1</f>
        <v>-5.3010738072581942E-3</v>
      </c>
      <c r="D884" s="6">
        <f t="shared" si="28"/>
        <v>-5.3151743531121105E-3</v>
      </c>
    </row>
    <row r="885" spans="1:4" x14ac:dyDescent="0.25">
      <c r="A885" t="s">
        <v>932</v>
      </c>
      <c r="B885">
        <v>73.569999999999993</v>
      </c>
      <c r="C885" s="6">
        <f t="shared" si="29"/>
        <v>3.3722073907545225E-2</v>
      </c>
      <c r="D885" s="6">
        <f t="shared" si="28"/>
        <v>3.3165952632993233E-2</v>
      </c>
    </row>
    <row r="886" spans="1:4" x14ac:dyDescent="0.25">
      <c r="A886" t="s">
        <v>933</v>
      </c>
      <c r="B886">
        <v>71.17</v>
      </c>
      <c r="C886" s="6">
        <f t="shared" si="29"/>
        <v>6.647807637906622E-3</v>
      </c>
      <c r="D886" s="6">
        <f t="shared" si="28"/>
        <v>6.6258084086526434E-3</v>
      </c>
    </row>
    <row r="887" spans="1:4" x14ac:dyDescent="0.25">
      <c r="A887" t="s">
        <v>934</v>
      </c>
      <c r="B887">
        <v>70.7</v>
      </c>
      <c r="C887" s="6">
        <f t="shared" si="29"/>
        <v>4.4040346640148442E-3</v>
      </c>
      <c r="D887" s="6">
        <f t="shared" si="28"/>
        <v>4.3943652824869053E-3</v>
      </c>
    </row>
    <row r="888" spans="1:4" x14ac:dyDescent="0.25">
      <c r="A888" t="s">
        <v>935</v>
      </c>
      <c r="B888">
        <v>70.39</v>
      </c>
      <c r="C888" s="6">
        <f t="shared" si="29"/>
        <v>-4.2601533655217683E-4</v>
      </c>
      <c r="D888" s="6">
        <f t="shared" si="28"/>
        <v>-4.2610610686627835E-4</v>
      </c>
    </row>
    <row r="889" spans="1:4" x14ac:dyDescent="0.25">
      <c r="A889" t="s">
        <v>936</v>
      </c>
      <c r="B889">
        <v>70.42</v>
      </c>
      <c r="C889" s="6">
        <f t="shared" si="29"/>
        <v>-9.1459124806527736E-3</v>
      </c>
      <c r="D889" s="6">
        <f t="shared" si="28"/>
        <v>-9.1879931118972278E-3</v>
      </c>
    </row>
    <row r="890" spans="1:4" x14ac:dyDescent="0.25">
      <c r="A890" t="s">
        <v>937</v>
      </c>
      <c r="B890">
        <v>71.069999999999993</v>
      </c>
      <c r="C890" s="6">
        <f t="shared" si="29"/>
        <v>-1.5105321507760561E-2</v>
      </c>
      <c r="D890" s="6">
        <f t="shared" si="28"/>
        <v>-1.5220568915564461E-2</v>
      </c>
    </row>
    <row r="891" spans="1:4" x14ac:dyDescent="0.25">
      <c r="A891" t="s">
        <v>938</v>
      </c>
      <c r="B891">
        <v>72.16</v>
      </c>
      <c r="C891" s="6">
        <f t="shared" si="29"/>
        <v>2.5006946373991035E-3</v>
      </c>
      <c r="D891" s="6">
        <f t="shared" si="28"/>
        <v>2.4975731034834032E-3</v>
      </c>
    </row>
    <row r="892" spans="1:4" x14ac:dyDescent="0.25">
      <c r="A892" t="s">
        <v>939</v>
      </c>
      <c r="B892">
        <v>71.98</v>
      </c>
      <c r="C892" s="6">
        <f t="shared" si="29"/>
        <v>-1.389081816918214E-4</v>
      </c>
      <c r="D892" s="6">
        <f t="shared" si="28"/>
        <v>-1.3891783032681844E-4</v>
      </c>
    </row>
    <row r="893" spans="1:4" x14ac:dyDescent="0.25">
      <c r="A893" t="s">
        <v>940</v>
      </c>
      <c r="B893">
        <v>71.989999999999995</v>
      </c>
      <c r="C893" s="6">
        <f t="shared" si="29"/>
        <v>5.5873725380639616E-3</v>
      </c>
      <c r="D893" s="6">
        <f t="shared" si="28"/>
        <v>5.57182107311788E-3</v>
      </c>
    </row>
    <row r="894" spans="1:4" x14ac:dyDescent="0.25">
      <c r="A894" t="s">
        <v>941</v>
      </c>
      <c r="B894">
        <v>71.59</v>
      </c>
      <c r="C894" s="6">
        <f t="shared" si="29"/>
        <v>1.7047876118766903E-2</v>
      </c>
      <c r="D894" s="6">
        <f t="shared" si="28"/>
        <v>1.6904191788053441E-2</v>
      </c>
    </row>
    <row r="895" spans="1:4" x14ac:dyDescent="0.25">
      <c r="A895" t="s">
        <v>942</v>
      </c>
      <c r="B895">
        <v>70.39</v>
      </c>
      <c r="C895" s="6">
        <f t="shared" si="29"/>
        <v>4.9971444888634586E-3</v>
      </c>
      <c r="D895" s="6">
        <f t="shared" si="28"/>
        <v>4.9847002023890863E-3</v>
      </c>
    </row>
    <row r="896" spans="1:4" x14ac:dyDescent="0.25">
      <c r="A896" t="s">
        <v>943</v>
      </c>
      <c r="B896">
        <v>70.040000000000006</v>
      </c>
      <c r="C896" s="6">
        <f t="shared" si="29"/>
        <v>-1.1572114027660119E-2</v>
      </c>
      <c r="D896" s="6">
        <f t="shared" si="28"/>
        <v>-1.163959201967478E-2</v>
      </c>
    </row>
    <row r="897" spans="1:4" x14ac:dyDescent="0.25">
      <c r="A897" t="s">
        <v>944</v>
      </c>
      <c r="B897">
        <v>70.86</v>
      </c>
      <c r="C897" s="6">
        <f t="shared" si="29"/>
        <v>2.5470332850940691E-2</v>
      </c>
      <c r="D897" s="6">
        <f t="shared" si="28"/>
        <v>2.515136866370175E-2</v>
      </c>
    </row>
    <row r="898" spans="1:4" x14ac:dyDescent="0.25">
      <c r="A898" t="s">
        <v>945</v>
      </c>
      <c r="B898">
        <v>69.099999999999994</v>
      </c>
      <c r="C898" s="6">
        <f t="shared" si="29"/>
        <v>2.4662701291162659E-3</v>
      </c>
      <c r="D898" s="6">
        <f t="shared" si="28"/>
        <v>2.4632338760635347E-3</v>
      </c>
    </row>
    <row r="899" spans="1:4" x14ac:dyDescent="0.25">
      <c r="A899" t="s">
        <v>946</v>
      </c>
      <c r="B899">
        <v>68.930000000000007</v>
      </c>
      <c r="C899" s="6">
        <f t="shared" si="29"/>
        <v>-1.7531356898517481E-2</v>
      </c>
      <c r="D899" s="6">
        <f t="shared" si="28"/>
        <v>-1.7686851166366955E-2</v>
      </c>
    </row>
    <row r="900" spans="1:4" x14ac:dyDescent="0.25">
      <c r="A900" t="s">
        <v>947</v>
      </c>
      <c r="B900">
        <v>70.16</v>
      </c>
      <c r="C900" s="6">
        <f t="shared" si="29"/>
        <v>4.277769855982605E-4</v>
      </c>
      <c r="D900" s="6">
        <f t="shared" si="28"/>
        <v>4.2768551510860727E-4</v>
      </c>
    </row>
    <row r="901" spans="1:4" x14ac:dyDescent="0.25">
      <c r="A901" t="s">
        <v>948</v>
      </c>
      <c r="B901">
        <v>70.13</v>
      </c>
      <c r="C901" s="6">
        <f t="shared" si="29"/>
        <v>-1.599551003227162E-2</v>
      </c>
      <c r="D901" s="6">
        <f t="shared" si="28"/>
        <v>-1.612481896496025E-2</v>
      </c>
    </row>
    <row r="902" spans="1:4" x14ac:dyDescent="0.25">
      <c r="A902" t="s">
        <v>949</v>
      </c>
      <c r="B902">
        <v>71.27</v>
      </c>
      <c r="C902" s="6">
        <f t="shared" si="29"/>
        <v>8.775654635527097E-3</v>
      </c>
      <c r="D902" s="6">
        <f t="shared" si="28"/>
        <v>8.7373723832427554E-3</v>
      </c>
    </row>
    <row r="903" spans="1:4" x14ac:dyDescent="0.25">
      <c r="A903" t="s">
        <v>950</v>
      </c>
      <c r="B903">
        <v>70.650000000000006</v>
      </c>
      <c r="C903" s="6">
        <f t="shared" si="29"/>
        <v>-3.3383499794773508E-2</v>
      </c>
      <c r="D903" s="6">
        <f t="shared" si="28"/>
        <v>-3.3953449361763831E-2</v>
      </c>
    </row>
    <row r="904" spans="1:4" x14ac:dyDescent="0.25">
      <c r="A904" t="s">
        <v>951</v>
      </c>
      <c r="B904">
        <v>73.09</v>
      </c>
      <c r="C904" s="6">
        <f t="shared" si="29"/>
        <v>2.2953114065780378E-2</v>
      </c>
      <c r="D904" s="6">
        <f t="shared" si="28"/>
        <v>2.2693654116424038E-2</v>
      </c>
    </row>
    <row r="905" spans="1:4" x14ac:dyDescent="0.25">
      <c r="A905" t="s">
        <v>952</v>
      </c>
      <c r="B905">
        <v>71.45</v>
      </c>
      <c r="C905" s="6">
        <f t="shared" si="29"/>
        <v>-1.216645928383786E-2</v>
      </c>
      <c r="D905" s="6">
        <f t="shared" si="28"/>
        <v>-1.2241076485312854E-2</v>
      </c>
    </row>
    <row r="906" spans="1:4" x14ac:dyDescent="0.25">
      <c r="A906" t="s">
        <v>953</v>
      </c>
      <c r="B906">
        <v>72.33</v>
      </c>
      <c r="C906" s="6">
        <f t="shared" si="29"/>
        <v>-8.6348684210525439E-3</v>
      </c>
      <c r="D906" s="6">
        <f t="shared" si="28"/>
        <v>-8.672364904886487E-3</v>
      </c>
    </row>
    <row r="907" spans="1:4" x14ac:dyDescent="0.25">
      <c r="A907" t="s">
        <v>954</v>
      </c>
      <c r="B907">
        <v>72.959999999999994</v>
      </c>
      <c r="C907" s="6">
        <f t="shared" si="29"/>
        <v>2.7419797093486409E-4</v>
      </c>
      <c r="D907" s="6">
        <f t="shared" si="28"/>
        <v>2.7416038554163374E-4</v>
      </c>
    </row>
    <row r="908" spans="1:4" x14ac:dyDescent="0.25">
      <c r="A908" t="s">
        <v>955</v>
      </c>
      <c r="B908">
        <v>72.94</v>
      </c>
      <c r="C908" s="6">
        <f t="shared" si="29"/>
        <v>2.1425570648368586E-2</v>
      </c>
      <c r="D908" s="6">
        <f t="shared" si="28"/>
        <v>2.1199269819515545E-2</v>
      </c>
    </row>
    <row r="909" spans="1:4" x14ac:dyDescent="0.25">
      <c r="A909" t="s">
        <v>956</v>
      </c>
      <c r="B909">
        <v>71.41</v>
      </c>
      <c r="C909" s="6">
        <f t="shared" si="29"/>
        <v>-1.5441886116089987E-2</v>
      </c>
      <c r="D909" s="6">
        <f t="shared" si="28"/>
        <v>-1.5562353814302481E-2</v>
      </c>
    </row>
    <row r="910" spans="1:4" x14ac:dyDescent="0.25">
      <c r="A910" t="s">
        <v>957</v>
      </c>
      <c r="B910">
        <v>72.53</v>
      </c>
      <c r="C910" s="6">
        <f t="shared" si="29"/>
        <v>1.3838412077159523E-2</v>
      </c>
      <c r="D910" s="6">
        <f t="shared" si="28"/>
        <v>1.3743535544449228E-2</v>
      </c>
    </row>
    <row r="911" spans="1:4" x14ac:dyDescent="0.25">
      <c r="A911" t="s">
        <v>958</v>
      </c>
      <c r="B911">
        <v>71.540000000000006</v>
      </c>
      <c r="C911" s="6">
        <f t="shared" si="29"/>
        <v>-9.7751710654925272E-4</v>
      </c>
      <c r="D911" s="6">
        <f t="shared" si="28"/>
        <v>-9.7799518797662575E-4</v>
      </c>
    </row>
    <row r="912" spans="1:4" x14ac:dyDescent="0.25">
      <c r="A912" t="s">
        <v>959</v>
      </c>
      <c r="B912">
        <v>71.61</v>
      </c>
      <c r="C912" s="6">
        <f t="shared" si="29"/>
        <v>-1.255230125523088E-3</v>
      </c>
      <c r="D912" s="6">
        <f t="shared" si="28"/>
        <v>-1.2560185867263314E-3</v>
      </c>
    </row>
    <row r="913" spans="1:4" x14ac:dyDescent="0.25">
      <c r="A913" t="s">
        <v>960</v>
      </c>
      <c r="B913">
        <v>71.7</v>
      </c>
      <c r="C913" s="6">
        <f t="shared" si="29"/>
        <v>9.1484869809994596E-3</v>
      </c>
      <c r="D913" s="6">
        <f t="shared" si="28"/>
        <v>9.1068930624651923E-3</v>
      </c>
    </row>
    <row r="914" spans="1:4" x14ac:dyDescent="0.25">
      <c r="A914" t="s">
        <v>961</v>
      </c>
      <c r="B914">
        <v>71.05</v>
      </c>
      <c r="C914" s="6">
        <f t="shared" si="29"/>
        <v>-1.4152906896073181E-2</v>
      </c>
      <c r="D914" s="6">
        <f t="shared" si="28"/>
        <v>-1.4254014393239946E-2</v>
      </c>
    </row>
    <row r="915" spans="1:4" x14ac:dyDescent="0.25">
      <c r="A915" t="s">
        <v>962</v>
      </c>
      <c r="B915">
        <v>72.069999999999993</v>
      </c>
      <c r="C915" s="6">
        <f t="shared" si="29"/>
        <v>1.66455071237126E-2</v>
      </c>
      <c r="D915" s="6">
        <f t="shared" si="28"/>
        <v>1.6508489069423319E-2</v>
      </c>
    </row>
    <row r="916" spans="1:4" x14ac:dyDescent="0.25">
      <c r="A916" t="s">
        <v>963</v>
      </c>
      <c r="B916">
        <v>70.89</v>
      </c>
      <c r="C916" s="6">
        <f t="shared" si="29"/>
        <v>6.9602272727271597E-3</v>
      </c>
      <c r="D916" s="6">
        <f t="shared" si="28"/>
        <v>6.9361167029293319E-3</v>
      </c>
    </row>
    <row r="917" spans="1:4" x14ac:dyDescent="0.25">
      <c r="A917" t="s">
        <v>964</v>
      </c>
      <c r="B917">
        <v>70.400000000000006</v>
      </c>
      <c r="C917" s="6">
        <f t="shared" si="29"/>
        <v>-2.8328611898015277E-3</v>
      </c>
      <c r="D917" s="6">
        <f t="shared" si="28"/>
        <v>-2.8368813351995039E-3</v>
      </c>
    </row>
    <row r="918" spans="1:4" x14ac:dyDescent="0.25">
      <c r="A918" t="s">
        <v>965</v>
      </c>
      <c r="B918">
        <v>70.599999999999994</v>
      </c>
      <c r="C918" s="6">
        <f t="shared" si="29"/>
        <v>1.378518093049963E-2</v>
      </c>
      <c r="D918" s="6">
        <f t="shared" si="28"/>
        <v>1.3691029599208019E-2</v>
      </c>
    </row>
    <row r="919" spans="1:4" x14ac:dyDescent="0.25">
      <c r="A919" t="s">
        <v>966</v>
      </c>
      <c r="B919">
        <v>69.64</v>
      </c>
      <c r="C919" s="6">
        <f t="shared" si="29"/>
        <v>-5.7405281285882737E-4</v>
      </c>
      <c r="D919" s="6">
        <f t="shared" si="28"/>
        <v>-5.7421764425910746E-4</v>
      </c>
    </row>
    <row r="920" spans="1:4" x14ac:dyDescent="0.25">
      <c r="A920" t="s">
        <v>967</v>
      </c>
      <c r="B920">
        <v>69.680000000000007</v>
      </c>
      <c r="C920" s="6">
        <f t="shared" si="29"/>
        <v>-2.2583812596437047E-2</v>
      </c>
      <c r="D920" s="6">
        <f t="shared" si="28"/>
        <v>-2.2842732585289696E-2</v>
      </c>
    </row>
    <row r="921" spans="1:4" x14ac:dyDescent="0.25">
      <c r="A921" t="s">
        <v>968</v>
      </c>
      <c r="B921">
        <v>71.290000000000006</v>
      </c>
      <c r="C921" s="6">
        <f t="shared" si="29"/>
        <v>-2.378953260565142E-3</v>
      </c>
      <c r="D921" s="6">
        <f t="shared" si="28"/>
        <v>-2.3817874657264325E-3</v>
      </c>
    </row>
    <row r="922" spans="1:4" x14ac:dyDescent="0.25">
      <c r="A922" t="s">
        <v>969</v>
      </c>
      <c r="B922">
        <v>71.459999999999994</v>
      </c>
      <c r="C922" s="6">
        <f t="shared" si="29"/>
        <v>1.1178717985000697E-2</v>
      </c>
      <c r="D922" s="6">
        <f t="shared" si="28"/>
        <v>1.1116697892500778E-2</v>
      </c>
    </row>
    <row r="923" spans="1:4" x14ac:dyDescent="0.25">
      <c r="A923" t="s">
        <v>970</v>
      </c>
      <c r="B923">
        <v>70.67</v>
      </c>
      <c r="C923" s="6">
        <f t="shared" si="29"/>
        <v>-8.8359046283309484E-3</v>
      </c>
      <c r="D923" s="6">
        <f t="shared" si="28"/>
        <v>-8.875172717487256E-3</v>
      </c>
    </row>
    <row r="924" spans="1:4" x14ac:dyDescent="0.25">
      <c r="A924" t="s">
        <v>971</v>
      </c>
      <c r="B924">
        <v>71.3</v>
      </c>
      <c r="C924" s="6">
        <f t="shared" si="29"/>
        <v>-1.7500344494970288E-2</v>
      </c>
      <c r="D924" s="6">
        <f t="shared" si="28"/>
        <v>-1.7655285869795239E-2</v>
      </c>
    </row>
    <row r="925" spans="1:4" x14ac:dyDescent="0.25">
      <c r="A925" t="s">
        <v>972</v>
      </c>
      <c r="B925">
        <v>72.569999999999993</v>
      </c>
      <c r="C925" s="6">
        <f t="shared" si="29"/>
        <v>-6.0265717025066445E-3</v>
      </c>
      <c r="D925" s="6">
        <f t="shared" si="28"/>
        <v>-6.0448047779489448E-3</v>
      </c>
    </row>
    <row r="926" spans="1:4" x14ac:dyDescent="0.25">
      <c r="A926" t="s">
        <v>973</v>
      </c>
      <c r="B926">
        <v>73.010000000000005</v>
      </c>
      <c r="C926" s="6">
        <f t="shared" si="29"/>
        <v>5.3704213715231042E-3</v>
      </c>
      <c r="D926" s="6">
        <f t="shared" si="28"/>
        <v>5.3560520818047635E-3</v>
      </c>
    </row>
    <row r="927" spans="1:4" x14ac:dyDescent="0.25">
      <c r="A927" t="s">
        <v>974</v>
      </c>
      <c r="B927">
        <v>72.62</v>
      </c>
      <c r="C927" s="6">
        <f t="shared" si="29"/>
        <v>1.1702424073558149E-2</v>
      </c>
      <c r="D927" s="6">
        <f t="shared" si="28"/>
        <v>1.1634480266728572E-2</v>
      </c>
    </row>
    <row r="928" spans="1:4" x14ac:dyDescent="0.25">
      <c r="A928" t="s">
        <v>975</v>
      </c>
      <c r="B928">
        <v>71.78</v>
      </c>
      <c r="C928" s="6">
        <f t="shared" si="29"/>
        <v>1.2411847672778586E-2</v>
      </c>
      <c r="D928" s="6">
        <f t="shared" si="28"/>
        <v>1.2335452181379417E-2</v>
      </c>
    </row>
    <row r="929" spans="1:4" x14ac:dyDescent="0.25">
      <c r="A929" t="s">
        <v>976</v>
      </c>
      <c r="B929">
        <v>70.900000000000006</v>
      </c>
      <c r="C929" s="6">
        <f t="shared" si="29"/>
        <v>-9.3614643006845188E-3</v>
      </c>
      <c r="D929" s="6">
        <f t="shared" si="28"/>
        <v>-9.4055582124241872E-3</v>
      </c>
    </row>
    <row r="930" spans="1:4" x14ac:dyDescent="0.25">
      <c r="A930" t="s">
        <v>977</v>
      </c>
      <c r="B930">
        <v>71.569999999999993</v>
      </c>
      <c r="C930" s="6">
        <f t="shared" si="29"/>
        <v>-2.3601637107776297E-2</v>
      </c>
      <c r="D930" s="6">
        <f t="shared" si="28"/>
        <v>-2.3884617142099714E-2</v>
      </c>
    </row>
    <row r="931" spans="1:4" x14ac:dyDescent="0.25">
      <c r="A931" t="s">
        <v>978</v>
      </c>
      <c r="B931">
        <v>73.3</v>
      </c>
      <c r="C931" s="6">
        <f t="shared" si="29"/>
        <v>4.2674253200569057E-2</v>
      </c>
      <c r="D931" s="6">
        <f t="shared" si="28"/>
        <v>4.178881007598665E-2</v>
      </c>
    </row>
    <row r="932" spans="1:4" x14ac:dyDescent="0.25">
      <c r="A932" t="s">
        <v>979</v>
      </c>
      <c r="B932">
        <v>70.3</v>
      </c>
      <c r="C932" s="6">
        <f t="shared" si="29"/>
        <v>5.5786010585037182E-3</v>
      </c>
      <c r="D932" s="6">
        <f t="shared" si="28"/>
        <v>5.5630982927253568E-3</v>
      </c>
    </row>
    <row r="933" spans="1:4" x14ac:dyDescent="0.25">
      <c r="A933" t="s">
        <v>980</v>
      </c>
      <c r="B933">
        <v>69.91</v>
      </c>
      <c r="C933" s="6">
        <f t="shared" si="29"/>
        <v>-4.5564573544070175E-3</v>
      </c>
      <c r="D933" s="6">
        <f t="shared" si="28"/>
        <v>-4.5668696470353666E-3</v>
      </c>
    </row>
    <row r="934" spans="1:4" x14ac:dyDescent="0.25">
      <c r="A934" t="s">
        <v>981</v>
      </c>
      <c r="B934">
        <v>70.23</v>
      </c>
      <c r="C934" s="6">
        <f t="shared" si="29"/>
        <v>1.7973619365125426E-2</v>
      </c>
      <c r="D934" s="6">
        <f t="shared" si="28"/>
        <v>1.781400361291181E-2</v>
      </c>
    </row>
    <row r="935" spans="1:4" x14ac:dyDescent="0.25">
      <c r="A935" t="s">
        <v>982</v>
      </c>
      <c r="B935">
        <v>68.989999999999995</v>
      </c>
      <c r="C935" s="6">
        <f t="shared" si="29"/>
        <v>1.202875165028594E-2</v>
      </c>
      <c r="D935" s="6">
        <f t="shared" si="28"/>
        <v>1.1956981183323317E-2</v>
      </c>
    </row>
    <row r="936" spans="1:4" x14ac:dyDescent="0.25">
      <c r="A936" t="s">
        <v>983</v>
      </c>
      <c r="B936">
        <v>68.17</v>
      </c>
      <c r="C936" s="6">
        <f t="shared" si="29"/>
        <v>7.6866223207685547E-3</v>
      </c>
      <c r="D936" s="6">
        <f t="shared" si="28"/>
        <v>7.6572307578967455E-3</v>
      </c>
    </row>
    <row r="937" spans="1:4" x14ac:dyDescent="0.25">
      <c r="A937" t="s">
        <v>984</v>
      </c>
      <c r="B937">
        <v>67.650000000000006</v>
      </c>
      <c r="C937" s="6">
        <f t="shared" si="29"/>
        <v>-2.9555194325392442E-4</v>
      </c>
      <c r="D937" s="6">
        <f t="shared" si="28"/>
        <v>-2.955956273369941E-4</v>
      </c>
    </row>
    <row r="938" spans="1:4" x14ac:dyDescent="0.25">
      <c r="A938" t="s">
        <v>985</v>
      </c>
      <c r="B938">
        <v>67.67</v>
      </c>
      <c r="C938" s="6">
        <f t="shared" si="29"/>
        <v>1.1963511290563833E-2</v>
      </c>
      <c r="D938" s="6">
        <f t="shared" si="28"/>
        <v>1.1892514178247014E-2</v>
      </c>
    </row>
    <row r="939" spans="1:4" x14ac:dyDescent="0.25">
      <c r="A939" t="s">
        <v>986</v>
      </c>
      <c r="B939">
        <v>66.87</v>
      </c>
      <c r="C939" s="6">
        <f t="shared" si="29"/>
        <v>1.7977528089887507E-3</v>
      </c>
      <c r="D939" s="6">
        <f t="shared" si="28"/>
        <v>1.7961387855282554E-3</v>
      </c>
    </row>
    <row r="940" spans="1:4" x14ac:dyDescent="0.25">
      <c r="A940" t="s">
        <v>987</v>
      </c>
      <c r="B940">
        <v>66.75</v>
      </c>
      <c r="C940" s="6">
        <f t="shared" si="29"/>
        <v>4.8171007075115124E-3</v>
      </c>
      <c r="D940" s="6">
        <f t="shared" si="28"/>
        <v>4.8055356032089555E-3</v>
      </c>
    </row>
    <row r="941" spans="1:4" x14ac:dyDescent="0.25">
      <c r="A941" t="s">
        <v>988</v>
      </c>
      <c r="B941">
        <v>66.430000000000007</v>
      </c>
      <c r="C941" s="6">
        <f t="shared" si="29"/>
        <v>-1.8031555221635909E-3</v>
      </c>
      <c r="D941" s="6">
        <f t="shared" si="28"/>
        <v>-1.8047831639706404E-3</v>
      </c>
    </row>
    <row r="942" spans="1:4" x14ac:dyDescent="0.25">
      <c r="A942" t="s">
        <v>989</v>
      </c>
      <c r="B942">
        <v>66.55</v>
      </c>
      <c r="C942" s="6">
        <f t="shared" si="29"/>
        <v>-1.6501650165016146E-3</v>
      </c>
      <c r="D942" s="6">
        <f t="shared" si="28"/>
        <v>-1.6515280384729533E-3</v>
      </c>
    </row>
    <row r="943" spans="1:4" x14ac:dyDescent="0.25">
      <c r="A943" t="s">
        <v>990</v>
      </c>
      <c r="B943">
        <v>66.66</v>
      </c>
      <c r="C943" s="6">
        <f t="shared" si="29"/>
        <v>1.5848826577262942E-2</v>
      </c>
      <c r="D943" s="6">
        <f t="shared" si="28"/>
        <v>1.5724545346637968E-2</v>
      </c>
    </row>
    <row r="944" spans="1:4" x14ac:dyDescent="0.25">
      <c r="A944" t="s">
        <v>991</v>
      </c>
      <c r="B944">
        <v>65.62</v>
      </c>
      <c r="C944" s="6">
        <f t="shared" si="29"/>
        <v>3.2105182693777934E-3</v>
      </c>
      <c r="D944" s="6">
        <f t="shared" si="28"/>
        <v>3.2053755598342223E-3</v>
      </c>
    </row>
    <row r="945" spans="1:4" x14ac:dyDescent="0.25">
      <c r="A945" t="s">
        <v>992</v>
      </c>
      <c r="B945">
        <v>65.41</v>
      </c>
      <c r="C945" s="6">
        <f t="shared" si="29"/>
        <v>-1.3423831070889958E-2</v>
      </c>
      <c r="D945" s="6">
        <f t="shared" si="28"/>
        <v>-1.3514745218695515E-2</v>
      </c>
    </row>
    <row r="946" spans="1:4" x14ac:dyDescent="0.25">
      <c r="A946" t="s">
        <v>993</v>
      </c>
      <c r="B946">
        <v>66.3</v>
      </c>
      <c r="C946" s="6">
        <f t="shared" si="29"/>
        <v>1.0670731707317138E-2</v>
      </c>
      <c r="D946" s="6">
        <f t="shared" si="28"/>
        <v>1.061420124177353E-2</v>
      </c>
    </row>
    <row r="947" spans="1:4" x14ac:dyDescent="0.25">
      <c r="A947" t="s">
        <v>994</v>
      </c>
      <c r="B947">
        <v>65.599999999999994</v>
      </c>
      <c r="C947" s="6">
        <f t="shared" si="29"/>
        <v>-7.4141322439099655E-3</v>
      </c>
      <c r="D947" s="6">
        <f t="shared" ref="D947:D1010" si="30">LN(B947/B948)</f>
        <v>-7.4417535323182361E-3</v>
      </c>
    </row>
    <row r="948" spans="1:4" x14ac:dyDescent="0.25">
      <c r="A948" t="s">
        <v>995</v>
      </c>
      <c r="B948">
        <v>66.09</v>
      </c>
      <c r="C948" s="6">
        <f t="shared" ref="C948:C1011" si="31">(B948/B949)-1</f>
        <v>1.8963922294172209E-2</v>
      </c>
      <c r="D948" s="6">
        <f t="shared" si="30"/>
        <v>1.878634860318968E-2</v>
      </c>
    </row>
    <row r="949" spans="1:4" x14ac:dyDescent="0.25">
      <c r="A949" t="s">
        <v>996</v>
      </c>
      <c r="B949">
        <v>64.86</v>
      </c>
      <c r="C949" s="6">
        <f t="shared" si="31"/>
        <v>-2.7675276752768818E-3</v>
      </c>
      <c r="D949" s="6">
        <f t="shared" si="30"/>
        <v>-2.7713643603833708E-3</v>
      </c>
    </row>
    <row r="950" spans="1:4" x14ac:dyDescent="0.25">
      <c r="A950" t="s">
        <v>997</v>
      </c>
      <c r="B950">
        <v>65.040000000000006</v>
      </c>
      <c r="C950" s="6">
        <f t="shared" si="31"/>
        <v>1.6885553470919357E-2</v>
      </c>
      <c r="D950" s="6">
        <f t="shared" si="30"/>
        <v>1.67445772738017E-2</v>
      </c>
    </row>
    <row r="951" spans="1:4" x14ac:dyDescent="0.25">
      <c r="A951" t="s">
        <v>998</v>
      </c>
      <c r="B951">
        <v>63.96</v>
      </c>
      <c r="C951" s="6">
        <f t="shared" si="31"/>
        <v>-4.6882325363339916E-4</v>
      </c>
      <c r="D951" s="6">
        <f t="shared" si="30"/>
        <v>-4.6893318561542856E-4</v>
      </c>
    </row>
    <row r="952" spans="1:4" x14ac:dyDescent="0.25">
      <c r="A952" t="s">
        <v>999</v>
      </c>
      <c r="B952">
        <v>63.99</v>
      </c>
      <c r="C952" s="6">
        <f t="shared" si="31"/>
        <v>-6.9832402234636382E-3</v>
      </c>
      <c r="D952" s="6">
        <f t="shared" si="30"/>
        <v>-7.0077371574046891E-3</v>
      </c>
    </row>
    <row r="953" spans="1:4" x14ac:dyDescent="0.25">
      <c r="A953" t="s">
        <v>1000</v>
      </c>
      <c r="B953">
        <v>64.44</v>
      </c>
      <c r="C953" s="6">
        <f t="shared" si="31"/>
        <v>-2.1857923497267673E-2</v>
      </c>
      <c r="D953" s="6">
        <f t="shared" si="30"/>
        <v>-2.2100347000665856E-2</v>
      </c>
    </row>
    <row r="954" spans="1:4" x14ac:dyDescent="0.25">
      <c r="A954" t="s">
        <v>1001</v>
      </c>
      <c r="B954">
        <v>65.88</v>
      </c>
      <c r="C954" s="6">
        <f t="shared" si="31"/>
        <v>1.5202189115230968E-3</v>
      </c>
      <c r="D954" s="6">
        <f t="shared" si="30"/>
        <v>1.5190645485284992E-3</v>
      </c>
    </row>
    <row r="955" spans="1:4" x14ac:dyDescent="0.25">
      <c r="A955" t="s">
        <v>1002</v>
      </c>
      <c r="B955">
        <v>65.78</v>
      </c>
      <c r="C955" s="6">
        <f t="shared" si="31"/>
        <v>3.819444444444442E-2</v>
      </c>
      <c r="D955" s="6">
        <f t="shared" si="30"/>
        <v>3.7483093254740474E-2</v>
      </c>
    </row>
    <row r="956" spans="1:4" x14ac:dyDescent="0.25">
      <c r="A956" t="s">
        <v>1003</v>
      </c>
      <c r="B956">
        <v>63.36</v>
      </c>
      <c r="C956" s="6">
        <f t="shared" si="31"/>
        <v>-2.0475665459127601E-3</v>
      </c>
      <c r="D956" s="6">
        <f t="shared" si="30"/>
        <v>-2.0496656761881428E-3</v>
      </c>
    </row>
    <row r="957" spans="1:4" x14ac:dyDescent="0.25">
      <c r="A957" t="s">
        <v>1004</v>
      </c>
      <c r="B957">
        <v>63.49</v>
      </c>
      <c r="C957" s="6">
        <f t="shared" si="31"/>
        <v>9.2195199491338364E-3</v>
      </c>
      <c r="D957" s="6">
        <f t="shared" si="30"/>
        <v>9.17727960042042E-3</v>
      </c>
    </row>
    <row r="958" spans="1:4" x14ac:dyDescent="0.25">
      <c r="A958" t="s">
        <v>1005</v>
      </c>
      <c r="B958">
        <v>62.91</v>
      </c>
      <c r="C958" s="6">
        <f t="shared" si="31"/>
        <v>-4.4310808672258784E-3</v>
      </c>
      <c r="D958" s="6">
        <f t="shared" si="30"/>
        <v>-4.440927203425672E-3</v>
      </c>
    </row>
    <row r="959" spans="1:4" x14ac:dyDescent="0.25">
      <c r="A959" t="s">
        <v>1006</v>
      </c>
      <c r="B959">
        <v>63.19</v>
      </c>
      <c r="C959" s="6">
        <f t="shared" si="31"/>
        <v>-1.1265842591143826E-2</v>
      </c>
      <c r="D959" s="6">
        <f t="shared" si="30"/>
        <v>-1.1329782876826544E-2</v>
      </c>
    </row>
    <row r="960" spans="1:4" x14ac:dyDescent="0.25">
      <c r="A960" t="s">
        <v>1007</v>
      </c>
      <c r="B960">
        <v>63.91</v>
      </c>
      <c r="C960" s="6">
        <f t="shared" si="31"/>
        <v>1.075438873952228E-2</v>
      </c>
      <c r="D960" s="6">
        <f t="shared" si="30"/>
        <v>1.0696971591668471E-2</v>
      </c>
    </row>
    <row r="961" spans="1:4" x14ac:dyDescent="0.25">
      <c r="A961" t="s">
        <v>1008</v>
      </c>
      <c r="B961">
        <v>63.23</v>
      </c>
      <c r="C961" s="6">
        <f t="shared" si="31"/>
        <v>-4.7221784983473292E-3</v>
      </c>
      <c r="D961" s="6">
        <f t="shared" si="30"/>
        <v>-4.7333632079201342E-3</v>
      </c>
    </row>
    <row r="962" spans="1:4" x14ac:dyDescent="0.25">
      <c r="A962" t="s">
        <v>1009</v>
      </c>
      <c r="B962">
        <v>63.53</v>
      </c>
      <c r="C962" s="6">
        <f t="shared" si="31"/>
        <v>-1.5801704105344649E-2</v>
      </c>
      <c r="D962" s="6">
        <f t="shared" si="30"/>
        <v>-1.5927882014209582E-2</v>
      </c>
    </row>
    <row r="963" spans="1:4" x14ac:dyDescent="0.25">
      <c r="A963" t="s">
        <v>1010</v>
      </c>
      <c r="B963">
        <v>64.55</v>
      </c>
      <c r="C963" s="6">
        <f t="shared" si="31"/>
        <v>1.1755485893417017E-2</v>
      </c>
      <c r="D963" s="6">
        <f t="shared" si="30"/>
        <v>1.1686926941907398E-2</v>
      </c>
    </row>
    <row r="964" spans="1:4" x14ac:dyDescent="0.25">
      <c r="A964" t="s">
        <v>1011</v>
      </c>
      <c r="B964">
        <v>63.8</v>
      </c>
      <c r="C964" s="6">
        <f t="shared" si="31"/>
        <v>-5.9208476160799162E-3</v>
      </c>
      <c r="D964" s="6">
        <f t="shared" si="30"/>
        <v>-5.9384453309667563E-3</v>
      </c>
    </row>
    <row r="965" spans="1:4" x14ac:dyDescent="0.25">
      <c r="A965" t="s">
        <v>1012</v>
      </c>
      <c r="B965">
        <v>64.180000000000007</v>
      </c>
      <c r="C965" s="6">
        <f t="shared" si="31"/>
        <v>-1.3677577992930456E-2</v>
      </c>
      <c r="D965" s="6">
        <f t="shared" si="30"/>
        <v>-1.3771977825181653E-2</v>
      </c>
    </row>
    <row r="966" spans="1:4" x14ac:dyDescent="0.25">
      <c r="A966" t="s">
        <v>1013</v>
      </c>
      <c r="B966">
        <v>65.069999999999993</v>
      </c>
      <c r="C966" s="6">
        <f t="shared" si="31"/>
        <v>-1.7514721425336166E-2</v>
      </c>
      <c r="D966" s="6">
        <f t="shared" si="30"/>
        <v>-1.7669918989995589E-2</v>
      </c>
    </row>
    <row r="967" spans="1:4" x14ac:dyDescent="0.25">
      <c r="A967" t="s">
        <v>1014</v>
      </c>
      <c r="B967">
        <v>66.23</v>
      </c>
      <c r="C967" s="6">
        <f t="shared" si="31"/>
        <v>1.5641772734243276E-2</v>
      </c>
      <c r="D967" s="6">
        <f t="shared" si="30"/>
        <v>1.5520701091777221E-2</v>
      </c>
    </row>
    <row r="968" spans="1:4" x14ac:dyDescent="0.25">
      <c r="A968" t="s">
        <v>1015</v>
      </c>
      <c r="B968">
        <v>65.209999999999994</v>
      </c>
      <c r="C968" s="6">
        <f t="shared" si="31"/>
        <v>5.7063541024058306E-3</v>
      </c>
      <c r="D968" s="6">
        <f t="shared" si="30"/>
        <v>5.6901345376354677E-3</v>
      </c>
    </row>
    <row r="969" spans="1:4" x14ac:dyDescent="0.25">
      <c r="A969" t="s">
        <v>1016</v>
      </c>
      <c r="B969">
        <v>64.84</v>
      </c>
      <c r="C969" s="6">
        <f t="shared" si="31"/>
        <v>-1.0784162686796606E-3</v>
      </c>
      <c r="D969" s="6">
        <f t="shared" si="30"/>
        <v>-1.078998177901804E-3</v>
      </c>
    </row>
    <row r="970" spans="1:4" x14ac:dyDescent="0.25">
      <c r="A970" t="s">
        <v>1017</v>
      </c>
      <c r="B970">
        <v>64.91</v>
      </c>
      <c r="C970" s="6">
        <f t="shared" si="31"/>
        <v>1.9155283403988088E-2</v>
      </c>
      <c r="D970" s="6">
        <f t="shared" si="30"/>
        <v>1.8974130662102809E-2</v>
      </c>
    </row>
    <row r="971" spans="1:4" x14ac:dyDescent="0.25">
      <c r="A971" t="s">
        <v>1018</v>
      </c>
      <c r="B971">
        <v>63.69</v>
      </c>
      <c r="C971" s="6">
        <f t="shared" si="31"/>
        <v>5.2083333333332593E-3</v>
      </c>
      <c r="D971" s="6">
        <f t="shared" si="30"/>
        <v>5.19481687710393E-3</v>
      </c>
    </row>
    <row r="972" spans="1:4" x14ac:dyDescent="0.25">
      <c r="A972" t="s">
        <v>1019</v>
      </c>
      <c r="B972">
        <v>63.36</v>
      </c>
      <c r="C972" s="6">
        <f t="shared" si="31"/>
        <v>7.8976465013425035E-4</v>
      </c>
      <c r="D972" s="6">
        <f t="shared" si="30"/>
        <v>7.894529501352469E-4</v>
      </c>
    </row>
    <row r="973" spans="1:4" x14ac:dyDescent="0.25">
      <c r="A973" t="s">
        <v>1020</v>
      </c>
      <c r="B973">
        <v>63.31</v>
      </c>
      <c r="C973" s="6">
        <f t="shared" si="31"/>
        <v>-2.8350921404945995E-3</v>
      </c>
      <c r="D973" s="6">
        <f t="shared" si="30"/>
        <v>-2.8391186263234149E-3</v>
      </c>
    </row>
    <row r="974" spans="1:4" x14ac:dyDescent="0.25">
      <c r="A974" t="s">
        <v>1021</v>
      </c>
      <c r="B974">
        <v>63.49</v>
      </c>
      <c r="C974" s="6">
        <f t="shared" si="31"/>
        <v>6.3041765169424835E-4</v>
      </c>
      <c r="D974" s="6">
        <f t="shared" si="30"/>
        <v>6.302190219618733E-4</v>
      </c>
    </row>
    <row r="975" spans="1:4" x14ac:dyDescent="0.25">
      <c r="A975" t="s">
        <v>1022</v>
      </c>
      <c r="B975">
        <v>63.45</v>
      </c>
      <c r="C975" s="6">
        <f t="shared" si="31"/>
        <v>-8.9034676663541923E-3</v>
      </c>
      <c r="D975" s="6">
        <f t="shared" si="30"/>
        <v>-8.9433403813202594E-3</v>
      </c>
    </row>
    <row r="976" spans="1:4" x14ac:dyDescent="0.25">
      <c r="A976" t="s">
        <v>1023</v>
      </c>
      <c r="B976">
        <v>64.02</v>
      </c>
      <c r="C976" s="6">
        <f t="shared" si="31"/>
        <v>-2.4828636709824936E-2</v>
      </c>
      <c r="D976" s="6">
        <f t="shared" si="30"/>
        <v>-2.5142066207088306E-2</v>
      </c>
    </row>
    <row r="977" spans="1:4" x14ac:dyDescent="0.25">
      <c r="A977" t="s">
        <v>1024</v>
      </c>
      <c r="B977">
        <v>65.650000000000006</v>
      </c>
      <c r="C977" s="6">
        <f t="shared" si="31"/>
        <v>1.1244608749229945E-2</v>
      </c>
      <c r="D977" s="6">
        <f t="shared" si="30"/>
        <v>1.1181858102414852E-2</v>
      </c>
    </row>
    <row r="978" spans="1:4" x14ac:dyDescent="0.25">
      <c r="A978" t="s">
        <v>1025</v>
      </c>
      <c r="B978">
        <v>64.92</v>
      </c>
      <c r="C978" s="6">
        <f t="shared" si="31"/>
        <v>-1.6915269875441563E-3</v>
      </c>
      <c r="D978" s="6">
        <f t="shared" si="30"/>
        <v>-1.6929592346699364E-3</v>
      </c>
    </row>
    <row r="979" spans="1:4" x14ac:dyDescent="0.25">
      <c r="A979" t="s">
        <v>1026</v>
      </c>
      <c r="B979">
        <v>65.03</v>
      </c>
      <c r="C979" s="6">
        <f t="shared" si="31"/>
        <v>-2.7603128354545259E-3</v>
      </c>
      <c r="D979" s="6">
        <f t="shared" si="30"/>
        <v>-2.7641295240502981E-3</v>
      </c>
    </row>
    <row r="980" spans="1:4" x14ac:dyDescent="0.25">
      <c r="A980" t="s">
        <v>1027</v>
      </c>
      <c r="B980">
        <v>65.209999999999994</v>
      </c>
      <c r="C980" s="6">
        <f t="shared" si="31"/>
        <v>6.1718870544666959E-3</v>
      </c>
      <c r="D980" s="6">
        <f t="shared" si="30"/>
        <v>6.152918965486082E-3</v>
      </c>
    </row>
    <row r="981" spans="1:4" x14ac:dyDescent="0.25">
      <c r="A981" t="s">
        <v>1028</v>
      </c>
      <c r="B981">
        <v>64.81</v>
      </c>
      <c r="C981" s="6">
        <f t="shared" si="31"/>
        <v>-1.7136791022141273E-2</v>
      </c>
      <c r="D981" s="6">
        <f t="shared" si="30"/>
        <v>-1.7285325203960304E-2</v>
      </c>
    </row>
    <row r="982" spans="1:4" x14ac:dyDescent="0.25">
      <c r="A982" t="s">
        <v>1029</v>
      </c>
      <c r="B982">
        <v>65.94</v>
      </c>
      <c r="C982" s="6">
        <f t="shared" si="31"/>
        <v>2.042711234911776E-2</v>
      </c>
      <c r="D982" s="6">
        <f t="shared" si="30"/>
        <v>2.022127724723264E-2</v>
      </c>
    </row>
    <row r="983" spans="1:4" x14ac:dyDescent="0.25">
      <c r="A983" t="s">
        <v>1030</v>
      </c>
      <c r="B983">
        <v>64.62</v>
      </c>
      <c r="C983" s="6">
        <f t="shared" si="31"/>
        <v>1.2218045112782017E-2</v>
      </c>
      <c r="D983" s="6">
        <f t="shared" si="30"/>
        <v>1.2144007254798932E-2</v>
      </c>
    </row>
    <row r="984" spans="1:4" x14ac:dyDescent="0.25">
      <c r="A984" t="s">
        <v>1031</v>
      </c>
      <c r="B984">
        <v>63.84</v>
      </c>
      <c r="C984" s="6">
        <f t="shared" si="31"/>
        <v>-1.8601076095311253E-2</v>
      </c>
      <c r="D984" s="6">
        <f t="shared" si="30"/>
        <v>-1.8776251816960909E-2</v>
      </c>
    </row>
    <row r="985" spans="1:4" x14ac:dyDescent="0.25">
      <c r="A985" t="s">
        <v>1032</v>
      </c>
      <c r="B985">
        <v>65.05</v>
      </c>
      <c r="C985" s="6">
        <f t="shared" si="31"/>
        <v>2.4657112035753048E-3</v>
      </c>
      <c r="D985" s="6">
        <f t="shared" si="30"/>
        <v>2.4626763254372141E-3</v>
      </c>
    </row>
    <row r="986" spans="1:4" x14ac:dyDescent="0.25">
      <c r="A986" t="s">
        <v>1033</v>
      </c>
      <c r="B986">
        <v>64.89</v>
      </c>
      <c r="C986" s="6">
        <f t="shared" si="31"/>
        <v>-2.4596464258261896E-3</v>
      </c>
      <c r="D986" s="6">
        <f t="shared" si="30"/>
        <v>-2.4626763254370927E-3</v>
      </c>
    </row>
    <row r="987" spans="1:4" x14ac:dyDescent="0.25">
      <c r="A987" t="s">
        <v>1034</v>
      </c>
      <c r="B987">
        <v>65.05</v>
      </c>
      <c r="C987" s="6">
        <f t="shared" si="31"/>
        <v>-5.3516819571867158E-3</v>
      </c>
      <c r="D987" s="6">
        <f t="shared" si="30"/>
        <v>-5.3660535046389079E-3</v>
      </c>
    </row>
    <row r="988" spans="1:4" x14ac:dyDescent="0.25">
      <c r="A988" t="s">
        <v>1035</v>
      </c>
      <c r="B988">
        <v>65.400000000000006</v>
      </c>
      <c r="C988" s="6">
        <f t="shared" si="31"/>
        <v>2.6204299388043362E-2</v>
      </c>
      <c r="D988" s="6">
        <f t="shared" si="30"/>
        <v>2.5866849136950316E-2</v>
      </c>
    </row>
    <row r="989" spans="1:4" x14ac:dyDescent="0.25">
      <c r="A989" t="s">
        <v>1036</v>
      </c>
      <c r="B989">
        <v>63.73</v>
      </c>
      <c r="C989" s="6">
        <f t="shared" si="31"/>
        <v>1.5617529880477932E-2</v>
      </c>
      <c r="D989" s="6">
        <f t="shared" si="30"/>
        <v>1.5496831314309333E-2</v>
      </c>
    </row>
    <row r="990" spans="1:4" x14ac:dyDescent="0.25">
      <c r="A990" t="s">
        <v>1037</v>
      </c>
      <c r="B990">
        <v>62.75</v>
      </c>
      <c r="C990" s="6">
        <f t="shared" si="31"/>
        <v>-4.6002538071066024E-3</v>
      </c>
      <c r="D990" s="6">
        <f t="shared" si="30"/>
        <v>-4.6108675377304221E-3</v>
      </c>
    </row>
    <row r="991" spans="1:4" x14ac:dyDescent="0.25">
      <c r="A991" t="s">
        <v>1038</v>
      </c>
      <c r="B991">
        <v>63.04</v>
      </c>
      <c r="C991" s="6">
        <f t="shared" si="31"/>
        <v>6.3492063492054385E-4</v>
      </c>
      <c r="D991" s="6">
        <f t="shared" si="30"/>
        <v>6.3471915809090696E-4</v>
      </c>
    </row>
    <row r="992" spans="1:4" x14ac:dyDescent="0.25">
      <c r="A992" t="s">
        <v>1039</v>
      </c>
      <c r="B992">
        <v>63</v>
      </c>
      <c r="C992" s="6">
        <f t="shared" si="31"/>
        <v>3.6641707822206993E-3</v>
      </c>
      <c r="D992" s="6">
        <f t="shared" si="30"/>
        <v>3.6574740620922215E-3</v>
      </c>
    </row>
    <row r="993" spans="1:4" x14ac:dyDescent="0.25">
      <c r="A993" t="s">
        <v>1040</v>
      </c>
      <c r="B993">
        <v>62.77</v>
      </c>
      <c r="C993" s="6">
        <f t="shared" si="31"/>
        <v>-1.7493638676844281E-3</v>
      </c>
      <c r="D993" s="6">
        <f t="shared" si="30"/>
        <v>-1.7508957915106948E-3</v>
      </c>
    </row>
    <row r="994" spans="1:4" x14ac:dyDescent="0.25">
      <c r="A994" t="s">
        <v>1041</v>
      </c>
      <c r="B994">
        <v>62.88</v>
      </c>
      <c r="C994" s="6">
        <f t="shared" si="31"/>
        <v>5.9190529515278367E-3</v>
      </c>
      <c r="D994" s="6">
        <f t="shared" si="30"/>
        <v>5.9016041772302023E-3</v>
      </c>
    </row>
    <row r="995" spans="1:4" x14ac:dyDescent="0.25">
      <c r="A995" t="s">
        <v>1042</v>
      </c>
      <c r="B995">
        <v>62.51</v>
      </c>
      <c r="C995" s="6">
        <f t="shared" si="31"/>
        <v>-6.3948840927252615E-4</v>
      </c>
      <c r="D995" s="6">
        <f t="shared" si="30"/>
        <v>-6.3969296919910679E-4</v>
      </c>
    </row>
    <row r="996" spans="1:4" x14ac:dyDescent="0.25">
      <c r="A996" t="s">
        <v>1043</v>
      </c>
      <c r="B996">
        <v>62.55</v>
      </c>
      <c r="C996" s="6">
        <f t="shared" si="31"/>
        <v>6.5980045059541581E-3</v>
      </c>
      <c r="D996" s="6">
        <f t="shared" si="30"/>
        <v>6.5763329480186643E-3</v>
      </c>
    </row>
    <row r="997" spans="1:4" x14ac:dyDescent="0.25">
      <c r="A997" t="s">
        <v>1044</v>
      </c>
      <c r="B997">
        <v>62.14</v>
      </c>
      <c r="C997" s="6">
        <f t="shared" si="31"/>
        <v>-2.8883183568677584E-3</v>
      </c>
      <c r="D997" s="6">
        <f t="shared" si="30"/>
        <v>-2.8924975975914589E-3</v>
      </c>
    </row>
    <row r="998" spans="1:4" x14ac:dyDescent="0.25">
      <c r="A998" t="s">
        <v>1045</v>
      </c>
      <c r="B998">
        <v>62.32</v>
      </c>
      <c r="C998" s="6">
        <f t="shared" si="31"/>
        <v>3.8659793814432852E-3</v>
      </c>
      <c r="D998" s="6">
        <f t="shared" si="30"/>
        <v>3.8585256875294997E-3</v>
      </c>
    </row>
    <row r="999" spans="1:4" x14ac:dyDescent="0.25">
      <c r="A999" t="s">
        <v>1046</v>
      </c>
      <c r="B999">
        <v>62.08</v>
      </c>
      <c r="C999" s="6">
        <f t="shared" si="31"/>
        <v>5.3441295546559076E-3</v>
      </c>
      <c r="D999" s="6">
        <f t="shared" si="30"/>
        <v>5.3299003668767705E-3</v>
      </c>
    </row>
    <row r="1000" spans="1:4" x14ac:dyDescent="0.25">
      <c r="A1000" t="s">
        <v>1047</v>
      </c>
      <c r="B1000">
        <v>61.75</v>
      </c>
      <c r="C1000" s="6">
        <f t="shared" si="31"/>
        <v>-1.4522821576763434E-2</v>
      </c>
      <c r="D1000" s="6">
        <f t="shared" si="30"/>
        <v>-1.4629310015959043E-2</v>
      </c>
    </row>
    <row r="1001" spans="1:4" x14ac:dyDescent="0.25">
      <c r="A1001" t="s">
        <v>1048</v>
      </c>
      <c r="B1001">
        <v>62.66</v>
      </c>
      <c r="C1001" s="6">
        <f t="shared" si="31"/>
        <v>-7.6021539436174068E-3</v>
      </c>
      <c r="D1001" s="6">
        <f t="shared" si="30"/>
        <v>-7.6311976057999702E-3</v>
      </c>
    </row>
    <row r="1002" spans="1:4" x14ac:dyDescent="0.25">
      <c r="A1002" t="s">
        <v>1049</v>
      </c>
      <c r="B1002">
        <v>63.14</v>
      </c>
      <c r="C1002" s="6">
        <f t="shared" si="31"/>
        <v>-1.2666145426114217E-2</v>
      </c>
      <c r="D1002" s="6">
        <f t="shared" si="30"/>
        <v>-1.2747044895006169E-2</v>
      </c>
    </row>
    <row r="1003" spans="1:4" x14ac:dyDescent="0.25">
      <c r="A1003" t="s">
        <v>1050</v>
      </c>
      <c r="B1003">
        <v>63.95</v>
      </c>
      <c r="C1003" s="6">
        <f t="shared" si="31"/>
        <v>-1.7363245236631797E-2</v>
      </c>
      <c r="D1003" s="6">
        <f t="shared" si="30"/>
        <v>-1.751575432598531E-2</v>
      </c>
    </row>
    <row r="1004" spans="1:4" x14ac:dyDescent="0.25">
      <c r="A1004" t="s">
        <v>1051</v>
      </c>
      <c r="B1004">
        <v>65.08</v>
      </c>
      <c r="C1004" s="6">
        <f t="shared" si="31"/>
        <v>6.1500615006138126E-4</v>
      </c>
      <c r="D1004" s="6">
        <f t="shared" si="30"/>
        <v>6.1481711128177831E-4</v>
      </c>
    </row>
    <row r="1005" spans="1:4" x14ac:dyDescent="0.25">
      <c r="A1005" t="s">
        <v>1052</v>
      </c>
      <c r="B1005">
        <v>65.040000000000006</v>
      </c>
      <c r="C1005" s="6">
        <f t="shared" si="31"/>
        <v>7.1229482812016354E-3</v>
      </c>
      <c r="D1005" s="6">
        <f t="shared" si="30"/>
        <v>7.0976999094260196E-3</v>
      </c>
    </row>
    <row r="1006" spans="1:4" x14ac:dyDescent="0.25">
      <c r="A1006" t="s">
        <v>1053</v>
      </c>
      <c r="B1006">
        <v>64.58</v>
      </c>
      <c r="C1006" s="6">
        <f t="shared" si="31"/>
        <v>-1.3141809290953543E-2</v>
      </c>
      <c r="D1006" s="6">
        <f t="shared" si="30"/>
        <v>-1.3228926964362456E-2</v>
      </c>
    </row>
    <row r="1007" spans="1:4" x14ac:dyDescent="0.25">
      <c r="A1007" t="s">
        <v>1054</v>
      </c>
      <c r="B1007">
        <v>65.44</v>
      </c>
      <c r="C1007" s="6">
        <f t="shared" si="31"/>
        <v>-6.5280097161075634E-3</v>
      </c>
      <c r="D1007" s="6">
        <f t="shared" si="30"/>
        <v>-6.5494103581100358E-3</v>
      </c>
    </row>
    <row r="1008" spans="1:4" x14ac:dyDescent="0.25">
      <c r="A1008" t="s">
        <v>1055</v>
      </c>
      <c r="B1008">
        <v>65.87</v>
      </c>
      <c r="C1008" s="6">
        <f t="shared" si="31"/>
        <v>-6.6354999245965551E-3</v>
      </c>
      <c r="D1008" s="6">
        <f t="shared" si="30"/>
        <v>-6.6576127281746467E-3</v>
      </c>
    </row>
    <row r="1009" spans="1:4" x14ac:dyDescent="0.25">
      <c r="A1009" t="s">
        <v>1056</v>
      </c>
      <c r="B1009">
        <v>66.31</v>
      </c>
      <c r="C1009" s="6">
        <f t="shared" si="31"/>
        <v>3.7844383893430589E-3</v>
      </c>
      <c r="D1009" s="6">
        <f t="shared" si="30"/>
        <v>3.7772954181326968E-3</v>
      </c>
    </row>
    <row r="1010" spans="1:4" x14ac:dyDescent="0.25">
      <c r="A1010" t="s">
        <v>1057</v>
      </c>
      <c r="B1010">
        <v>66.06</v>
      </c>
      <c r="C1010" s="6">
        <f t="shared" si="31"/>
        <v>6.3985374771480252E-3</v>
      </c>
      <c r="D1010" s="6">
        <f t="shared" si="30"/>
        <v>6.3781537407533928E-3</v>
      </c>
    </row>
    <row r="1011" spans="1:4" x14ac:dyDescent="0.25">
      <c r="A1011" t="s">
        <v>1058</v>
      </c>
      <c r="B1011">
        <v>65.64</v>
      </c>
      <c r="C1011" s="6">
        <f t="shared" si="31"/>
        <v>7.9852579852579542E-3</v>
      </c>
      <c r="D1011" s="6">
        <f t="shared" ref="D1011:D1074" si="32">LN(B1011/B1012)</f>
        <v>7.9535445276052597E-3</v>
      </c>
    </row>
    <row r="1012" spans="1:4" x14ac:dyDescent="0.25">
      <c r="A1012" t="s">
        <v>1059</v>
      </c>
      <c r="B1012">
        <v>65.12</v>
      </c>
      <c r="C1012" s="6">
        <f t="shared" ref="C1012:C1075" si="33">(B1012/B1013)-1</f>
        <v>1.0395655546935556E-2</v>
      </c>
      <c r="D1012" s="6">
        <f t="shared" si="32"/>
        <v>1.0341992309088411E-2</v>
      </c>
    </row>
    <row r="1013" spans="1:4" x14ac:dyDescent="0.25">
      <c r="A1013" t="s">
        <v>1060</v>
      </c>
      <c r="B1013">
        <v>64.45</v>
      </c>
      <c r="C1013" s="6">
        <f t="shared" si="33"/>
        <v>-9.2236740968485442E-3</v>
      </c>
      <c r="D1013" s="6">
        <f t="shared" si="32"/>
        <v>-9.266475573317853E-3</v>
      </c>
    </row>
    <row r="1014" spans="1:4" x14ac:dyDescent="0.25">
      <c r="A1014" t="s">
        <v>1061</v>
      </c>
      <c r="B1014">
        <v>65.05</v>
      </c>
      <c r="C1014" s="6">
        <f t="shared" si="33"/>
        <v>7.2777949829667676E-3</v>
      </c>
      <c r="D1014" s="6">
        <f t="shared" si="32"/>
        <v>7.2514396283850299E-3</v>
      </c>
    </row>
    <row r="1015" spans="1:4" x14ac:dyDescent="0.25">
      <c r="A1015" t="s">
        <v>1062</v>
      </c>
      <c r="B1015">
        <v>64.58</v>
      </c>
      <c r="C1015" s="6">
        <f t="shared" si="33"/>
        <v>2.0543615676358984E-2</v>
      </c>
      <c r="D1015" s="6">
        <f t="shared" si="32"/>
        <v>2.0335441870730667E-2</v>
      </c>
    </row>
    <row r="1016" spans="1:4" x14ac:dyDescent="0.25">
      <c r="A1016" t="s">
        <v>1063</v>
      </c>
      <c r="B1016">
        <v>63.28</v>
      </c>
      <c r="C1016" s="6">
        <f t="shared" si="33"/>
        <v>-9.7026604068857214E-3</v>
      </c>
      <c r="D1016" s="6">
        <f t="shared" si="32"/>
        <v>-9.7500379240906491E-3</v>
      </c>
    </row>
    <row r="1017" spans="1:4" x14ac:dyDescent="0.25">
      <c r="A1017" t="s">
        <v>1064</v>
      </c>
      <c r="B1017">
        <v>63.9</v>
      </c>
      <c r="C1017" s="6">
        <f t="shared" si="33"/>
        <v>2.8323141293852494E-2</v>
      </c>
      <c r="D1017" s="6">
        <f t="shared" si="32"/>
        <v>2.7929457418587683E-2</v>
      </c>
    </row>
    <row r="1018" spans="1:4" x14ac:dyDescent="0.25">
      <c r="A1018" t="s">
        <v>1065</v>
      </c>
      <c r="B1018">
        <v>62.14</v>
      </c>
      <c r="C1018" s="6">
        <f t="shared" si="33"/>
        <v>-2.3570081709616608E-2</v>
      </c>
      <c r="D1018" s="6">
        <f t="shared" si="32"/>
        <v>-2.3852299504684791E-2</v>
      </c>
    </row>
    <row r="1019" spans="1:4" x14ac:dyDescent="0.25">
      <c r="A1019" t="s">
        <v>1066</v>
      </c>
      <c r="B1019">
        <v>63.64</v>
      </c>
      <c r="C1019" s="6">
        <f t="shared" si="33"/>
        <v>6.0069554220676391E-3</v>
      </c>
      <c r="D1019" s="6">
        <f t="shared" si="32"/>
        <v>5.9889855920833186E-3</v>
      </c>
    </row>
    <row r="1020" spans="1:4" x14ac:dyDescent="0.25">
      <c r="A1020" t="s">
        <v>1067</v>
      </c>
      <c r="B1020">
        <v>63.26</v>
      </c>
      <c r="C1020" s="6">
        <f t="shared" si="33"/>
        <v>-1.3412351840299541E-2</v>
      </c>
      <c r="D1020" s="6">
        <f t="shared" si="32"/>
        <v>-1.3503109863849526E-2</v>
      </c>
    </row>
    <row r="1021" spans="1:4" x14ac:dyDescent="0.25">
      <c r="A1021" t="s">
        <v>1068</v>
      </c>
      <c r="B1021">
        <v>64.12</v>
      </c>
      <c r="C1021" s="6">
        <f t="shared" si="33"/>
        <v>1.2492192379762734E-3</v>
      </c>
      <c r="D1021" s="6">
        <f t="shared" si="32"/>
        <v>1.2484396128382761E-3</v>
      </c>
    </row>
    <row r="1022" spans="1:4" x14ac:dyDescent="0.25">
      <c r="A1022" t="s">
        <v>1069</v>
      </c>
      <c r="B1022">
        <v>64.040000000000006</v>
      </c>
      <c r="C1022" s="6">
        <f t="shared" si="33"/>
        <v>9.4577553593948593E-3</v>
      </c>
      <c r="D1022" s="6">
        <f t="shared" si="32"/>
        <v>9.4133108019215459E-3</v>
      </c>
    </row>
    <row r="1023" spans="1:4" x14ac:dyDescent="0.25">
      <c r="A1023" t="s">
        <v>1070</v>
      </c>
      <c r="B1023">
        <v>63.44</v>
      </c>
      <c r="C1023" s="6">
        <f t="shared" si="33"/>
        <v>-7.8198310916484104E-3</v>
      </c>
      <c r="D1023" s="6">
        <f t="shared" si="32"/>
        <v>-7.8505663051028334E-3</v>
      </c>
    </row>
    <row r="1024" spans="1:4" x14ac:dyDescent="0.25">
      <c r="A1024" t="s">
        <v>1071</v>
      </c>
      <c r="B1024">
        <v>63.94</v>
      </c>
      <c r="C1024" s="6">
        <f t="shared" si="33"/>
        <v>-3.2824081076992861E-2</v>
      </c>
      <c r="D1024" s="6">
        <f t="shared" si="32"/>
        <v>-3.3374877713791336E-2</v>
      </c>
    </row>
    <row r="1025" spans="1:4" x14ac:dyDescent="0.25">
      <c r="A1025" t="s">
        <v>1072</v>
      </c>
      <c r="B1025">
        <v>66.11</v>
      </c>
      <c r="C1025" s="6">
        <f t="shared" si="33"/>
        <v>3.3453181178677571E-2</v>
      </c>
      <c r="D1025" s="6">
        <f t="shared" si="32"/>
        <v>3.2905797883440564E-2</v>
      </c>
    </row>
    <row r="1026" spans="1:4" x14ac:dyDescent="0.25">
      <c r="A1026" t="s">
        <v>1073</v>
      </c>
      <c r="B1026">
        <v>63.97</v>
      </c>
      <c r="C1026" s="6">
        <f t="shared" si="33"/>
        <v>-1.7508831208723707E-2</v>
      </c>
      <c r="D1026" s="6">
        <f t="shared" si="32"/>
        <v>-1.7663923786724454E-2</v>
      </c>
    </row>
    <row r="1027" spans="1:4" x14ac:dyDescent="0.25">
      <c r="A1027" t="s">
        <v>1074</v>
      </c>
      <c r="B1027">
        <v>65.11</v>
      </c>
      <c r="C1027" s="6">
        <f t="shared" si="33"/>
        <v>-2.617409512414004E-2</v>
      </c>
      <c r="D1027" s="6">
        <f t="shared" si="32"/>
        <v>-2.6522733743181898E-2</v>
      </c>
    </row>
    <row r="1028" spans="1:4" x14ac:dyDescent="0.25">
      <c r="A1028" t="s">
        <v>1075</v>
      </c>
      <c r="B1028">
        <v>66.86</v>
      </c>
      <c r="C1028" s="6">
        <f t="shared" si="33"/>
        <v>3.7071506126880704E-2</v>
      </c>
      <c r="D1028" s="6">
        <f t="shared" si="32"/>
        <v>3.6400881669423756E-2</v>
      </c>
    </row>
    <row r="1029" spans="1:4" x14ac:dyDescent="0.25">
      <c r="A1029" t="s">
        <v>1076</v>
      </c>
      <c r="B1029">
        <v>64.47</v>
      </c>
      <c r="C1029" s="6">
        <f t="shared" si="33"/>
        <v>-2.6721014492753548E-2</v>
      </c>
      <c r="D1029" s="6">
        <f t="shared" si="32"/>
        <v>-2.7084510754475394E-2</v>
      </c>
    </row>
    <row r="1030" spans="1:4" x14ac:dyDescent="0.25">
      <c r="A1030" t="s">
        <v>1077</v>
      </c>
      <c r="B1030">
        <v>66.239999999999995</v>
      </c>
      <c r="C1030" s="6">
        <f t="shared" si="33"/>
        <v>-1.0556477152768862E-3</v>
      </c>
      <c r="D1030" s="6">
        <f t="shared" si="32"/>
        <v>-1.0562053037721584E-3</v>
      </c>
    </row>
    <row r="1031" spans="1:4" x14ac:dyDescent="0.25">
      <c r="A1031" t="s">
        <v>1078</v>
      </c>
      <c r="B1031">
        <v>66.31</v>
      </c>
      <c r="C1031" s="6">
        <f t="shared" si="33"/>
        <v>-5.2037169406719097E-2</v>
      </c>
      <c r="D1031" s="6">
        <f t="shared" si="32"/>
        <v>-5.3439985730713936E-2</v>
      </c>
    </row>
    <row r="1032" spans="1:4" x14ac:dyDescent="0.25">
      <c r="A1032" t="s">
        <v>1079</v>
      </c>
      <c r="B1032">
        <v>69.95</v>
      </c>
      <c r="C1032" s="6">
        <f t="shared" si="33"/>
        <v>6.8265119120342055E-2</v>
      </c>
      <c r="D1032" s="6">
        <f t="shared" si="32"/>
        <v>6.6035948608555994E-2</v>
      </c>
    </row>
    <row r="1033" spans="1:4" x14ac:dyDescent="0.25">
      <c r="A1033" t="s">
        <v>1080</v>
      </c>
      <c r="B1033">
        <v>65.48</v>
      </c>
      <c r="C1033" s="6">
        <f t="shared" si="33"/>
        <v>1.8668326073428831E-2</v>
      </c>
      <c r="D1033" s="6">
        <f t="shared" si="32"/>
        <v>1.8496211633622396E-2</v>
      </c>
    </row>
    <row r="1034" spans="1:4" x14ac:dyDescent="0.25">
      <c r="A1034" t="s">
        <v>1081</v>
      </c>
      <c r="B1034">
        <v>64.28</v>
      </c>
      <c r="C1034" s="6">
        <f t="shared" si="33"/>
        <v>2.4709070620118068E-2</v>
      </c>
      <c r="D1034" s="6">
        <f t="shared" si="32"/>
        <v>2.4408738760660038E-2</v>
      </c>
    </row>
    <row r="1035" spans="1:4" x14ac:dyDescent="0.25">
      <c r="A1035" t="s">
        <v>1082</v>
      </c>
      <c r="B1035">
        <v>62.73</v>
      </c>
      <c r="C1035" s="6">
        <f t="shared" si="33"/>
        <v>6.9020866773674694E-3</v>
      </c>
      <c r="D1035" s="6">
        <f t="shared" si="32"/>
        <v>6.8783763152443335E-3</v>
      </c>
    </row>
    <row r="1036" spans="1:4" x14ac:dyDescent="0.25">
      <c r="A1036" t="s">
        <v>1083</v>
      </c>
      <c r="B1036">
        <v>62.3</v>
      </c>
      <c r="C1036" s="6">
        <f t="shared" si="33"/>
        <v>3.059088713572633E-3</v>
      </c>
      <c r="D1036" s="6">
        <f t="shared" si="32"/>
        <v>3.0544192221957887E-3</v>
      </c>
    </row>
    <row r="1037" spans="1:4" x14ac:dyDescent="0.25">
      <c r="A1037" t="s">
        <v>1084</v>
      </c>
      <c r="B1037">
        <v>62.11</v>
      </c>
      <c r="C1037" s="6">
        <f t="shared" si="33"/>
        <v>-2.4654522613065333E-2</v>
      </c>
      <c r="D1037" s="6">
        <f t="shared" si="32"/>
        <v>-2.4963534964915969E-2</v>
      </c>
    </row>
    <row r="1038" spans="1:4" x14ac:dyDescent="0.25">
      <c r="A1038" t="s">
        <v>1085</v>
      </c>
      <c r="B1038">
        <v>63.68</v>
      </c>
      <c r="C1038" s="6">
        <f t="shared" si="33"/>
        <v>2.9925972594109229E-3</v>
      </c>
      <c r="D1038" s="6">
        <f t="shared" si="32"/>
        <v>2.9881283537690267E-3</v>
      </c>
    </row>
    <row r="1039" spans="1:4" x14ac:dyDescent="0.25">
      <c r="A1039" t="s">
        <v>1086</v>
      </c>
      <c r="B1039">
        <v>63.49</v>
      </c>
      <c r="C1039" s="6">
        <f t="shared" si="33"/>
        <v>-4.2238648363252418E-2</v>
      </c>
      <c r="D1039" s="6">
        <f t="shared" si="32"/>
        <v>-4.3156643070941685E-2</v>
      </c>
    </row>
    <row r="1040" spans="1:4" x14ac:dyDescent="0.25">
      <c r="A1040" t="s">
        <v>1087</v>
      </c>
      <c r="B1040">
        <v>66.290000000000006</v>
      </c>
      <c r="C1040" s="6">
        <f t="shared" si="33"/>
        <v>1.6873753643196876E-2</v>
      </c>
      <c r="D1040" s="6">
        <f t="shared" si="32"/>
        <v>1.6732973316852286E-2</v>
      </c>
    </row>
    <row r="1041" spans="1:4" x14ac:dyDescent="0.25">
      <c r="A1041" t="s">
        <v>1088</v>
      </c>
      <c r="B1041">
        <v>65.19</v>
      </c>
      <c r="C1041" s="6">
        <f t="shared" si="33"/>
        <v>9.75836431226762E-3</v>
      </c>
      <c r="D1041" s="6">
        <f t="shared" si="32"/>
        <v>9.7110589747545651E-3</v>
      </c>
    </row>
    <row r="1042" spans="1:4" x14ac:dyDescent="0.25">
      <c r="A1042" t="s">
        <v>1089</v>
      </c>
      <c r="B1042">
        <v>64.56</v>
      </c>
      <c r="C1042" s="6">
        <f t="shared" si="33"/>
        <v>-2.0185157079981808E-2</v>
      </c>
      <c r="D1042" s="6">
        <f t="shared" si="32"/>
        <v>-2.0391660964035187E-2</v>
      </c>
    </row>
    <row r="1043" spans="1:4" x14ac:dyDescent="0.25">
      <c r="A1043" t="s">
        <v>1090</v>
      </c>
      <c r="B1043">
        <v>65.89</v>
      </c>
      <c r="C1043" s="6">
        <f t="shared" si="33"/>
        <v>2.5206161506146074E-2</v>
      </c>
      <c r="D1043" s="6">
        <f t="shared" si="32"/>
        <v>2.4893725542533829E-2</v>
      </c>
    </row>
    <row r="1044" spans="1:4" x14ac:dyDescent="0.25">
      <c r="A1044" t="s">
        <v>1091</v>
      </c>
      <c r="B1044">
        <v>64.27</v>
      </c>
      <c r="C1044" s="6">
        <f t="shared" si="33"/>
        <v>-2.3284694194350974E-3</v>
      </c>
      <c r="D1044" s="6">
        <f t="shared" si="32"/>
        <v>-2.3311845198580876E-3</v>
      </c>
    </row>
    <row r="1045" spans="1:4" x14ac:dyDescent="0.25">
      <c r="A1045" t="s">
        <v>1092</v>
      </c>
      <c r="B1045">
        <v>64.42</v>
      </c>
      <c r="C1045" s="6">
        <f t="shared" si="33"/>
        <v>1.8820180294164324E-2</v>
      </c>
      <c r="D1045" s="6">
        <f t="shared" si="32"/>
        <v>1.8645271832531087E-2</v>
      </c>
    </row>
    <row r="1046" spans="1:4" x14ac:dyDescent="0.25">
      <c r="A1046" t="s">
        <v>1093</v>
      </c>
      <c r="B1046">
        <v>63.23</v>
      </c>
      <c r="C1046" s="6">
        <f t="shared" si="33"/>
        <v>-9.8653304102724881E-3</v>
      </c>
      <c r="D1046" s="6">
        <f t="shared" si="32"/>
        <v>-9.9143152161141387E-3</v>
      </c>
    </row>
    <row r="1047" spans="1:4" x14ac:dyDescent="0.25">
      <c r="A1047" t="s">
        <v>1094</v>
      </c>
      <c r="B1047">
        <v>63.86</v>
      </c>
      <c r="C1047" s="6">
        <f t="shared" si="33"/>
        <v>1.1723700887199096E-2</v>
      </c>
      <c r="D1047" s="6">
        <f t="shared" si="32"/>
        <v>1.1655510749017264E-2</v>
      </c>
    </row>
    <row r="1048" spans="1:4" x14ac:dyDescent="0.25">
      <c r="A1048" t="s">
        <v>1095</v>
      </c>
      <c r="B1048">
        <v>63.12</v>
      </c>
      <c r="C1048" s="6">
        <f t="shared" si="33"/>
        <v>2.8683181225554133E-2</v>
      </c>
      <c r="D1048" s="6">
        <f t="shared" si="32"/>
        <v>2.8279519478618082E-2</v>
      </c>
    </row>
    <row r="1049" spans="1:4" x14ac:dyDescent="0.25">
      <c r="A1049" t="s">
        <v>1096</v>
      </c>
      <c r="B1049">
        <v>61.36</v>
      </c>
      <c r="C1049" s="6">
        <f t="shared" si="33"/>
        <v>1.3544763792533887E-2</v>
      </c>
      <c r="D1049" s="6">
        <f t="shared" si="32"/>
        <v>1.3453853465428182E-2</v>
      </c>
    </row>
    <row r="1050" spans="1:4" x14ac:dyDescent="0.25">
      <c r="A1050" t="s">
        <v>1097</v>
      </c>
      <c r="B1050">
        <v>60.54</v>
      </c>
      <c r="C1050" s="6">
        <f t="shared" si="33"/>
        <v>1.4410187667560415E-2</v>
      </c>
      <c r="D1050" s="6">
        <f t="shared" si="32"/>
        <v>1.430734769806727E-2</v>
      </c>
    </row>
    <row r="1051" spans="1:4" x14ac:dyDescent="0.25">
      <c r="A1051" t="s">
        <v>1098</v>
      </c>
      <c r="B1051">
        <v>59.68</v>
      </c>
      <c r="C1051" s="6">
        <f t="shared" si="33"/>
        <v>1.1742996141586026E-3</v>
      </c>
      <c r="D1051" s="6">
        <f t="shared" si="32"/>
        <v>1.1736106636701439E-3</v>
      </c>
    </row>
    <row r="1052" spans="1:4" x14ac:dyDescent="0.25">
      <c r="A1052" t="s">
        <v>1099</v>
      </c>
      <c r="B1052">
        <v>59.61</v>
      </c>
      <c r="C1052" s="6">
        <f t="shared" si="33"/>
        <v>-3.1361715957101022E-2</v>
      </c>
      <c r="D1052" s="6">
        <f t="shared" si="32"/>
        <v>-3.1864024662060543E-2</v>
      </c>
    </row>
    <row r="1053" spans="1:4" x14ac:dyDescent="0.25">
      <c r="A1053" t="s">
        <v>1100</v>
      </c>
      <c r="B1053">
        <v>61.54</v>
      </c>
      <c r="C1053" s="6">
        <f t="shared" si="33"/>
        <v>-1.9282868525896446E-2</v>
      </c>
      <c r="D1053" s="6">
        <f t="shared" si="32"/>
        <v>-1.9471208117997532E-2</v>
      </c>
    </row>
    <row r="1054" spans="1:4" x14ac:dyDescent="0.25">
      <c r="A1054" t="s">
        <v>1101</v>
      </c>
      <c r="B1054">
        <v>62.75</v>
      </c>
      <c r="C1054" s="6">
        <f t="shared" si="33"/>
        <v>4.0457635549659976E-2</v>
      </c>
      <c r="D1054" s="6">
        <f t="shared" si="32"/>
        <v>3.9660650548997749E-2</v>
      </c>
    </row>
    <row r="1055" spans="1:4" x14ac:dyDescent="0.25">
      <c r="A1055" t="s">
        <v>1102</v>
      </c>
      <c r="B1055">
        <v>60.31</v>
      </c>
      <c r="C1055" s="6">
        <f t="shared" si="33"/>
        <v>-3.0697524911603935E-2</v>
      </c>
      <c r="D1055" s="6">
        <f t="shared" si="32"/>
        <v>-3.1178564006595497E-2</v>
      </c>
    </row>
    <row r="1056" spans="1:4" x14ac:dyDescent="0.25">
      <c r="A1056" t="s">
        <v>1103</v>
      </c>
      <c r="B1056">
        <v>62.22</v>
      </c>
      <c r="C1056" s="6">
        <f t="shared" si="33"/>
        <v>3.4413965087281895E-2</v>
      </c>
      <c r="D1056" s="6">
        <f t="shared" si="32"/>
        <v>3.3835049048803176E-2</v>
      </c>
    </row>
    <row r="1057" spans="1:4" x14ac:dyDescent="0.25">
      <c r="A1057" t="s">
        <v>1104</v>
      </c>
      <c r="B1057">
        <v>60.15</v>
      </c>
      <c r="C1057" s="6">
        <f t="shared" si="33"/>
        <v>-4.4024157660521368E-2</v>
      </c>
      <c r="D1057" s="6">
        <f t="shared" si="32"/>
        <v>-4.5022635769389266E-2</v>
      </c>
    </row>
    <row r="1058" spans="1:4" x14ac:dyDescent="0.25">
      <c r="A1058" t="s">
        <v>1105</v>
      </c>
      <c r="B1058">
        <v>62.92</v>
      </c>
      <c r="C1058" s="6">
        <f t="shared" si="33"/>
        <v>1.5166182639561265E-2</v>
      </c>
      <c r="D1058" s="6">
        <f t="shared" si="32"/>
        <v>1.505232583047501E-2</v>
      </c>
    </row>
    <row r="1059" spans="1:4" x14ac:dyDescent="0.25">
      <c r="A1059" t="s">
        <v>1106</v>
      </c>
      <c r="B1059">
        <v>61.98</v>
      </c>
      <c r="C1059" s="6">
        <f t="shared" si="33"/>
        <v>7.9687754106358977E-3</v>
      </c>
      <c r="D1059" s="6">
        <f t="shared" si="32"/>
        <v>7.9371923942238663E-3</v>
      </c>
    </row>
    <row r="1060" spans="1:4" x14ac:dyDescent="0.25">
      <c r="A1060" t="s">
        <v>1107</v>
      </c>
      <c r="B1060">
        <v>61.49</v>
      </c>
      <c r="C1060" s="6">
        <f t="shared" si="33"/>
        <v>1.0849909584086825E-2</v>
      </c>
      <c r="D1060" s="6">
        <f t="shared" si="32"/>
        <v>1.0791471632764386E-2</v>
      </c>
    </row>
    <row r="1061" spans="1:4" x14ac:dyDescent="0.25">
      <c r="A1061" t="s">
        <v>1108</v>
      </c>
      <c r="B1061">
        <v>60.83</v>
      </c>
      <c r="C1061" s="6">
        <f t="shared" si="33"/>
        <v>8.4549071618036375E-3</v>
      </c>
      <c r="D1061" s="6">
        <f t="shared" si="32"/>
        <v>8.4193646329132673E-3</v>
      </c>
    </row>
    <row r="1062" spans="1:4" x14ac:dyDescent="0.25">
      <c r="A1062" t="s">
        <v>1109</v>
      </c>
      <c r="B1062">
        <v>60.32</v>
      </c>
      <c r="C1062" s="6">
        <f t="shared" si="33"/>
        <v>-1.6468286319908709E-2</v>
      </c>
      <c r="D1062" s="6">
        <f t="shared" si="32"/>
        <v>-1.6605395938191745E-2</v>
      </c>
    </row>
    <row r="1063" spans="1:4" x14ac:dyDescent="0.25">
      <c r="A1063" t="s">
        <v>1110</v>
      </c>
      <c r="B1063">
        <v>61.33</v>
      </c>
      <c r="C1063" s="6">
        <f t="shared" si="33"/>
        <v>-1.6832318050657324E-2</v>
      </c>
      <c r="D1063" s="6">
        <f t="shared" si="32"/>
        <v>-1.6975591541764905E-2</v>
      </c>
    </row>
    <row r="1064" spans="1:4" x14ac:dyDescent="0.25">
      <c r="A1064" t="s">
        <v>1111</v>
      </c>
      <c r="B1064">
        <v>62.38</v>
      </c>
      <c r="C1064" s="6">
        <f t="shared" si="33"/>
        <v>2.8524319868095782E-2</v>
      </c>
      <c r="D1064" s="6">
        <f t="shared" si="32"/>
        <v>2.8125075789598213E-2</v>
      </c>
    </row>
    <row r="1065" spans="1:4" x14ac:dyDescent="0.25">
      <c r="A1065" t="s">
        <v>1112</v>
      </c>
      <c r="B1065">
        <v>60.65</v>
      </c>
      <c r="C1065" s="6">
        <f t="shared" si="33"/>
        <v>3.8066865276398243E-3</v>
      </c>
      <c r="D1065" s="6">
        <f t="shared" si="32"/>
        <v>3.7994594315331805E-3</v>
      </c>
    </row>
    <row r="1066" spans="1:4" x14ac:dyDescent="0.25">
      <c r="A1066" t="s">
        <v>1113</v>
      </c>
      <c r="B1066">
        <v>60.42</v>
      </c>
      <c r="C1066" s="6">
        <f t="shared" si="33"/>
        <v>1.1721366376423292E-2</v>
      </c>
      <c r="D1066" s="6">
        <f t="shared" si="32"/>
        <v>1.1653203287536273E-2</v>
      </c>
    </row>
    <row r="1067" spans="1:4" x14ac:dyDescent="0.25">
      <c r="A1067" t="s">
        <v>1114</v>
      </c>
      <c r="B1067">
        <v>59.72</v>
      </c>
      <c r="C1067" s="6">
        <f t="shared" si="33"/>
        <v>2.295306611853376E-2</v>
      </c>
      <c r="D1067" s="6">
        <f t="shared" si="32"/>
        <v>2.2693607245020956E-2</v>
      </c>
    </row>
    <row r="1068" spans="1:4" x14ac:dyDescent="0.25">
      <c r="A1068" t="s">
        <v>1115</v>
      </c>
      <c r="B1068">
        <v>58.38</v>
      </c>
      <c r="C1068" s="6">
        <f t="shared" si="33"/>
        <v>-1.9976498237367801E-2</v>
      </c>
      <c r="D1068" s="6">
        <f t="shared" si="32"/>
        <v>-2.0178726214627376E-2</v>
      </c>
    </row>
    <row r="1069" spans="1:4" x14ac:dyDescent="0.25">
      <c r="A1069" t="s">
        <v>1116</v>
      </c>
      <c r="B1069">
        <v>59.57</v>
      </c>
      <c r="C1069" s="6">
        <f t="shared" si="33"/>
        <v>2.0908311910882604E-2</v>
      </c>
      <c r="D1069" s="6">
        <f t="shared" si="32"/>
        <v>2.0692732908031079E-2</v>
      </c>
    </row>
    <row r="1070" spans="1:4" x14ac:dyDescent="0.25">
      <c r="A1070" t="s">
        <v>1117</v>
      </c>
      <c r="B1070">
        <v>58.35</v>
      </c>
      <c r="C1070" s="6">
        <f t="shared" si="33"/>
        <v>-2.7662056323945916E-2</v>
      </c>
      <c r="D1070" s="6">
        <f t="shared" si="32"/>
        <v>-2.8051856268856392E-2</v>
      </c>
    </row>
    <row r="1071" spans="1:4" x14ac:dyDescent="0.25">
      <c r="A1071" t="s">
        <v>1118</v>
      </c>
      <c r="B1071">
        <v>60.01</v>
      </c>
      <c r="C1071" s="6">
        <f t="shared" si="33"/>
        <v>-9.9883469285833026E-4</v>
      </c>
      <c r="D1071" s="6">
        <f t="shared" si="32"/>
        <v>-9.9933386064857826E-4</v>
      </c>
    </row>
    <row r="1072" spans="1:4" x14ac:dyDescent="0.25">
      <c r="A1072" t="s">
        <v>1119</v>
      </c>
      <c r="B1072">
        <v>60.07</v>
      </c>
      <c r="C1072" s="6">
        <f t="shared" si="33"/>
        <v>-2.0544594814935535E-2</v>
      </c>
      <c r="D1072" s="6">
        <f t="shared" si="32"/>
        <v>-2.075857077582224E-2</v>
      </c>
    </row>
    <row r="1073" spans="1:4" x14ac:dyDescent="0.25">
      <c r="A1073" t="s">
        <v>1120</v>
      </c>
      <c r="B1073">
        <v>61.33</v>
      </c>
      <c r="C1073" s="6">
        <f t="shared" si="33"/>
        <v>1.142670584394434E-3</v>
      </c>
      <c r="D1073" s="6">
        <f t="shared" si="32"/>
        <v>1.1420182332632209E-3</v>
      </c>
    </row>
    <row r="1074" spans="1:4" x14ac:dyDescent="0.25">
      <c r="A1074" t="s">
        <v>1121</v>
      </c>
      <c r="B1074">
        <v>61.26</v>
      </c>
      <c r="C1074" s="6">
        <f t="shared" si="33"/>
        <v>1.6426082628173244E-2</v>
      </c>
      <c r="D1074" s="6">
        <f t="shared" si="32"/>
        <v>1.6292633909676474E-2</v>
      </c>
    </row>
    <row r="1075" spans="1:4" x14ac:dyDescent="0.25">
      <c r="A1075" t="s">
        <v>1122</v>
      </c>
      <c r="B1075">
        <v>60.27</v>
      </c>
      <c r="C1075" s="6">
        <f t="shared" si="33"/>
        <v>-1.1967213114754016E-2</v>
      </c>
      <c r="D1075" s="6">
        <f t="shared" ref="D1075:D1138" si="34">LN(B1075/B1076)</f>
        <v>-1.2039396678358428E-2</v>
      </c>
    </row>
    <row r="1076" spans="1:4" x14ac:dyDescent="0.25">
      <c r="A1076" t="s">
        <v>1123</v>
      </c>
      <c r="B1076">
        <v>61</v>
      </c>
      <c r="C1076" s="6">
        <f t="shared" ref="C1076:C1139" si="35">(B1076/B1077)-1</f>
        <v>-1.5493867010974882E-2</v>
      </c>
      <c r="D1076" s="6">
        <f t="shared" si="34"/>
        <v>-1.5615151375356694E-2</v>
      </c>
    </row>
    <row r="1077" spans="1:4" x14ac:dyDescent="0.25">
      <c r="A1077" t="s">
        <v>1124</v>
      </c>
      <c r="B1077">
        <v>61.96</v>
      </c>
      <c r="C1077" s="6">
        <f t="shared" si="35"/>
        <v>-3.1723706829192122E-2</v>
      </c>
      <c r="D1077" s="6">
        <f t="shared" si="34"/>
        <v>-3.2237805602701071E-2</v>
      </c>
    </row>
    <row r="1078" spans="1:4" x14ac:dyDescent="0.25">
      <c r="A1078" t="s">
        <v>1125</v>
      </c>
      <c r="B1078">
        <v>63.99</v>
      </c>
      <c r="C1078" s="6">
        <f t="shared" si="35"/>
        <v>-5.3682342502218261E-2</v>
      </c>
      <c r="D1078" s="6">
        <f t="shared" si="34"/>
        <v>-5.5176976128371025E-2</v>
      </c>
    </row>
    <row r="1079" spans="1:4" x14ac:dyDescent="0.25">
      <c r="A1079" t="s">
        <v>1126</v>
      </c>
      <c r="B1079">
        <v>67.62</v>
      </c>
      <c r="C1079" s="6">
        <f t="shared" si="35"/>
        <v>2.5944469731452147E-2</v>
      </c>
      <c r="D1079" s="6">
        <f t="shared" si="34"/>
        <v>2.5613622215111563E-2</v>
      </c>
    </row>
    <row r="1080" spans="1:4" x14ac:dyDescent="0.25">
      <c r="A1080" t="s">
        <v>1127</v>
      </c>
      <c r="B1080">
        <v>65.91</v>
      </c>
      <c r="C1080" s="6">
        <f t="shared" si="35"/>
        <v>2.1702061695860975E-2</v>
      </c>
      <c r="D1080" s="6">
        <f t="shared" si="34"/>
        <v>2.1469924520478099E-2</v>
      </c>
    </row>
    <row r="1081" spans="1:4" x14ac:dyDescent="0.25">
      <c r="A1081" t="s">
        <v>1128</v>
      </c>
      <c r="B1081">
        <v>64.510000000000005</v>
      </c>
      <c r="C1081" s="6">
        <f t="shared" si="35"/>
        <v>2.0889381231207649E-2</v>
      </c>
      <c r="D1081" s="6">
        <f t="shared" si="34"/>
        <v>2.0674189758786588E-2</v>
      </c>
    </row>
    <row r="1082" spans="1:4" x14ac:dyDescent="0.25">
      <c r="A1082" t="s">
        <v>1129</v>
      </c>
      <c r="B1082">
        <v>63.19</v>
      </c>
      <c r="C1082" s="6">
        <f t="shared" si="35"/>
        <v>2.3319838056680142E-2</v>
      </c>
      <c r="D1082" s="6">
        <f t="shared" si="34"/>
        <v>2.3052085277277295E-2</v>
      </c>
    </row>
    <row r="1083" spans="1:4" x14ac:dyDescent="0.25">
      <c r="A1083" t="s">
        <v>1130</v>
      </c>
      <c r="B1083">
        <v>61.75</v>
      </c>
      <c r="C1083" s="6">
        <f t="shared" si="35"/>
        <v>1.3624425476034041E-2</v>
      </c>
      <c r="D1083" s="6">
        <f t="shared" si="34"/>
        <v>1.3532447481125415E-2</v>
      </c>
    </row>
    <row r="1084" spans="1:4" x14ac:dyDescent="0.25">
      <c r="A1084" t="s">
        <v>1131</v>
      </c>
      <c r="B1084">
        <v>60.92</v>
      </c>
      <c r="C1084" s="6">
        <f t="shared" si="35"/>
        <v>2.7983539094651455E-3</v>
      </c>
      <c r="D1084" s="6">
        <f t="shared" si="34"/>
        <v>2.7944458063033479E-3</v>
      </c>
    </row>
    <row r="1085" spans="1:4" x14ac:dyDescent="0.25">
      <c r="A1085" t="s">
        <v>1132</v>
      </c>
      <c r="B1085">
        <v>60.75</v>
      </c>
      <c r="C1085" s="6">
        <f t="shared" si="35"/>
        <v>3.4747061829330628E-2</v>
      </c>
      <c r="D1085" s="6">
        <f t="shared" si="34"/>
        <v>3.4157012144563306E-2</v>
      </c>
    </row>
    <row r="1086" spans="1:4" x14ac:dyDescent="0.25">
      <c r="A1086" t="s">
        <v>1133</v>
      </c>
      <c r="B1086">
        <v>58.71</v>
      </c>
      <c r="C1086" s="6">
        <f t="shared" si="35"/>
        <v>-1.8391573315499121E-2</v>
      </c>
      <c r="D1086" s="6">
        <f t="shared" si="34"/>
        <v>-1.8562800980371136E-2</v>
      </c>
    </row>
    <row r="1087" spans="1:4" x14ac:dyDescent="0.25">
      <c r="A1087" t="s">
        <v>1134</v>
      </c>
      <c r="B1087">
        <v>59.81</v>
      </c>
      <c r="C1087" s="6">
        <f t="shared" si="35"/>
        <v>3.1918564527260163E-2</v>
      </c>
      <c r="D1087" s="6">
        <f t="shared" si="34"/>
        <v>3.1419753603984003E-2</v>
      </c>
    </row>
    <row r="1088" spans="1:4" x14ac:dyDescent="0.25">
      <c r="A1088" t="s">
        <v>1135</v>
      </c>
      <c r="B1088">
        <v>57.96</v>
      </c>
      <c r="C1088" s="6">
        <f t="shared" si="35"/>
        <v>1.2932541069556214E-2</v>
      </c>
      <c r="D1088" s="6">
        <f t="shared" si="34"/>
        <v>1.2849629830517541E-2</v>
      </c>
    </row>
    <row r="1089" spans="1:4" x14ac:dyDescent="0.25">
      <c r="A1089" t="s">
        <v>1136</v>
      </c>
      <c r="B1089">
        <v>57.22</v>
      </c>
      <c r="C1089" s="6">
        <f t="shared" si="35"/>
        <v>2.2150768131475651E-2</v>
      </c>
      <c r="D1089" s="6">
        <f t="shared" si="34"/>
        <v>2.1909003534656864E-2</v>
      </c>
    </row>
    <row r="1090" spans="1:4" x14ac:dyDescent="0.25">
      <c r="A1090" t="s">
        <v>1137</v>
      </c>
      <c r="B1090">
        <v>55.98</v>
      </c>
      <c r="C1090" s="6">
        <f t="shared" si="35"/>
        <v>-2.54178272980502E-2</v>
      </c>
      <c r="D1090" s="6">
        <f t="shared" si="34"/>
        <v>-2.5746440652661347E-2</v>
      </c>
    </row>
    <row r="1091" spans="1:4" x14ac:dyDescent="0.25">
      <c r="A1091" t="s">
        <v>1138</v>
      </c>
      <c r="B1091">
        <v>57.44</v>
      </c>
      <c r="C1091" s="6">
        <f t="shared" si="35"/>
        <v>0</v>
      </c>
      <c r="D1091" s="6">
        <f t="shared" si="34"/>
        <v>0</v>
      </c>
    </row>
    <row r="1092" spans="1:4" x14ac:dyDescent="0.25">
      <c r="A1092" t="s">
        <v>1139</v>
      </c>
      <c r="B1092">
        <v>57.44</v>
      </c>
      <c r="C1092" s="6">
        <f t="shared" si="35"/>
        <v>2.4433743534867158E-2</v>
      </c>
      <c r="D1092" s="6">
        <f t="shared" si="34"/>
        <v>2.4140014604387611E-2</v>
      </c>
    </row>
    <row r="1093" spans="1:4" x14ac:dyDescent="0.25">
      <c r="A1093" t="s">
        <v>1140</v>
      </c>
      <c r="B1093">
        <v>56.07</v>
      </c>
      <c r="C1093" s="6">
        <f t="shared" si="35"/>
        <v>5.3792361484668039E-3</v>
      </c>
      <c r="D1093" s="6">
        <f t="shared" si="34"/>
        <v>5.3648197341187058E-3</v>
      </c>
    </row>
    <row r="1094" spans="1:4" x14ac:dyDescent="0.25">
      <c r="A1094" t="s">
        <v>1141</v>
      </c>
      <c r="B1094">
        <v>55.77</v>
      </c>
      <c r="C1094" s="6">
        <f t="shared" si="35"/>
        <v>-4.6403712296982924E-3</v>
      </c>
      <c r="D1094" s="6">
        <f t="shared" si="34"/>
        <v>-4.651171175730732E-3</v>
      </c>
    </row>
    <row r="1095" spans="1:4" x14ac:dyDescent="0.25">
      <c r="A1095" t="s">
        <v>1142</v>
      </c>
      <c r="B1095">
        <v>56.03</v>
      </c>
      <c r="C1095" s="6">
        <f t="shared" si="35"/>
        <v>1.2834417932031883E-2</v>
      </c>
      <c r="D1095" s="6">
        <f t="shared" si="34"/>
        <v>1.2752754780635762E-2</v>
      </c>
    </row>
    <row r="1096" spans="1:4" x14ac:dyDescent="0.25">
      <c r="A1096" t="s">
        <v>1143</v>
      </c>
      <c r="B1096">
        <v>55.32</v>
      </c>
      <c r="C1096" s="6">
        <f t="shared" si="35"/>
        <v>-4.3196544276458138E-3</v>
      </c>
      <c r="D1096" s="6">
        <f t="shared" si="34"/>
        <v>-4.3290110895855809E-3</v>
      </c>
    </row>
    <row r="1097" spans="1:4" x14ac:dyDescent="0.25">
      <c r="A1097" t="s">
        <v>1144</v>
      </c>
      <c r="B1097">
        <v>55.56</v>
      </c>
      <c r="C1097" s="6">
        <f t="shared" si="35"/>
        <v>-1.6811183861263457E-2</v>
      </c>
      <c r="D1097" s="6">
        <f t="shared" si="34"/>
        <v>-1.6954095755608904E-2</v>
      </c>
    </row>
    <row r="1098" spans="1:4" x14ac:dyDescent="0.25">
      <c r="A1098" t="s">
        <v>1145</v>
      </c>
      <c r="B1098">
        <v>56.51</v>
      </c>
      <c r="C1098" s="6">
        <f t="shared" si="35"/>
        <v>3.5517670040845495E-3</v>
      </c>
      <c r="D1098" s="6">
        <f t="shared" si="34"/>
        <v>3.5454743752248333E-3</v>
      </c>
    </row>
    <row r="1099" spans="1:4" x14ac:dyDescent="0.25">
      <c r="A1099" t="s">
        <v>1146</v>
      </c>
      <c r="B1099">
        <v>56.31</v>
      </c>
      <c r="C1099" s="6">
        <f t="shared" si="35"/>
        <v>9.5016134815346653E-3</v>
      </c>
      <c r="D1099" s="6">
        <f t="shared" si="34"/>
        <v>9.4567570671843116E-3</v>
      </c>
    </row>
    <row r="1100" spans="1:4" x14ac:dyDescent="0.25">
      <c r="A1100" t="s">
        <v>1147</v>
      </c>
      <c r="B1100">
        <v>55.78</v>
      </c>
      <c r="C1100" s="6">
        <f t="shared" si="35"/>
        <v>6.4958498736917836E-3</v>
      </c>
      <c r="D1100" s="6">
        <f t="shared" si="34"/>
        <v>6.4748427645105145E-3</v>
      </c>
    </row>
    <row r="1101" spans="1:4" x14ac:dyDescent="0.25">
      <c r="A1101" t="s">
        <v>1148</v>
      </c>
      <c r="B1101">
        <v>55.42</v>
      </c>
      <c r="C1101" s="6">
        <f t="shared" si="35"/>
        <v>-1.387900355871885E-2</v>
      </c>
      <c r="D1101" s="6">
        <f t="shared" si="34"/>
        <v>-1.3976217464813024E-2</v>
      </c>
    </row>
    <row r="1102" spans="1:4" x14ac:dyDescent="0.25">
      <c r="A1102" t="s">
        <v>1149</v>
      </c>
      <c r="B1102">
        <v>56.2</v>
      </c>
      <c r="C1102" s="6">
        <f t="shared" si="35"/>
        <v>-1.4035087719298178E-2</v>
      </c>
      <c r="D1102" s="6">
        <f t="shared" si="34"/>
        <v>-1.4134510934904693E-2</v>
      </c>
    </row>
    <row r="1103" spans="1:4" x14ac:dyDescent="0.25">
      <c r="A1103" t="s">
        <v>1150</v>
      </c>
      <c r="B1103">
        <v>57</v>
      </c>
      <c r="C1103" s="6">
        <f t="shared" si="35"/>
        <v>2.7027027027026973E-2</v>
      </c>
      <c r="D1103" s="6">
        <f t="shared" si="34"/>
        <v>2.6668247082161273E-2</v>
      </c>
    </row>
    <row r="1104" spans="1:4" x14ac:dyDescent="0.25">
      <c r="A1104" t="s">
        <v>1151</v>
      </c>
      <c r="B1104">
        <v>55.5</v>
      </c>
      <c r="C1104" s="6">
        <f t="shared" si="35"/>
        <v>3.3327127164401338E-2</v>
      </c>
      <c r="D1104" s="6">
        <f t="shared" si="34"/>
        <v>3.2783816835020775E-2</v>
      </c>
    </row>
    <row r="1105" spans="1:4" x14ac:dyDescent="0.25">
      <c r="A1105" t="s">
        <v>1152</v>
      </c>
      <c r="B1105">
        <v>53.71</v>
      </c>
      <c r="C1105" s="6">
        <f t="shared" si="35"/>
        <v>-8.8577228270898534E-3</v>
      </c>
      <c r="D1105" s="6">
        <f t="shared" si="34"/>
        <v>-8.8971856606548435E-3</v>
      </c>
    </row>
    <row r="1106" spans="1:4" x14ac:dyDescent="0.25">
      <c r="A1106" t="s">
        <v>1153</v>
      </c>
      <c r="B1106">
        <v>54.19</v>
      </c>
      <c r="C1106" s="6">
        <f t="shared" si="35"/>
        <v>2.03402366863914E-3</v>
      </c>
      <c r="D1106" s="6">
        <f t="shared" si="34"/>
        <v>2.0319578433142752E-3</v>
      </c>
    </row>
    <row r="1107" spans="1:4" x14ac:dyDescent="0.25">
      <c r="A1107" t="s">
        <v>1154</v>
      </c>
      <c r="B1107">
        <v>54.08</v>
      </c>
      <c r="C1107" s="6">
        <f t="shared" si="35"/>
        <v>-1.024890190336758E-2</v>
      </c>
      <c r="D1107" s="6">
        <f t="shared" si="34"/>
        <v>-1.0301783527826057E-2</v>
      </c>
    </row>
    <row r="1108" spans="1:4" x14ac:dyDescent="0.25">
      <c r="A1108" t="s">
        <v>1155</v>
      </c>
      <c r="B1108">
        <v>54.64</v>
      </c>
      <c r="C1108" s="6">
        <f t="shared" si="35"/>
        <v>-3.5481023830538305E-2</v>
      </c>
      <c r="D1108" s="6">
        <f t="shared" si="34"/>
        <v>-3.6125772211480604E-2</v>
      </c>
    </row>
    <row r="1109" spans="1:4" x14ac:dyDescent="0.25">
      <c r="A1109" t="s">
        <v>1156</v>
      </c>
      <c r="B1109">
        <v>56.65</v>
      </c>
      <c r="C1109" s="6">
        <f t="shared" si="35"/>
        <v>1.088508208422545E-2</v>
      </c>
      <c r="D1109" s="6">
        <f t="shared" si="34"/>
        <v>1.0826266005208966E-2</v>
      </c>
    </row>
    <row r="1110" spans="1:4" x14ac:dyDescent="0.25">
      <c r="A1110" t="s">
        <v>1157</v>
      </c>
      <c r="B1110">
        <v>56.04</v>
      </c>
      <c r="C1110" s="6">
        <f t="shared" si="35"/>
        <v>1.5585357013410572E-2</v>
      </c>
      <c r="D1110" s="6">
        <f t="shared" si="34"/>
        <v>1.5465152679666146E-2</v>
      </c>
    </row>
    <row r="1111" spans="1:4" x14ac:dyDescent="0.25">
      <c r="A1111" t="s">
        <v>1158</v>
      </c>
      <c r="B1111">
        <v>55.18</v>
      </c>
      <c r="C1111" s="6">
        <f t="shared" si="35"/>
        <v>3.6244131455398954E-2</v>
      </c>
      <c r="D1111" s="6">
        <f t="shared" si="34"/>
        <v>3.5602764199605431E-2</v>
      </c>
    </row>
    <row r="1112" spans="1:4" x14ac:dyDescent="0.25">
      <c r="A1112" t="s">
        <v>1159</v>
      </c>
      <c r="B1112">
        <v>53.25</v>
      </c>
      <c r="C1112" s="6">
        <f t="shared" si="35"/>
        <v>6.9969742813917879E-3</v>
      </c>
      <c r="D1112" s="6">
        <f t="shared" si="34"/>
        <v>6.9726090461036056E-3</v>
      </c>
    </row>
    <row r="1113" spans="1:4" x14ac:dyDescent="0.25">
      <c r="A1113" t="s">
        <v>1160</v>
      </c>
      <c r="B1113">
        <v>52.88</v>
      </c>
      <c r="C1113" s="6">
        <f t="shared" si="35"/>
        <v>-1.8377575645071365E-2</v>
      </c>
      <c r="D1113" s="6">
        <f t="shared" si="34"/>
        <v>-1.8548541149011433E-2</v>
      </c>
    </row>
    <row r="1114" spans="1:4" x14ac:dyDescent="0.25">
      <c r="A1114" t="s">
        <v>1161</v>
      </c>
      <c r="B1114">
        <v>53.87</v>
      </c>
      <c r="C1114" s="6">
        <f t="shared" si="35"/>
        <v>1.4692032397815025E-2</v>
      </c>
      <c r="D1114" s="6">
        <f t="shared" si="34"/>
        <v>1.4585150096862265E-2</v>
      </c>
    </row>
    <row r="1115" spans="1:4" x14ac:dyDescent="0.25">
      <c r="A1115" t="s">
        <v>1162</v>
      </c>
      <c r="B1115">
        <v>53.09</v>
      </c>
      <c r="C1115" s="6">
        <f t="shared" si="35"/>
        <v>-2.2103518143304357E-2</v>
      </c>
      <c r="D1115" s="6">
        <f t="shared" si="34"/>
        <v>-2.2351461321779481E-2</v>
      </c>
    </row>
    <row r="1116" spans="1:4" x14ac:dyDescent="0.25">
      <c r="A1116" t="s">
        <v>1163</v>
      </c>
      <c r="B1116">
        <v>54.29</v>
      </c>
      <c r="C1116" s="6">
        <f t="shared" si="35"/>
        <v>-4.3685044918090554E-2</v>
      </c>
      <c r="D1116" s="6">
        <f t="shared" si="34"/>
        <v>-4.4667969265275151E-2</v>
      </c>
    </row>
    <row r="1117" spans="1:4" x14ac:dyDescent="0.25">
      <c r="A1117" t="s">
        <v>1164</v>
      </c>
      <c r="B1117">
        <v>56.77</v>
      </c>
      <c r="C1117" s="6">
        <f t="shared" si="35"/>
        <v>-1.0630881840362538E-2</v>
      </c>
      <c r="D1117" s="6">
        <f t="shared" si="34"/>
        <v>-1.0687793370583915E-2</v>
      </c>
    </row>
    <row r="1118" spans="1:4" x14ac:dyDescent="0.25">
      <c r="A1118" t="s">
        <v>1165</v>
      </c>
      <c r="B1118">
        <v>57.38</v>
      </c>
      <c r="C1118" s="6">
        <f t="shared" si="35"/>
        <v>1.5215852795470663E-2</v>
      </c>
      <c r="D1118" s="6">
        <f t="shared" si="34"/>
        <v>1.5101252736892072E-2</v>
      </c>
    </row>
    <row r="1119" spans="1:4" x14ac:dyDescent="0.25">
      <c r="A1119" t="s">
        <v>1166</v>
      </c>
      <c r="B1119">
        <v>56.52</v>
      </c>
      <c r="C1119" s="6">
        <f t="shared" si="35"/>
        <v>-1.6530363668000647E-2</v>
      </c>
      <c r="D1119" s="6">
        <f t="shared" si="34"/>
        <v>-1.6668514703323419E-2</v>
      </c>
    </row>
    <row r="1120" spans="1:4" x14ac:dyDescent="0.25">
      <c r="A1120" t="s">
        <v>1167</v>
      </c>
      <c r="B1120">
        <v>57.47</v>
      </c>
      <c r="C1120" s="6">
        <f t="shared" si="35"/>
        <v>7.3619631901840066E-3</v>
      </c>
      <c r="D1120" s="6">
        <f t="shared" si="34"/>
        <v>7.3349962115654707E-3</v>
      </c>
    </row>
    <row r="1121" spans="1:4" x14ac:dyDescent="0.25">
      <c r="A1121" t="s">
        <v>1168</v>
      </c>
      <c r="B1121">
        <v>57.05</v>
      </c>
      <c r="C1121" s="6">
        <f t="shared" si="35"/>
        <v>2.3869346733668362E-2</v>
      </c>
      <c r="D1121" s="6">
        <f t="shared" si="34"/>
        <v>2.3588927396479713E-2</v>
      </c>
    </row>
    <row r="1122" spans="1:4" x14ac:dyDescent="0.25">
      <c r="A1122" t="s">
        <v>1169</v>
      </c>
      <c r="B1122">
        <v>55.72</v>
      </c>
      <c r="C1122" s="6">
        <f t="shared" si="35"/>
        <v>2.3888276368981831E-2</v>
      </c>
      <c r="D1122" s="6">
        <f t="shared" si="34"/>
        <v>2.3607415556504557E-2</v>
      </c>
    </row>
    <row r="1123" spans="1:4" x14ac:dyDescent="0.25">
      <c r="A1123" t="s">
        <v>1170</v>
      </c>
      <c r="B1123">
        <v>54.42</v>
      </c>
      <c r="C1123" s="6">
        <f t="shared" si="35"/>
        <v>1.3407821229050265E-2</v>
      </c>
      <c r="D1123" s="6">
        <f t="shared" si="34"/>
        <v>1.3318731840281218E-2</v>
      </c>
    </row>
    <row r="1124" spans="1:4" x14ac:dyDescent="0.25">
      <c r="A1124" t="s">
        <v>1171</v>
      </c>
      <c r="B1124">
        <v>53.7</v>
      </c>
      <c r="C1124" s="6">
        <f t="shared" si="35"/>
        <v>1.4919806042521522E-3</v>
      </c>
      <c r="D1124" s="6">
        <f t="shared" si="34"/>
        <v>1.4908687070057745E-3</v>
      </c>
    </row>
    <row r="1125" spans="1:4" x14ac:dyDescent="0.25">
      <c r="A1125" t="s">
        <v>1172</v>
      </c>
      <c r="B1125">
        <v>53.62</v>
      </c>
      <c r="C1125" s="6">
        <f t="shared" si="35"/>
        <v>5.8150440817856808E-3</v>
      </c>
      <c r="D1125" s="6">
        <f t="shared" si="34"/>
        <v>5.7982019731434801E-3</v>
      </c>
    </row>
    <row r="1126" spans="1:4" x14ac:dyDescent="0.25">
      <c r="A1126" t="s">
        <v>1173</v>
      </c>
      <c r="B1126">
        <v>53.31</v>
      </c>
      <c r="C1126" s="6">
        <f t="shared" si="35"/>
        <v>-1.4238165680473314E-2</v>
      </c>
      <c r="D1126" s="6">
        <f t="shared" si="34"/>
        <v>-1.4340500900038935E-2</v>
      </c>
    </row>
    <row r="1127" spans="1:4" x14ac:dyDescent="0.25">
      <c r="A1127" t="s">
        <v>1174</v>
      </c>
      <c r="B1127">
        <v>54.08</v>
      </c>
      <c r="C1127" s="6">
        <f t="shared" si="35"/>
        <v>-7.1599045346062429E-3</v>
      </c>
      <c r="D1127" s="6">
        <f t="shared" si="34"/>
        <v>-7.1856596608744858E-3</v>
      </c>
    </row>
    <row r="1128" spans="1:4" x14ac:dyDescent="0.25">
      <c r="A1128" t="s">
        <v>1175</v>
      </c>
      <c r="B1128">
        <v>54.47</v>
      </c>
      <c r="C1128" s="6">
        <f t="shared" si="35"/>
        <v>1.9083255378858688E-2</v>
      </c>
      <c r="D1128" s="6">
        <f t="shared" si="34"/>
        <v>1.8903453924528808E-2</v>
      </c>
    </row>
    <row r="1129" spans="1:4" x14ac:dyDescent="0.25">
      <c r="A1129" t="s">
        <v>1176</v>
      </c>
      <c r="B1129">
        <v>53.45</v>
      </c>
      <c r="C1129" s="6">
        <f t="shared" si="35"/>
        <v>1.8289197942465307E-2</v>
      </c>
      <c r="D1129" s="6">
        <f t="shared" si="34"/>
        <v>1.8123962206845902E-2</v>
      </c>
    </row>
    <row r="1130" spans="1:4" x14ac:dyDescent="0.25">
      <c r="A1130" t="s">
        <v>1177</v>
      </c>
      <c r="B1130">
        <v>52.49</v>
      </c>
      <c r="C1130" s="6">
        <f t="shared" si="35"/>
        <v>2.4195121951219534E-2</v>
      </c>
      <c r="D1130" s="6">
        <f t="shared" si="34"/>
        <v>2.3907057245690866E-2</v>
      </c>
    </row>
    <row r="1131" spans="1:4" x14ac:dyDescent="0.25">
      <c r="A1131" t="s">
        <v>1178</v>
      </c>
      <c r="B1131">
        <v>51.25</v>
      </c>
      <c r="C1131" s="6">
        <f t="shared" si="35"/>
        <v>-6.012412723041205E-3</v>
      </c>
      <c r="D1131" s="6">
        <f t="shared" si="34"/>
        <v>-6.0305600524691669E-3</v>
      </c>
    </row>
    <row r="1132" spans="1:4" x14ac:dyDescent="0.25">
      <c r="A1132" t="s">
        <v>1179</v>
      </c>
      <c r="B1132">
        <v>51.56</v>
      </c>
      <c r="C1132" s="6">
        <f t="shared" si="35"/>
        <v>-4.4410117783355574E-3</v>
      </c>
      <c r="D1132" s="6">
        <f t="shared" si="34"/>
        <v>-4.4509023648134265E-3</v>
      </c>
    </row>
    <row r="1133" spans="1:4" x14ac:dyDescent="0.25">
      <c r="A1133" t="s">
        <v>1180</v>
      </c>
      <c r="B1133">
        <v>51.79</v>
      </c>
      <c r="C1133" s="6">
        <f t="shared" si="35"/>
        <v>-5.3773766084117547E-3</v>
      </c>
      <c r="D1133" s="6">
        <f t="shared" si="34"/>
        <v>-5.3918867390076166E-3</v>
      </c>
    </row>
    <row r="1134" spans="1:4" x14ac:dyDescent="0.25">
      <c r="A1134" t="s">
        <v>1181</v>
      </c>
      <c r="B1134">
        <v>52.07</v>
      </c>
      <c r="C1134" s="6">
        <f t="shared" si="35"/>
        <v>-3.6356678147722032E-3</v>
      </c>
      <c r="D1134" s="6">
        <f t="shared" si="34"/>
        <v>-3.6422929176586302E-3</v>
      </c>
    </row>
    <row r="1135" spans="1:4" x14ac:dyDescent="0.25">
      <c r="A1135" t="s">
        <v>1182</v>
      </c>
      <c r="B1135">
        <v>52.26</v>
      </c>
      <c r="C1135" s="6">
        <f t="shared" si="35"/>
        <v>-1.3217522658610315E-2</v>
      </c>
      <c r="D1135" s="6">
        <f t="shared" si="34"/>
        <v>-1.3305651536286385E-2</v>
      </c>
    </row>
    <row r="1136" spans="1:4" x14ac:dyDescent="0.25">
      <c r="A1136" t="s">
        <v>1183</v>
      </c>
      <c r="B1136">
        <v>52.96</v>
      </c>
      <c r="C1136" s="6">
        <f t="shared" si="35"/>
        <v>-4.6983649689907869E-3</v>
      </c>
      <c r="D1136" s="6">
        <f t="shared" si="34"/>
        <v>-4.7094369795251546E-3</v>
      </c>
    </row>
    <row r="1137" spans="1:4" x14ac:dyDescent="0.25">
      <c r="A1137" t="s">
        <v>1184</v>
      </c>
      <c r="B1137">
        <v>53.21</v>
      </c>
      <c r="C1137" s="6">
        <f t="shared" si="35"/>
        <v>2.2089896273530529E-2</v>
      </c>
      <c r="D1137" s="6">
        <f t="shared" si="34"/>
        <v>2.18494490418586E-2</v>
      </c>
    </row>
    <row r="1138" spans="1:4" x14ac:dyDescent="0.25">
      <c r="A1138" t="s">
        <v>1185</v>
      </c>
      <c r="B1138">
        <v>52.06</v>
      </c>
      <c r="C1138" s="6">
        <f t="shared" si="35"/>
        <v>3.082851637765005E-3</v>
      </c>
      <c r="D1138" s="6">
        <f t="shared" si="34"/>
        <v>3.0781093945764348E-3</v>
      </c>
    </row>
    <row r="1139" spans="1:4" x14ac:dyDescent="0.25">
      <c r="A1139" t="s">
        <v>1186</v>
      </c>
      <c r="B1139">
        <v>51.9</v>
      </c>
      <c r="C1139" s="6">
        <f t="shared" si="35"/>
        <v>1.1104617182933874E-2</v>
      </c>
      <c r="D1139" s="6">
        <f t="shared" ref="D1139:D1202" si="36">LN(B1139/B1140)</f>
        <v>1.1043413599631071E-2</v>
      </c>
    </row>
    <row r="1140" spans="1:4" x14ac:dyDescent="0.25">
      <c r="A1140" t="s">
        <v>1187</v>
      </c>
      <c r="B1140">
        <v>51.33</v>
      </c>
      <c r="C1140" s="6">
        <f t="shared" ref="C1140:C1203" si="37">(B1140/B1141)-1</f>
        <v>8.2498526812022632E-3</v>
      </c>
      <c r="D1140" s="6">
        <f t="shared" si="36"/>
        <v>8.2160086579673025E-3</v>
      </c>
    </row>
    <row r="1141" spans="1:4" x14ac:dyDescent="0.25">
      <c r="A1141" t="s">
        <v>1188</v>
      </c>
      <c r="B1141">
        <v>50.91</v>
      </c>
      <c r="C1141" s="6">
        <f t="shared" si="37"/>
        <v>3.9439952672055689E-3</v>
      </c>
      <c r="D1141" s="6">
        <f t="shared" si="36"/>
        <v>3.9362381073168341E-3</v>
      </c>
    </row>
    <row r="1142" spans="1:4" x14ac:dyDescent="0.25">
      <c r="A1142" t="s">
        <v>1189</v>
      </c>
      <c r="B1142">
        <v>50.71</v>
      </c>
      <c r="C1142" s="6">
        <f t="shared" si="37"/>
        <v>-1.1818002757534307E-3</v>
      </c>
      <c r="D1142" s="6">
        <f t="shared" si="36"/>
        <v>-1.1824991523753004E-3</v>
      </c>
    </row>
    <row r="1143" spans="1:4" x14ac:dyDescent="0.25">
      <c r="A1143" t="s">
        <v>1190</v>
      </c>
      <c r="B1143">
        <v>50.77</v>
      </c>
      <c r="C1143" s="6">
        <f t="shared" si="37"/>
        <v>-2.5901765157329115E-2</v>
      </c>
      <c r="D1143" s="6">
        <f t="shared" si="36"/>
        <v>-2.624312329734128E-2</v>
      </c>
    </row>
    <row r="1144" spans="1:4" x14ac:dyDescent="0.25">
      <c r="A1144" t="s">
        <v>1191</v>
      </c>
      <c r="B1144">
        <v>52.12</v>
      </c>
      <c r="C1144" s="6">
        <f t="shared" si="37"/>
        <v>-2.2322265991371326E-2</v>
      </c>
      <c r="D1144" s="6">
        <f t="shared" si="36"/>
        <v>-2.2575178578025393E-2</v>
      </c>
    </row>
    <row r="1145" spans="1:4" x14ac:dyDescent="0.25">
      <c r="A1145" t="s">
        <v>1192</v>
      </c>
      <c r="B1145">
        <v>53.31</v>
      </c>
      <c r="C1145" s="6">
        <f t="shared" si="37"/>
        <v>-7.8168620882187456E-3</v>
      </c>
      <c r="D1145" s="6">
        <f t="shared" si="36"/>
        <v>-7.8475739060603171E-3</v>
      </c>
    </row>
    <row r="1146" spans="1:4" x14ac:dyDescent="0.25">
      <c r="A1146" t="s">
        <v>1193</v>
      </c>
      <c r="B1146">
        <v>53.73</v>
      </c>
      <c r="C1146" s="6">
        <f t="shared" si="37"/>
        <v>1.0152284263959421E-2</v>
      </c>
      <c r="D1146" s="6">
        <f t="shared" si="36"/>
        <v>1.0101095986503919E-2</v>
      </c>
    </row>
    <row r="1147" spans="1:4" x14ac:dyDescent="0.25">
      <c r="A1147" t="s">
        <v>1194</v>
      </c>
      <c r="B1147">
        <v>53.19</v>
      </c>
      <c r="C1147" s="6">
        <f t="shared" si="37"/>
        <v>1.5851795263559953E-2</v>
      </c>
      <c r="D1147" s="6">
        <f t="shared" si="36"/>
        <v>1.5727467712527018E-2</v>
      </c>
    </row>
    <row r="1148" spans="1:4" x14ac:dyDescent="0.25">
      <c r="A1148" t="s">
        <v>1195</v>
      </c>
      <c r="B1148">
        <v>52.36</v>
      </c>
      <c r="C1148" s="6">
        <f t="shared" si="37"/>
        <v>9.5584018352123934E-4</v>
      </c>
      <c r="D1148" s="6">
        <f t="shared" si="36"/>
        <v>9.5538365917940276E-4</v>
      </c>
    </row>
    <row r="1149" spans="1:4" x14ac:dyDescent="0.25">
      <c r="A1149" t="s">
        <v>1196</v>
      </c>
      <c r="B1149">
        <v>52.31</v>
      </c>
      <c r="C1149" s="6">
        <f t="shared" si="37"/>
        <v>6.9297401347450105E-3</v>
      </c>
      <c r="D1149" s="6">
        <f t="shared" si="36"/>
        <v>6.9058398372833655E-3</v>
      </c>
    </row>
    <row r="1150" spans="1:4" x14ac:dyDescent="0.25">
      <c r="A1150" t="s">
        <v>1197</v>
      </c>
      <c r="B1150">
        <v>51.95</v>
      </c>
      <c r="C1150" s="6">
        <f t="shared" si="37"/>
        <v>-3.8483740619577045E-4</v>
      </c>
      <c r="D1150" s="6">
        <f t="shared" si="36"/>
        <v>-3.8491147511397734E-4</v>
      </c>
    </row>
    <row r="1151" spans="1:4" x14ac:dyDescent="0.25">
      <c r="A1151" t="s">
        <v>1198</v>
      </c>
      <c r="B1151">
        <v>51.97</v>
      </c>
      <c r="C1151" s="6">
        <f t="shared" si="37"/>
        <v>-1.5533244932752432E-2</v>
      </c>
      <c r="D1151" s="6">
        <f t="shared" si="36"/>
        <v>-1.5655149815174393E-2</v>
      </c>
    </row>
    <row r="1152" spans="1:4" x14ac:dyDescent="0.25">
      <c r="A1152" t="s">
        <v>1199</v>
      </c>
      <c r="B1152">
        <v>52.79</v>
      </c>
      <c r="C1152" s="6">
        <f t="shared" si="37"/>
        <v>-4.9010367577756453E-3</v>
      </c>
      <c r="D1152" s="6">
        <f t="shared" si="36"/>
        <v>-4.9130862244672396E-3</v>
      </c>
    </row>
    <row r="1153" spans="1:4" x14ac:dyDescent="0.25">
      <c r="A1153" t="s">
        <v>1200</v>
      </c>
      <c r="B1153">
        <v>53.05</v>
      </c>
      <c r="C1153" s="6">
        <f t="shared" si="37"/>
        <v>-6.5543071161049404E-3</v>
      </c>
      <c r="D1153" s="6">
        <f t="shared" si="36"/>
        <v>-6.5758809061570852E-3</v>
      </c>
    </row>
    <row r="1154" spans="1:4" x14ac:dyDescent="0.25">
      <c r="A1154" t="s">
        <v>1201</v>
      </c>
      <c r="B1154">
        <v>53.4</v>
      </c>
      <c r="C1154" s="6">
        <f t="shared" si="37"/>
        <v>-8.1723625557207358E-3</v>
      </c>
      <c r="D1154" s="6">
        <f t="shared" si="36"/>
        <v>-8.2059393703232918E-3</v>
      </c>
    </row>
    <row r="1155" spans="1:4" x14ac:dyDescent="0.25">
      <c r="A1155" t="s">
        <v>1202</v>
      </c>
      <c r="B1155">
        <v>53.84</v>
      </c>
      <c r="C1155" s="6">
        <f t="shared" si="37"/>
        <v>7.108118219229409E-3</v>
      </c>
      <c r="D1155" s="6">
        <f t="shared" si="36"/>
        <v>7.0829746256995006E-3</v>
      </c>
    </row>
    <row r="1156" spans="1:4" x14ac:dyDescent="0.25">
      <c r="A1156" t="s">
        <v>1203</v>
      </c>
      <c r="B1156">
        <v>53.46</v>
      </c>
      <c r="C1156" s="6">
        <f t="shared" si="37"/>
        <v>2.4923312883435633E-2</v>
      </c>
      <c r="D1156" s="6">
        <f t="shared" si="36"/>
        <v>2.4617793092375478E-2</v>
      </c>
    </row>
    <row r="1157" spans="1:4" x14ac:dyDescent="0.25">
      <c r="A1157" t="s">
        <v>1204</v>
      </c>
      <c r="B1157">
        <v>52.16</v>
      </c>
      <c r="C1157" s="6">
        <f t="shared" si="37"/>
        <v>2.7783251231527029E-2</v>
      </c>
      <c r="D1157" s="6">
        <f t="shared" si="36"/>
        <v>2.7404299696500736E-2</v>
      </c>
    </row>
    <row r="1158" spans="1:4" x14ac:dyDescent="0.25">
      <c r="A1158" t="s">
        <v>1205</v>
      </c>
      <c r="B1158">
        <v>50.75</v>
      </c>
      <c r="C1158" s="6">
        <f t="shared" si="37"/>
        <v>-1.4180264180264079E-2</v>
      </c>
      <c r="D1158" s="6">
        <f t="shared" si="36"/>
        <v>-1.4281764806029098E-2</v>
      </c>
    </row>
    <row r="1159" spans="1:4" x14ac:dyDescent="0.25">
      <c r="A1159" t="s">
        <v>1206</v>
      </c>
      <c r="B1159">
        <v>51.48</v>
      </c>
      <c r="C1159" s="6">
        <f t="shared" si="37"/>
        <v>1.1394891944990215E-2</v>
      </c>
      <c r="D1159" s="6">
        <f t="shared" si="36"/>
        <v>1.1330459171448893E-2</v>
      </c>
    </row>
    <row r="1160" spans="1:4" x14ac:dyDescent="0.25">
      <c r="A1160" t="s">
        <v>1207</v>
      </c>
      <c r="B1160">
        <v>50.9</v>
      </c>
      <c r="C1160" s="6">
        <f t="shared" si="37"/>
        <v>1.5741833923652582E-3</v>
      </c>
      <c r="D1160" s="6">
        <f t="shared" si="36"/>
        <v>1.5729456644590803E-3</v>
      </c>
    </row>
    <row r="1161" spans="1:4" x14ac:dyDescent="0.25">
      <c r="A1161" t="s">
        <v>1208</v>
      </c>
      <c r="B1161">
        <v>50.82</v>
      </c>
      <c r="C1161" s="6">
        <f t="shared" si="37"/>
        <v>-1.3755158184318717E-3</v>
      </c>
      <c r="D1161" s="6">
        <f t="shared" si="36"/>
        <v>-1.3764627087232365E-3</v>
      </c>
    </row>
    <row r="1162" spans="1:4" x14ac:dyDescent="0.25">
      <c r="A1162" t="s">
        <v>1209</v>
      </c>
      <c r="B1162">
        <v>50.89</v>
      </c>
      <c r="C1162" s="6">
        <f t="shared" si="37"/>
        <v>-1.5695507161074262E-3</v>
      </c>
      <c r="D1162" s="6">
        <f t="shared" si="36"/>
        <v>-1.5707837512089558E-3</v>
      </c>
    </row>
    <row r="1163" spans="1:4" x14ac:dyDescent="0.25">
      <c r="A1163" t="s">
        <v>1210</v>
      </c>
      <c r="B1163">
        <v>50.97</v>
      </c>
      <c r="C1163" s="6">
        <f t="shared" si="37"/>
        <v>1.9657951641438576E-3</v>
      </c>
      <c r="D1163" s="6">
        <f t="shared" si="36"/>
        <v>1.9638655172766572E-3</v>
      </c>
    </row>
    <row r="1164" spans="1:4" x14ac:dyDescent="0.25">
      <c r="A1164" t="s">
        <v>1211</v>
      </c>
      <c r="B1164">
        <v>50.87</v>
      </c>
      <c r="C1164" s="6">
        <f t="shared" si="37"/>
        <v>5.1373246393993099E-3</v>
      </c>
      <c r="D1164" s="6">
        <f t="shared" si="36"/>
        <v>5.1241736086870089E-3</v>
      </c>
    </row>
    <row r="1165" spans="1:4" x14ac:dyDescent="0.25">
      <c r="A1165" t="s">
        <v>1212</v>
      </c>
      <c r="B1165">
        <v>50.61</v>
      </c>
      <c r="C1165" s="6">
        <f t="shared" si="37"/>
        <v>5.7631160572337858E-3</v>
      </c>
      <c r="D1165" s="6">
        <f t="shared" si="36"/>
        <v>5.7465728338016199E-3</v>
      </c>
    </row>
    <row r="1166" spans="1:4" x14ac:dyDescent="0.25">
      <c r="A1166" t="s">
        <v>1213</v>
      </c>
      <c r="B1166">
        <v>50.32</v>
      </c>
      <c r="C1166" s="6">
        <f t="shared" si="37"/>
        <v>-1.4106583072100332E-2</v>
      </c>
      <c r="D1166" s="6">
        <f t="shared" si="36"/>
        <v>-1.4207026644349374E-2</v>
      </c>
    </row>
    <row r="1167" spans="1:4" x14ac:dyDescent="0.25">
      <c r="A1167" t="s">
        <v>1214</v>
      </c>
      <c r="B1167">
        <v>51.04</v>
      </c>
      <c r="C1167" s="6">
        <f t="shared" si="37"/>
        <v>-5.8742901899355715E-4</v>
      </c>
      <c r="D1167" s="6">
        <f t="shared" si="36"/>
        <v>-5.8760162301812026E-4</v>
      </c>
    </row>
    <row r="1168" spans="1:4" x14ac:dyDescent="0.25">
      <c r="A1168" t="s">
        <v>1215</v>
      </c>
      <c r="B1168">
        <v>51.07</v>
      </c>
      <c r="C1168" s="6">
        <f t="shared" si="37"/>
        <v>-1.8639508070714794E-2</v>
      </c>
      <c r="D1168" s="6">
        <f t="shared" si="36"/>
        <v>-1.8815412984751943E-2</v>
      </c>
    </row>
    <row r="1169" spans="1:4" x14ac:dyDescent="0.25">
      <c r="A1169" t="s">
        <v>1216</v>
      </c>
      <c r="B1169">
        <v>52.04</v>
      </c>
      <c r="C1169" s="6">
        <f t="shared" si="37"/>
        <v>3.6644165863066736E-3</v>
      </c>
      <c r="D1169" s="6">
        <f t="shared" si="36"/>
        <v>3.6577189687682097E-3</v>
      </c>
    </row>
    <row r="1170" spans="1:4" x14ac:dyDescent="0.25">
      <c r="A1170" t="s">
        <v>1217</v>
      </c>
      <c r="B1170">
        <v>51.85</v>
      </c>
      <c r="C1170" s="6">
        <f t="shared" si="37"/>
        <v>-9.9293488638533267E-3</v>
      </c>
      <c r="D1170" s="6">
        <f t="shared" si="36"/>
        <v>-9.9789736158599537E-3</v>
      </c>
    </row>
    <row r="1171" spans="1:4" x14ac:dyDescent="0.25">
      <c r="A1171" t="s">
        <v>1218</v>
      </c>
      <c r="B1171">
        <v>52.37</v>
      </c>
      <c r="C1171" s="6">
        <f t="shared" si="37"/>
        <v>-5.3181386514720153E-3</v>
      </c>
      <c r="D1171" s="6">
        <f t="shared" si="36"/>
        <v>-5.3323302885882251E-3</v>
      </c>
    </row>
    <row r="1172" spans="1:4" x14ac:dyDescent="0.25">
      <c r="A1172" t="s">
        <v>1219</v>
      </c>
      <c r="B1172">
        <v>52.65</v>
      </c>
      <c r="C1172" s="6">
        <f t="shared" si="37"/>
        <v>-8.287813147485501E-3</v>
      </c>
      <c r="D1172" s="6">
        <f t="shared" si="36"/>
        <v>-8.3223480155957073E-3</v>
      </c>
    </row>
    <row r="1173" spans="1:4" x14ac:dyDescent="0.25">
      <c r="A1173" t="s">
        <v>1220</v>
      </c>
      <c r="B1173">
        <v>53.09</v>
      </c>
      <c r="C1173" s="6">
        <f t="shared" si="37"/>
        <v>1.0660574909575615E-2</v>
      </c>
      <c r="D1173" s="6">
        <f t="shared" si="36"/>
        <v>1.0604151629710075E-2</v>
      </c>
    </row>
    <row r="1174" spans="1:4" x14ac:dyDescent="0.25">
      <c r="A1174" t="s">
        <v>1221</v>
      </c>
      <c r="B1174">
        <v>52.53</v>
      </c>
      <c r="C1174" s="6">
        <f t="shared" si="37"/>
        <v>-3.3308796466691271E-2</v>
      </c>
      <c r="D1174" s="6">
        <f t="shared" si="36"/>
        <v>-3.387616903233158E-2</v>
      </c>
    </row>
    <row r="1175" spans="1:4" x14ac:dyDescent="0.25">
      <c r="A1175" t="s">
        <v>1222</v>
      </c>
      <c r="B1175">
        <v>54.34</v>
      </c>
      <c r="C1175" s="6">
        <f t="shared" si="37"/>
        <v>-9.117432530999281E-3</v>
      </c>
      <c r="D1175" s="6">
        <f t="shared" si="36"/>
        <v>-9.1592506959119711E-3</v>
      </c>
    </row>
    <row r="1176" spans="1:4" x14ac:dyDescent="0.25">
      <c r="A1176" t="s">
        <v>1223</v>
      </c>
      <c r="B1176">
        <v>54.84</v>
      </c>
      <c r="C1176" s="6">
        <f t="shared" si="37"/>
        <v>-1.295896328293733E-2</v>
      </c>
      <c r="D1176" s="6">
        <f t="shared" si="36"/>
        <v>-1.3043663192029339E-2</v>
      </c>
    </row>
    <row r="1177" spans="1:4" x14ac:dyDescent="0.25">
      <c r="A1177" t="s">
        <v>1224</v>
      </c>
      <c r="B1177">
        <v>55.56</v>
      </c>
      <c r="C1177" s="6">
        <f t="shared" si="37"/>
        <v>-2.0624008461131549E-2</v>
      </c>
      <c r="D1177" s="6">
        <f t="shared" si="36"/>
        <v>-2.0839653452332671E-2</v>
      </c>
    </row>
    <row r="1178" spans="1:4" x14ac:dyDescent="0.25">
      <c r="A1178" t="s">
        <v>1225</v>
      </c>
      <c r="B1178">
        <v>56.73</v>
      </c>
      <c r="C1178" s="6">
        <f t="shared" si="37"/>
        <v>-5.9575959348169283E-3</v>
      </c>
      <c r="D1178" s="6">
        <f t="shared" si="36"/>
        <v>-5.9754132101409374E-3</v>
      </c>
    </row>
    <row r="1179" spans="1:4" x14ac:dyDescent="0.25">
      <c r="A1179" t="s">
        <v>1226</v>
      </c>
      <c r="B1179">
        <v>57.07</v>
      </c>
      <c r="C1179" s="6">
        <f t="shared" si="37"/>
        <v>5.4615926708949658E-3</v>
      </c>
      <c r="D1179" s="6">
        <f t="shared" si="36"/>
        <v>5.4467322567747778E-3</v>
      </c>
    </row>
    <row r="1180" spans="1:4" x14ac:dyDescent="0.25">
      <c r="A1180" t="s">
        <v>1227</v>
      </c>
      <c r="B1180">
        <v>56.76</v>
      </c>
      <c r="C1180" s="6">
        <f t="shared" si="37"/>
        <v>-1.3212795549374268E-2</v>
      </c>
      <c r="D1180" s="6">
        <f t="shared" si="36"/>
        <v>-1.3300861120949478E-2</v>
      </c>
    </row>
    <row r="1181" spans="1:4" x14ac:dyDescent="0.25">
      <c r="A1181" t="s">
        <v>1228</v>
      </c>
      <c r="B1181">
        <v>57.52</v>
      </c>
      <c r="C1181" s="6">
        <f t="shared" si="37"/>
        <v>1.7415534656914922E-3</v>
      </c>
      <c r="D1181" s="6">
        <f t="shared" si="36"/>
        <v>1.7400387198734486E-3</v>
      </c>
    </row>
    <row r="1182" spans="1:4" x14ac:dyDescent="0.25">
      <c r="A1182" t="s">
        <v>1229</v>
      </c>
      <c r="B1182">
        <v>57.42</v>
      </c>
      <c r="C1182" s="6">
        <f t="shared" si="37"/>
        <v>-8.2901554404144484E-3</v>
      </c>
      <c r="D1182" s="6">
        <f t="shared" si="36"/>
        <v>-8.3247098860316036E-3</v>
      </c>
    </row>
    <row r="1183" spans="1:4" x14ac:dyDescent="0.25">
      <c r="A1183" t="s">
        <v>1230</v>
      </c>
      <c r="B1183">
        <v>57.9</v>
      </c>
      <c r="C1183" s="6">
        <f t="shared" si="37"/>
        <v>3.8141470180304005E-3</v>
      </c>
      <c r="D1183" s="6">
        <f t="shared" si="36"/>
        <v>3.8068916022558109E-3</v>
      </c>
    </row>
    <row r="1184" spans="1:4" x14ac:dyDescent="0.25">
      <c r="A1184" t="s">
        <v>1231</v>
      </c>
      <c r="B1184">
        <v>57.68</v>
      </c>
      <c r="C1184" s="6">
        <f t="shared" si="37"/>
        <v>9.9807389248818268E-3</v>
      </c>
      <c r="D1184" s="6">
        <f t="shared" si="36"/>
        <v>9.931260299922107E-3</v>
      </c>
    </row>
    <row r="1185" spans="1:4" x14ac:dyDescent="0.25">
      <c r="A1185" t="s">
        <v>1232</v>
      </c>
      <c r="B1185">
        <v>57.11</v>
      </c>
      <c r="C1185" s="6">
        <f t="shared" si="37"/>
        <v>1.2050327839801422E-2</v>
      </c>
      <c r="D1185" s="6">
        <f t="shared" si="36"/>
        <v>1.1978300695722739E-2</v>
      </c>
    </row>
    <row r="1186" spans="1:4" x14ac:dyDescent="0.25">
      <c r="A1186" t="s">
        <v>1233</v>
      </c>
      <c r="B1186">
        <v>56.43</v>
      </c>
      <c r="C1186" s="6">
        <f t="shared" si="37"/>
        <v>2.1310602024506853E-3</v>
      </c>
      <c r="D1186" s="6">
        <f t="shared" si="36"/>
        <v>2.128792714521534E-3</v>
      </c>
    </row>
    <row r="1187" spans="1:4" x14ac:dyDescent="0.25">
      <c r="A1187" t="s">
        <v>1234</v>
      </c>
      <c r="B1187">
        <v>56.31</v>
      </c>
      <c r="C1187" s="6">
        <f t="shared" si="37"/>
        <v>-3.7154989384289294E-3</v>
      </c>
      <c r="D1187" s="6">
        <f t="shared" si="36"/>
        <v>-3.7224185497996038E-3</v>
      </c>
    </row>
    <row r="1188" spans="1:4" x14ac:dyDescent="0.25">
      <c r="A1188" t="s">
        <v>1235</v>
      </c>
      <c r="B1188">
        <v>56.52</v>
      </c>
      <c r="C1188" s="6">
        <f t="shared" si="37"/>
        <v>6.9481560662747466E-3</v>
      </c>
      <c r="D1188" s="6">
        <f t="shared" si="36"/>
        <v>6.9241288622187789E-3</v>
      </c>
    </row>
    <row r="1189" spans="1:4" x14ac:dyDescent="0.25">
      <c r="A1189" t="s">
        <v>1236</v>
      </c>
      <c r="B1189">
        <v>56.13</v>
      </c>
      <c r="C1189" s="6">
        <f t="shared" si="37"/>
        <v>9.7139773340528812E-3</v>
      </c>
      <c r="D1189" s="6">
        <f t="shared" si="36"/>
        <v>9.6670999887298291E-3</v>
      </c>
    </row>
    <row r="1190" spans="1:4" x14ac:dyDescent="0.25">
      <c r="A1190" t="s">
        <v>1237</v>
      </c>
      <c r="B1190">
        <v>55.59</v>
      </c>
      <c r="C1190" s="6">
        <f t="shared" si="37"/>
        <v>2.8872848417545782E-2</v>
      </c>
      <c r="D1190" s="6">
        <f t="shared" si="36"/>
        <v>2.8463881109403677E-2</v>
      </c>
    </row>
    <row r="1191" spans="1:4" x14ac:dyDescent="0.25">
      <c r="A1191" t="s">
        <v>1238</v>
      </c>
      <c r="B1191">
        <v>54.03</v>
      </c>
      <c r="C1191" s="6">
        <f t="shared" si="37"/>
        <v>-1.7100236492632259E-2</v>
      </c>
      <c r="D1191" s="6">
        <f t="shared" si="36"/>
        <v>-1.7248134016594502E-2</v>
      </c>
    </row>
    <row r="1192" spans="1:4" x14ac:dyDescent="0.25">
      <c r="A1192" t="s">
        <v>1239</v>
      </c>
      <c r="B1192">
        <v>54.97</v>
      </c>
      <c r="C1192" s="6">
        <f t="shared" si="37"/>
        <v>9.9209994488334008E-3</v>
      </c>
      <c r="D1192" s="6">
        <f t="shared" si="36"/>
        <v>9.8721094264603675E-3</v>
      </c>
    </row>
    <row r="1193" spans="1:4" x14ac:dyDescent="0.25">
      <c r="A1193" t="s">
        <v>1240</v>
      </c>
      <c r="B1193">
        <v>54.43</v>
      </c>
      <c r="C1193" s="6">
        <f t="shared" si="37"/>
        <v>9.6457058059729039E-3</v>
      </c>
      <c r="D1193" s="6">
        <f t="shared" si="36"/>
        <v>9.5994829825312798E-3</v>
      </c>
    </row>
    <row r="1194" spans="1:4" x14ac:dyDescent="0.25">
      <c r="A1194" t="s">
        <v>1241</v>
      </c>
      <c r="B1194">
        <v>53.91</v>
      </c>
      <c r="C1194" s="6">
        <f t="shared" si="37"/>
        <v>3.2165422171166025E-2</v>
      </c>
      <c r="D1194" s="6">
        <f t="shared" si="36"/>
        <v>3.1658947015370024E-2</v>
      </c>
    </row>
    <row r="1195" spans="1:4" x14ac:dyDescent="0.25">
      <c r="A1195" t="s">
        <v>1242</v>
      </c>
      <c r="B1195">
        <v>52.23</v>
      </c>
      <c r="C1195" s="6">
        <f t="shared" si="37"/>
        <v>-1.0982768415072952E-2</v>
      </c>
      <c r="D1195" s="6">
        <f t="shared" si="36"/>
        <v>-1.1043524270634476E-2</v>
      </c>
    </row>
    <row r="1196" spans="1:4" x14ac:dyDescent="0.25">
      <c r="A1196" t="s">
        <v>1243</v>
      </c>
      <c r="B1196">
        <v>52.81</v>
      </c>
      <c r="C1196" s="6">
        <f t="shared" si="37"/>
        <v>-2.922794117647054E-2</v>
      </c>
      <c r="D1196" s="6">
        <f t="shared" si="36"/>
        <v>-2.9663587143055101E-2</v>
      </c>
    </row>
    <row r="1197" spans="1:4" x14ac:dyDescent="0.25">
      <c r="A1197" t="s">
        <v>1244</v>
      </c>
      <c r="B1197">
        <v>54.4</v>
      </c>
      <c r="C1197" s="6">
        <f t="shared" si="37"/>
        <v>-4.7566776436150926E-3</v>
      </c>
      <c r="D1197" s="6">
        <f t="shared" si="36"/>
        <v>-4.7680266380250285E-3</v>
      </c>
    </row>
    <row r="1198" spans="1:4" x14ac:dyDescent="0.25">
      <c r="A1198" t="s">
        <v>1245</v>
      </c>
      <c r="B1198">
        <v>54.66</v>
      </c>
      <c r="C1198" s="6">
        <f t="shared" si="37"/>
        <v>-2.9474431818181879E-2</v>
      </c>
      <c r="D1198" s="6">
        <f t="shared" si="36"/>
        <v>-2.9917531349865068E-2</v>
      </c>
    </row>
    <row r="1199" spans="1:4" x14ac:dyDescent="0.25">
      <c r="A1199" t="s">
        <v>1246</v>
      </c>
      <c r="B1199">
        <v>56.32</v>
      </c>
      <c r="C1199" s="6">
        <f t="shared" si="37"/>
        <v>-3.0093821915383456E-3</v>
      </c>
      <c r="D1199" s="6">
        <f t="shared" si="36"/>
        <v>-3.0139194873837942E-3</v>
      </c>
    </row>
    <row r="1200" spans="1:4" x14ac:dyDescent="0.25">
      <c r="A1200" t="s">
        <v>1247</v>
      </c>
      <c r="B1200">
        <v>56.49</v>
      </c>
      <c r="C1200" s="6">
        <f t="shared" si="37"/>
        <v>1.5641855447680708E-2</v>
      </c>
      <c r="D1200" s="6">
        <f t="shared" si="36"/>
        <v>1.5520782531351966E-2</v>
      </c>
    </row>
    <row r="1201" spans="1:4" x14ac:dyDescent="0.25">
      <c r="A1201" t="s">
        <v>1248</v>
      </c>
      <c r="B1201">
        <v>55.62</v>
      </c>
      <c r="C1201" s="6">
        <f t="shared" si="37"/>
        <v>-1.3129879347054674E-2</v>
      </c>
      <c r="D1201" s="6">
        <f t="shared" si="36"/>
        <v>-1.3216838224660707E-2</v>
      </c>
    </row>
    <row r="1202" spans="1:4" x14ac:dyDescent="0.25">
      <c r="A1202" t="s">
        <v>1249</v>
      </c>
      <c r="B1202">
        <v>56.36</v>
      </c>
      <c r="C1202" s="6">
        <f t="shared" si="37"/>
        <v>-2.4778761061946541E-3</v>
      </c>
      <c r="D1202" s="6">
        <f t="shared" si="36"/>
        <v>-2.4809511219157552E-3</v>
      </c>
    </row>
    <row r="1203" spans="1:4" x14ac:dyDescent="0.25">
      <c r="A1203" t="s">
        <v>1250</v>
      </c>
      <c r="B1203">
        <v>56.5</v>
      </c>
      <c r="C1203" s="6">
        <f t="shared" si="37"/>
        <v>7.4893009985734782E-3</v>
      </c>
      <c r="D1203" s="6">
        <f t="shared" ref="D1203:D1260" si="38">LN(B1203/B1204)</f>
        <v>7.46139542606062E-3</v>
      </c>
    </row>
    <row r="1204" spans="1:4" x14ac:dyDescent="0.25">
      <c r="A1204" t="s">
        <v>1251</v>
      </c>
      <c r="B1204">
        <v>56.08</v>
      </c>
      <c r="C1204" s="6">
        <f t="shared" ref="C1204:C1260" si="39">(B1204/B1205)-1</f>
        <v>-6.2023746234273203E-3</v>
      </c>
      <c r="D1204" s="6">
        <f t="shared" si="38"/>
        <v>-6.2216892547141255E-3</v>
      </c>
    </row>
    <row r="1205" spans="1:4" x14ac:dyDescent="0.25">
      <c r="A1205" t="s">
        <v>1252</v>
      </c>
      <c r="B1205">
        <v>56.43</v>
      </c>
      <c r="C1205" s="6">
        <f t="shared" si="39"/>
        <v>7.139032661074296E-3</v>
      </c>
      <c r="D1205" s="6">
        <f t="shared" si="38"/>
        <v>7.1136704038554273E-3</v>
      </c>
    </row>
    <row r="1206" spans="1:4" x14ac:dyDescent="0.25">
      <c r="A1206" t="s">
        <v>1253</v>
      </c>
      <c r="B1206">
        <v>56.03</v>
      </c>
      <c r="C1206" s="6">
        <f t="shared" si="39"/>
        <v>2.6190476190476097E-2</v>
      </c>
      <c r="D1206" s="6">
        <f t="shared" si="38"/>
        <v>2.5853378826333706E-2</v>
      </c>
    </row>
    <row r="1207" spans="1:4" x14ac:dyDescent="0.25">
      <c r="A1207" t="s">
        <v>1254</v>
      </c>
      <c r="B1207">
        <v>54.6</v>
      </c>
      <c r="C1207" s="6">
        <f t="shared" si="39"/>
        <v>4.0456050018389256E-3</v>
      </c>
      <c r="D1207" s="6">
        <f t="shared" si="38"/>
        <v>4.0374435465347176E-3</v>
      </c>
    </row>
    <row r="1208" spans="1:4" x14ac:dyDescent="0.25">
      <c r="A1208" t="s">
        <v>1255</v>
      </c>
      <c r="B1208">
        <v>54.38</v>
      </c>
      <c r="C1208" s="6">
        <f t="shared" si="39"/>
        <v>9.0925960289478525E-3</v>
      </c>
      <c r="D1208" s="6">
        <f t="shared" si="38"/>
        <v>9.0515072589193238E-3</v>
      </c>
    </row>
    <row r="1209" spans="1:4" x14ac:dyDescent="0.25">
      <c r="A1209" t="s">
        <v>1256</v>
      </c>
      <c r="B1209">
        <v>53.89</v>
      </c>
      <c r="C1209" s="6">
        <f t="shared" si="39"/>
        <v>-1.8039358600583144E-2</v>
      </c>
      <c r="D1209" s="6">
        <f t="shared" si="38"/>
        <v>-1.8204051472224512E-2</v>
      </c>
    </row>
    <row r="1210" spans="1:4" x14ac:dyDescent="0.25">
      <c r="A1210" t="s">
        <v>1257</v>
      </c>
      <c r="B1210">
        <v>54.88</v>
      </c>
      <c r="C1210" s="6">
        <f t="shared" si="39"/>
        <v>-2.5445292620864812E-3</v>
      </c>
      <c r="D1210" s="6">
        <f t="shared" si="38"/>
        <v>-2.5477720787986644E-3</v>
      </c>
    </row>
    <row r="1211" spans="1:4" x14ac:dyDescent="0.25">
      <c r="A1211" t="s">
        <v>1258</v>
      </c>
      <c r="B1211">
        <v>55.02</v>
      </c>
      <c r="C1211" s="6">
        <f t="shared" si="39"/>
        <v>-2.7188689505165398E-3</v>
      </c>
      <c r="D1211" s="6">
        <f t="shared" si="38"/>
        <v>-2.7225717879108867E-3</v>
      </c>
    </row>
    <row r="1212" spans="1:4" x14ac:dyDescent="0.25">
      <c r="A1212" t="s">
        <v>1259</v>
      </c>
      <c r="B1212">
        <v>55.17</v>
      </c>
      <c r="C1212" s="6">
        <f t="shared" si="39"/>
        <v>-1.1467478946425413E-2</v>
      </c>
      <c r="D1212" s="6">
        <f t="shared" si="38"/>
        <v>-1.1533737516002831E-2</v>
      </c>
    </row>
    <row r="1213" spans="1:4" x14ac:dyDescent="0.25">
      <c r="A1213" t="s">
        <v>1260</v>
      </c>
      <c r="B1213">
        <v>55.81</v>
      </c>
      <c r="C1213" s="6">
        <f t="shared" si="39"/>
        <v>1.5465793304221265E-2</v>
      </c>
      <c r="D1213" s="6">
        <f t="shared" si="38"/>
        <v>1.5347416886248317E-2</v>
      </c>
    </row>
    <row r="1214" spans="1:4" x14ac:dyDescent="0.25">
      <c r="A1214" t="s">
        <v>1261</v>
      </c>
      <c r="B1214">
        <v>54.96</v>
      </c>
      <c r="C1214" s="6">
        <f t="shared" si="39"/>
        <v>-2.8288543140028266E-2</v>
      </c>
      <c r="D1214" s="6">
        <f t="shared" si="38"/>
        <v>-2.8696373674223393E-2</v>
      </c>
    </row>
    <row r="1215" spans="1:4" x14ac:dyDescent="0.25">
      <c r="A1215" t="s">
        <v>1262</v>
      </c>
      <c r="B1215">
        <v>56.56</v>
      </c>
      <c r="C1215" s="6">
        <f t="shared" si="39"/>
        <v>-6.4992095555945761E-3</v>
      </c>
      <c r="D1215" s="6">
        <f t="shared" si="38"/>
        <v>-6.5204213746731842E-3</v>
      </c>
    </row>
    <row r="1216" spans="1:4" x14ac:dyDescent="0.25">
      <c r="A1216" t="s">
        <v>1263</v>
      </c>
      <c r="B1216">
        <v>56.93</v>
      </c>
      <c r="C1216" s="6">
        <f t="shared" si="39"/>
        <v>2.0616708497669389E-2</v>
      </c>
      <c r="D1216" s="6">
        <f t="shared" si="38"/>
        <v>2.0407060763647594E-2</v>
      </c>
    </row>
    <row r="1217" spans="1:4" x14ac:dyDescent="0.25">
      <c r="A1217" t="s">
        <v>1264</v>
      </c>
      <c r="B1217">
        <v>55.78</v>
      </c>
      <c r="C1217" s="6">
        <f t="shared" si="39"/>
        <v>1.1423390752493212E-2</v>
      </c>
      <c r="D1217" s="6">
        <f t="shared" si="38"/>
        <v>1.135863649983143E-2</v>
      </c>
    </row>
    <row r="1218" spans="1:4" x14ac:dyDescent="0.25">
      <c r="A1218" t="s">
        <v>1265</v>
      </c>
      <c r="B1218">
        <v>55.15</v>
      </c>
      <c r="C1218" s="6">
        <f t="shared" si="39"/>
        <v>-6.6642651296831001E-3</v>
      </c>
      <c r="D1218" s="6">
        <f t="shared" si="38"/>
        <v>-6.686570499037689E-3</v>
      </c>
    </row>
    <row r="1219" spans="1:4" x14ac:dyDescent="0.25">
      <c r="A1219" t="s">
        <v>1266</v>
      </c>
      <c r="B1219">
        <v>55.52</v>
      </c>
      <c r="C1219" s="6">
        <f t="shared" si="39"/>
        <v>9.0876045074519407E-3</v>
      </c>
      <c r="D1219" s="6">
        <f t="shared" si="38"/>
        <v>9.0465607021206849E-3</v>
      </c>
    </row>
    <row r="1220" spans="1:4" x14ac:dyDescent="0.25">
      <c r="A1220" t="s">
        <v>1267</v>
      </c>
      <c r="B1220">
        <v>55.02</v>
      </c>
      <c r="C1220" s="6">
        <f t="shared" si="39"/>
        <v>-7.2648020341448127E-4</v>
      </c>
      <c r="D1220" s="6">
        <f t="shared" si="38"/>
        <v>-7.2674421803279774E-4</v>
      </c>
    </row>
    <row r="1221" spans="1:4" x14ac:dyDescent="0.25">
      <c r="A1221" t="s">
        <v>1268</v>
      </c>
      <c r="B1221">
        <v>55.06</v>
      </c>
      <c r="C1221" s="6">
        <f t="shared" si="39"/>
        <v>-7.5702956020186063E-3</v>
      </c>
      <c r="D1221" s="6">
        <f t="shared" si="38"/>
        <v>-7.5990957321694442E-3</v>
      </c>
    </row>
    <row r="1222" spans="1:4" x14ac:dyDescent="0.25">
      <c r="A1222" t="s">
        <v>1269</v>
      </c>
      <c r="B1222">
        <v>55.48</v>
      </c>
      <c r="C1222" s="6">
        <f t="shared" si="39"/>
        <v>1.0380622837370179E-2</v>
      </c>
      <c r="D1222" s="6">
        <f t="shared" si="38"/>
        <v>1.0327114155849524E-2</v>
      </c>
    </row>
    <row r="1223" spans="1:4" x14ac:dyDescent="0.25">
      <c r="A1223" t="s">
        <v>1270</v>
      </c>
      <c r="B1223">
        <v>54.91</v>
      </c>
      <c r="C1223" s="6">
        <f t="shared" si="39"/>
        <v>5.1253889804134811E-3</v>
      </c>
      <c r="D1223" s="6">
        <f t="shared" si="38"/>
        <v>5.1122988831547658E-3</v>
      </c>
    </row>
    <row r="1224" spans="1:4" x14ac:dyDescent="0.25">
      <c r="A1224" t="s">
        <v>1271</v>
      </c>
      <c r="B1224">
        <v>54.63</v>
      </c>
      <c r="C1224" s="6">
        <f t="shared" si="39"/>
        <v>-6.3659512550017228E-3</v>
      </c>
      <c r="D1224" s="6">
        <f t="shared" si="38"/>
        <v>-6.3863003294732804E-3</v>
      </c>
    </row>
    <row r="1225" spans="1:4" x14ac:dyDescent="0.25">
      <c r="A1225" t="s">
        <v>1272</v>
      </c>
      <c r="B1225">
        <v>54.98</v>
      </c>
      <c r="C1225" s="6">
        <f t="shared" si="39"/>
        <v>7.3286918285084823E-3</v>
      </c>
      <c r="D1225" s="6">
        <f t="shared" si="38"/>
        <v>7.3019674569071132E-3</v>
      </c>
    </row>
    <row r="1226" spans="1:4" x14ac:dyDescent="0.25">
      <c r="A1226" t="s">
        <v>1273</v>
      </c>
      <c r="B1226">
        <v>54.58</v>
      </c>
      <c r="C1226" s="6">
        <f t="shared" si="39"/>
        <v>-1.1768966141589732E-2</v>
      </c>
      <c r="D1226" s="6">
        <f t="shared" si="38"/>
        <v>-1.1838768632903783E-2</v>
      </c>
    </row>
    <row r="1227" spans="1:4" x14ac:dyDescent="0.25">
      <c r="A1227" t="s">
        <v>1274</v>
      </c>
      <c r="B1227">
        <v>55.23</v>
      </c>
      <c r="C1227" s="6">
        <f t="shared" si="39"/>
        <v>8.214676889375605E-3</v>
      </c>
      <c r="D1227" s="6">
        <f t="shared" si="38"/>
        <v>8.1811200781639996E-3</v>
      </c>
    </row>
    <row r="1228" spans="1:4" x14ac:dyDescent="0.25">
      <c r="A1228" t="s">
        <v>1275</v>
      </c>
      <c r="B1228">
        <v>54.78</v>
      </c>
      <c r="C1228" s="6">
        <f t="shared" si="39"/>
        <v>-9.2240911557243122E-3</v>
      </c>
      <c r="D1228" s="6">
        <f t="shared" si="38"/>
        <v>-9.2668965149094538E-3</v>
      </c>
    </row>
    <row r="1229" spans="1:4" x14ac:dyDescent="0.25">
      <c r="A1229" t="s">
        <v>1276</v>
      </c>
      <c r="B1229">
        <v>55.29</v>
      </c>
      <c r="C1229" s="6">
        <f t="shared" si="39"/>
        <v>1.6547159404302292E-2</v>
      </c>
      <c r="D1229" s="6">
        <f t="shared" si="38"/>
        <v>1.6411746914972259E-2</v>
      </c>
    </row>
    <row r="1230" spans="1:4" x14ac:dyDescent="0.25">
      <c r="A1230" t="s">
        <v>1277</v>
      </c>
      <c r="B1230">
        <v>54.39</v>
      </c>
      <c r="C1230" s="6">
        <f t="shared" si="39"/>
        <v>-1.1989100817438647E-2</v>
      </c>
      <c r="D1230" s="6">
        <f t="shared" si="38"/>
        <v>-1.2061549733819546E-2</v>
      </c>
    </row>
    <row r="1231" spans="1:4" x14ac:dyDescent="0.25">
      <c r="A1231" t="s">
        <v>1278</v>
      </c>
      <c r="B1231">
        <v>55.05</v>
      </c>
      <c r="C1231" s="6">
        <f t="shared" si="39"/>
        <v>-1.6261615439599808E-2</v>
      </c>
      <c r="D1231" s="6">
        <f t="shared" si="38"/>
        <v>-1.6395286628591552E-2</v>
      </c>
    </row>
    <row r="1232" spans="1:4" x14ac:dyDescent="0.25">
      <c r="A1232" t="s">
        <v>1279</v>
      </c>
      <c r="B1232">
        <v>55.96</v>
      </c>
      <c r="C1232" s="6">
        <f t="shared" si="39"/>
        <v>-1.4615249163585142E-2</v>
      </c>
      <c r="D1232" s="6">
        <f t="shared" si="38"/>
        <v>-1.472310409206075E-2</v>
      </c>
    </row>
    <row r="1233" spans="1:4" x14ac:dyDescent="0.25">
      <c r="A1233" t="s">
        <v>1280</v>
      </c>
      <c r="B1233">
        <v>56.79</v>
      </c>
      <c r="C1233" s="6">
        <f t="shared" si="39"/>
        <v>-8.9005235602094279E-3</v>
      </c>
      <c r="D1233" s="6">
        <f t="shared" si="38"/>
        <v>-8.9403698313527125E-3</v>
      </c>
    </row>
    <row r="1234" spans="1:4" x14ac:dyDescent="0.25">
      <c r="A1234" t="s">
        <v>1281</v>
      </c>
      <c r="B1234">
        <v>57.3</v>
      </c>
      <c r="C1234" s="6">
        <f t="shared" si="39"/>
        <v>3.5043352601155986E-2</v>
      </c>
      <c r="D1234" s="6">
        <f t="shared" si="38"/>
        <v>3.4443312411279674E-2</v>
      </c>
    </row>
    <row r="1235" spans="1:4" x14ac:dyDescent="0.25">
      <c r="A1235" t="s">
        <v>1282</v>
      </c>
      <c r="B1235">
        <v>55.36</v>
      </c>
      <c r="C1235" s="6">
        <f t="shared" si="39"/>
        <v>7.6447033127047259E-3</v>
      </c>
      <c r="D1235" s="6">
        <f t="shared" si="38"/>
        <v>7.6156306422862788E-3</v>
      </c>
    </row>
    <row r="1236" spans="1:4" x14ac:dyDescent="0.25">
      <c r="A1236" t="s">
        <v>1283</v>
      </c>
      <c r="B1236">
        <v>54.94</v>
      </c>
      <c r="C1236" s="6">
        <f t="shared" si="39"/>
        <v>-1.2724959098345812E-3</v>
      </c>
      <c r="D1236" s="6">
        <f t="shared" si="38"/>
        <v>-1.2733062202389144E-3</v>
      </c>
    </row>
    <row r="1237" spans="1:4" x14ac:dyDescent="0.25">
      <c r="A1237" t="s">
        <v>1284</v>
      </c>
      <c r="B1237">
        <v>55.01</v>
      </c>
      <c r="C1237" s="6">
        <f t="shared" si="39"/>
        <v>-6.3222543352601246E-3</v>
      </c>
      <c r="D1237" s="6">
        <f t="shared" si="38"/>
        <v>-6.3423244220474212E-3</v>
      </c>
    </row>
    <row r="1238" spans="1:4" x14ac:dyDescent="0.25">
      <c r="A1238" t="s">
        <v>1285</v>
      </c>
      <c r="B1238">
        <v>55.36</v>
      </c>
      <c r="C1238" s="6">
        <f t="shared" si="39"/>
        <v>-2.2685144319887107E-2</v>
      </c>
      <c r="D1238" s="6">
        <f t="shared" si="38"/>
        <v>-2.2946411016037872E-2</v>
      </c>
    </row>
    <row r="1239" spans="1:4" x14ac:dyDescent="0.25">
      <c r="A1239" t="s">
        <v>1286</v>
      </c>
      <c r="B1239">
        <v>56.645000000000003</v>
      </c>
      <c r="C1239" s="6">
        <f t="shared" si="39"/>
        <v>2.339656729900641E-2</v>
      </c>
      <c r="D1239" s="6">
        <f t="shared" si="38"/>
        <v>2.3127063170806105E-2</v>
      </c>
    </row>
    <row r="1240" spans="1:4" x14ac:dyDescent="0.25">
      <c r="A1240" t="s">
        <v>1287</v>
      </c>
      <c r="B1240">
        <v>55.35</v>
      </c>
      <c r="C1240" s="6">
        <f t="shared" si="39"/>
        <v>-9.129967776584258E-3</v>
      </c>
      <c r="D1240" s="6">
        <f t="shared" si="38"/>
        <v>-9.1719013623847573E-3</v>
      </c>
    </row>
    <row r="1241" spans="1:4" x14ac:dyDescent="0.25">
      <c r="A1241" t="s">
        <v>1288</v>
      </c>
      <c r="B1241">
        <v>55.86</v>
      </c>
      <c r="C1241" s="6">
        <f t="shared" si="39"/>
        <v>-1.3597033374536549E-2</v>
      </c>
      <c r="D1241" s="6">
        <f t="shared" si="38"/>
        <v>-1.369031960868301E-2</v>
      </c>
    </row>
    <row r="1242" spans="1:4" x14ac:dyDescent="0.25">
      <c r="A1242" t="s">
        <v>1289</v>
      </c>
      <c r="B1242">
        <v>56.63</v>
      </c>
      <c r="C1242" s="6">
        <f t="shared" si="39"/>
        <v>8.1894249599430147E-3</v>
      </c>
      <c r="D1242" s="6">
        <f t="shared" si="38"/>
        <v>8.1560735813722609E-3</v>
      </c>
    </row>
    <row r="1243" spans="1:4" x14ac:dyDescent="0.25">
      <c r="A1243" t="s">
        <v>1290</v>
      </c>
      <c r="B1243">
        <v>56.17</v>
      </c>
      <c r="C1243" s="6">
        <f t="shared" si="39"/>
        <v>8.8002873563217676E-3</v>
      </c>
      <c r="D1243" s="6">
        <f t="shared" si="38"/>
        <v>8.7617905181770726E-3</v>
      </c>
    </row>
    <row r="1244" spans="1:4" x14ac:dyDescent="0.25">
      <c r="A1244" t="s">
        <v>1291</v>
      </c>
      <c r="B1244">
        <v>55.68</v>
      </c>
      <c r="C1244" s="6">
        <f t="shared" si="39"/>
        <v>-2.3293316609926951E-3</v>
      </c>
      <c r="D1244" s="6">
        <f t="shared" si="38"/>
        <v>-2.3320487741780378E-3</v>
      </c>
    </row>
    <row r="1245" spans="1:4" x14ac:dyDescent="0.25">
      <c r="A1245" t="s">
        <v>1292</v>
      </c>
      <c r="B1245">
        <v>55.81</v>
      </c>
      <c r="C1245" s="6">
        <f t="shared" si="39"/>
        <v>8.9670014347209559E-4</v>
      </c>
      <c r="D1245" s="6">
        <f t="shared" si="38"/>
        <v>8.9629834807383182E-4</v>
      </c>
    </row>
    <row r="1246" spans="1:4" x14ac:dyDescent="0.25">
      <c r="A1246" t="s">
        <v>1293</v>
      </c>
      <c r="B1246">
        <v>55.76</v>
      </c>
      <c r="C1246" s="6">
        <f t="shared" si="39"/>
        <v>-1.01189419492278E-2</v>
      </c>
      <c r="D1246" s="6">
        <f t="shared" si="38"/>
        <v>-1.0170486454354191E-2</v>
      </c>
    </row>
    <row r="1247" spans="1:4" x14ac:dyDescent="0.25">
      <c r="A1247" t="s">
        <v>1294</v>
      </c>
      <c r="B1247">
        <v>56.33</v>
      </c>
      <c r="C1247" s="6">
        <f t="shared" si="39"/>
        <v>-1.5951790145338762E-3</v>
      </c>
      <c r="D1247" s="6">
        <f t="shared" si="38"/>
        <v>-1.596452667227652E-3</v>
      </c>
    </row>
    <row r="1248" spans="1:4" x14ac:dyDescent="0.25">
      <c r="A1248" t="s">
        <v>1295</v>
      </c>
      <c r="B1248">
        <v>56.42</v>
      </c>
      <c r="C1248" s="6">
        <f t="shared" si="39"/>
        <v>-3.5225718194254352E-2</v>
      </c>
      <c r="D1248" s="6">
        <f t="shared" si="38"/>
        <v>-3.5861109867672741E-2</v>
      </c>
    </row>
    <row r="1249" spans="1:4" x14ac:dyDescent="0.25">
      <c r="A1249" t="s">
        <v>1296</v>
      </c>
      <c r="B1249">
        <v>58.48</v>
      </c>
      <c r="C1249" s="6">
        <f t="shared" si="39"/>
        <v>4.3726575049080729E-2</v>
      </c>
      <c r="D1249" s="6">
        <f t="shared" si="38"/>
        <v>4.279755386432979E-2</v>
      </c>
    </row>
    <row r="1250" spans="1:4" x14ac:dyDescent="0.25">
      <c r="A1250" t="s">
        <v>1297</v>
      </c>
      <c r="B1250">
        <v>56.03</v>
      </c>
      <c r="C1250" s="6">
        <f t="shared" si="39"/>
        <v>-1.2165021156558486E-2</v>
      </c>
      <c r="D1250" s="6">
        <f t="shared" si="38"/>
        <v>-1.2239620646678856E-2</v>
      </c>
    </row>
    <row r="1251" spans="1:4" x14ac:dyDescent="0.25">
      <c r="A1251" t="s">
        <v>1298</v>
      </c>
      <c r="B1251">
        <v>56.72</v>
      </c>
      <c r="C1251" s="6">
        <f t="shared" si="39"/>
        <v>-1.3050287106316394E-2</v>
      </c>
      <c r="D1251" s="6">
        <f t="shared" si="38"/>
        <v>-1.3136190295778154E-2</v>
      </c>
    </row>
    <row r="1252" spans="1:4" x14ac:dyDescent="0.25">
      <c r="A1252" t="s">
        <v>1299</v>
      </c>
      <c r="B1252">
        <v>57.47</v>
      </c>
      <c r="C1252" s="6">
        <f t="shared" si="39"/>
        <v>-1.5418879561418519E-2</v>
      </c>
      <c r="D1252" s="6">
        <f t="shared" si="38"/>
        <v>-1.5538986696049485E-2</v>
      </c>
    </row>
    <row r="1253" spans="1:4" x14ac:dyDescent="0.25">
      <c r="A1253" t="s">
        <v>1300</v>
      </c>
      <c r="B1253">
        <v>58.37</v>
      </c>
      <c r="C1253" s="6">
        <f t="shared" si="39"/>
        <v>7.5953737269116584E-3</v>
      </c>
      <c r="D1253" s="6">
        <f t="shared" si="38"/>
        <v>7.5666741071667657E-3</v>
      </c>
    </row>
    <row r="1254" spans="1:4" x14ac:dyDescent="0.25">
      <c r="A1254" t="s">
        <v>1301</v>
      </c>
      <c r="B1254">
        <v>57.93</v>
      </c>
      <c r="C1254" s="6">
        <f t="shared" si="39"/>
        <v>-1.1264720942140372E-2</v>
      </c>
      <c r="D1254" s="6">
        <f t="shared" si="38"/>
        <v>-1.1328648448164568E-2</v>
      </c>
    </row>
    <row r="1255" spans="1:4" x14ac:dyDescent="0.25">
      <c r="A1255" t="s">
        <v>1302</v>
      </c>
      <c r="B1255">
        <v>58.59</v>
      </c>
      <c r="C1255" s="6">
        <f t="shared" si="39"/>
        <v>4.6296296296297612E-3</v>
      </c>
      <c r="D1255" s="6">
        <f t="shared" si="38"/>
        <v>4.6189458562946794E-3</v>
      </c>
    </row>
    <row r="1256" spans="1:4" x14ac:dyDescent="0.25">
      <c r="A1256" t="s">
        <v>1303</v>
      </c>
      <c r="B1256">
        <v>58.32</v>
      </c>
      <c r="C1256" s="6">
        <f>(B1256/B1257)-1</f>
        <v>-1.5408320493065508E-3</v>
      </c>
      <c r="D1256" s="6">
        <f t="shared" si="38"/>
        <v>-1.5420203518152259E-3</v>
      </c>
    </row>
    <row r="1257" spans="1:4" x14ac:dyDescent="0.25">
      <c r="A1257" t="s">
        <v>1304</v>
      </c>
      <c r="B1257">
        <v>58.41</v>
      </c>
      <c r="C1257" s="6">
        <f t="shared" si="39"/>
        <v>2.5276461295418606E-2</v>
      </c>
      <c r="D1257" s="6">
        <f t="shared" si="38"/>
        <v>2.4962294559913775E-2</v>
      </c>
    </row>
    <row r="1258" spans="1:4" x14ac:dyDescent="0.25">
      <c r="A1258" t="s">
        <v>1305</v>
      </c>
      <c r="B1258">
        <v>56.97</v>
      </c>
      <c r="C1258" s="6">
        <f t="shared" si="39"/>
        <v>-1.1452368558042769E-2</v>
      </c>
      <c r="D1258" s="6">
        <f t="shared" si="38"/>
        <v>-1.1518451956270855E-2</v>
      </c>
    </row>
    <row r="1259" spans="1:4" x14ac:dyDescent="0.25">
      <c r="A1259" t="s">
        <v>1306</v>
      </c>
      <c r="B1259">
        <v>57.63</v>
      </c>
      <c r="C1259" s="6">
        <f t="shared" si="39"/>
        <v>-5.8651026392960715E-3</v>
      </c>
      <c r="D1259" s="6">
        <f t="shared" si="38"/>
        <v>-5.8823699030664135E-3</v>
      </c>
    </row>
    <row r="1260" spans="1:4" x14ac:dyDescent="0.25">
      <c r="A1260" t="s">
        <v>1307</v>
      </c>
      <c r="B1260">
        <v>57.97</v>
      </c>
      <c r="C1260" s="6" t="e">
        <f t="shared" si="39"/>
        <v>#DIV/0!</v>
      </c>
      <c r="D1260" s="6" t="e">
        <f t="shared" si="38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60"/>
  <sheetViews>
    <sheetView topLeftCell="A57" zoomScale="78" zoomScaleNormal="98" workbookViewId="0">
      <selection activeCell="I258" sqref="I258"/>
    </sheetView>
  </sheetViews>
  <sheetFormatPr baseColWidth="10" defaultRowHeight="15" x14ac:dyDescent="0.25"/>
  <cols>
    <col min="3" max="5" width="11.42578125" style="6"/>
    <col min="6" max="6" width="26.42578125" style="6" customWidth="1"/>
    <col min="7" max="7" width="12" style="6" customWidth="1"/>
    <col min="8" max="16384" width="11.42578125" style="6"/>
  </cols>
  <sheetData>
    <row r="1" spans="1:8" x14ac:dyDescent="0.25">
      <c r="A1" s="21" t="s">
        <v>48</v>
      </c>
      <c r="B1" s="21" t="s">
        <v>1308</v>
      </c>
      <c r="C1" s="20" t="s">
        <v>1</v>
      </c>
      <c r="D1" s="20" t="s">
        <v>2</v>
      </c>
      <c r="F1" s="18" t="s">
        <v>3</v>
      </c>
      <c r="G1" s="8">
        <f>B2</f>
        <v>34.57</v>
      </c>
    </row>
    <row r="2" spans="1:8" x14ac:dyDescent="0.25">
      <c r="A2" t="s">
        <v>49</v>
      </c>
      <c r="B2">
        <v>34.57</v>
      </c>
      <c r="C2" s="6">
        <f>(B2/B3)-1</f>
        <v>2.3386619301361655E-2</v>
      </c>
      <c r="D2" s="6">
        <f>LN(B2/B3)</f>
        <v>2.3117342553879056E-2</v>
      </c>
      <c r="F2" s="18" t="s">
        <v>4</v>
      </c>
      <c r="G2" s="8">
        <f>MIN(B2:B1260)</f>
        <v>25.61</v>
      </c>
    </row>
    <row r="3" spans="1:8" x14ac:dyDescent="0.25">
      <c r="A3" t="s">
        <v>50</v>
      </c>
      <c r="B3">
        <v>33.78</v>
      </c>
      <c r="C3" s="6">
        <f t="shared" ref="C3:C66" si="0">(B3/B4)-1</f>
        <v>-3.4305317324185181E-2</v>
      </c>
      <c r="D3" s="6">
        <f t="shared" ref="D3:D66" si="1">LN(B3/B4)</f>
        <v>-3.4907558210801923E-2</v>
      </c>
      <c r="F3" s="18" t="s">
        <v>5</v>
      </c>
      <c r="G3" s="8">
        <f>MAX(B2:B1260)</f>
        <v>40.79</v>
      </c>
    </row>
    <row r="4" spans="1:8" x14ac:dyDescent="0.25">
      <c r="A4" t="s">
        <v>51</v>
      </c>
      <c r="B4">
        <v>34.979999999999997</v>
      </c>
      <c r="C4" s="6">
        <f t="shared" si="0"/>
        <v>2.8521023228462283E-2</v>
      </c>
      <c r="D4" s="6">
        <f t="shared" si="1"/>
        <v>2.8121870571351987E-2</v>
      </c>
      <c r="F4" s="18" t="s">
        <v>6</v>
      </c>
      <c r="G4" s="12">
        <f>AVERAGE(B2:B1260)</f>
        <v>33.564575059571062</v>
      </c>
    </row>
    <row r="5" spans="1:8" x14ac:dyDescent="0.25">
      <c r="A5" t="s">
        <v>52</v>
      </c>
      <c r="B5">
        <v>34.01</v>
      </c>
      <c r="C5" s="6">
        <f t="shared" si="0"/>
        <v>2.3780854906682691E-2</v>
      </c>
      <c r="D5" s="6">
        <f t="shared" si="1"/>
        <v>2.3502494833955244E-2</v>
      </c>
      <c r="F5" s="18" t="s">
        <v>7</v>
      </c>
      <c r="G5" s="13">
        <f>STDEVA(B2:B1260)</f>
        <v>3.5297657798753255</v>
      </c>
    </row>
    <row r="6" spans="1:8" x14ac:dyDescent="0.25">
      <c r="A6" t="s">
        <v>53</v>
      </c>
      <c r="B6">
        <v>33.22</v>
      </c>
      <c r="C6" s="6">
        <f t="shared" si="0"/>
        <v>9.7264437689970062E-3</v>
      </c>
      <c r="D6" s="6">
        <f t="shared" si="1"/>
        <v>9.679446413822651E-3</v>
      </c>
    </row>
    <row r="7" spans="1:8" x14ac:dyDescent="0.25">
      <c r="A7" t="s">
        <v>54</v>
      </c>
      <c r="B7">
        <v>32.9</v>
      </c>
      <c r="C7" s="6">
        <f t="shared" si="0"/>
        <v>6.7319461444308448E-3</v>
      </c>
      <c r="D7" s="6">
        <f t="shared" si="1"/>
        <v>6.7093877795240736E-3</v>
      </c>
    </row>
    <row r="8" spans="1:8" x14ac:dyDescent="0.25">
      <c r="A8" t="s">
        <v>55</v>
      </c>
      <c r="B8">
        <v>32.68</v>
      </c>
      <c r="C8" s="6">
        <f t="shared" si="0"/>
        <v>-7.5918615244457976E-3</v>
      </c>
      <c r="D8" s="6">
        <f t="shared" si="1"/>
        <v>-7.620826396470784E-3</v>
      </c>
      <c r="F8" s="20" t="s">
        <v>8</v>
      </c>
      <c r="G8" s="20" t="s">
        <v>9</v>
      </c>
      <c r="H8" s="20" t="s">
        <v>0</v>
      </c>
    </row>
    <row r="9" spans="1:8" x14ac:dyDescent="0.25">
      <c r="A9" t="s">
        <v>56</v>
      </c>
      <c r="B9">
        <v>32.93</v>
      </c>
      <c r="C9" s="6">
        <f t="shared" si="0"/>
        <v>6.1106018942866935E-3</v>
      </c>
      <c r="D9" s="6">
        <f t="shared" si="1"/>
        <v>6.0920078751838785E-3</v>
      </c>
      <c r="F9" s="18" t="s">
        <v>4</v>
      </c>
      <c r="G9" s="9" t="e">
        <f>MIN(C2:C1260)</f>
        <v>#DIV/0!</v>
      </c>
      <c r="H9" s="9">
        <f>MIN(D2:D1246)</f>
        <v>-5.8199538348359184E-2</v>
      </c>
    </row>
    <row r="10" spans="1:8" x14ac:dyDescent="0.25">
      <c r="A10" t="s">
        <v>57</v>
      </c>
      <c r="B10">
        <v>32.729999999999997</v>
      </c>
      <c r="C10" s="6">
        <f t="shared" si="0"/>
        <v>-1.2206286237413932E-3</v>
      </c>
      <c r="D10" s="6">
        <f t="shared" si="1"/>
        <v>-1.2213741976342526E-3</v>
      </c>
      <c r="F10" s="18" t="s">
        <v>5</v>
      </c>
      <c r="G10" s="9">
        <f>MAX(C2:C1246)</f>
        <v>6.5381708238851033E-2</v>
      </c>
      <c r="H10" s="9">
        <f>MAX(D2:D1246)</f>
        <v>6.3333146439211493E-2</v>
      </c>
    </row>
    <row r="11" spans="1:8" x14ac:dyDescent="0.25">
      <c r="A11" t="s">
        <v>58</v>
      </c>
      <c r="B11">
        <v>32.770000000000003</v>
      </c>
      <c r="C11" s="6">
        <f t="shared" si="0"/>
        <v>1.2982998454404981E-2</v>
      </c>
      <c r="D11" s="6">
        <f t="shared" si="1"/>
        <v>1.2899441763813692E-2</v>
      </c>
      <c r="F11" s="19" t="s">
        <v>47</v>
      </c>
      <c r="G11" s="16">
        <f>AVERAGE(C2:C1246)</f>
        <v>1.3599973518506057E-4</v>
      </c>
      <c r="H11" s="16">
        <f>AVERAGE(D2:D1246)</f>
        <v>-2.3231029848233943E-7</v>
      </c>
    </row>
    <row r="12" spans="1:8" x14ac:dyDescent="0.25">
      <c r="A12" t="s">
        <v>59</v>
      </c>
      <c r="B12">
        <v>32.35</v>
      </c>
      <c r="C12" s="6">
        <f t="shared" si="0"/>
        <v>1.8576826196473606E-2</v>
      </c>
      <c r="D12" s="6">
        <f t="shared" si="1"/>
        <v>1.8406384567974651E-2</v>
      </c>
      <c r="F12" s="18" t="s">
        <v>10</v>
      </c>
      <c r="G12" s="10">
        <f>G11*252</f>
        <v>3.4271933266635267E-2</v>
      </c>
      <c r="H12" s="10">
        <f>H11*252</f>
        <v>-5.854219521754954E-5</v>
      </c>
    </row>
    <row r="13" spans="1:8" x14ac:dyDescent="0.25">
      <c r="A13" t="s">
        <v>60</v>
      </c>
      <c r="B13">
        <v>31.76</v>
      </c>
      <c r="C13" s="6">
        <f t="shared" si="0"/>
        <v>-1.0591900311526459E-2</v>
      </c>
      <c r="D13" s="6">
        <f t="shared" si="1"/>
        <v>-1.0648393757035185E-2</v>
      </c>
      <c r="F13" s="18" t="s">
        <v>7</v>
      </c>
      <c r="G13" s="10">
        <f>STDEVA(C2:C1246)</f>
        <v>1.6530533752710283E-2</v>
      </c>
      <c r="H13" s="10">
        <f>STDEVA(D2:D1246)</f>
        <v>1.6505596344333892E-2</v>
      </c>
    </row>
    <row r="14" spans="1:8" x14ac:dyDescent="0.25">
      <c r="A14" t="s">
        <v>61</v>
      </c>
      <c r="B14">
        <v>32.1</v>
      </c>
      <c r="C14" s="6">
        <f t="shared" si="0"/>
        <v>-3.3714629741119717E-2</v>
      </c>
      <c r="D14" s="6">
        <f t="shared" si="1"/>
        <v>-3.4296074049178539E-2</v>
      </c>
      <c r="F14" s="18" t="s">
        <v>12</v>
      </c>
      <c r="G14" s="11">
        <f>G13*SQRT(252)</f>
        <v>0.26241408809298422</v>
      </c>
      <c r="H14" s="11">
        <f>H13*SQRT(252)</f>
        <v>0.26201821900754585</v>
      </c>
    </row>
    <row r="15" spans="1:8" x14ac:dyDescent="0.25">
      <c r="A15" t="s">
        <v>62</v>
      </c>
      <c r="B15">
        <v>33.22</v>
      </c>
      <c r="C15" s="6">
        <f t="shared" si="0"/>
        <v>5.4268486194858578E-2</v>
      </c>
      <c r="D15" s="6">
        <f t="shared" si="1"/>
        <v>5.2847148415965391E-2</v>
      </c>
      <c r="F15" s="19" t="s">
        <v>14</v>
      </c>
      <c r="G15" s="14">
        <f>VARA(C2:C1246)</f>
        <v>2.7325854614949387E-4</v>
      </c>
      <c r="H15" s="14">
        <f>VARA(D2:D1246)</f>
        <v>2.7243471068208832E-4</v>
      </c>
    </row>
    <row r="16" spans="1:8" x14ac:dyDescent="0.25">
      <c r="A16" t="s">
        <v>63</v>
      </c>
      <c r="B16">
        <v>31.51</v>
      </c>
      <c r="C16" s="6">
        <f t="shared" si="0"/>
        <v>-2.3551286024171114E-2</v>
      </c>
      <c r="D16" s="6">
        <f t="shared" si="1"/>
        <v>-2.3833050294687276E-2</v>
      </c>
      <c r="F16" s="19" t="s">
        <v>34</v>
      </c>
      <c r="G16" s="15">
        <f>SQRT(G15)</f>
        <v>1.6530533752710283E-2</v>
      </c>
      <c r="H16" s="15">
        <f>SQRT(H15)</f>
        <v>1.6505596344333892E-2</v>
      </c>
    </row>
    <row r="17" spans="1:4" x14ac:dyDescent="0.25">
      <c r="A17" t="s">
        <v>64</v>
      </c>
      <c r="B17">
        <v>32.270000000000003</v>
      </c>
      <c r="C17" s="6">
        <f t="shared" si="0"/>
        <v>-2.9473684210526208E-2</v>
      </c>
      <c r="D17" s="6">
        <f t="shared" si="1"/>
        <v>-2.9916761037992578E-2</v>
      </c>
    </row>
    <row r="18" spans="1:4" x14ac:dyDescent="0.25">
      <c r="A18" t="s">
        <v>65</v>
      </c>
      <c r="B18">
        <v>33.25</v>
      </c>
      <c r="C18" s="6">
        <f t="shared" si="0"/>
        <v>5.4429996976110839E-3</v>
      </c>
      <c r="D18" s="6">
        <f t="shared" si="1"/>
        <v>5.4282401081616879E-3</v>
      </c>
    </row>
    <row r="19" spans="1:4" x14ac:dyDescent="0.25">
      <c r="A19" t="s">
        <v>66</v>
      </c>
      <c r="B19">
        <v>33.07</v>
      </c>
      <c r="C19" s="6">
        <f t="shared" si="0"/>
        <v>1.8478595626732375E-2</v>
      </c>
      <c r="D19" s="6">
        <f t="shared" si="1"/>
        <v>1.8309940878946836E-2</v>
      </c>
    </row>
    <row r="20" spans="1:4" x14ac:dyDescent="0.25">
      <c r="A20" t="s">
        <v>67</v>
      </c>
      <c r="B20">
        <v>32.47</v>
      </c>
      <c r="C20" s="6">
        <f t="shared" si="0"/>
        <v>-2.0808202653799679E-2</v>
      </c>
      <c r="D20" s="6">
        <f t="shared" si="1"/>
        <v>-2.1027744152339559E-2</v>
      </c>
    </row>
    <row r="21" spans="1:4" x14ac:dyDescent="0.25">
      <c r="A21" t="s">
        <v>68</v>
      </c>
      <c r="B21">
        <v>33.159999999999997</v>
      </c>
      <c r="C21" s="6">
        <f t="shared" si="0"/>
        <v>-1.1624441132637831E-2</v>
      </c>
      <c r="D21" s="6">
        <f t="shared" si="1"/>
        <v>-1.1692533150596551E-2</v>
      </c>
    </row>
    <row r="22" spans="1:4" x14ac:dyDescent="0.25">
      <c r="A22" t="s">
        <v>69</v>
      </c>
      <c r="B22">
        <v>33.549999999999997</v>
      </c>
      <c r="C22" s="6">
        <f t="shared" si="0"/>
        <v>-8.933889219774338E-4</v>
      </c>
      <c r="D22" s="6">
        <f t="shared" si="1"/>
        <v>-8.9378823170402832E-4</v>
      </c>
    </row>
    <row r="23" spans="1:4" x14ac:dyDescent="0.25">
      <c r="A23" t="s">
        <v>70</v>
      </c>
      <c r="B23">
        <v>33.58</v>
      </c>
      <c r="C23" s="6">
        <f t="shared" si="0"/>
        <v>1.0532651218778222E-2</v>
      </c>
      <c r="D23" s="6">
        <f t="shared" si="1"/>
        <v>1.0477569282891858E-2</v>
      </c>
    </row>
    <row r="24" spans="1:4" x14ac:dyDescent="0.25">
      <c r="A24" t="s">
        <v>71</v>
      </c>
      <c r="B24">
        <v>33.229999999999997</v>
      </c>
      <c r="C24" s="6">
        <f t="shared" si="0"/>
        <v>4.5344619105198714E-3</v>
      </c>
      <c r="D24" s="6">
        <f t="shared" si="1"/>
        <v>4.5242122110122664E-3</v>
      </c>
    </row>
    <row r="25" spans="1:4" x14ac:dyDescent="0.25">
      <c r="A25" t="s">
        <v>72</v>
      </c>
      <c r="B25">
        <v>33.08</v>
      </c>
      <c r="C25" s="6">
        <f t="shared" si="0"/>
        <v>8.8441598048185632E-3</v>
      </c>
      <c r="D25" s="6">
        <f t="shared" si="1"/>
        <v>8.8052792989337016E-3</v>
      </c>
    </row>
    <row r="26" spans="1:4" x14ac:dyDescent="0.25">
      <c r="A26" t="s">
        <v>73</v>
      </c>
      <c r="B26">
        <v>32.79</v>
      </c>
      <c r="C26" s="6">
        <f t="shared" si="0"/>
        <v>5.5197792088317321E-3</v>
      </c>
      <c r="D26" s="6">
        <f t="shared" si="1"/>
        <v>5.5046010553292026E-3</v>
      </c>
    </row>
    <row r="27" spans="1:4" x14ac:dyDescent="0.25">
      <c r="A27" t="s">
        <v>74</v>
      </c>
      <c r="B27">
        <v>32.61</v>
      </c>
      <c r="C27" s="6">
        <f t="shared" si="0"/>
        <v>3.6934441366573978E-3</v>
      </c>
      <c r="D27" s="6">
        <f t="shared" si="1"/>
        <v>3.6866401202187964E-3</v>
      </c>
    </row>
    <row r="28" spans="1:4" x14ac:dyDescent="0.25">
      <c r="A28" t="s">
        <v>75</v>
      </c>
      <c r="B28">
        <v>32.49</v>
      </c>
      <c r="C28" s="6">
        <f t="shared" si="0"/>
        <v>-4.9004594180703798E-3</v>
      </c>
      <c r="D28" s="6">
        <f t="shared" si="1"/>
        <v>-4.9125060414310683E-3</v>
      </c>
    </row>
    <row r="29" spans="1:4" x14ac:dyDescent="0.25">
      <c r="A29" t="s">
        <v>76</v>
      </c>
      <c r="B29">
        <v>32.65</v>
      </c>
      <c r="C29" s="6">
        <f t="shared" si="0"/>
        <v>-6.6930331609369453E-3</v>
      </c>
      <c r="D29" s="6">
        <f t="shared" si="1"/>
        <v>-6.7155319536878911E-3</v>
      </c>
    </row>
    <row r="30" spans="1:4" x14ac:dyDescent="0.25">
      <c r="A30" t="s">
        <v>77</v>
      </c>
      <c r="B30">
        <v>32.869999999999997</v>
      </c>
      <c r="C30" s="6">
        <f t="shared" si="0"/>
        <v>3.6641221374045241E-3</v>
      </c>
      <c r="D30" s="6">
        <f t="shared" si="1"/>
        <v>3.6574255948670577E-3</v>
      </c>
    </row>
    <row r="31" spans="1:4" x14ac:dyDescent="0.25">
      <c r="A31" t="s">
        <v>78</v>
      </c>
      <c r="B31">
        <v>32.75</v>
      </c>
      <c r="C31" s="6">
        <f t="shared" si="0"/>
        <v>2.6324036352240565E-2</v>
      </c>
      <c r="D31" s="6">
        <f t="shared" si="1"/>
        <v>2.5983521791108674E-2</v>
      </c>
    </row>
    <row r="32" spans="1:4" x14ac:dyDescent="0.25">
      <c r="A32" t="s">
        <v>79</v>
      </c>
      <c r="B32">
        <v>31.91</v>
      </c>
      <c r="C32" s="6">
        <f t="shared" si="0"/>
        <v>-2.6243515410436458E-2</v>
      </c>
      <c r="D32" s="6">
        <f t="shared" si="1"/>
        <v>-2.659402242057117E-2</v>
      </c>
    </row>
    <row r="33" spans="1:4" x14ac:dyDescent="0.25">
      <c r="A33" t="s">
        <v>80</v>
      </c>
      <c r="B33">
        <v>32.770000000000003</v>
      </c>
      <c r="C33" s="6">
        <f t="shared" si="0"/>
        <v>9.8613251155623693E-3</v>
      </c>
      <c r="D33" s="6">
        <f t="shared" si="1"/>
        <v>9.8130195606241921E-3</v>
      </c>
    </row>
    <row r="34" spans="1:4" x14ac:dyDescent="0.25">
      <c r="A34" t="s">
        <v>81</v>
      </c>
      <c r="B34">
        <v>32.450000000000003</v>
      </c>
      <c r="C34" s="6">
        <f t="shared" si="0"/>
        <v>1.0903426791277315E-2</v>
      </c>
      <c r="D34" s="6">
        <f t="shared" si="1"/>
        <v>1.0844413014128876E-2</v>
      </c>
    </row>
    <row r="35" spans="1:4" x14ac:dyDescent="0.25">
      <c r="A35" t="s">
        <v>82</v>
      </c>
      <c r="B35">
        <v>32.1</v>
      </c>
      <c r="C35" s="6">
        <f t="shared" si="0"/>
        <v>1.4538558786346467E-2</v>
      </c>
      <c r="D35" s="6">
        <f t="shared" si="1"/>
        <v>1.4433887236517125E-2</v>
      </c>
    </row>
    <row r="36" spans="1:4" x14ac:dyDescent="0.25">
      <c r="A36" t="s">
        <v>83</v>
      </c>
      <c r="B36">
        <v>31.64</v>
      </c>
      <c r="C36" s="6">
        <f t="shared" si="0"/>
        <v>6.0413354531001495E-3</v>
      </c>
      <c r="D36" s="6">
        <f t="shared" si="1"/>
        <v>6.0231597530035841E-3</v>
      </c>
    </row>
    <row r="37" spans="1:4" x14ac:dyDescent="0.25">
      <c r="A37" t="s">
        <v>84</v>
      </c>
      <c r="B37">
        <v>31.45</v>
      </c>
      <c r="C37" s="6">
        <f t="shared" si="0"/>
        <v>-1.9041574103459968E-3</v>
      </c>
      <c r="D37" s="6">
        <f t="shared" si="1"/>
        <v>-1.905972622733782E-3</v>
      </c>
    </row>
    <row r="38" spans="1:4" x14ac:dyDescent="0.25">
      <c r="A38" t="s">
        <v>85</v>
      </c>
      <c r="B38">
        <v>31.51</v>
      </c>
      <c r="C38" s="6">
        <f t="shared" si="0"/>
        <v>1.2710517953606892E-3</v>
      </c>
      <c r="D38" s="6">
        <f t="shared" si="1"/>
        <v>1.270244692867768E-3</v>
      </c>
    </row>
    <row r="39" spans="1:4" x14ac:dyDescent="0.25">
      <c r="A39" t="s">
        <v>86</v>
      </c>
      <c r="B39">
        <v>31.47</v>
      </c>
      <c r="C39" s="6">
        <f t="shared" si="0"/>
        <v>2.5485823510671413E-3</v>
      </c>
      <c r="D39" s="6">
        <f t="shared" si="1"/>
        <v>2.5453402224532365E-3</v>
      </c>
    </row>
    <row r="40" spans="1:4" x14ac:dyDescent="0.25">
      <c r="A40" t="s">
        <v>87</v>
      </c>
      <c r="B40">
        <v>31.39</v>
      </c>
      <c r="C40" s="6">
        <f t="shared" si="0"/>
        <v>6.412311638345658E-3</v>
      </c>
      <c r="D40" s="6">
        <f t="shared" si="1"/>
        <v>6.3918402341503269E-3</v>
      </c>
    </row>
    <row r="41" spans="1:4" x14ac:dyDescent="0.25">
      <c r="A41" t="s">
        <v>88</v>
      </c>
      <c r="B41">
        <v>31.19</v>
      </c>
      <c r="C41" s="6">
        <f t="shared" si="0"/>
        <v>1.4638906961613518E-2</v>
      </c>
      <c r="D41" s="6">
        <f t="shared" si="1"/>
        <v>1.4532792509262074E-2</v>
      </c>
    </row>
    <row r="42" spans="1:4" x14ac:dyDescent="0.25">
      <c r="A42" t="s">
        <v>89</v>
      </c>
      <c r="B42">
        <v>30.74</v>
      </c>
      <c r="C42" s="6">
        <f t="shared" si="0"/>
        <v>-1.5690041626641116E-2</v>
      </c>
      <c r="D42" s="6">
        <f t="shared" si="1"/>
        <v>-1.5814433184537471E-2</v>
      </c>
    </row>
    <row r="43" spans="1:4" x14ac:dyDescent="0.25">
      <c r="A43" t="s">
        <v>90</v>
      </c>
      <c r="B43">
        <v>31.23</v>
      </c>
      <c r="C43" s="6">
        <f t="shared" si="0"/>
        <v>-3.3426183844011192E-2</v>
      </c>
      <c r="D43" s="6">
        <f t="shared" si="1"/>
        <v>-3.3997608541419734E-2</v>
      </c>
    </row>
    <row r="44" spans="1:4" x14ac:dyDescent="0.25">
      <c r="A44" t="s">
        <v>91</v>
      </c>
      <c r="B44">
        <v>32.31</v>
      </c>
      <c r="C44" s="6">
        <f t="shared" si="0"/>
        <v>-2.1502119927316765E-2</v>
      </c>
      <c r="D44" s="6">
        <f t="shared" si="1"/>
        <v>-2.1736658655575052E-2</v>
      </c>
    </row>
    <row r="45" spans="1:4" x14ac:dyDescent="0.25">
      <c r="A45" t="s">
        <v>92</v>
      </c>
      <c r="B45">
        <v>33.020000000000003</v>
      </c>
      <c r="C45" s="6">
        <f t="shared" si="0"/>
        <v>-1.1968880909634882E-2</v>
      </c>
      <c r="D45" s="6">
        <f t="shared" si="1"/>
        <v>-1.2041084675265637E-2</v>
      </c>
    </row>
    <row r="46" spans="1:4" x14ac:dyDescent="0.25">
      <c r="A46" t="s">
        <v>93</v>
      </c>
      <c r="B46">
        <v>33.42</v>
      </c>
      <c r="C46" s="6">
        <f t="shared" si="0"/>
        <v>3.2118591723286016E-2</v>
      </c>
      <c r="D46" s="6">
        <f t="shared" si="1"/>
        <v>3.1613574917758618E-2</v>
      </c>
    </row>
    <row r="47" spans="1:4" x14ac:dyDescent="0.25">
      <c r="A47" t="s">
        <v>94</v>
      </c>
      <c r="B47">
        <v>32.380000000000003</v>
      </c>
      <c r="C47" s="6">
        <f t="shared" si="0"/>
        <v>6.1804697156997435E-4</v>
      </c>
      <c r="D47" s="6">
        <f t="shared" si="1"/>
        <v>6.1785605919826637E-4</v>
      </c>
    </row>
    <row r="48" spans="1:4" x14ac:dyDescent="0.25">
      <c r="A48" t="s">
        <v>95</v>
      </c>
      <c r="B48">
        <v>32.36</v>
      </c>
      <c r="C48" s="6">
        <f t="shared" si="0"/>
        <v>6.1842918985766104E-4</v>
      </c>
      <c r="D48" s="6">
        <f t="shared" si="1"/>
        <v>6.18238041330053E-4</v>
      </c>
    </row>
    <row r="49" spans="1:4" x14ac:dyDescent="0.25">
      <c r="A49" t="s">
        <v>96</v>
      </c>
      <c r="B49">
        <v>32.340000000000003</v>
      </c>
      <c r="C49" s="6">
        <f t="shared" si="0"/>
        <v>1.0309278350515649E-2</v>
      </c>
      <c r="D49" s="6">
        <f t="shared" si="1"/>
        <v>1.0256500167189282E-2</v>
      </c>
    </row>
    <row r="50" spans="1:4" x14ac:dyDescent="0.25">
      <c r="A50" t="s">
        <v>97</v>
      </c>
      <c r="B50">
        <v>32.01</v>
      </c>
      <c r="C50" s="6">
        <f t="shared" si="0"/>
        <v>1.7806041335453049E-2</v>
      </c>
      <c r="D50" s="6">
        <f t="shared" si="1"/>
        <v>1.7649370835322108E-2</v>
      </c>
    </row>
    <row r="51" spans="1:4" x14ac:dyDescent="0.25">
      <c r="A51" t="s">
        <v>98</v>
      </c>
      <c r="B51">
        <v>31.45</v>
      </c>
      <c r="C51" s="6">
        <f t="shared" si="0"/>
        <v>-1.9026824703680667E-2</v>
      </c>
      <c r="D51" s="6">
        <f t="shared" si="1"/>
        <v>-1.9210164034957435E-2</v>
      </c>
    </row>
    <row r="52" spans="1:4" x14ac:dyDescent="0.25">
      <c r="A52" t="s">
        <v>99</v>
      </c>
      <c r="B52">
        <v>32.06</v>
      </c>
      <c r="C52" s="6">
        <f t="shared" si="0"/>
        <v>-1.2018489984591652E-2</v>
      </c>
      <c r="D52" s="6">
        <f t="shared" si="1"/>
        <v>-1.2091295968692078E-2</v>
      </c>
    </row>
    <row r="53" spans="1:4" x14ac:dyDescent="0.25">
      <c r="A53" t="s">
        <v>100</v>
      </c>
      <c r="B53">
        <v>32.450000000000003</v>
      </c>
      <c r="C53" s="6">
        <f t="shared" si="0"/>
        <v>2.076124567474058E-2</v>
      </c>
      <c r="D53" s="6">
        <f t="shared" si="1"/>
        <v>2.054866822738776E-2</v>
      </c>
    </row>
    <row r="54" spans="1:4" x14ac:dyDescent="0.25">
      <c r="A54" t="s">
        <v>101</v>
      </c>
      <c r="B54">
        <v>31.79</v>
      </c>
      <c r="C54" s="6">
        <f t="shared" si="0"/>
        <v>2.6145900581020065E-2</v>
      </c>
      <c r="D54" s="6">
        <f t="shared" si="1"/>
        <v>2.5809939933988814E-2</v>
      </c>
    </row>
    <row r="55" spans="1:4" x14ac:dyDescent="0.25">
      <c r="A55" t="s">
        <v>102</v>
      </c>
      <c r="B55">
        <v>30.98</v>
      </c>
      <c r="C55" s="6">
        <f t="shared" si="0"/>
        <v>-1.2432260121134853E-2</v>
      </c>
      <c r="D55" s="6">
        <f t="shared" si="1"/>
        <v>-1.2510187213864219E-2</v>
      </c>
    </row>
    <row r="56" spans="1:4" x14ac:dyDescent="0.25">
      <c r="A56" t="s">
        <v>103</v>
      </c>
      <c r="B56">
        <v>31.37</v>
      </c>
      <c r="C56" s="6">
        <f t="shared" si="0"/>
        <v>8.0334190231361458E-3</v>
      </c>
      <c r="D56" s="6">
        <f t="shared" si="1"/>
        <v>8.0013228923958273E-3</v>
      </c>
    </row>
    <row r="57" spans="1:4" x14ac:dyDescent="0.25">
      <c r="A57" t="s">
        <v>104</v>
      </c>
      <c r="B57">
        <v>31.12</v>
      </c>
      <c r="C57" s="6">
        <f t="shared" si="0"/>
        <v>1.9659239842726217E-2</v>
      </c>
      <c r="D57" s="6">
        <f t="shared" si="1"/>
        <v>1.9468492893934729E-2</v>
      </c>
    </row>
    <row r="58" spans="1:4" x14ac:dyDescent="0.25">
      <c r="A58" t="s">
        <v>105</v>
      </c>
      <c r="B58">
        <v>30.52</v>
      </c>
      <c r="C58" s="6">
        <f t="shared" si="0"/>
        <v>-4.5662100456621557E-3</v>
      </c>
      <c r="D58" s="6">
        <f t="shared" si="1"/>
        <v>-4.5766670274118666E-3</v>
      </c>
    </row>
    <row r="59" spans="1:4" x14ac:dyDescent="0.25">
      <c r="A59" t="s">
        <v>106</v>
      </c>
      <c r="B59">
        <v>30.66</v>
      </c>
      <c r="C59" s="6">
        <f t="shared" si="0"/>
        <v>-1.7622556872797235E-2</v>
      </c>
      <c r="D59" s="6">
        <f t="shared" si="1"/>
        <v>-1.7779682839020049E-2</v>
      </c>
    </row>
    <row r="60" spans="1:4" x14ac:dyDescent="0.25">
      <c r="A60" t="s">
        <v>107</v>
      </c>
      <c r="B60">
        <v>31.21</v>
      </c>
      <c r="C60" s="6">
        <f t="shared" si="0"/>
        <v>7.4241446094254204E-3</v>
      </c>
      <c r="D60" s="6">
        <f t="shared" si="1"/>
        <v>7.3967212939654737E-3</v>
      </c>
    </row>
    <row r="61" spans="1:4" x14ac:dyDescent="0.25">
      <c r="A61" t="s">
        <v>108</v>
      </c>
      <c r="B61">
        <v>30.98</v>
      </c>
      <c r="C61" s="6">
        <f t="shared" si="0"/>
        <v>-4.1787206685952594E-3</v>
      </c>
      <c r="D61" s="6">
        <f t="shared" si="1"/>
        <v>-4.1874759208230319E-3</v>
      </c>
    </row>
    <row r="62" spans="1:4" x14ac:dyDescent="0.25">
      <c r="A62" t="s">
        <v>109</v>
      </c>
      <c r="B62">
        <v>31.11</v>
      </c>
      <c r="C62" s="6">
        <f t="shared" si="0"/>
        <v>1.3685239491691092E-2</v>
      </c>
      <c r="D62" s="6">
        <f t="shared" si="1"/>
        <v>1.3592442277900836E-2</v>
      </c>
    </row>
    <row r="63" spans="1:4" x14ac:dyDescent="0.25">
      <c r="A63" t="s">
        <v>110</v>
      </c>
      <c r="B63">
        <v>30.69</v>
      </c>
      <c r="C63" s="6">
        <f t="shared" si="0"/>
        <v>-2.5999350016249201E-3</v>
      </c>
      <c r="D63" s="6">
        <f t="shared" si="1"/>
        <v>-2.6033207023056148E-3</v>
      </c>
    </row>
    <row r="64" spans="1:4" x14ac:dyDescent="0.25">
      <c r="A64" t="s">
        <v>111</v>
      </c>
      <c r="B64">
        <v>30.77</v>
      </c>
      <c r="C64" s="6">
        <f t="shared" si="0"/>
        <v>3.2509752925879987E-4</v>
      </c>
      <c r="D64" s="6">
        <f t="shared" si="1"/>
        <v>3.2504469650725592E-4</v>
      </c>
    </row>
    <row r="65" spans="1:4" x14ac:dyDescent="0.25">
      <c r="A65" t="s">
        <v>112</v>
      </c>
      <c r="B65">
        <v>30.76</v>
      </c>
      <c r="C65" s="6">
        <f t="shared" si="0"/>
        <v>2.9795781720790115E-2</v>
      </c>
      <c r="D65" s="6">
        <f t="shared" si="1"/>
        <v>2.9360512409424819E-2</v>
      </c>
    </row>
    <row r="66" spans="1:4" x14ac:dyDescent="0.25">
      <c r="A66" t="s">
        <v>113</v>
      </c>
      <c r="B66">
        <v>29.87</v>
      </c>
      <c r="C66" s="6">
        <f t="shared" si="0"/>
        <v>1.0487144790257252E-2</v>
      </c>
      <c r="D66" s="6">
        <f t="shared" si="1"/>
        <v>1.0432536148017552E-2</v>
      </c>
    </row>
    <row r="67" spans="1:4" x14ac:dyDescent="0.25">
      <c r="A67" t="s">
        <v>114</v>
      </c>
      <c r="B67">
        <v>29.56</v>
      </c>
      <c r="C67" s="6">
        <f t="shared" ref="C67:C130" si="2">(B67/B68)-1</f>
        <v>-7.7207116482040927E-3</v>
      </c>
      <c r="D67" s="6">
        <f t="shared" ref="D67:D130" si="3">LN(B67/B68)</f>
        <v>-7.7506706451898879E-3</v>
      </c>
    </row>
    <row r="68" spans="1:4" x14ac:dyDescent="0.25">
      <c r="A68" t="s">
        <v>115</v>
      </c>
      <c r="B68">
        <v>29.79</v>
      </c>
      <c r="C68" s="6">
        <f t="shared" si="2"/>
        <v>2.0554984583761593E-2</v>
      </c>
      <c r="D68" s="6">
        <f t="shared" si="3"/>
        <v>2.0346581859167559E-2</v>
      </c>
    </row>
    <row r="69" spans="1:4" x14ac:dyDescent="0.25">
      <c r="A69" t="s">
        <v>116</v>
      </c>
      <c r="B69">
        <v>29.19</v>
      </c>
      <c r="C69" s="6">
        <f t="shared" si="2"/>
        <v>8.6385625431928403E-3</v>
      </c>
      <c r="D69" s="6">
        <f t="shared" si="3"/>
        <v>8.6014636626856097E-3</v>
      </c>
    </row>
    <row r="70" spans="1:4" x14ac:dyDescent="0.25">
      <c r="A70" t="s">
        <v>117</v>
      </c>
      <c r="B70">
        <v>28.94</v>
      </c>
      <c r="C70" s="6">
        <f t="shared" si="2"/>
        <v>-1.2960436562073685E-2</v>
      </c>
      <c r="D70" s="6">
        <f t="shared" si="3"/>
        <v>-1.3045155815112956E-2</v>
      </c>
    </row>
    <row r="71" spans="1:4" x14ac:dyDescent="0.25">
      <c r="A71" t="s">
        <v>118</v>
      </c>
      <c r="B71">
        <v>29.32</v>
      </c>
      <c r="C71" s="6">
        <f t="shared" si="2"/>
        <v>1.1034482758620623E-2</v>
      </c>
      <c r="D71" s="6">
        <f t="shared" si="3"/>
        <v>1.0974047031976649E-2</v>
      </c>
    </row>
    <row r="72" spans="1:4" x14ac:dyDescent="0.25">
      <c r="A72" t="s">
        <v>119</v>
      </c>
      <c r="B72">
        <v>29</v>
      </c>
      <c r="C72" s="6">
        <f t="shared" si="2"/>
        <v>5.199306759098743E-3</v>
      </c>
      <c r="D72" s="6">
        <f t="shared" si="3"/>
        <v>5.1858370323654155E-3</v>
      </c>
    </row>
    <row r="73" spans="1:4" x14ac:dyDescent="0.25">
      <c r="A73" t="s">
        <v>120</v>
      </c>
      <c r="B73">
        <v>28.85</v>
      </c>
      <c r="C73" s="6">
        <f t="shared" si="2"/>
        <v>-2.8619528619528545E-2</v>
      </c>
      <c r="D73" s="6">
        <f t="shared" si="3"/>
        <v>-2.9037052854545289E-2</v>
      </c>
    </row>
    <row r="74" spans="1:4" x14ac:dyDescent="0.25">
      <c r="A74" t="s">
        <v>121</v>
      </c>
      <c r="B74">
        <v>29.7</v>
      </c>
      <c r="C74" s="6">
        <f t="shared" si="2"/>
        <v>7.1210579857579059E-3</v>
      </c>
      <c r="D74" s="6">
        <f t="shared" si="3"/>
        <v>7.0958229814690804E-3</v>
      </c>
    </row>
    <row r="75" spans="1:4" x14ac:dyDescent="0.25">
      <c r="A75" t="s">
        <v>122</v>
      </c>
      <c r="B75">
        <v>29.49</v>
      </c>
      <c r="C75" s="6">
        <f t="shared" si="2"/>
        <v>1.1316872427983515E-2</v>
      </c>
      <c r="D75" s="6">
        <f t="shared" si="3"/>
        <v>1.1253315686727453E-2</v>
      </c>
    </row>
    <row r="76" spans="1:4" x14ac:dyDescent="0.25">
      <c r="A76" t="s">
        <v>123</v>
      </c>
      <c r="B76">
        <v>29.16</v>
      </c>
      <c r="C76" s="6">
        <f t="shared" si="2"/>
        <v>5.5172413793103114E-3</v>
      </c>
      <c r="D76" s="6">
        <f t="shared" si="3"/>
        <v>5.5020771539833384E-3</v>
      </c>
    </row>
    <row r="77" spans="1:4" x14ac:dyDescent="0.25">
      <c r="A77" t="s">
        <v>124</v>
      </c>
      <c r="B77">
        <v>29</v>
      </c>
      <c r="C77" s="6">
        <f t="shared" si="2"/>
        <v>3.1131096506398226E-3</v>
      </c>
      <c r="D77" s="6">
        <f t="shared" si="3"/>
        <v>3.1082739582192404E-3</v>
      </c>
    </row>
    <row r="78" spans="1:4" x14ac:dyDescent="0.25">
      <c r="A78" t="s">
        <v>125</v>
      </c>
      <c r="B78">
        <v>28.91</v>
      </c>
      <c r="C78" s="6">
        <f t="shared" si="2"/>
        <v>-6.1876933654176902E-3</v>
      </c>
      <c r="D78" s="6">
        <f t="shared" si="3"/>
        <v>-6.2069164788555922E-3</v>
      </c>
    </row>
    <row r="79" spans="1:4" x14ac:dyDescent="0.25">
      <c r="A79" t="s">
        <v>126</v>
      </c>
      <c r="B79">
        <v>29.09</v>
      </c>
      <c r="C79" s="6">
        <f t="shared" si="2"/>
        <v>3.1034482758620641E-3</v>
      </c>
      <c r="D79" s="6">
        <f t="shared" si="3"/>
        <v>3.098642520636232E-3</v>
      </c>
    </row>
    <row r="80" spans="1:4" x14ac:dyDescent="0.25">
      <c r="A80" t="s">
        <v>127</v>
      </c>
      <c r="B80">
        <v>29</v>
      </c>
      <c r="C80" s="6">
        <f t="shared" si="2"/>
        <v>-1.2261580381471404E-2</v>
      </c>
      <c r="D80" s="6">
        <f t="shared" si="3"/>
        <v>-1.2337373759840819E-2</v>
      </c>
    </row>
    <row r="81" spans="1:4" x14ac:dyDescent="0.25">
      <c r="A81" t="s">
        <v>128</v>
      </c>
      <c r="B81">
        <v>29.36</v>
      </c>
      <c r="C81" s="6">
        <f t="shared" si="2"/>
        <v>-5.4200542005420349E-3</v>
      </c>
      <c r="D81" s="6">
        <f t="shared" si="3"/>
        <v>-5.4347959859569446E-3</v>
      </c>
    </row>
    <row r="82" spans="1:4" x14ac:dyDescent="0.25">
      <c r="A82" t="s">
        <v>129</v>
      </c>
      <c r="B82">
        <v>29.52</v>
      </c>
      <c r="C82" s="6">
        <f t="shared" si="2"/>
        <v>4.0816326530612734E-3</v>
      </c>
      <c r="D82" s="6">
        <f t="shared" si="3"/>
        <v>4.0733253876358688E-3</v>
      </c>
    </row>
    <row r="83" spans="1:4" x14ac:dyDescent="0.25">
      <c r="A83" t="s">
        <v>130</v>
      </c>
      <c r="B83">
        <v>29.4</v>
      </c>
      <c r="C83" s="6">
        <f t="shared" si="2"/>
        <v>1.6949152542372836E-2</v>
      </c>
      <c r="D83" s="6">
        <f t="shared" si="3"/>
        <v>1.6807118316381191E-2</v>
      </c>
    </row>
    <row r="84" spans="1:4" x14ac:dyDescent="0.25">
      <c r="A84" t="s">
        <v>131</v>
      </c>
      <c r="B84">
        <v>28.91</v>
      </c>
      <c r="C84" s="6">
        <f t="shared" si="2"/>
        <v>-6.8704912401236218E-3</v>
      </c>
      <c r="D84" s="6">
        <f t="shared" si="3"/>
        <v>-6.894201729277117E-3</v>
      </c>
    </row>
    <row r="85" spans="1:4" x14ac:dyDescent="0.25">
      <c r="A85" t="s">
        <v>132</v>
      </c>
      <c r="B85">
        <v>29.11</v>
      </c>
      <c r="C85" s="6">
        <f t="shared" si="2"/>
        <v>9.7121054457163236E-3</v>
      </c>
      <c r="D85" s="6">
        <f t="shared" si="3"/>
        <v>9.6652461072210972E-3</v>
      </c>
    </row>
    <row r="86" spans="1:4" x14ac:dyDescent="0.25">
      <c r="A86" t="s">
        <v>133</v>
      </c>
      <c r="B86">
        <v>28.83</v>
      </c>
      <c r="C86" s="6">
        <f t="shared" si="2"/>
        <v>5.2301255230124966E-3</v>
      </c>
      <c r="D86" s="6">
        <f t="shared" si="3"/>
        <v>5.2164959188911505E-3</v>
      </c>
    </row>
    <row r="87" spans="1:4" x14ac:dyDescent="0.25">
      <c r="A87" t="s">
        <v>134</v>
      </c>
      <c r="B87">
        <v>28.68</v>
      </c>
      <c r="C87" s="6">
        <f t="shared" si="2"/>
        <v>2.7972027972027469E-3</v>
      </c>
      <c r="D87" s="6">
        <f t="shared" si="3"/>
        <v>2.7932979056126536E-3</v>
      </c>
    </row>
    <row r="88" spans="1:4" x14ac:dyDescent="0.25">
      <c r="A88" t="s">
        <v>135</v>
      </c>
      <c r="B88">
        <v>28.6</v>
      </c>
      <c r="C88" s="6">
        <f t="shared" si="2"/>
        <v>-3.0179721939640469E-2</v>
      </c>
      <c r="D88" s="6">
        <f t="shared" si="3"/>
        <v>-3.0644505001377879E-2</v>
      </c>
    </row>
    <row r="89" spans="1:4" x14ac:dyDescent="0.25">
      <c r="A89" t="s">
        <v>136</v>
      </c>
      <c r="B89">
        <v>29.49</v>
      </c>
      <c r="C89" s="6">
        <f t="shared" si="2"/>
        <v>5.5098389982110918E-2</v>
      </c>
      <c r="D89" s="6">
        <f t="shared" si="3"/>
        <v>5.3634023226076716E-2</v>
      </c>
    </row>
    <row r="90" spans="1:4" x14ac:dyDescent="0.25">
      <c r="A90" t="s">
        <v>137</v>
      </c>
      <c r="B90">
        <v>27.95</v>
      </c>
      <c r="C90" s="6">
        <f t="shared" si="2"/>
        <v>-1.0721944245890569E-3</v>
      </c>
      <c r="D90" s="6">
        <f t="shared" si="3"/>
        <v>-1.0727696362270154E-3</v>
      </c>
    </row>
    <row r="91" spans="1:4" x14ac:dyDescent="0.25">
      <c r="A91" t="s">
        <v>138</v>
      </c>
      <c r="B91">
        <v>27.98</v>
      </c>
      <c r="C91" s="6">
        <f t="shared" si="2"/>
        <v>-2.8510334996435516E-3</v>
      </c>
      <c r="D91" s="6">
        <f t="shared" si="3"/>
        <v>-2.8551054369796948E-3</v>
      </c>
    </row>
    <row r="92" spans="1:4" x14ac:dyDescent="0.25">
      <c r="A92" t="s">
        <v>139</v>
      </c>
      <c r="B92">
        <v>28.06</v>
      </c>
      <c r="C92" s="6">
        <f t="shared" si="2"/>
        <v>-4.9645390070922613E-3</v>
      </c>
      <c r="D92" s="6">
        <f t="shared" si="3"/>
        <v>-4.9769032697530857E-3</v>
      </c>
    </row>
    <row r="93" spans="1:4" x14ac:dyDescent="0.25">
      <c r="A93" t="s">
        <v>140</v>
      </c>
      <c r="B93">
        <v>28.2</v>
      </c>
      <c r="C93" s="6">
        <f t="shared" si="2"/>
        <v>-1.5363128491620137E-2</v>
      </c>
      <c r="D93" s="6">
        <f t="shared" si="3"/>
        <v>-1.5482364148376988E-2</v>
      </c>
    </row>
    <row r="94" spans="1:4" x14ac:dyDescent="0.25">
      <c r="A94" t="s">
        <v>141</v>
      </c>
      <c r="B94">
        <v>28.64</v>
      </c>
      <c r="C94" s="6">
        <f t="shared" si="2"/>
        <v>2.2491967154587567E-2</v>
      </c>
      <c r="D94" s="6">
        <f t="shared" si="3"/>
        <v>2.224275282042763E-2</v>
      </c>
    </row>
    <row r="95" spans="1:4" x14ac:dyDescent="0.25">
      <c r="A95" t="s">
        <v>142</v>
      </c>
      <c r="B95">
        <v>28.01</v>
      </c>
      <c r="C95" s="6">
        <f t="shared" si="2"/>
        <v>2.2262773722627749E-2</v>
      </c>
      <c r="D95" s="6">
        <f t="shared" si="3"/>
        <v>2.2018575877992629E-2</v>
      </c>
    </row>
    <row r="96" spans="1:4" x14ac:dyDescent="0.25">
      <c r="A96" t="s">
        <v>143</v>
      </c>
      <c r="B96">
        <v>27.4</v>
      </c>
      <c r="C96" s="6">
        <f t="shared" si="2"/>
        <v>-4.3604651162790775E-3</v>
      </c>
      <c r="D96" s="6">
        <f t="shared" si="3"/>
        <v>-4.369999671118379E-3</v>
      </c>
    </row>
    <row r="97" spans="1:4" x14ac:dyDescent="0.25">
      <c r="A97" t="s">
        <v>144</v>
      </c>
      <c r="B97">
        <v>27.52</v>
      </c>
      <c r="C97" s="6">
        <f t="shared" si="2"/>
        <v>7.2727272727268755E-4</v>
      </c>
      <c r="D97" s="6">
        <f t="shared" si="3"/>
        <v>7.2700839261726304E-4</v>
      </c>
    </row>
    <row r="98" spans="1:4" x14ac:dyDescent="0.25">
      <c r="A98" t="s">
        <v>145</v>
      </c>
      <c r="B98">
        <v>27.5</v>
      </c>
      <c r="C98" s="6">
        <f t="shared" si="2"/>
        <v>-9.009009009009028E-3</v>
      </c>
      <c r="D98" s="6">
        <f t="shared" si="3"/>
        <v>-9.0498355199179273E-3</v>
      </c>
    </row>
    <row r="99" spans="1:4" x14ac:dyDescent="0.25">
      <c r="A99" t="s">
        <v>146</v>
      </c>
      <c r="B99">
        <v>27.75</v>
      </c>
      <c r="C99" s="6">
        <f t="shared" si="2"/>
        <v>-3.5906642728905647E-3</v>
      </c>
      <c r="D99" s="6">
        <f t="shared" si="3"/>
        <v>-3.5971261808495918E-3</v>
      </c>
    </row>
    <row r="100" spans="1:4" x14ac:dyDescent="0.25">
      <c r="A100" t="s">
        <v>147</v>
      </c>
      <c r="B100">
        <v>27.85</v>
      </c>
      <c r="C100" s="6">
        <f t="shared" si="2"/>
        <v>-1.3460857244066537E-2</v>
      </c>
      <c r="D100" s="6">
        <f t="shared" si="3"/>
        <v>-1.355227589210487E-2</v>
      </c>
    </row>
    <row r="101" spans="1:4" x14ac:dyDescent="0.25">
      <c r="A101" t="s">
        <v>148</v>
      </c>
      <c r="B101">
        <v>28.23</v>
      </c>
      <c r="C101" s="6">
        <f t="shared" si="2"/>
        <v>1.5102481121898714E-2</v>
      </c>
      <c r="D101" s="6">
        <f t="shared" si="3"/>
        <v>1.4989574019524596E-2</v>
      </c>
    </row>
    <row r="102" spans="1:4" x14ac:dyDescent="0.25">
      <c r="A102" t="s">
        <v>149</v>
      </c>
      <c r="B102">
        <v>27.81</v>
      </c>
      <c r="C102" s="6">
        <f t="shared" si="2"/>
        <v>1.7190929041697167E-2</v>
      </c>
      <c r="D102" s="6">
        <f t="shared" si="3"/>
        <v>1.7044836950069996E-2</v>
      </c>
    </row>
    <row r="103" spans="1:4" x14ac:dyDescent="0.25">
      <c r="A103" t="s">
        <v>150</v>
      </c>
      <c r="B103">
        <v>27.34</v>
      </c>
      <c r="C103" s="6">
        <f t="shared" si="2"/>
        <v>-5.8181818181818334E-3</v>
      </c>
      <c r="D103" s="6">
        <f t="shared" si="3"/>
        <v>-5.835173376722123E-3</v>
      </c>
    </row>
    <row r="104" spans="1:4" x14ac:dyDescent="0.25">
      <c r="A104" t="s">
        <v>151</v>
      </c>
      <c r="B104">
        <v>27.5</v>
      </c>
      <c r="C104" s="6">
        <f t="shared" si="2"/>
        <v>-8.2942661377569671E-3</v>
      </c>
      <c r="D104" s="6">
        <f t="shared" si="3"/>
        <v>-8.3288549551610858E-3</v>
      </c>
    </row>
    <row r="105" spans="1:4" x14ac:dyDescent="0.25">
      <c r="A105" t="s">
        <v>152</v>
      </c>
      <c r="B105">
        <v>27.73</v>
      </c>
      <c r="C105" s="6">
        <f t="shared" si="2"/>
        <v>-6.8051575931232788E-3</v>
      </c>
      <c r="D105" s="6">
        <f t="shared" si="3"/>
        <v>-6.8284182664851241E-3</v>
      </c>
    </row>
    <row r="106" spans="1:4" x14ac:dyDescent="0.25">
      <c r="A106" t="s">
        <v>153</v>
      </c>
      <c r="B106">
        <v>27.92</v>
      </c>
      <c r="C106" s="6">
        <f t="shared" si="2"/>
        <v>7.9422382671481273E-3</v>
      </c>
      <c r="D106" s="6">
        <f t="shared" si="3"/>
        <v>7.9108647008790198E-3</v>
      </c>
    </row>
    <row r="107" spans="1:4" x14ac:dyDescent="0.25">
      <c r="A107" t="s">
        <v>154</v>
      </c>
      <c r="B107">
        <v>27.7</v>
      </c>
      <c r="C107" s="6">
        <f t="shared" si="2"/>
        <v>-1.7730496453900679E-2</v>
      </c>
      <c r="D107" s="6">
        <f t="shared" si="3"/>
        <v>-1.7889564750775057E-2</v>
      </c>
    </row>
    <row r="108" spans="1:4" x14ac:dyDescent="0.25">
      <c r="A108" t="s">
        <v>155</v>
      </c>
      <c r="B108">
        <v>28.2</v>
      </c>
      <c r="C108" s="6">
        <f t="shared" si="2"/>
        <v>1.5118790496760237E-2</v>
      </c>
      <c r="D108" s="6">
        <f t="shared" si="3"/>
        <v>1.5005640617870176E-2</v>
      </c>
    </row>
    <row r="109" spans="1:4" x14ac:dyDescent="0.25">
      <c r="A109" t="s">
        <v>156</v>
      </c>
      <c r="B109">
        <v>27.78</v>
      </c>
      <c r="C109" s="6">
        <f t="shared" si="2"/>
        <v>1.0549290651145959E-2</v>
      </c>
      <c r="D109" s="6">
        <f t="shared" si="3"/>
        <v>1.049403514904345E-2</v>
      </c>
    </row>
    <row r="110" spans="1:4" x14ac:dyDescent="0.25">
      <c r="A110" t="s">
        <v>157</v>
      </c>
      <c r="B110">
        <v>27.49</v>
      </c>
      <c r="C110" s="6">
        <f t="shared" si="2"/>
        <v>-2.5868178596739955E-2</v>
      </c>
      <c r="D110" s="6">
        <f t="shared" si="3"/>
        <v>-2.6208644247513655E-2</v>
      </c>
    </row>
    <row r="111" spans="1:4" x14ac:dyDescent="0.25">
      <c r="A111" t="s">
        <v>158</v>
      </c>
      <c r="B111">
        <v>28.22</v>
      </c>
      <c r="C111" s="6">
        <f t="shared" si="2"/>
        <v>-2.8268551236749762E-3</v>
      </c>
      <c r="D111" s="6">
        <f t="shared" si="3"/>
        <v>-2.8308582245240603E-3</v>
      </c>
    </row>
    <row r="112" spans="1:4" x14ac:dyDescent="0.25">
      <c r="A112" t="s">
        <v>159</v>
      </c>
      <c r="B112">
        <v>28.3</v>
      </c>
      <c r="C112" s="6">
        <f t="shared" si="2"/>
        <v>4.9715909090908283E-3</v>
      </c>
      <c r="D112" s="6">
        <f t="shared" si="3"/>
        <v>4.9592733593502086E-3</v>
      </c>
    </row>
    <row r="113" spans="1:4" x14ac:dyDescent="0.25">
      <c r="A113" t="s">
        <v>160</v>
      </c>
      <c r="B113">
        <v>28.16</v>
      </c>
      <c r="C113" s="6">
        <f t="shared" si="2"/>
        <v>-4.5952633439377832E-3</v>
      </c>
      <c r="D113" s="6">
        <f t="shared" si="3"/>
        <v>-4.6058540236341627E-3</v>
      </c>
    </row>
    <row r="114" spans="1:4" x14ac:dyDescent="0.25">
      <c r="A114" t="s">
        <v>161</v>
      </c>
      <c r="B114">
        <v>28.29</v>
      </c>
      <c r="C114" s="6">
        <f t="shared" si="2"/>
        <v>-5.9732958538299963E-3</v>
      </c>
      <c r="D114" s="6">
        <f t="shared" si="3"/>
        <v>-5.9912073482305522E-3</v>
      </c>
    </row>
    <row r="115" spans="1:4" x14ac:dyDescent="0.25">
      <c r="A115" t="s">
        <v>162</v>
      </c>
      <c r="B115">
        <v>28.46</v>
      </c>
      <c r="C115" s="6">
        <f t="shared" si="2"/>
        <v>-4.1987403778865895E-3</v>
      </c>
      <c r="D115" s="6">
        <f t="shared" si="3"/>
        <v>-4.2075798400149928E-3</v>
      </c>
    </row>
    <row r="116" spans="1:4" x14ac:dyDescent="0.25">
      <c r="A116" t="s">
        <v>163</v>
      </c>
      <c r="B116">
        <v>28.58</v>
      </c>
      <c r="C116" s="6">
        <f t="shared" si="2"/>
        <v>-6.9492703266158529E-3</v>
      </c>
      <c r="D116" s="6">
        <f t="shared" si="3"/>
        <v>-6.9735289575005594E-3</v>
      </c>
    </row>
    <row r="117" spans="1:4" x14ac:dyDescent="0.25">
      <c r="A117" t="s">
        <v>164</v>
      </c>
      <c r="B117">
        <v>28.78</v>
      </c>
      <c r="C117" s="6">
        <f t="shared" si="2"/>
        <v>6.9541029207220717E-4</v>
      </c>
      <c r="D117" s="6">
        <f t="shared" si="3"/>
        <v>6.9516860637570358E-4</v>
      </c>
    </row>
    <row r="118" spans="1:4" x14ac:dyDescent="0.25">
      <c r="A118" t="s">
        <v>165</v>
      </c>
      <c r="B118">
        <v>28.76</v>
      </c>
      <c r="C118" s="6">
        <f t="shared" si="2"/>
        <v>2.7894002789401462E-3</v>
      </c>
      <c r="D118" s="6">
        <f t="shared" si="3"/>
        <v>2.7855171214264483E-3</v>
      </c>
    </row>
    <row r="119" spans="1:4" x14ac:dyDescent="0.25">
      <c r="A119" t="s">
        <v>166</v>
      </c>
      <c r="B119">
        <v>28.68</v>
      </c>
      <c r="C119" s="6">
        <f t="shared" si="2"/>
        <v>-2.4347826086956736E-3</v>
      </c>
      <c r="D119" s="6">
        <f t="shared" si="3"/>
        <v>-2.4377515119398591E-3</v>
      </c>
    </row>
    <row r="120" spans="1:4" x14ac:dyDescent="0.25">
      <c r="A120" t="s">
        <v>167</v>
      </c>
      <c r="B120">
        <v>28.75</v>
      </c>
      <c r="C120" s="6">
        <f t="shared" si="2"/>
        <v>-6.9516857838025636E-4</v>
      </c>
      <c r="D120" s="6">
        <f t="shared" si="3"/>
        <v>-6.9541032009709633E-4</v>
      </c>
    </row>
    <row r="121" spans="1:4" x14ac:dyDescent="0.25">
      <c r="A121" t="s">
        <v>168</v>
      </c>
      <c r="B121">
        <v>28.77</v>
      </c>
      <c r="C121" s="6">
        <f t="shared" si="2"/>
        <v>-4.1536863966771254E-3</v>
      </c>
      <c r="D121" s="6">
        <f t="shared" si="3"/>
        <v>-4.1623369146874109E-3</v>
      </c>
    </row>
    <row r="122" spans="1:4" x14ac:dyDescent="0.25">
      <c r="A122" t="s">
        <v>169</v>
      </c>
      <c r="B122">
        <v>28.89</v>
      </c>
      <c r="C122" s="6">
        <f t="shared" si="2"/>
        <v>5.5690915419421838E-3</v>
      </c>
      <c r="D122" s="6">
        <f t="shared" si="3"/>
        <v>5.5536414869456581E-3</v>
      </c>
    </row>
    <row r="123" spans="1:4" x14ac:dyDescent="0.25">
      <c r="A123" t="s">
        <v>170</v>
      </c>
      <c r="B123">
        <v>28.73</v>
      </c>
      <c r="C123" s="6">
        <f t="shared" si="2"/>
        <v>6.3047285464097325E-3</v>
      </c>
      <c r="D123" s="6">
        <f t="shared" si="3"/>
        <v>6.2849368891788864E-3</v>
      </c>
    </row>
    <row r="124" spans="1:4" x14ac:dyDescent="0.25">
      <c r="A124" t="s">
        <v>171</v>
      </c>
      <c r="B124">
        <v>28.55</v>
      </c>
      <c r="C124" s="6">
        <f t="shared" si="2"/>
        <v>-5.2264808362368909E-3</v>
      </c>
      <c r="D124" s="6">
        <f t="shared" si="3"/>
        <v>-5.2401866635561588E-3</v>
      </c>
    </row>
    <row r="125" spans="1:4" x14ac:dyDescent="0.25">
      <c r="A125" t="s">
        <v>172</v>
      </c>
      <c r="B125">
        <v>28.7</v>
      </c>
      <c r="C125" s="6">
        <f t="shared" si="2"/>
        <v>9.8522167487684609E-3</v>
      </c>
      <c r="D125" s="6">
        <f t="shared" si="3"/>
        <v>9.8040000966208348E-3</v>
      </c>
    </row>
    <row r="126" spans="1:4" x14ac:dyDescent="0.25">
      <c r="A126" t="s">
        <v>173</v>
      </c>
      <c r="B126">
        <v>28.42</v>
      </c>
      <c r="C126" s="6">
        <f t="shared" si="2"/>
        <v>-1.3194444444444398E-2</v>
      </c>
      <c r="D126" s="6">
        <f t="shared" si="3"/>
        <v>-1.328226447294562E-2</v>
      </c>
    </row>
    <row r="127" spans="1:4" x14ac:dyDescent="0.25">
      <c r="A127" t="s">
        <v>174</v>
      </c>
      <c r="B127">
        <v>28.8</v>
      </c>
      <c r="C127" s="6">
        <f t="shared" si="2"/>
        <v>1.3908205841446364E-3</v>
      </c>
      <c r="D127" s="6">
        <f t="shared" si="3"/>
        <v>1.3898542890542977E-3</v>
      </c>
    </row>
    <row r="128" spans="1:4" x14ac:dyDescent="0.25">
      <c r="A128" t="s">
        <v>175</v>
      </c>
      <c r="B128">
        <v>28.76</v>
      </c>
      <c r="C128" s="6">
        <f t="shared" si="2"/>
        <v>6.6503325166258342E-3</v>
      </c>
      <c r="D128" s="6">
        <f t="shared" si="3"/>
        <v>6.6283166101642381E-3</v>
      </c>
    </row>
    <row r="129" spans="1:4" x14ac:dyDescent="0.25">
      <c r="A129" t="s">
        <v>176</v>
      </c>
      <c r="B129">
        <v>28.57</v>
      </c>
      <c r="C129" s="6">
        <f t="shared" si="2"/>
        <v>-1.3466850828729338E-2</v>
      </c>
      <c r="D129" s="6">
        <f t="shared" si="3"/>
        <v>-1.355835127483397E-2</v>
      </c>
    </row>
    <row r="130" spans="1:4" x14ac:dyDescent="0.25">
      <c r="A130" t="s">
        <v>177</v>
      </c>
      <c r="B130">
        <v>28.96</v>
      </c>
      <c r="C130" s="6">
        <f t="shared" si="2"/>
        <v>-2.1621621621621623E-2</v>
      </c>
      <c r="D130" s="6">
        <f t="shared" si="3"/>
        <v>-2.1858793812499073E-2</v>
      </c>
    </row>
    <row r="131" spans="1:4" x14ac:dyDescent="0.25">
      <c r="A131" t="s">
        <v>178</v>
      </c>
      <c r="B131">
        <v>29.6</v>
      </c>
      <c r="C131" s="6">
        <f t="shared" ref="C131:C194" si="4">(B131/B132)-1</f>
        <v>-2.9189898327320329E-2</v>
      </c>
      <c r="D131" s="6">
        <f t="shared" ref="D131:D194" si="5">LN(B131/B132)</f>
        <v>-2.9624399670148616E-2</v>
      </c>
    </row>
    <row r="132" spans="1:4" x14ac:dyDescent="0.25">
      <c r="A132" t="s">
        <v>179</v>
      </c>
      <c r="B132">
        <v>30.49</v>
      </c>
      <c r="C132" s="6">
        <f t="shared" si="4"/>
        <v>-6.1929595827900918E-3</v>
      </c>
      <c r="D132" s="6">
        <f t="shared" si="5"/>
        <v>-6.212215498892025E-3</v>
      </c>
    </row>
    <row r="133" spans="1:4" x14ac:dyDescent="0.25">
      <c r="A133" t="s">
        <v>180</v>
      </c>
      <c r="B133">
        <v>30.68</v>
      </c>
      <c r="C133" s="6">
        <f t="shared" si="4"/>
        <v>9.8749177090191598E-3</v>
      </c>
      <c r="D133" s="6">
        <f t="shared" si="5"/>
        <v>9.8264793314287082E-3</v>
      </c>
    </row>
    <row r="134" spans="1:4" x14ac:dyDescent="0.25">
      <c r="A134" t="s">
        <v>181</v>
      </c>
      <c r="B134">
        <v>30.38</v>
      </c>
      <c r="C134" s="6">
        <f t="shared" si="4"/>
        <v>-9.8651759289714036E-4</v>
      </c>
      <c r="D134" s="6">
        <f t="shared" si="5"/>
        <v>-9.8700452164654767E-4</v>
      </c>
    </row>
    <row r="135" spans="1:4" x14ac:dyDescent="0.25">
      <c r="A135" t="s">
        <v>182</v>
      </c>
      <c r="B135">
        <v>30.41</v>
      </c>
      <c r="C135" s="6">
        <f t="shared" si="4"/>
        <v>-2.0927237604636106E-2</v>
      </c>
      <c r="D135" s="6">
        <f t="shared" si="5"/>
        <v>-2.114931603126765E-2</v>
      </c>
    </row>
    <row r="136" spans="1:4" x14ac:dyDescent="0.25">
      <c r="A136" t="s">
        <v>183</v>
      </c>
      <c r="B136">
        <v>31.06</v>
      </c>
      <c r="C136" s="6">
        <f t="shared" si="4"/>
        <v>-1.7399557102182883E-2</v>
      </c>
      <c r="D136" s="6">
        <f t="shared" si="5"/>
        <v>-1.7552708506985377E-2</v>
      </c>
    </row>
    <row r="137" spans="1:4" x14ac:dyDescent="0.25">
      <c r="A137" t="s">
        <v>184</v>
      </c>
      <c r="B137">
        <v>31.61</v>
      </c>
      <c r="C137" s="6">
        <f t="shared" si="4"/>
        <v>2.1324717285944983E-2</v>
      </c>
      <c r="D137" s="6">
        <f t="shared" si="5"/>
        <v>2.1100527096921163E-2</v>
      </c>
    </row>
    <row r="138" spans="1:4" x14ac:dyDescent="0.25">
      <c r="A138" t="s">
        <v>185</v>
      </c>
      <c r="B138">
        <v>30.95</v>
      </c>
      <c r="C138" s="6">
        <f t="shared" si="4"/>
        <v>7.4869791666667407E-3</v>
      </c>
      <c r="D138" s="6">
        <f t="shared" si="5"/>
        <v>7.4590908511337648E-3</v>
      </c>
    </row>
    <row r="139" spans="1:4" x14ac:dyDescent="0.25">
      <c r="A139" t="s">
        <v>186</v>
      </c>
      <c r="B139">
        <v>30.72</v>
      </c>
      <c r="C139" s="6">
        <f t="shared" si="4"/>
        <v>-2.5071405902888033E-2</v>
      </c>
      <c r="D139" s="6">
        <f t="shared" si="5"/>
        <v>-2.5391047489711882E-2</v>
      </c>
    </row>
    <row r="140" spans="1:4" x14ac:dyDescent="0.25">
      <c r="A140" t="s">
        <v>187</v>
      </c>
      <c r="B140">
        <v>31.51</v>
      </c>
      <c r="C140" s="6">
        <f t="shared" si="4"/>
        <v>-2.1428571428571463E-2</v>
      </c>
      <c r="D140" s="6">
        <f t="shared" si="5"/>
        <v>-2.1661496781179419E-2</v>
      </c>
    </row>
    <row r="141" spans="1:4" x14ac:dyDescent="0.25">
      <c r="A141" t="s">
        <v>188</v>
      </c>
      <c r="B141">
        <v>32.200000000000003</v>
      </c>
      <c r="C141" s="6">
        <f t="shared" si="4"/>
        <v>-3.7128712871286051E-3</v>
      </c>
      <c r="D141" s="6">
        <f t="shared" si="5"/>
        <v>-3.7197811025319006E-3</v>
      </c>
    </row>
    <row r="142" spans="1:4" x14ac:dyDescent="0.25">
      <c r="A142" t="s">
        <v>189</v>
      </c>
      <c r="B142">
        <v>32.32</v>
      </c>
      <c r="C142" s="6">
        <f t="shared" si="4"/>
        <v>1.5394282123782688E-2</v>
      </c>
      <c r="D142" s="6">
        <f t="shared" si="5"/>
        <v>1.5276992358893262E-2</v>
      </c>
    </row>
    <row r="143" spans="1:4" x14ac:dyDescent="0.25">
      <c r="A143" t="s">
        <v>190</v>
      </c>
      <c r="B143">
        <v>31.83</v>
      </c>
      <c r="C143" s="6">
        <f t="shared" si="4"/>
        <v>-1.0876320696084574E-2</v>
      </c>
      <c r="D143" s="6">
        <f t="shared" si="5"/>
        <v>-1.0935900270235742E-2</v>
      </c>
    </row>
    <row r="144" spans="1:4" x14ac:dyDescent="0.25">
      <c r="A144" t="s">
        <v>191</v>
      </c>
      <c r="B144">
        <v>32.18</v>
      </c>
      <c r="C144" s="6">
        <f t="shared" si="4"/>
        <v>1.0678391959799027E-2</v>
      </c>
      <c r="D144" s="6">
        <f t="shared" si="5"/>
        <v>1.0621780588054918E-2</v>
      </c>
    </row>
    <row r="145" spans="1:4" x14ac:dyDescent="0.25">
      <c r="A145" t="s">
        <v>192</v>
      </c>
      <c r="B145">
        <v>31.84</v>
      </c>
      <c r="C145" s="6">
        <f t="shared" si="4"/>
        <v>3.150598613736566E-3</v>
      </c>
      <c r="D145" s="6">
        <f t="shared" si="5"/>
        <v>3.1456458779192068E-3</v>
      </c>
    </row>
    <row r="146" spans="1:4" x14ac:dyDescent="0.25">
      <c r="A146" t="s">
        <v>193</v>
      </c>
      <c r="B146">
        <v>31.74</v>
      </c>
      <c r="C146" s="6">
        <f t="shared" si="4"/>
        <v>1.5777847901545794E-3</v>
      </c>
      <c r="D146" s="6">
        <f t="shared" si="5"/>
        <v>1.5765413954335931E-3</v>
      </c>
    </row>
    <row r="147" spans="1:4" x14ac:dyDescent="0.25">
      <c r="A147" t="s">
        <v>194</v>
      </c>
      <c r="B147">
        <v>31.69</v>
      </c>
      <c r="C147" s="6">
        <f t="shared" si="4"/>
        <v>-1.6754576481538774E-2</v>
      </c>
      <c r="D147" s="6">
        <f t="shared" si="5"/>
        <v>-1.6896522124516936E-2</v>
      </c>
    </row>
    <row r="148" spans="1:4" x14ac:dyDescent="0.25">
      <c r="A148" t="s">
        <v>195</v>
      </c>
      <c r="B148">
        <v>32.229999999999997</v>
      </c>
      <c r="C148" s="6">
        <f t="shared" si="4"/>
        <v>-1.7976843388178065E-2</v>
      </c>
      <c r="D148" s="6">
        <f t="shared" si="5"/>
        <v>-1.8140389834598484E-2</v>
      </c>
    </row>
    <row r="149" spans="1:4" x14ac:dyDescent="0.25">
      <c r="A149" t="s">
        <v>196</v>
      </c>
      <c r="B149">
        <v>32.82</v>
      </c>
      <c r="C149" s="6">
        <f t="shared" si="4"/>
        <v>1.1713933415536504E-2</v>
      </c>
      <c r="D149" s="6">
        <f t="shared" si="5"/>
        <v>1.1645856414732795E-2</v>
      </c>
    </row>
    <row r="150" spans="1:4" x14ac:dyDescent="0.25">
      <c r="A150" t="s">
        <v>197</v>
      </c>
      <c r="B150">
        <v>32.44</v>
      </c>
      <c r="C150" s="6">
        <f t="shared" si="4"/>
        <v>1.34333020930959E-2</v>
      </c>
      <c r="D150" s="6">
        <f t="shared" si="5"/>
        <v>1.3343875265440475E-2</v>
      </c>
    </row>
    <row r="151" spans="1:4" x14ac:dyDescent="0.25">
      <c r="A151" t="s">
        <v>198</v>
      </c>
      <c r="B151">
        <v>32.01</v>
      </c>
      <c r="C151" s="6">
        <f t="shared" si="4"/>
        <v>-1.2341869793273674E-2</v>
      </c>
      <c r="D151" s="6">
        <f t="shared" si="5"/>
        <v>-1.2418663171684314E-2</v>
      </c>
    </row>
    <row r="152" spans="1:4" x14ac:dyDescent="0.25">
      <c r="A152" t="s">
        <v>199</v>
      </c>
      <c r="B152">
        <v>32.409999999999997</v>
      </c>
      <c r="C152" s="6">
        <f t="shared" si="4"/>
        <v>1.5451174289244918E-3</v>
      </c>
      <c r="D152" s="6">
        <f t="shared" si="5"/>
        <v>1.5439249631649646E-3</v>
      </c>
    </row>
    <row r="153" spans="1:4" x14ac:dyDescent="0.25">
      <c r="A153" t="s">
        <v>200</v>
      </c>
      <c r="B153">
        <v>32.36</v>
      </c>
      <c r="C153" s="6">
        <f t="shared" si="4"/>
        <v>1.6650958215520095E-2</v>
      </c>
      <c r="D153" s="6">
        <f t="shared" si="5"/>
        <v>1.6513850896289626E-2</v>
      </c>
    </row>
    <row r="154" spans="1:4" x14ac:dyDescent="0.25">
      <c r="A154" t="s">
        <v>201</v>
      </c>
      <c r="B154">
        <v>31.83</v>
      </c>
      <c r="C154" s="6">
        <f t="shared" si="4"/>
        <v>-3.1407035175878839E-4</v>
      </c>
      <c r="D154" s="6">
        <f t="shared" si="5"/>
        <v>-3.1411968218080102E-4</v>
      </c>
    </row>
    <row r="155" spans="1:4" x14ac:dyDescent="0.25">
      <c r="A155" t="s">
        <v>202</v>
      </c>
      <c r="B155">
        <v>31.84</v>
      </c>
      <c r="C155" s="6">
        <f t="shared" si="4"/>
        <v>-1.7283950617283939E-2</v>
      </c>
      <c r="D155" s="6">
        <f t="shared" si="5"/>
        <v>-1.7435061822101423E-2</v>
      </c>
    </row>
    <row r="156" spans="1:4" x14ac:dyDescent="0.25">
      <c r="A156" t="s">
        <v>203</v>
      </c>
      <c r="B156">
        <v>32.4</v>
      </c>
      <c r="C156" s="6">
        <f t="shared" si="4"/>
        <v>2.0793950850661602E-2</v>
      </c>
      <c r="D156" s="6">
        <f t="shared" si="5"/>
        <v>2.0580707700020663E-2</v>
      </c>
    </row>
    <row r="157" spans="1:4" x14ac:dyDescent="0.25">
      <c r="A157" t="s">
        <v>204</v>
      </c>
      <c r="B157">
        <v>31.74</v>
      </c>
      <c r="C157" s="6">
        <f t="shared" si="4"/>
        <v>0</v>
      </c>
      <c r="D157" s="6">
        <f t="shared" si="5"/>
        <v>0</v>
      </c>
    </row>
    <row r="158" spans="1:4" x14ac:dyDescent="0.25">
      <c r="A158" t="s">
        <v>205</v>
      </c>
      <c r="B158">
        <v>31.74</v>
      </c>
      <c r="C158" s="6">
        <f t="shared" si="4"/>
        <v>-8.1250000000000488E-3</v>
      </c>
      <c r="D158" s="6">
        <f t="shared" si="5"/>
        <v>-8.1581877014635824E-3</v>
      </c>
    </row>
    <row r="159" spans="1:4" x14ac:dyDescent="0.25">
      <c r="A159" t="s">
        <v>206</v>
      </c>
      <c r="B159">
        <v>32</v>
      </c>
      <c r="C159" s="6">
        <f t="shared" si="4"/>
        <v>3.1259768677727173E-4</v>
      </c>
      <c r="D159" s="6">
        <f t="shared" si="5"/>
        <v>3.1254883830006468E-4</v>
      </c>
    </row>
    <row r="160" spans="1:4" x14ac:dyDescent="0.25">
      <c r="A160" t="s">
        <v>207</v>
      </c>
      <c r="B160">
        <v>31.99</v>
      </c>
      <c r="C160" s="6">
        <f t="shared" si="4"/>
        <v>-6.521739130434967E-3</v>
      </c>
      <c r="D160" s="6">
        <f t="shared" si="5"/>
        <v>-6.5430985889361705E-3</v>
      </c>
    </row>
    <row r="161" spans="1:4" x14ac:dyDescent="0.25">
      <c r="A161" t="s">
        <v>208</v>
      </c>
      <c r="B161">
        <v>32.200000000000003</v>
      </c>
      <c r="C161" s="6">
        <f t="shared" si="4"/>
        <v>-1.1663597298956274E-2</v>
      </c>
      <c r="D161" s="6">
        <f t="shared" si="5"/>
        <v>-1.1732150623536308E-2</v>
      </c>
    </row>
    <row r="162" spans="1:4" x14ac:dyDescent="0.25">
      <c r="A162" t="s">
        <v>209</v>
      </c>
      <c r="B162">
        <v>32.58</v>
      </c>
      <c r="C162" s="6">
        <f t="shared" si="4"/>
        <v>5.8660080271688564E-3</v>
      </c>
      <c r="D162" s="6">
        <f t="shared" si="5"/>
        <v>5.8488699906611178E-3</v>
      </c>
    </row>
    <row r="163" spans="1:4" x14ac:dyDescent="0.25">
      <c r="A163" t="s">
        <v>210</v>
      </c>
      <c r="B163">
        <v>32.39</v>
      </c>
      <c r="C163" s="6">
        <f t="shared" si="4"/>
        <v>-1.0992366412213683E-2</v>
      </c>
      <c r="D163" s="6">
        <f t="shared" si="5"/>
        <v>-1.1053228898022937E-2</v>
      </c>
    </row>
    <row r="164" spans="1:4" x14ac:dyDescent="0.25">
      <c r="A164" t="s">
        <v>211</v>
      </c>
      <c r="B164">
        <v>32.75</v>
      </c>
      <c r="C164" s="6">
        <f t="shared" si="4"/>
        <v>1.7396707051879456E-2</v>
      </c>
      <c r="D164" s="6">
        <f t="shared" si="5"/>
        <v>1.7247116770544121E-2</v>
      </c>
    </row>
    <row r="165" spans="1:4" x14ac:dyDescent="0.25">
      <c r="A165" t="s">
        <v>212</v>
      </c>
      <c r="B165">
        <v>32.19</v>
      </c>
      <c r="C165" s="6">
        <f t="shared" si="4"/>
        <v>-1.4088820826952508E-2</v>
      </c>
      <c r="D165" s="6">
        <f t="shared" si="5"/>
        <v>-1.4189010411723255E-2</v>
      </c>
    </row>
    <row r="166" spans="1:4" x14ac:dyDescent="0.25">
      <c r="A166" t="s">
        <v>213</v>
      </c>
      <c r="B166">
        <v>32.65</v>
      </c>
      <c r="C166" s="6">
        <f t="shared" si="4"/>
        <v>-3.9658328248932673E-3</v>
      </c>
      <c r="D166" s="6">
        <f t="shared" si="5"/>
        <v>-3.9737175932435982E-3</v>
      </c>
    </row>
    <row r="167" spans="1:4" x14ac:dyDescent="0.25">
      <c r="A167" t="s">
        <v>214</v>
      </c>
      <c r="B167">
        <v>32.78</v>
      </c>
      <c r="C167" s="6">
        <f t="shared" si="4"/>
        <v>1.3292117465224074E-2</v>
      </c>
      <c r="D167" s="6">
        <f t="shared" si="5"/>
        <v>1.3204552368774018E-2</v>
      </c>
    </row>
    <row r="168" spans="1:4" x14ac:dyDescent="0.25">
      <c r="A168" t="s">
        <v>215</v>
      </c>
      <c r="B168">
        <v>32.35</v>
      </c>
      <c r="C168" s="6">
        <f t="shared" si="4"/>
        <v>5.2827843380982564E-3</v>
      </c>
      <c r="D168" s="6">
        <f t="shared" si="5"/>
        <v>5.2688793826724794E-3</v>
      </c>
    </row>
    <row r="169" spans="1:4" x14ac:dyDescent="0.25">
      <c r="A169" t="s">
        <v>216</v>
      </c>
      <c r="B169">
        <v>32.18</v>
      </c>
      <c r="C169" s="6">
        <f t="shared" si="4"/>
        <v>-1.1974209395148927E-2</v>
      </c>
      <c r="D169" s="6">
        <f t="shared" si="5"/>
        <v>-1.204647772390499E-2</v>
      </c>
    </row>
    <row r="170" spans="1:4" x14ac:dyDescent="0.25">
      <c r="A170" t="s">
        <v>217</v>
      </c>
      <c r="B170">
        <v>32.57</v>
      </c>
      <c r="C170" s="6">
        <f t="shared" si="4"/>
        <v>-1.063183475091134E-2</v>
      </c>
      <c r="D170" s="6">
        <f t="shared" si="5"/>
        <v>-1.068875652072698E-2</v>
      </c>
    </row>
    <row r="171" spans="1:4" x14ac:dyDescent="0.25">
      <c r="A171" t="s">
        <v>218</v>
      </c>
      <c r="B171">
        <v>32.92</v>
      </c>
      <c r="C171" s="6">
        <f t="shared" si="4"/>
        <v>-2.7264465313540098E-3</v>
      </c>
      <c r="D171" s="6">
        <f t="shared" si="5"/>
        <v>-2.7301700562324567E-3</v>
      </c>
    </row>
    <row r="172" spans="1:4" x14ac:dyDescent="0.25">
      <c r="A172" t="s">
        <v>219</v>
      </c>
      <c r="B172">
        <v>33.01</v>
      </c>
      <c r="C172" s="6">
        <f t="shared" si="4"/>
        <v>-1.8727705112960846E-2</v>
      </c>
      <c r="D172" s="6">
        <f t="shared" si="5"/>
        <v>-1.8905289239645746E-2</v>
      </c>
    </row>
    <row r="173" spans="1:4" x14ac:dyDescent="0.25">
      <c r="A173" t="s">
        <v>220</v>
      </c>
      <c r="B173">
        <v>33.64</v>
      </c>
      <c r="C173" s="6">
        <f t="shared" si="4"/>
        <v>-1.6661794796843044E-2</v>
      </c>
      <c r="D173" s="6">
        <f t="shared" si="5"/>
        <v>-1.6802163884766019E-2</v>
      </c>
    </row>
    <row r="174" spans="1:4" x14ac:dyDescent="0.25">
      <c r="A174" t="s">
        <v>221</v>
      </c>
      <c r="B174">
        <v>34.21</v>
      </c>
      <c r="C174" s="6">
        <f t="shared" si="4"/>
        <v>-8.980301274623459E-3</v>
      </c>
      <c r="D174" s="6">
        <f t="shared" si="5"/>
        <v>-9.020867225713939E-3</v>
      </c>
    </row>
    <row r="175" spans="1:4" x14ac:dyDescent="0.25">
      <c r="A175" t="s">
        <v>222</v>
      </c>
      <c r="B175">
        <v>34.520000000000003</v>
      </c>
      <c r="C175" s="6">
        <f t="shared" si="4"/>
        <v>-2.6004045073677595E-3</v>
      </c>
      <c r="D175" s="6">
        <f t="shared" si="5"/>
        <v>-2.6037914320256347E-3</v>
      </c>
    </row>
    <row r="176" spans="1:4" x14ac:dyDescent="0.25">
      <c r="A176" t="s">
        <v>223</v>
      </c>
      <c r="B176">
        <v>34.61</v>
      </c>
      <c r="C176" s="6">
        <f t="shared" si="4"/>
        <v>-2.5936599423631579E-3</v>
      </c>
      <c r="D176" s="6">
        <f t="shared" si="5"/>
        <v>-2.5970293055606695E-3</v>
      </c>
    </row>
    <row r="177" spans="1:4" x14ac:dyDescent="0.25">
      <c r="A177" t="s">
        <v>224</v>
      </c>
      <c r="B177">
        <v>34.700000000000003</v>
      </c>
      <c r="C177" s="6">
        <f t="shared" si="4"/>
        <v>5.7971014492754769E-3</v>
      </c>
      <c r="D177" s="6">
        <f t="shared" si="5"/>
        <v>5.7803629154995493E-3</v>
      </c>
    </row>
    <row r="178" spans="1:4" x14ac:dyDescent="0.25">
      <c r="A178" t="s">
        <v>225</v>
      </c>
      <c r="B178">
        <v>34.5</v>
      </c>
      <c r="C178" s="6">
        <f t="shared" si="4"/>
        <v>1.0544815465729274E-2</v>
      </c>
      <c r="D178" s="6">
        <f t="shared" si="5"/>
        <v>1.0489606671019443E-2</v>
      </c>
    </row>
    <row r="179" spans="1:4" x14ac:dyDescent="0.25">
      <c r="A179" t="s">
        <v>226</v>
      </c>
      <c r="B179">
        <v>34.14</v>
      </c>
      <c r="C179" s="6">
        <f t="shared" si="4"/>
        <v>-1.0147868947521066E-2</v>
      </c>
      <c r="D179" s="6">
        <f t="shared" si="5"/>
        <v>-1.0199709582455032E-2</v>
      </c>
    </row>
    <row r="180" spans="1:4" x14ac:dyDescent="0.25">
      <c r="A180" t="s">
        <v>227</v>
      </c>
      <c r="B180">
        <v>34.49</v>
      </c>
      <c r="C180" s="6">
        <f t="shared" si="4"/>
        <v>5.5393586005831885E-3</v>
      </c>
      <c r="D180" s="6">
        <f t="shared" si="5"/>
        <v>5.5240727768554052E-3</v>
      </c>
    </row>
    <row r="181" spans="1:4" x14ac:dyDescent="0.25">
      <c r="A181" t="s">
        <v>228</v>
      </c>
      <c r="B181">
        <v>34.299999999999997</v>
      </c>
      <c r="C181" s="6">
        <f t="shared" si="4"/>
        <v>2.3269689737470012E-2</v>
      </c>
      <c r="D181" s="6">
        <f t="shared" si="5"/>
        <v>2.3003078558011789E-2</v>
      </c>
    </row>
    <row r="182" spans="1:4" x14ac:dyDescent="0.25">
      <c r="A182" t="s">
        <v>229</v>
      </c>
      <c r="B182">
        <v>33.520000000000003</v>
      </c>
      <c r="C182" s="6">
        <f t="shared" si="4"/>
        <v>2.8220858895705581E-2</v>
      </c>
      <c r="D182" s="6">
        <f t="shared" si="5"/>
        <v>2.7829987241220388E-2</v>
      </c>
    </row>
    <row r="183" spans="1:4" x14ac:dyDescent="0.25">
      <c r="A183" t="s">
        <v>230</v>
      </c>
      <c r="B183">
        <v>32.6</v>
      </c>
      <c r="C183" s="6">
        <f t="shared" si="4"/>
        <v>2.0983401190103335E-2</v>
      </c>
      <c r="D183" s="6">
        <f t="shared" si="5"/>
        <v>2.0766281645971295E-2</v>
      </c>
    </row>
    <row r="184" spans="1:4" x14ac:dyDescent="0.25">
      <c r="A184" t="s">
        <v>231</v>
      </c>
      <c r="B184">
        <v>31.93</v>
      </c>
      <c r="C184" s="6">
        <f t="shared" si="4"/>
        <v>3.7723986167872425E-3</v>
      </c>
      <c r="D184" s="6">
        <f t="shared" si="5"/>
        <v>3.7653009656379763E-3</v>
      </c>
    </row>
    <row r="185" spans="1:4" x14ac:dyDescent="0.25">
      <c r="A185" t="s">
        <v>232</v>
      </c>
      <c r="B185">
        <v>31.81</v>
      </c>
      <c r="C185" s="6">
        <f t="shared" si="4"/>
        <v>-1.6996291718170631E-2</v>
      </c>
      <c r="D185" s="6">
        <f t="shared" si="5"/>
        <v>-1.7142386429238252E-2</v>
      </c>
    </row>
    <row r="186" spans="1:4" x14ac:dyDescent="0.25">
      <c r="A186" t="s">
        <v>233</v>
      </c>
      <c r="B186">
        <v>32.36</v>
      </c>
      <c r="C186" s="6">
        <f t="shared" si="4"/>
        <v>-2.3536511768255886E-2</v>
      </c>
      <c r="D186" s="6">
        <f t="shared" si="5"/>
        <v>-2.3817919808125913E-2</v>
      </c>
    </row>
    <row r="187" spans="1:4" x14ac:dyDescent="0.25">
      <c r="A187" t="s">
        <v>234</v>
      </c>
      <c r="B187">
        <v>33.14</v>
      </c>
      <c r="C187" s="6">
        <f t="shared" si="4"/>
        <v>1.7188459177409632E-2</v>
      </c>
      <c r="D187" s="6">
        <f t="shared" si="5"/>
        <v>1.7042408824517956E-2</v>
      </c>
    </row>
    <row r="188" spans="1:4" x14ac:dyDescent="0.25">
      <c r="A188" t="s">
        <v>235</v>
      </c>
      <c r="B188">
        <v>32.58</v>
      </c>
      <c r="C188" s="6">
        <f t="shared" si="4"/>
        <v>-1.2262415695891704E-3</v>
      </c>
      <c r="D188" s="6">
        <f t="shared" si="5"/>
        <v>-1.2269940189687022E-3</v>
      </c>
    </row>
    <row r="189" spans="1:4" x14ac:dyDescent="0.25">
      <c r="A189" t="s">
        <v>236</v>
      </c>
      <c r="B189">
        <v>32.619999999999997</v>
      </c>
      <c r="C189" s="6">
        <f t="shared" si="4"/>
        <v>-2.3060796645702375E-2</v>
      </c>
      <c r="D189" s="6">
        <f t="shared" si="5"/>
        <v>-2.3330856762695414E-2</v>
      </c>
    </row>
    <row r="190" spans="1:4" x14ac:dyDescent="0.25">
      <c r="A190" t="s">
        <v>237</v>
      </c>
      <c r="B190">
        <v>33.39</v>
      </c>
      <c r="C190" s="6">
        <f t="shared" si="4"/>
        <v>1.212488632919051E-2</v>
      </c>
      <c r="D190" s="6">
        <f t="shared" si="5"/>
        <v>1.2051968715072947E-2</v>
      </c>
    </row>
    <row r="191" spans="1:4" x14ac:dyDescent="0.25">
      <c r="A191" t="s">
        <v>238</v>
      </c>
      <c r="B191">
        <v>32.99</v>
      </c>
      <c r="C191" s="6">
        <f t="shared" si="4"/>
        <v>7.9437824625727682E-3</v>
      </c>
      <c r="D191" s="6">
        <f t="shared" si="5"/>
        <v>7.9123967274011171E-3</v>
      </c>
    </row>
    <row r="192" spans="1:4" x14ac:dyDescent="0.25">
      <c r="A192" t="s">
        <v>239</v>
      </c>
      <c r="B192">
        <v>32.729999999999997</v>
      </c>
      <c r="C192" s="6">
        <f t="shared" si="4"/>
        <v>-6.978155339805947E-3</v>
      </c>
      <c r="D192" s="6">
        <f t="shared" si="5"/>
        <v>-7.0026165281819302E-3</v>
      </c>
    </row>
    <row r="193" spans="1:4" x14ac:dyDescent="0.25">
      <c r="A193" t="s">
        <v>240</v>
      </c>
      <c r="B193">
        <v>32.96</v>
      </c>
      <c r="C193" s="6">
        <f t="shared" si="4"/>
        <v>-2.3117960877297006E-2</v>
      </c>
      <c r="D193" s="6">
        <f t="shared" si="5"/>
        <v>-2.3389372076551323E-2</v>
      </c>
    </row>
    <row r="194" spans="1:4" x14ac:dyDescent="0.25">
      <c r="A194" t="s">
        <v>241</v>
      </c>
      <c r="B194">
        <v>33.74</v>
      </c>
      <c r="C194" s="6">
        <f t="shared" si="4"/>
        <v>-8.5218924478400737E-3</v>
      </c>
      <c r="D194" s="6">
        <f t="shared" si="5"/>
        <v>-8.5584113949920496E-3</v>
      </c>
    </row>
    <row r="195" spans="1:4" x14ac:dyDescent="0.25">
      <c r="A195" t="s">
        <v>242</v>
      </c>
      <c r="B195">
        <v>34.03</v>
      </c>
      <c r="C195" s="6">
        <f t="shared" ref="C195:C258" si="6">(B195/B196)-1</f>
        <v>2.9340592861464065E-2</v>
      </c>
      <c r="D195" s="6">
        <f t="shared" ref="D195:D258" si="7">LN(B195/B196)</f>
        <v>2.8918396119936299E-2</v>
      </c>
    </row>
    <row r="196" spans="1:4" x14ac:dyDescent="0.25">
      <c r="A196" t="s">
        <v>243</v>
      </c>
      <c r="B196">
        <v>33.06</v>
      </c>
      <c r="C196" s="6">
        <f t="shared" si="6"/>
        <v>-3.3162496231534666E-3</v>
      </c>
      <c r="D196" s="6">
        <f t="shared" si="7"/>
        <v>-3.3217605660829461E-3</v>
      </c>
    </row>
    <row r="197" spans="1:4" x14ac:dyDescent="0.25">
      <c r="A197" t="s">
        <v>244</v>
      </c>
      <c r="B197">
        <v>33.17</v>
      </c>
      <c r="C197" s="6">
        <f t="shared" si="6"/>
        <v>-3.0057108506161834E-3</v>
      </c>
      <c r="D197" s="6">
        <f t="shared" si="7"/>
        <v>-3.0102370714243198E-3</v>
      </c>
    </row>
    <row r="198" spans="1:4" x14ac:dyDescent="0.25">
      <c r="A198" t="s">
        <v>245</v>
      </c>
      <c r="B198">
        <v>33.270000000000003</v>
      </c>
      <c r="C198" s="6">
        <f t="shared" si="6"/>
        <v>7.2661217075387086E-3</v>
      </c>
      <c r="D198" s="6">
        <f t="shared" si="7"/>
        <v>7.2398506276871782E-3</v>
      </c>
    </row>
    <row r="199" spans="1:4" x14ac:dyDescent="0.25">
      <c r="A199" t="s">
        <v>246</v>
      </c>
      <c r="B199">
        <v>33.03</v>
      </c>
      <c r="C199" s="6">
        <f t="shared" si="6"/>
        <v>-2.114803625377637E-3</v>
      </c>
      <c r="D199" s="6">
        <f t="shared" si="7"/>
        <v>-2.1170429803189237E-3</v>
      </c>
    </row>
    <row r="200" spans="1:4" x14ac:dyDescent="0.25">
      <c r="A200" t="s">
        <v>247</v>
      </c>
      <c r="B200">
        <v>33.1</v>
      </c>
      <c r="C200" s="6">
        <f t="shared" si="6"/>
        <v>1.9402525408068971E-2</v>
      </c>
      <c r="D200" s="6">
        <f t="shared" si="7"/>
        <v>1.9216696268262615E-2</v>
      </c>
    </row>
    <row r="201" spans="1:4" x14ac:dyDescent="0.25">
      <c r="A201" t="s">
        <v>248</v>
      </c>
      <c r="B201">
        <v>32.47</v>
      </c>
      <c r="C201" s="6">
        <f t="shared" si="6"/>
        <v>3.4405861739407406E-2</v>
      </c>
      <c r="D201" s="6">
        <f t="shared" si="7"/>
        <v>3.3827215260892357E-2</v>
      </c>
    </row>
    <row r="202" spans="1:4" x14ac:dyDescent="0.25">
      <c r="A202" t="s">
        <v>249</v>
      </c>
      <c r="B202">
        <v>31.39</v>
      </c>
      <c r="C202" s="6">
        <f t="shared" si="6"/>
        <v>7.7046548956662964E-3</v>
      </c>
      <c r="D202" s="6">
        <f t="shared" si="7"/>
        <v>7.6751256204001979E-3</v>
      </c>
    </row>
    <row r="203" spans="1:4" x14ac:dyDescent="0.25">
      <c r="A203" t="s">
        <v>250</v>
      </c>
      <c r="B203">
        <v>31.15</v>
      </c>
      <c r="C203" s="6">
        <f t="shared" si="6"/>
        <v>-1.2824623276692648E-3</v>
      </c>
      <c r="D203" s="6">
        <f t="shared" si="7"/>
        <v>-1.2832853862498822E-3</v>
      </c>
    </row>
    <row r="204" spans="1:4" x14ac:dyDescent="0.25">
      <c r="A204" t="s">
        <v>251</v>
      </c>
      <c r="B204">
        <v>31.19</v>
      </c>
      <c r="C204" s="6">
        <f t="shared" si="6"/>
        <v>2.9712776493892479E-2</v>
      </c>
      <c r="D204" s="6">
        <f t="shared" si="7"/>
        <v>2.9279905580566062E-2</v>
      </c>
    </row>
    <row r="205" spans="1:4" x14ac:dyDescent="0.25">
      <c r="A205" t="s">
        <v>252</v>
      </c>
      <c r="B205">
        <v>30.29</v>
      </c>
      <c r="C205" s="6">
        <f t="shared" si="6"/>
        <v>2.3163467902052037E-3</v>
      </c>
      <c r="D205" s="6">
        <f t="shared" si="7"/>
        <v>2.313668194552464E-3</v>
      </c>
    </row>
    <row r="206" spans="1:4" x14ac:dyDescent="0.25">
      <c r="A206" t="s">
        <v>253</v>
      </c>
      <c r="B206">
        <v>30.22</v>
      </c>
      <c r="C206" s="6">
        <f t="shared" si="6"/>
        <v>-9.5050803015405139E-3</v>
      </c>
      <c r="D206" s="6">
        <f t="shared" si="7"/>
        <v>-9.5505418839847995E-3</v>
      </c>
    </row>
    <row r="207" spans="1:4" x14ac:dyDescent="0.25">
      <c r="A207" t="s">
        <v>254</v>
      </c>
      <c r="B207">
        <v>30.51</v>
      </c>
      <c r="C207" s="6">
        <f t="shared" si="6"/>
        <v>-1.6441005802707909E-2</v>
      </c>
      <c r="D207" s="6">
        <f t="shared" si="7"/>
        <v>-1.6577659019814468E-2</v>
      </c>
    </row>
    <row r="208" spans="1:4" x14ac:dyDescent="0.25">
      <c r="A208" t="s">
        <v>255</v>
      </c>
      <c r="B208">
        <v>31.02</v>
      </c>
      <c r="C208" s="6">
        <f t="shared" si="6"/>
        <v>-7.994883274704212E-3</v>
      </c>
      <c r="D208" s="6">
        <f t="shared" si="7"/>
        <v>-8.0270137213571766E-3</v>
      </c>
    </row>
    <row r="209" spans="1:4" x14ac:dyDescent="0.25">
      <c r="A209" t="s">
        <v>256</v>
      </c>
      <c r="B209">
        <v>31.27</v>
      </c>
      <c r="C209" s="6">
        <f t="shared" si="6"/>
        <v>-1.2006319115323794E-2</v>
      </c>
      <c r="D209" s="6">
        <f t="shared" si="7"/>
        <v>-1.2078977120435215E-2</v>
      </c>
    </row>
    <row r="210" spans="1:4" x14ac:dyDescent="0.25">
      <c r="A210" t="s">
        <v>257</v>
      </c>
      <c r="B210">
        <v>31.65</v>
      </c>
      <c r="C210" s="6">
        <f t="shared" si="6"/>
        <v>0</v>
      </c>
      <c r="D210" s="6">
        <f t="shared" si="7"/>
        <v>0</v>
      </c>
    </row>
    <row r="211" spans="1:4" x14ac:dyDescent="0.25">
      <c r="A211" t="s">
        <v>258</v>
      </c>
      <c r="B211">
        <v>31.65</v>
      </c>
      <c r="C211" s="6">
        <f t="shared" si="6"/>
        <v>-1.0318949343339656E-2</v>
      </c>
      <c r="D211" s="6">
        <f t="shared" si="7"/>
        <v>-1.0372558815623049E-2</v>
      </c>
    </row>
    <row r="212" spans="1:4" x14ac:dyDescent="0.25">
      <c r="A212" t="s">
        <v>259</v>
      </c>
      <c r="B212">
        <v>31.98</v>
      </c>
      <c r="C212" s="6">
        <f t="shared" si="6"/>
        <v>-8.6794792312460123E-3</v>
      </c>
      <c r="D212" s="6">
        <f t="shared" si="7"/>
        <v>-8.7173652912545165E-3</v>
      </c>
    </row>
    <row r="213" spans="1:4" x14ac:dyDescent="0.25">
      <c r="A213" t="s">
        <v>260</v>
      </c>
      <c r="B213">
        <v>32.26</v>
      </c>
      <c r="C213" s="6">
        <f t="shared" si="6"/>
        <v>-1.1036174126302867E-2</v>
      </c>
      <c r="D213" s="6">
        <f t="shared" si="7"/>
        <v>-1.1097524495804994E-2</v>
      </c>
    </row>
    <row r="214" spans="1:4" x14ac:dyDescent="0.25">
      <c r="A214" t="s">
        <v>261</v>
      </c>
      <c r="B214">
        <v>32.619999999999997</v>
      </c>
      <c r="C214" s="6">
        <f t="shared" si="6"/>
        <v>1.3358185771978892E-2</v>
      </c>
      <c r="D214" s="6">
        <f t="shared" si="7"/>
        <v>1.3269751882151033E-2</v>
      </c>
    </row>
    <row r="215" spans="1:4" x14ac:dyDescent="0.25">
      <c r="A215" t="s">
        <v>262</v>
      </c>
      <c r="B215">
        <v>32.19</v>
      </c>
      <c r="C215" s="6">
        <f t="shared" si="6"/>
        <v>9.0909090909090384E-3</v>
      </c>
      <c r="D215" s="6">
        <f t="shared" si="7"/>
        <v>9.0498355199178562E-3</v>
      </c>
    </row>
    <row r="216" spans="1:4" x14ac:dyDescent="0.25">
      <c r="A216" t="s">
        <v>263</v>
      </c>
      <c r="B216">
        <v>31.9</v>
      </c>
      <c r="C216" s="6">
        <f t="shared" si="6"/>
        <v>6.2735257214563411E-4</v>
      </c>
      <c r="D216" s="6">
        <f t="shared" si="7"/>
        <v>6.2715586878468537E-4</v>
      </c>
    </row>
    <row r="217" spans="1:4" x14ac:dyDescent="0.25">
      <c r="A217" t="s">
        <v>264</v>
      </c>
      <c r="B217">
        <v>31.88</v>
      </c>
      <c r="C217" s="6">
        <f t="shared" si="6"/>
        <v>-6.5440947335619892E-3</v>
      </c>
      <c r="D217" s="6">
        <f t="shared" si="7"/>
        <v>-6.5656011997513447E-3</v>
      </c>
    </row>
    <row r="218" spans="1:4" x14ac:dyDescent="0.25">
      <c r="A218" t="s">
        <v>265</v>
      </c>
      <c r="B218">
        <v>32.090000000000003</v>
      </c>
      <c r="C218" s="6">
        <f t="shared" si="6"/>
        <v>1.2480499219971186E-3</v>
      </c>
      <c r="D218" s="6">
        <f t="shared" si="7"/>
        <v>1.2472717550866942E-3</v>
      </c>
    </row>
    <row r="219" spans="1:4" x14ac:dyDescent="0.25">
      <c r="A219" t="s">
        <v>266</v>
      </c>
      <c r="B219">
        <v>32.049999999999997</v>
      </c>
      <c r="C219" s="6">
        <f t="shared" si="6"/>
        <v>-7.7399380804953344E-3</v>
      </c>
      <c r="D219" s="6">
        <f t="shared" si="7"/>
        <v>-7.7700468619317882E-3</v>
      </c>
    </row>
    <row r="220" spans="1:4" x14ac:dyDescent="0.25">
      <c r="A220" t="s">
        <v>267</v>
      </c>
      <c r="B220">
        <v>32.299999999999997</v>
      </c>
      <c r="C220" s="6">
        <f t="shared" si="6"/>
        <v>-7.3755377996312932E-3</v>
      </c>
      <c r="D220" s="6">
        <f t="shared" si="7"/>
        <v>-7.4028715622809545E-3</v>
      </c>
    </row>
    <row r="221" spans="1:4" x14ac:dyDescent="0.25">
      <c r="A221" t="s">
        <v>268</v>
      </c>
      <c r="B221">
        <v>32.54</v>
      </c>
      <c r="C221" s="6">
        <f t="shared" si="6"/>
        <v>-2.0764369545591244E-2</v>
      </c>
      <c r="D221" s="6">
        <f t="shared" si="7"/>
        <v>-2.0982980575611081E-2</v>
      </c>
    </row>
    <row r="222" spans="1:4" x14ac:dyDescent="0.25">
      <c r="A222" t="s">
        <v>269</v>
      </c>
      <c r="B222">
        <v>33.229999999999997</v>
      </c>
      <c r="C222" s="6">
        <f t="shared" si="6"/>
        <v>6.022282445046212E-4</v>
      </c>
      <c r="D222" s="6">
        <f t="shared" si="7"/>
        <v>6.0204697784766424E-4</v>
      </c>
    </row>
    <row r="223" spans="1:4" x14ac:dyDescent="0.25">
      <c r="A223" t="s">
        <v>270</v>
      </c>
      <c r="B223">
        <v>33.21</v>
      </c>
      <c r="C223" s="6">
        <f t="shared" si="6"/>
        <v>-1.6000000000000014E-2</v>
      </c>
      <c r="D223" s="6">
        <f t="shared" si="7"/>
        <v>-1.6129381929883644E-2</v>
      </c>
    </row>
    <row r="224" spans="1:4" x14ac:dyDescent="0.25">
      <c r="A224" t="s">
        <v>271</v>
      </c>
      <c r="B224">
        <v>33.75</v>
      </c>
      <c r="C224" s="6">
        <f t="shared" si="6"/>
        <v>6.2611806797854275E-3</v>
      </c>
      <c r="D224" s="6">
        <f t="shared" si="7"/>
        <v>6.2416609234761337E-3</v>
      </c>
    </row>
    <row r="225" spans="1:4" x14ac:dyDescent="0.25">
      <c r="A225" t="s">
        <v>272</v>
      </c>
      <c r="B225">
        <v>33.54</v>
      </c>
      <c r="C225" s="6">
        <f t="shared" si="6"/>
        <v>-4.3627031650983805E-2</v>
      </c>
      <c r="D225" s="6">
        <f t="shared" si="7"/>
        <v>-4.4607307757024005E-2</v>
      </c>
    </row>
    <row r="226" spans="1:4" x14ac:dyDescent="0.25">
      <c r="A226" t="s">
        <v>273</v>
      </c>
      <c r="B226">
        <v>35.07</v>
      </c>
      <c r="C226" s="6">
        <f t="shared" si="6"/>
        <v>-1.4610845743186385E-2</v>
      </c>
      <c r="D226" s="6">
        <f t="shared" si="7"/>
        <v>-1.4718635370014669E-2</v>
      </c>
    </row>
    <row r="227" spans="1:4" x14ac:dyDescent="0.25">
      <c r="A227" t="s">
        <v>274</v>
      </c>
      <c r="B227">
        <v>35.590000000000003</v>
      </c>
      <c r="C227" s="6">
        <f t="shared" si="6"/>
        <v>2.0940906483075228E-2</v>
      </c>
      <c r="D227" s="6">
        <f t="shared" si="7"/>
        <v>2.0724659430226514E-2</v>
      </c>
    </row>
    <row r="228" spans="1:4" x14ac:dyDescent="0.25">
      <c r="A228" t="s">
        <v>275</v>
      </c>
      <c r="B228">
        <v>34.86</v>
      </c>
      <c r="C228" s="6">
        <f t="shared" si="6"/>
        <v>3.7191312109491115E-2</v>
      </c>
      <c r="D228" s="6">
        <f t="shared" si="7"/>
        <v>3.6516398354860466E-2</v>
      </c>
    </row>
    <row r="229" spans="1:4" x14ac:dyDescent="0.25">
      <c r="A229" t="s">
        <v>276</v>
      </c>
      <c r="B229">
        <v>33.61</v>
      </c>
      <c r="C229" s="6">
        <f t="shared" si="6"/>
        <v>-5.5633604945209414E-2</v>
      </c>
      <c r="D229" s="6">
        <f t="shared" si="7"/>
        <v>-5.7241057785087104E-2</v>
      </c>
    </row>
    <row r="230" spans="1:4" x14ac:dyDescent="0.25">
      <c r="A230" t="s">
        <v>277</v>
      </c>
      <c r="B230">
        <v>35.590000000000003</v>
      </c>
      <c r="C230" s="6">
        <f t="shared" si="6"/>
        <v>-1.7122341894504234E-2</v>
      </c>
      <c r="D230" s="6">
        <f t="shared" si="7"/>
        <v>-1.727062425544847E-2</v>
      </c>
    </row>
    <row r="231" spans="1:4" x14ac:dyDescent="0.25">
      <c r="A231" t="s">
        <v>278</v>
      </c>
      <c r="B231">
        <v>36.21</v>
      </c>
      <c r="C231" s="6">
        <f t="shared" si="6"/>
        <v>2.4328147100424413E-2</v>
      </c>
      <c r="D231" s="6">
        <f t="shared" si="7"/>
        <v>2.4036931434968146E-2</v>
      </c>
    </row>
    <row r="232" spans="1:4" x14ac:dyDescent="0.25">
      <c r="A232" t="s">
        <v>279</v>
      </c>
      <c r="B232">
        <v>35.35</v>
      </c>
      <c r="C232" s="6">
        <f t="shared" si="6"/>
        <v>1.9841269841269771E-3</v>
      </c>
      <c r="D232" s="6">
        <f t="shared" si="7"/>
        <v>1.9821612039912025E-3</v>
      </c>
    </row>
    <row r="233" spans="1:4" x14ac:dyDescent="0.25">
      <c r="A233" t="s">
        <v>280</v>
      </c>
      <c r="B233">
        <v>35.28</v>
      </c>
      <c r="C233" s="6">
        <f t="shared" si="6"/>
        <v>-1.6722408026755842E-2</v>
      </c>
      <c r="D233" s="6">
        <f t="shared" si="7"/>
        <v>-1.6863806052004805E-2</v>
      </c>
    </row>
    <row r="234" spans="1:4" x14ac:dyDescent="0.25">
      <c r="A234" t="s">
        <v>281</v>
      </c>
      <c r="B234">
        <v>35.880000000000003</v>
      </c>
      <c r="C234" s="6">
        <f t="shared" si="6"/>
        <v>3.6363636363636598E-3</v>
      </c>
      <c r="D234" s="6">
        <f t="shared" si="7"/>
        <v>3.6297680505787311E-3</v>
      </c>
    </row>
    <row r="235" spans="1:4" x14ac:dyDescent="0.25">
      <c r="A235" t="s">
        <v>282</v>
      </c>
      <c r="B235">
        <v>35.75</v>
      </c>
      <c r="C235" s="6">
        <f t="shared" si="6"/>
        <v>-1.5422748554117405E-2</v>
      </c>
      <c r="D235" s="6">
        <f t="shared" si="7"/>
        <v>-1.5542916286227839E-2</v>
      </c>
    </row>
    <row r="236" spans="1:4" x14ac:dyDescent="0.25">
      <c r="A236" t="s">
        <v>283</v>
      </c>
      <c r="B236">
        <v>36.31</v>
      </c>
      <c r="C236" s="6">
        <f t="shared" si="6"/>
        <v>1.3679508654383055E-2</v>
      </c>
      <c r="D236" s="6">
        <f t="shared" si="7"/>
        <v>1.3586788793678726E-2</v>
      </c>
    </row>
    <row r="237" spans="1:4" x14ac:dyDescent="0.25">
      <c r="A237" t="s">
        <v>284</v>
      </c>
      <c r="B237">
        <v>35.82</v>
      </c>
      <c r="C237" s="6">
        <f t="shared" si="6"/>
        <v>3.080369644357317E-3</v>
      </c>
      <c r="D237" s="6">
        <f t="shared" si="7"/>
        <v>3.0756350262086374E-3</v>
      </c>
    </row>
    <row r="238" spans="1:4" x14ac:dyDescent="0.25">
      <c r="A238" t="s">
        <v>285</v>
      </c>
      <c r="B238">
        <v>35.71</v>
      </c>
      <c r="C238" s="6">
        <f t="shared" si="6"/>
        <v>-1.6795154185021977E-2</v>
      </c>
      <c r="D238" s="6">
        <f t="shared" si="7"/>
        <v>-1.6937792126735417E-2</v>
      </c>
    </row>
    <row r="239" spans="1:4" x14ac:dyDescent="0.25">
      <c r="A239" t="s">
        <v>286</v>
      </c>
      <c r="B239">
        <v>36.32</v>
      </c>
      <c r="C239" s="6">
        <f t="shared" si="6"/>
        <v>-7.6502732240437687E-3</v>
      </c>
      <c r="D239" s="6">
        <f t="shared" si="7"/>
        <v>-7.6796866742280742E-3</v>
      </c>
    </row>
    <row r="240" spans="1:4" x14ac:dyDescent="0.25">
      <c r="A240" t="s">
        <v>287</v>
      </c>
      <c r="B240">
        <v>36.6</v>
      </c>
      <c r="C240" s="6">
        <f t="shared" si="6"/>
        <v>-2.2696929238985364E-2</v>
      </c>
      <c r="D240" s="6">
        <f t="shared" si="7"/>
        <v>-2.2958469555907971E-2</v>
      </c>
    </row>
    <row r="241" spans="1:4" x14ac:dyDescent="0.25">
      <c r="A241" t="s">
        <v>288</v>
      </c>
      <c r="B241">
        <v>37.450000000000003</v>
      </c>
      <c r="C241" s="6">
        <f t="shared" si="6"/>
        <v>2.5184779633178334E-2</v>
      </c>
      <c r="D241" s="6">
        <f t="shared" si="7"/>
        <v>2.4872869156037473E-2</v>
      </c>
    </row>
    <row r="242" spans="1:4" x14ac:dyDescent="0.25">
      <c r="A242" t="s">
        <v>289</v>
      </c>
      <c r="B242">
        <v>36.53</v>
      </c>
      <c r="C242" s="6">
        <f t="shared" si="6"/>
        <v>-1.3668671405138166E-3</v>
      </c>
      <c r="D242" s="6">
        <f t="shared" si="7"/>
        <v>-1.3678021555283792E-3</v>
      </c>
    </row>
    <row r="243" spans="1:4" x14ac:dyDescent="0.25">
      <c r="A243" t="s">
        <v>290</v>
      </c>
      <c r="B243">
        <v>36.58</v>
      </c>
      <c r="C243" s="6">
        <f t="shared" si="6"/>
        <v>2.1917808219178436E-3</v>
      </c>
      <c r="D243" s="6">
        <f t="shared" si="7"/>
        <v>2.1893823742738534E-3</v>
      </c>
    </row>
    <row r="244" spans="1:4" x14ac:dyDescent="0.25">
      <c r="A244" t="s">
        <v>291</v>
      </c>
      <c r="B244">
        <v>36.5</v>
      </c>
      <c r="C244" s="6">
        <f t="shared" si="6"/>
        <v>8.2259391280503635E-4</v>
      </c>
      <c r="D244" s="6">
        <f t="shared" si="7"/>
        <v>8.2225576785695568E-4</v>
      </c>
    </row>
    <row r="245" spans="1:4" x14ac:dyDescent="0.25">
      <c r="A245" t="s">
        <v>292</v>
      </c>
      <c r="B245">
        <v>36.47</v>
      </c>
      <c r="C245" s="6">
        <f t="shared" si="6"/>
        <v>6.6243444659122019E-3</v>
      </c>
      <c r="D245" s="6">
        <f t="shared" si="7"/>
        <v>6.6024999136029662E-3</v>
      </c>
    </row>
    <row r="246" spans="1:4" x14ac:dyDescent="0.25">
      <c r="A246" t="s">
        <v>293</v>
      </c>
      <c r="B246">
        <v>36.229999999999997</v>
      </c>
      <c r="C246" s="6">
        <f t="shared" si="6"/>
        <v>1.3426573426573274E-2</v>
      </c>
      <c r="D246" s="6">
        <f t="shared" si="7"/>
        <v>1.3337235766969052E-2</v>
      </c>
    </row>
    <row r="247" spans="1:4" x14ac:dyDescent="0.25">
      <c r="A247" t="s">
        <v>294</v>
      </c>
      <c r="B247">
        <v>35.75</v>
      </c>
      <c r="C247" s="6">
        <f t="shared" si="6"/>
        <v>-1.270367301850317E-2</v>
      </c>
      <c r="D247" s="6">
        <f t="shared" si="7"/>
        <v>-1.2785054637533157E-2</v>
      </c>
    </row>
    <row r="248" spans="1:4" x14ac:dyDescent="0.25">
      <c r="A248" t="s">
        <v>295</v>
      </c>
      <c r="B248">
        <v>36.21</v>
      </c>
      <c r="C248" s="6">
        <f t="shared" si="6"/>
        <v>-1.173580786026196E-2</v>
      </c>
      <c r="D248" s="6">
        <f t="shared" si="7"/>
        <v>-1.1805216028379644E-2</v>
      </c>
    </row>
    <row r="249" spans="1:4" x14ac:dyDescent="0.25">
      <c r="A249" t="s">
        <v>296</v>
      </c>
      <c r="B249">
        <v>36.64</v>
      </c>
      <c r="C249" s="6">
        <f t="shared" si="6"/>
        <v>-8.9261563429807733E-3</v>
      </c>
      <c r="D249" s="6">
        <f t="shared" si="7"/>
        <v>-8.9662331426110051E-3</v>
      </c>
    </row>
    <row r="250" spans="1:4" x14ac:dyDescent="0.25">
      <c r="A250" t="s">
        <v>297</v>
      </c>
      <c r="B250">
        <v>36.97</v>
      </c>
      <c r="C250" s="6">
        <f t="shared" si="6"/>
        <v>1.2322015334063519E-2</v>
      </c>
      <c r="D250" s="6">
        <f t="shared" si="7"/>
        <v>1.224671722177282E-2</v>
      </c>
    </row>
    <row r="251" spans="1:4" x14ac:dyDescent="0.25">
      <c r="A251" t="s">
        <v>298</v>
      </c>
      <c r="B251">
        <v>36.520000000000003</v>
      </c>
      <c r="C251" s="6">
        <f t="shared" si="6"/>
        <v>2.4116657319125157E-2</v>
      </c>
      <c r="D251" s="6">
        <f t="shared" si="7"/>
        <v>2.3830443291773452E-2</v>
      </c>
    </row>
    <row r="252" spans="1:4" x14ac:dyDescent="0.25">
      <c r="A252" t="s">
        <v>299</v>
      </c>
      <c r="B252">
        <v>35.659999999999997</v>
      </c>
      <c r="C252" s="6">
        <f t="shared" si="6"/>
        <v>-1.3008580127318203E-2</v>
      </c>
      <c r="D252" s="6">
        <f t="shared" si="7"/>
        <v>-1.3093932724554695E-2</v>
      </c>
    </row>
    <row r="253" spans="1:4" x14ac:dyDescent="0.25">
      <c r="A253" t="s">
        <v>300</v>
      </c>
      <c r="B253">
        <v>36.130000000000003</v>
      </c>
      <c r="C253" s="6">
        <f t="shared" si="6"/>
        <v>-1.5263014445352829E-2</v>
      </c>
      <c r="D253" s="6">
        <f t="shared" si="7"/>
        <v>-1.5380693207641693E-2</v>
      </c>
    </row>
    <row r="254" spans="1:4" x14ac:dyDescent="0.25">
      <c r="A254" t="s">
        <v>301</v>
      </c>
      <c r="B254">
        <v>36.69</v>
      </c>
      <c r="C254" s="6">
        <f t="shared" si="6"/>
        <v>5.7565789473683626E-3</v>
      </c>
      <c r="D254" s="6">
        <f t="shared" si="7"/>
        <v>5.7400731610599805E-3</v>
      </c>
    </row>
    <row r="255" spans="1:4" x14ac:dyDescent="0.25">
      <c r="A255" t="s">
        <v>302</v>
      </c>
      <c r="B255">
        <v>36.479999999999997</v>
      </c>
      <c r="C255" s="6">
        <f t="shared" si="6"/>
        <v>-8.1566068515498413E-3</v>
      </c>
      <c r="D255" s="6">
        <f t="shared" si="7"/>
        <v>-8.1900539700444797E-3</v>
      </c>
    </row>
    <row r="256" spans="1:4" x14ac:dyDescent="0.25">
      <c r="A256" t="s">
        <v>303</v>
      </c>
      <c r="B256">
        <v>36.78</v>
      </c>
      <c r="C256" s="6">
        <f t="shared" si="6"/>
        <v>-1.2352309344790591E-2</v>
      </c>
      <c r="D256" s="6">
        <f t="shared" si="7"/>
        <v>-1.2429233232691333E-2</v>
      </c>
    </row>
    <row r="257" spans="1:4" x14ac:dyDescent="0.25">
      <c r="A257" t="s">
        <v>304</v>
      </c>
      <c r="B257">
        <v>37.24</v>
      </c>
      <c r="C257" s="6">
        <f t="shared" si="6"/>
        <v>1.2782159369050916E-2</v>
      </c>
      <c r="D257" s="6">
        <f t="shared" si="7"/>
        <v>1.2701157095685742E-2</v>
      </c>
    </row>
    <row r="258" spans="1:4" x14ac:dyDescent="0.25">
      <c r="A258" t="s">
        <v>305</v>
      </c>
      <c r="B258">
        <v>36.770000000000003</v>
      </c>
      <c r="C258" s="6">
        <f t="shared" si="6"/>
        <v>1.4344827586207032E-2</v>
      </c>
      <c r="D258" s="6">
        <f t="shared" si="7"/>
        <v>1.4242914012496988E-2</v>
      </c>
    </row>
    <row r="259" spans="1:4" x14ac:dyDescent="0.25">
      <c r="A259" t="s">
        <v>306</v>
      </c>
      <c r="B259">
        <v>36.25</v>
      </c>
      <c r="C259" s="6">
        <f t="shared" ref="C259:C322" si="8">(B259/B260)-1</f>
        <v>-4.1258926209997382E-2</v>
      </c>
      <c r="D259" s="6">
        <f t="shared" ref="D259:D322" si="9">LN(B259/B260)</f>
        <v>-4.2134236602157732E-2</v>
      </c>
    </row>
    <row r="260" spans="1:4" x14ac:dyDescent="0.25">
      <c r="A260" t="s">
        <v>307</v>
      </c>
      <c r="B260">
        <v>37.81</v>
      </c>
      <c r="C260" s="6">
        <f t="shared" si="8"/>
        <v>3.1838684001062045E-3</v>
      </c>
      <c r="D260" s="6">
        <f t="shared" si="9"/>
        <v>3.1788106237975004E-3</v>
      </c>
    </row>
    <row r="261" spans="1:4" x14ac:dyDescent="0.25">
      <c r="A261" t="s">
        <v>308</v>
      </c>
      <c r="B261">
        <v>37.69</v>
      </c>
      <c r="C261" s="6">
        <f t="shared" si="8"/>
        <v>-4.2272126816381705E-3</v>
      </c>
      <c r="D261" s="6">
        <f t="shared" si="9"/>
        <v>-4.236172604413847E-3</v>
      </c>
    </row>
    <row r="262" spans="1:4" x14ac:dyDescent="0.25">
      <c r="A262" t="s">
        <v>309</v>
      </c>
      <c r="B262">
        <v>37.85</v>
      </c>
      <c r="C262" s="6">
        <f t="shared" si="8"/>
        <v>-2.897787144362507E-3</v>
      </c>
      <c r="D262" s="6">
        <f t="shared" si="9"/>
        <v>-2.9019938582693534E-3</v>
      </c>
    </row>
    <row r="263" spans="1:4" x14ac:dyDescent="0.25">
      <c r="A263" t="s">
        <v>310</v>
      </c>
      <c r="B263">
        <v>37.96</v>
      </c>
      <c r="C263" s="6">
        <f t="shared" si="8"/>
        <v>-1.2486992715920797E-2</v>
      </c>
      <c r="D263" s="6">
        <f t="shared" si="9"/>
        <v>-1.2565610360364507E-2</v>
      </c>
    </row>
    <row r="264" spans="1:4" x14ac:dyDescent="0.25">
      <c r="A264" t="s">
        <v>311</v>
      </c>
      <c r="B264">
        <v>38.44</v>
      </c>
      <c r="C264" s="6">
        <f t="shared" si="8"/>
        <v>-3.3704952035261693E-3</v>
      </c>
      <c r="D264" s="6">
        <f t="shared" si="9"/>
        <v>-3.3761881180447949E-3</v>
      </c>
    </row>
    <row r="265" spans="1:4" x14ac:dyDescent="0.25">
      <c r="A265" t="s">
        <v>312</v>
      </c>
      <c r="B265">
        <v>38.57</v>
      </c>
      <c r="C265" s="6">
        <f t="shared" si="8"/>
        <v>2.0784619381657432E-3</v>
      </c>
      <c r="D265" s="6">
        <f t="shared" si="9"/>
        <v>2.0763049244816589E-3</v>
      </c>
    </row>
    <row r="266" spans="1:4" x14ac:dyDescent="0.25">
      <c r="A266" t="s">
        <v>313</v>
      </c>
      <c r="B266">
        <v>38.49</v>
      </c>
      <c r="C266" s="6">
        <f t="shared" si="8"/>
        <v>-1.3329915406306014E-2</v>
      </c>
      <c r="D266" s="6">
        <f t="shared" si="9"/>
        <v>-1.341955622291033E-2</v>
      </c>
    </row>
    <row r="267" spans="1:4" x14ac:dyDescent="0.25">
      <c r="A267" t="s">
        <v>314</v>
      </c>
      <c r="B267">
        <v>39.01</v>
      </c>
      <c r="C267" s="6">
        <f t="shared" si="8"/>
        <v>1.9602718243596495E-2</v>
      </c>
      <c r="D267" s="6">
        <f t="shared" si="9"/>
        <v>1.9413059506458375E-2</v>
      </c>
    </row>
    <row r="268" spans="1:4" x14ac:dyDescent="0.25">
      <c r="A268" t="s">
        <v>315</v>
      </c>
      <c r="B268">
        <v>38.26</v>
      </c>
      <c r="C268" s="6">
        <f t="shared" si="8"/>
        <v>1.8329405603561E-3</v>
      </c>
      <c r="D268" s="6">
        <f t="shared" si="9"/>
        <v>1.8312627746819596E-3</v>
      </c>
    </row>
    <row r="269" spans="1:4" x14ac:dyDescent="0.25">
      <c r="A269" t="s">
        <v>316</v>
      </c>
      <c r="B269">
        <v>38.19</v>
      </c>
      <c r="C269" s="6">
        <f t="shared" si="8"/>
        <v>-1.3178294573643501E-2</v>
      </c>
      <c r="D269" s="6">
        <f t="shared" si="9"/>
        <v>-1.326589879831137E-2</v>
      </c>
    </row>
    <row r="270" spans="1:4" x14ac:dyDescent="0.25">
      <c r="A270" t="s">
        <v>317</v>
      </c>
      <c r="B270">
        <v>38.700000000000003</v>
      </c>
      <c r="C270" s="6">
        <f t="shared" si="8"/>
        <v>7.812500000000222E-3</v>
      </c>
      <c r="D270" s="6">
        <f t="shared" si="9"/>
        <v>7.7821404420551693E-3</v>
      </c>
    </row>
    <row r="271" spans="1:4" x14ac:dyDescent="0.25">
      <c r="A271" t="s">
        <v>318</v>
      </c>
      <c r="B271">
        <v>38.4</v>
      </c>
      <c r="C271" s="6">
        <f t="shared" si="8"/>
        <v>-5.6965302951837993E-3</v>
      </c>
      <c r="D271" s="6">
        <f t="shared" si="9"/>
        <v>-5.712817406687166E-3</v>
      </c>
    </row>
    <row r="272" spans="1:4" x14ac:dyDescent="0.25">
      <c r="A272" t="s">
        <v>319</v>
      </c>
      <c r="B272">
        <v>38.619999999999997</v>
      </c>
      <c r="C272" s="6">
        <f t="shared" si="8"/>
        <v>-5.4081895441668859E-3</v>
      </c>
      <c r="D272" s="6">
        <f t="shared" si="9"/>
        <v>-5.4228667432075651E-3</v>
      </c>
    </row>
    <row r="273" spans="1:4" x14ac:dyDescent="0.25">
      <c r="A273" t="s">
        <v>320</v>
      </c>
      <c r="B273">
        <v>38.83</v>
      </c>
      <c r="C273" s="6">
        <f t="shared" si="8"/>
        <v>5.9585492227978154E-3</v>
      </c>
      <c r="D273" s="6">
        <f t="shared" si="9"/>
        <v>5.9408672727906545E-3</v>
      </c>
    </row>
    <row r="274" spans="1:4" x14ac:dyDescent="0.25">
      <c r="A274" t="s">
        <v>321</v>
      </c>
      <c r="B274">
        <v>38.6</v>
      </c>
      <c r="C274" s="6">
        <f t="shared" si="8"/>
        <v>2.36011667992575E-2</v>
      </c>
      <c r="D274" s="6">
        <f t="shared" si="9"/>
        <v>2.3326965200519439E-2</v>
      </c>
    </row>
    <row r="275" spans="1:4" x14ac:dyDescent="0.25">
      <c r="A275" t="s">
        <v>322</v>
      </c>
      <c r="B275">
        <v>37.71</v>
      </c>
      <c r="C275" s="6">
        <f t="shared" si="8"/>
        <v>1.0179480310742006E-2</v>
      </c>
      <c r="D275" s="6">
        <f t="shared" si="9"/>
        <v>1.0128018343773248E-2</v>
      </c>
    </row>
    <row r="276" spans="1:4" x14ac:dyDescent="0.25">
      <c r="A276" t="s">
        <v>323</v>
      </c>
      <c r="B276">
        <v>37.33</v>
      </c>
      <c r="C276" s="6">
        <f t="shared" si="8"/>
        <v>-1.1125827814569611E-2</v>
      </c>
      <c r="D276" s="6">
        <f t="shared" si="9"/>
        <v>-1.1188182768541312E-2</v>
      </c>
    </row>
    <row r="277" spans="1:4" x14ac:dyDescent="0.25">
      <c r="A277" t="s">
        <v>324</v>
      </c>
      <c r="B277">
        <v>37.75</v>
      </c>
      <c r="C277" s="6">
        <f t="shared" si="8"/>
        <v>-1.322751322751281E-3</v>
      </c>
      <c r="D277" s="6">
        <f t="shared" si="9"/>
        <v>-1.323626930508253E-3</v>
      </c>
    </row>
    <row r="278" spans="1:4" x14ac:dyDescent="0.25">
      <c r="A278" t="s">
        <v>325</v>
      </c>
      <c r="B278">
        <v>37.799999999999997</v>
      </c>
      <c r="C278" s="6">
        <f t="shared" si="8"/>
        <v>-6.8313189700474064E-3</v>
      </c>
      <c r="D278" s="6">
        <f t="shared" si="9"/>
        <v>-6.8547592424615415E-3</v>
      </c>
    </row>
    <row r="279" spans="1:4" x14ac:dyDescent="0.25">
      <c r="A279" t="s">
        <v>326</v>
      </c>
      <c r="B279">
        <v>38.06</v>
      </c>
      <c r="C279" s="6">
        <f t="shared" si="8"/>
        <v>8.2119205298014641E-3</v>
      </c>
      <c r="D279" s="6">
        <f t="shared" si="9"/>
        <v>8.1783861729698617E-3</v>
      </c>
    </row>
    <row r="280" spans="1:4" x14ac:dyDescent="0.25">
      <c r="A280" t="s">
        <v>327</v>
      </c>
      <c r="B280">
        <v>37.75</v>
      </c>
      <c r="C280" s="6">
        <f t="shared" si="8"/>
        <v>-5.2700922266140093E-3</v>
      </c>
      <c r="D280" s="6">
        <f t="shared" si="9"/>
        <v>-5.2840281466052666E-3</v>
      </c>
    </row>
    <row r="281" spans="1:4" x14ac:dyDescent="0.25">
      <c r="A281" t="s">
        <v>328</v>
      </c>
      <c r="B281">
        <v>37.950000000000003</v>
      </c>
      <c r="C281" s="6">
        <f t="shared" si="8"/>
        <v>-3.1520882584711307E-3</v>
      </c>
      <c r="D281" s="6">
        <f t="shared" si="9"/>
        <v>-3.1570665527669447E-3</v>
      </c>
    </row>
    <row r="282" spans="1:4" x14ac:dyDescent="0.25">
      <c r="A282" t="s">
        <v>329</v>
      </c>
      <c r="B282">
        <v>38.07</v>
      </c>
      <c r="C282" s="6">
        <f t="shared" si="8"/>
        <v>5.8124174372522486E-3</v>
      </c>
      <c r="D282" s="6">
        <f t="shared" si="9"/>
        <v>5.7955905109481386E-3</v>
      </c>
    </row>
    <row r="283" spans="1:4" x14ac:dyDescent="0.25">
      <c r="A283" t="s">
        <v>330</v>
      </c>
      <c r="B283">
        <v>37.85</v>
      </c>
      <c r="C283" s="6">
        <f t="shared" si="8"/>
        <v>1.3115631691648977E-2</v>
      </c>
      <c r="D283" s="6">
        <f t="shared" si="9"/>
        <v>1.3030366522816063E-2</v>
      </c>
    </row>
    <row r="284" spans="1:4" x14ac:dyDescent="0.25">
      <c r="A284" t="s">
        <v>331</v>
      </c>
      <c r="B284">
        <v>37.36</v>
      </c>
      <c r="C284" s="6">
        <f t="shared" si="8"/>
        <v>-1.1116993118051921E-2</v>
      </c>
      <c r="D284" s="6">
        <f t="shared" si="9"/>
        <v>-1.1179248712721664E-2</v>
      </c>
    </row>
    <row r="285" spans="1:4" x14ac:dyDescent="0.25">
      <c r="A285" t="s">
        <v>332</v>
      </c>
      <c r="B285">
        <v>37.78</v>
      </c>
      <c r="C285" s="6">
        <f t="shared" si="8"/>
        <v>-2.1130480718435374E-3</v>
      </c>
      <c r="D285" s="6">
        <f t="shared" si="9"/>
        <v>-2.115283707813199E-3</v>
      </c>
    </row>
    <row r="286" spans="1:4" x14ac:dyDescent="0.25">
      <c r="A286" t="s">
        <v>333</v>
      </c>
      <c r="B286">
        <v>37.86</v>
      </c>
      <c r="C286" s="6">
        <f t="shared" si="8"/>
        <v>-7.3413738856843436E-3</v>
      </c>
      <c r="D286" s="6">
        <f t="shared" si="9"/>
        <v>-7.3684543910962404E-3</v>
      </c>
    </row>
    <row r="287" spans="1:4" x14ac:dyDescent="0.25">
      <c r="A287" t="s">
        <v>334</v>
      </c>
      <c r="B287">
        <v>38.14</v>
      </c>
      <c r="C287" s="6">
        <f t="shared" si="8"/>
        <v>1.033112582781448E-2</v>
      </c>
      <c r="D287" s="6">
        <f t="shared" si="9"/>
        <v>1.027812447723921E-2</v>
      </c>
    </row>
    <row r="288" spans="1:4" x14ac:dyDescent="0.25">
      <c r="A288" t="s">
        <v>335</v>
      </c>
      <c r="B288">
        <v>37.75</v>
      </c>
      <c r="C288" s="6">
        <f t="shared" si="8"/>
        <v>1.6424340333871745E-2</v>
      </c>
      <c r="D288" s="6">
        <f t="shared" si="9"/>
        <v>1.6290919770473887E-2</v>
      </c>
    </row>
    <row r="289" spans="1:4" x14ac:dyDescent="0.25">
      <c r="A289" t="s">
        <v>336</v>
      </c>
      <c r="B289">
        <v>37.14</v>
      </c>
      <c r="C289" s="6">
        <f t="shared" si="8"/>
        <v>-5.0897401553710031E-3</v>
      </c>
      <c r="D289" s="6">
        <f t="shared" si="9"/>
        <v>-5.1027370019327261E-3</v>
      </c>
    </row>
    <row r="290" spans="1:4" x14ac:dyDescent="0.25">
      <c r="A290" t="s">
        <v>337</v>
      </c>
      <c r="B290">
        <v>37.33</v>
      </c>
      <c r="C290" s="6">
        <f t="shared" si="8"/>
        <v>-2.4051309460182413E-3</v>
      </c>
      <c r="D290" s="6">
        <f t="shared" si="9"/>
        <v>-2.4080279194511529E-3</v>
      </c>
    </row>
    <row r="291" spans="1:4" x14ac:dyDescent="0.25">
      <c r="A291" t="s">
        <v>338</v>
      </c>
      <c r="B291">
        <v>37.42</v>
      </c>
      <c r="C291" s="6">
        <f t="shared" si="8"/>
        <v>-1.2143611404435095E-2</v>
      </c>
      <c r="D291" s="6">
        <f t="shared" si="9"/>
        <v>-1.2217947471933974E-2</v>
      </c>
    </row>
    <row r="292" spans="1:4" x14ac:dyDescent="0.25">
      <c r="A292" t="s">
        <v>339</v>
      </c>
      <c r="B292">
        <v>37.880000000000003</v>
      </c>
      <c r="C292" s="6">
        <f t="shared" si="8"/>
        <v>2.9907558455682492E-2</v>
      </c>
      <c r="D292" s="6">
        <f t="shared" si="9"/>
        <v>2.9469049141702518E-2</v>
      </c>
    </row>
    <row r="293" spans="1:4" x14ac:dyDescent="0.25">
      <c r="A293" t="s">
        <v>340</v>
      </c>
      <c r="B293">
        <v>36.78</v>
      </c>
      <c r="C293" s="6">
        <f t="shared" si="8"/>
        <v>-2.0766773162939289E-2</v>
      </c>
      <c r="D293" s="6">
        <f t="shared" si="9"/>
        <v>-2.0985435163887119E-2</v>
      </c>
    </row>
    <row r="294" spans="1:4" x14ac:dyDescent="0.25">
      <c r="A294" t="s">
        <v>341</v>
      </c>
      <c r="B294">
        <v>37.56</v>
      </c>
      <c r="C294" s="6">
        <f t="shared" si="8"/>
        <v>-9.2323925085727732E-3</v>
      </c>
      <c r="D294" s="6">
        <f t="shared" si="9"/>
        <v>-9.2752751881811472E-3</v>
      </c>
    </row>
    <row r="295" spans="1:4" x14ac:dyDescent="0.25">
      <c r="A295" t="s">
        <v>342</v>
      </c>
      <c r="B295">
        <v>37.909999999999997</v>
      </c>
      <c r="C295" s="6">
        <f t="shared" si="8"/>
        <v>-1.2760416666666718E-2</v>
      </c>
      <c r="D295" s="6">
        <f t="shared" si="9"/>
        <v>-1.2842530065437755E-2</v>
      </c>
    </row>
    <row r="296" spans="1:4" x14ac:dyDescent="0.25">
      <c r="A296" t="s">
        <v>343</v>
      </c>
      <c r="B296">
        <v>38.4</v>
      </c>
      <c r="C296" s="6">
        <f t="shared" si="8"/>
        <v>1.3995246897280156E-2</v>
      </c>
      <c r="D296" s="6">
        <f t="shared" si="9"/>
        <v>1.3898217679977702E-2</v>
      </c>
    </row>
    <row r="297" spans="1:4" x14ac:dyDescent="0.25">
      <c r="A297" t="s">
        <v>344</v>
      </c>
      <c r="B297">
        <v>37.869999999999997</v>
      </c>
      <c r="C297" s="6">
        <f t="shared" si="8"/>
        <v>-9.9346405228758483E-3</v>
      </c>
      <c r="D297" s="6">
        <f t="shared" si="9"/>
        <v>-9.9843183588414174E-3</v>
      </c>
    </row>
    <row r="298" spans="1:4" x14ac:dyDescent="0.25">
      <c r="A298" t="s">
        <v>345</v>
      </c>
      <c r="B298">
        <v>38.25</v>
      </c>
      <c r="C298" s="6">
        <f t="shared" si="8"/>
        <v>2.6150627615062483E-4</v>
      </c>
      <c r="D298" s="6">
        <f t="shared" si="9"/>
        <v>2.614720893443048E-4</v>
      </c>
    </row>
    <row r="299" spans="1:4" x14ac:dyDescent="0.25">
      <c r="A299" t="s">
        <v>346</v>
      </c>
      <c r="B299">
        <v>38.24</v>
      </c>
      <c r="C299" s="6">
        <f t="shared" si="8"/>
        <v>-8.5558724397198915E-3</v>
      </c>
      <c r="D299" s="6">
        <f t="shared" si="9"/>
        <v>-8.5926840369357892E-3</v>
      </c>
    </row>
    <row r="300" spans="1:4" x14ac:dyDescent="0.25">
      <c r="A300" t="s">
        <v>347</v>
      </c>
      <c r="B300">
        <v>38.57</v>
      </c>
      <c r="C300" s="6">
        <f t="shared" si="8"/>
        <v>1.9022457067371157E-2</v>
      </c>
      <c r="D300" s="6">
        <f t="shared" si="9"/>
        <v>1.8843792336678596E-2</v>
      </c>
    </row>
    <row r="301" spans="1:4" x14ac:dyDescent="0.25">
      <c r="A301" t="s">
        <v>348</v>
      </c>
      <c r="B301">
        <v>37.85</v>
      </c>
      <c r="C301" s="6">
        <f t="shared" si="8"/>
        <v>-2.897787144362507E-3</v>
      </c>
      <c r="D301" s="6">
        <f t="shared" si="9"/>
        <v>-2.9019938582693534E-3</v>
      </c>
    </row>
    <row r="302" spans="1:4" x14ac:dyDescent="0.25">
      <c r="A302" t="s">
        <v>349</v>
      </c>
      <c r="B302">
        <v>37.96</v>
      </c>
      <c r="C302" s="6">
        <f t="shared" si="8"/>
        <v>5.8293587705351424E-3</v>
      </c>
      <c r="D302" s="6">
        <f t="shared" si="9"/>
        <v>5.8124338013228602E-3</v>
      </c>
    </row>
    <row r="303" spans="1:4" x14ac:dyDescent="0.25">
      <c r="A303" t="s">
        <v>350</v>
      </c>
      <c r="B303">
        <v>37.74</v>
      </c>
      <c r="C303" s="6">
        <f t="shared" si="8"/>
        <v>-7.3645449763283244E-3</v>
      </c>
      <c r="D303" s="6">
        <f t="shared" si="9"/>
        <v>-7.3917971198790219E-3</v>
      </c>
    </row>
    <row r="304" spans="1:4" x14ac:dyDescent="0.25">
      <c r="A304" t="s">
        <v>351</v>
      </c>
      <c r="B304">
        <v>38.020000000000003</v>
      </c>
      <c r="C304" s="6">
        <f t="shared" si="8"/>
        <v>-1.2210963886723825E-2</v>
      </c>
      <c r="D304" s="6">
        <f t="shared" si="9"/>
        <v>-1.2286130235371649E-2</v>
      </c>
    </row>
    <row r="305" spans="1:4" x14ac:dyDescent="0.25">
      <c r="A305" t="s">
        <v>352</v>
      </c>
      <c r="B305">
        <v>38.49</v>
      </c>
      <c r="C305" s="6">
        <f t="shared" si="8"/>
        <v>1.6908850726552238E-2</v>
      </c>
      <c r="D305" s="6">
        <f t="shared" si="9"/>
        <v>1.6767487412197024E-2</v>
      </c>
    </row>
    <row r="306" spans="1:4" x14ac:dyDescent="0.25">
      <c r="A306" t="s">
        <v>353</v>
      </c>
      <c r="B306">
        <v>37.85</v>
      </c>
      <c r="C306" s="6">
        <f t="shared" si="8"/>
        <v>-2.9238266222108233E-2</v>
      </c>
      <c r="D306" s="6">
        <f t="shared" si="9"/>
        <v>-2.9674223111048177E-2</v>
      </c>
    </row>
    <row r="307" spans="1:4" x14ac:dyDescent="0.25">
      <c r="A307" t="s">
        <v>354</v>
      </c>
      <c r="B307">
        <v>38.99</v>
      </c>
      <c r="C307" s="6">
        <f t="shared" si="8"/>
        <v>-1.9119496855345863E-2</v>
      </c>
      <c r="D307" s="6">
        <f t="shared" si="9"/>
        <v>-1.9304638105834899E-2</v>
      </c>
    </row>
    <row r="308" spans="1:4" x14ac:dyDescent="0.25">
      <c r="A308" t="s">
        <v>355</v>
      </c>
      <c r="B308">
        <v>39.75</v>
      </c>
      <c r="C308" s="6">
        <f t="shared" si="8"/>
        <v>1.9492177481405415E-2</v>
      </c>
      <c r="D308" s="6">
        <f t="shared" si="9"/>
        <v>1.9304638105834875E-2</v>
      </c>
    </row>
    <row r="309" spans="1:4" x14ac:dyDescent="0.25">
      <c r="A309" t="s">
        <v>356</v>
      </c>
      <c r="B309">
        <v>38.99</v>
      </c>
      <c r="C309" s="6">
        <f t="shared" si="8"/>
        <v>1.0889292196007316E-2</v>
      </c>
      <c r="D309" s="6">
        <f t="shared" si="9"/>
        <v>1.0830430774369591E-2</v>
      </c>
    </row>
    <row r="310" spans="1:4" x14ac:dyDescent="0.25">
      <c r="A310" t="s">
        <v>357</v>
      </c>
      <c r="B310">
        <v>38.57</v>
      </c>
      <c r="C310" s="6">
        <f t="shared" si="8"/>
        <v>-7.4626865671642006E-3</v>
      </c>
      <c r="D310" s="6">
        <f t="shared" si="9"/>
        <v>-7.4906717291576257E-3</v>
      </c>
    </row>
    <row r="311" spans="1:4" x14ac:dyDescent="0.25">
      <c r="A311" t="s">
        <v>358</v>
      </c>
      <c r="B311">
        <v>38.86</v>
      </c>
      <c r="C311" s="6">
        <f t="shared" si="8"/>
        <v>-9.6839959225281103E-3</v>
      </c>
      <c r="D311" s="6">
        <f t="shared" si="9"/>
        <v>-9.7311907478683842E-3</v>
      </c>
    </row>
    <row r="312" spans="1:4" x14ac:dyDescent="0.25">
      <c r="A312" t="s">
        <v>359</v>
      </c>
      <c r="B312">
        <v>39.24</v>
      </c>
      <c r="C312" s="6">
        <f t="shared" si="8"/>
        <v>1.0819165378670892E-2</v>
      </c>
      <c r="D312" s="6">
        <f t="shared" si="9"/>
        <v>1.0761056956298238E-2</v>
      </c>
    </row>
    <row r="313" spans="1:4" x14ac:dyDescent="0.25">
      <c r="A313" t="s">
        <v>360</v>
      </c>
      <c r="B313">
        <v>38.82</v>
      </c>
      <c r="C313" s="6">
        <f t="shared" si="8"/>
        <v>9.3603744149766133E-3</v>
      </c>
      <c r="D313" s="6">
        <f t="shared" si="9"/>
        <v>9.3168375802305387E-3</v>
      </c>
    </row>
    <row r="314" spans="1:4" x14ac:dyDescent="0.25">
      <c r="A314" t="s">
        <v>361</v>
      </c>
      <c r="B314">
        <v>38.46</v>
      </c>
      <c r="C314" s="6">
        <f t="shared" si="8"/>
        <v>-1.2983640612826974E-3</v>
      </c>
      <c r="D314" s="6">
        <f t="shared" si="9"/>
        <v>-1.2992076661837637E-3</v>
      </c>
    </row>
    <row r="315" spans="1:4" x14ac:dyDescent="0.25">
      <c r="A315" t="s">
        <v>362</v>
      </c>
      <c r="B315">
        <v>38.51</v>
      </c>
      <c r="C315" s="6">
        <f t="shared" si="8"/>
        <v>1.9052659433712593E-2</v>
      </c>
      <c r="D315" s="6">
        <f t="shared" si="9"/>
        <v>1.8873430465419894E-2</v>
      </c>
    </row>
    <row r="316" spans="1:4" x14ac:dyDescent="0.25">
      <c r="A316" t="s">
        <v>363</v>
      </c>
      <c r="B316">
        <v>37.79</v>
      </c>
      <c r="C316" s="6">
        <f t="shared" si="8"/>
        <v>2.1075385031072758E-2</v>
      </c>
      <c r="D316" s="6">
        <f t="shared" si="9"/>
        <v>2.0856370963333065E-2</v>
      </c>
    </row>
    <row r="317" spans="1:4" x14ac:dyDescent="0.25">
      <c r="A317" t="s">
        <v>364</v>
      </c>
      <c r="B317">
        <v>37.01</v>
      </c>
      <c r="C317" s="6">
        <f t="shared" si="8"/>
        <v>-2.3740437879187559E-2</v>
      </c>
      <c r="D317" s="6">
        <f t="shared" si="9"/>
        <v>-2.4026783130178874E-2</v>
      </c>
    </row>
    <row r="318" spans="1:4" x14ac:dyDescent="0.25">
      <c r="A318" t="s">
        <v>365</v>
      </c>
      <c r="B318">
        <v>37.909999999999997</v>
      </c>
      <c r="C318" s="6">
        <f t="shared" si="8"/>
        <v>-1.4812889812889862E-2</v>
      </c>
      <c r="D318" s="6">
        <f t="shared" si="9"/>
        <v>-1.4923696269262319E-2</v>
      </c>
    </row>
    <row r="319" spans="1:4" x14ac:dyDescent="0.25">
      <c r="A319" t="s">
        <v>366</v>
      </c>
      <c r="B319">
        <v>38.479999999999997</v>
      </c>
      <c r="C319" s="6">
        <f t="shared" si="8"/>
        <v>-4.3984476067270295E-3</v>
      </c>
      <c r="D319" s="6">
        <f t="shared" si="9"/>
        <v>-4.4081492359252196E-3</v>
      </c>
    </row>
    <row r="320" spans="1:4" x14ac:dyDescent="0.25">
      <c r="A320" t="s">
        <v>367</v>
      </c>
      <c r="B320">
        <v>38.65</v>
      </c>
      <c r="C320" s="6">
        <f t="shared" si="8"/>
        <v>2.0866349709455889E-2</v>
      </c>
      <c r="D320" s="6">
        <f t="shared" si="9"/>
        <v>2.0651629252254177E-2</v>
      </c>
    </row>
    <row r="321" spans="1:4" x14ac:dyDescent="0.25">
      <c r="A321" t="s">
        <v>368</v>
      </c>
      <c r="B321">
        <v>37.86</v>
      </c>
      <c r="C321" s="6">
        <f t="shared" si="8"/>
        <v>9.0618336886991724E-3</v>
      </c>
      <c r="D321" s="6">
        <f t="shared" si="9"/>
        <v>9.0210216431526793E-3</v>
      </c>
    </row>
    <row r="322" spans="1:4" x14ac:dyDescent="0.25">
      <c r="A322" t="s">
        <v>369</v>
      </c>
      <c r="B322">
        <v>37.520000000000003</v>
      </c>
      <c r="C322" s="6">
        <f t="shared" si="8"/>
        <v>2.9403902699813855E-3</v>
      </c>
      <c r="D322" s="6">
        <f t="shared" si="9"/>
        <v>2.9360757779692478E-3</v>
      </c>
    </row>
    <row r="323" spans="1:4" x14ac:dyDescent="0.25">
      <c r="A323" t="s">
        <v>370</v>
      </c>
      <c r="B323">
        <v>37.409999999999997</v>
      </c>
      <c r="C323" s="6">
        <f t="shared" ref="C323:C386" si="10">(B323/B324)-1</f>
        <v>5.9155687012637514E-3</v>
      </c>
      <c r="D323" s="6">
        <f t="shared" ref="D323:D386" si="11">LN(B323/B324)</f>
        <v>5.8981404230760695E-3</v>
      </c>
    </row>
    <row r="324" spans="1:4" x14ac:dyDescent="0.25">
      <c r="A324" t="s">
        <v>371</v>
      </c>
      <c r="B324">
        <v>37.19</v>
      </c>
      <c r="C324" s="6">
        <f t="shared" si="10"/>
        <v>-6.1464457509354808E-3</v>
      </c>
      <c r="D324" s="6">
        <f t="shared" si="11"/>
        <v>-6.1654129089650346E-3</v>
      </c>
    </row>
    <row r="325" spans="1:4" x14ac:dyDescent="0.25">
      <c r="A325" t="s">
        <v>372</v>
      </c>
      <c r="B325">
        <v>37.42</v>
      </c>
      <c r="C325" s="6">
        <f t="shared" si="10"/>
        <v>-1.3705851344227638E-2</v>
      </c>
      <c r="D325" s="6">
        <f t="shared" si="11"/>
        <v>-1.3800643660924497E-2</v>
      </c>
    </row>
    <row r="326" spans="1:4" x14ac:dyDescent="0.25">
      <c r="A326" t="s">
        <v>373</v>
      </c>
      <c r="B326">
        <v>37.94</v>
      </c>
      <c r="C326" s="6">
        <f t="shared" si="10"/>
        <v>1.4981273408239515E-2</v>
      </c>
      <c r="D326" s="6">
        <f t="shared" si="11"/>
        <v>1.4870162479451188E-2</v>
      </c>
    </row>
    <row r="327" spans="1:4" x14ac:dyDescent="0.25">
      <c r="A327" t="s">
        <v>374</v>
      </c>
      <c r="B327">
        <v>37.380000000000003</v>
      </c>
      <c r="C327" s="6">
        <f t="shared" si="10"/>
        <v>2.1869874248223287E-2</v>
      </c>
      <c r="D327" s="6">
        <f t="shared" si="11"/>
        <v>2.1634159064697348E-2</v>
      </c>
    </row>
    <row r="328" spans="1:4" x14ac:dyDescent="0.25">
      <c r="A328" t="s">
        <v>375</v>
      </c>
      <c r="B328">
        <v>36.58</v>
      </c>
      <c r="C328" s="6">
        <f t="shared" si="10"/>
        <v>-1.6402258671685876E-2</v>
      </c>
      <c r="D328" s="6">
        <f t="shared" si="11"/>
        <v>-1.6538264974258976E-2</v>
      </c>
    </row>
    <row r="329" spans="1:4" x14ac:dyDescent="0.25">
      <c r="A329" t="s">
        <v>376</v>
      </c>
      <c r="B329">
        <v>37.19</v>
      </c>
      <c r="C329" s="6">
        <f t="shared" si="10"/>
        <v>-1.6917790113666453E-2</v>
      </c>
      <c r="D329" s="6">
        <f t="shared" si="11"/>
        <v>-1.7062530707959257E-2</v>
      </c>
    </row>
    <row r="330" spans="1:4" x14ac:dyDescent="0.25">
      <c r="A330" t="s">
        <v>377</v>
      </c>
      <c r="B330">
        <v>37.83</v>
      </c>
      <c r="C330" s="6">
        <f t="shared" si="10"/>
        <v>1.0956707642971519E-2</v>
      </c>
      <c r="D330" s="6">
        <f t="shared" si="11"/>
        <v>1.0897117798994172E-2</v>
      </c>
    </row>
    <row r="331" spans="1:4" x14ac:dyDescent="0.25">
      <c r="A331" t="s">
        <v>378</v>
      </c>
      <c r="B331">
        <v>37.42</v>
      </c>
      <c r="C331" s="6">
        <f t="shared" si="10"/>
        <v>9.1693635382956717E-3</v>
      </c>
      <c r="D331" s="6">
        <f t="shared" si="11"/>
        <v>9.1275801482892469E-3</v>
      </c>
    </row>
    <row r="332" spans="1:4" x14ac:dyDescent="0.25">
      <c r="A332" t="s">
        <v>379</v>
      </c>
      <c r="B332">
        <v>37.08</v>
      </c>
      <c r="C332" s="6">
        <f t="shared" si="10"/>
        <v>-1.1990407673860948E-2</v>
      </c>
      <c r="D332" s="6">
        <f t="shared" si="11"/>
        <v>-1.2062872449275095E-2</v>
      </c>
    </row>
    <row r="333" spans="1:4" x14ac:dyDescent="0.25">
      <c r="A333" t="s">
        <v>380</v>
      </c>
      <c r="B333">
        <v>37.53</v>
      </c>
      <c r="C333" s="6">
        <f t="shared" si="10"/>
        <v>-1.6767094576892849E-2</v>
      </c>
      <c r="D333" s="6">
        <f t="shared" si="11"/>
        <v>-1.6909253610208907E-2</v>
      </c>
    </row>
    <row r="334" spans="1:4" x14ac:dyDescent="0.25">
      <c r="A334" t="s">
        <v>381</v>
      </c>
      <c r="B334">
        <v>38.17</v>
      </c>
      <c r="C334" s="6">
        <f t="shared" si="10"/>
        <v>-2.6130128037628042E-3</v>
      </c>
      <c r="D334" s="6">
        <f t="shared" si="11"/>
        <v>-2.6164326804725912E-3</v>
      </c>
    </row>
    <row r="335" spans="1:4" x14ac:dyDescent="0.25">
      <c r="A335" t="s">
        <v>382</v>
      </c>
      <c r="B335">
        <v>38.270000000000003</v>
      </c>
      <c r="C335" s="6">
        <f t="shared" si="10"/>
        <v>-6.2321474941572363E-3</v>
      </c>
      <c r="D335" s="6">
        <f t="shared" si="11"/>
        <v>-6.2516483892065024E-3</v>
      </c>
    </row>
    <row r="336" spans="1:4" x14ac:dyDescent="0.25">
      <c r="A336" t="s">
        <v>383</v>
      </c>
      <c r="B336">
        <v>38.51</v>
      </c>
      <c r="C336" s="6">
        <f t="shared" si="10"/>
        <v>1.6631467793030597E-2</v>
      </c>
      <c r="D336" s="6">
        <f t="shared" si="11"/>
        <v>1.6494679508940003E-2</v>
      </c>
    </row>
    <row r="337" spans="1:4" x14ac:dyDescent="0.25">
      <c r="A337" t="s">
        <v>384</v>
      </c>
      <c r="B337">
        <v>37.880000000000003</v>
      </c>
      <c r="C337" s="6">
        <f t="shared" si="10"/>
        <v>-2.1074815595363283E-3</v>
      </c>
      <c r="D337" s="6">
        <f t="shared" si="11"/>
        <v>-2.1097054238495955E-3</v>
      </c>
    </row>
    <row r="338" spans="1:4" x14ac:dyDescent="0.25">
      <c r="A338" t="s">
        <v>385</v>
      </c>
      <c r="B338">
        <v>37.96</v>
      </c>
      <c r="C338" s="6">
        <f t="shared" si="10"/>
        <v>6.6295412357464389E-3</v>
      </c>
      <c r="D338" s="6">
        <f t="shared" si="11"/>
        <v>6.6076624714613234E-3</v>
      </c>
    </row>
    <row r="339" spans="1:4" x14ac:dyDescent="0.25">
      <c r="A339" t="s">
        <v>386</v>
      </c>
      <c r="B339">
        <v>37.71</v>
      </c>
      <c r="C339" s="6">
        <f t="shared" si="10"/>
        <v>2.6122448979591928E-2</v>
      </c>
      <c r="D339" s="6">
        <f t="shared" si="11"/>
        <v>2.5787085611420152E-2</v>
      </c>
    </row>
    <row r="340" spans="1:4" x14ac:dyDescent="0.25">
      <c r="A340" t="s">
        <v>387</v>
      </c>
      <c r="B340">
        <v>36.75</v>
      </c>
      <c r="C340" s="6">
        <f t="shared" si="10"/>
        <v>-7.5614366729679361E-3</v>
      </c>
      <c r="D340" s="6">
        <f t="shared" si="11"/>
        <v>-7.5901692666757083E-3</v>
      </c>
    </row>
    <row r="341" spans="1:4" x14ac:dyDescent="0.25">
      <c r="A341" t="s">
        <v>388</v>
      </c>
      <c r="B341">
        <v>37.03</v>
      </c>
      <c r="C341" s="6">
        <f t="shared" si="10"/>
        <v>-7.238605898123196E-3</v>
      </c>
      <c r="D341" s="6">
        <f t="shared" si="11"/>
        <v>-7.2649317242484092E-3</v>
      </c>
    </row>
    <row r="342" spans="1:4" x14ac:dyDescent="0.25">
      <c r="A342" t="s">
        <v>389</v>
      </c>
      <c r="B342">
        <v>37.299999999999997</v>
      </c>
      <c r="C342" s="6">
        <f t="shared" si="10"/>
        <v>8.1081081081080253E-3</v>
      </c>
      <c r="D342" s="6">
        <f t="shared" si="11"/>
        <v>8.0754140055453311E-3</v>
      </c>
    </row>
    <row r="343" spans="1:4" x14ac:dyDescent="0.25">
      <c r="A343" t="s">
        <v>390</v>
      </c>
      <c r="B343">
        <v>37</v>
      </c>
      <c r="C343" s="6">
        <f t="shared" si="10"/>
        <v>-7.7768838830785114E-3</v>
      </c>
      <c r="D343" s="6">
        <f t="shared" si="11"/>
        <v>-7.8072815465049291E-3</v>
      </c>
    </row>
    <row r="344" spans="1:4" x14ac:dyDescent="0.25">
      <c r="A344" t="s">
        <v>391</v>
      </c>
      <c r="B344">
        <v>37.29</v>
      </c>
      <c r="C344" s="6">
        <f t="shared" si="10"/>
        <v>2.6141992294991701E-2</v>
      </c>
      <c r="D344" s="6">
        <f t="shared" si="11"/>
        <v>2.5806131222704268E-2</v>
      </c>
    </row>
    <row r="345" spans="1:4" x14ac:dyDescent="0.25">
      <c r="A345" t="s">
        <v>392</v>
      </c>
      <c r="B345">
        <v>36.340000000000003</v>
      </c>
      <c r="C345" s="6">
        <f t="shared" si="10"/>
        <v>6.0402684563758413E-2</v>
      </c>
      <c r="D345" s="6">
        <f t="shared" si="11"/>
        <v>5.8648727081507687E-2</v>
      </c>
    </row>
    <row r="346" spans="1:4" x14ac:dyDescent="0.25">
      <c r="A346" t="s">
        <v>393</v>
      </c>
      <c r="B346">
        <v>34.270000000000003</v>
      </c>
      <c r="C346" s="6">
        <f t="shared" si="10"/>
        <v>-1.6078093597473253E-2</v>
      </c>
      <c r="D346" s="6">
        <f t="shared" si="11"/>
        <v>-1.6208748491392165E-2</v>
      </c>
    </row>
    <row r="347" spans="1:4" x14ac:dyDescent="0.25">
      <c r="A347" t="s">
        <v>394</v>
      </c>
      <c r="B347">
        <v>34.83</v>
      </c>
      <c r="C347" s="6">
        <f t="shared" si="10"/>
        <v>7.812499999999778E-3</v>
      </c>
      <c r="D347" s="6">
        <f t="shared" si="11"/>
        <v>7.7821404420547287E-3</v>
      </c>
    </row>
    <row r="348" spans="1:4" x14ac:dyDescent="0.25">
      <c r="A348" t="s">
        <v>395</v>
      </c>
      <c r="B348">
        <v>34.56</v>
      </c>
      <c r="C348" s="6">
        <f t="shared" si="10"/>
        <v>-1.5945330296127436E-2</v>
      </c>
      <c r="D348" s="6">
        <f t="shared" si="11"/>
        <v>-1.6073824831060908E-2</v>
      </c>
    </row>
    <row r="349" spans="1:4" x14ac:dyDescent="0.25">
      <c r="A349" t="s">
        <v>396</v>
      </c>
      <c r="B349">
        <v>35.119999999999997</v>
      </c>
      <c r="C349" s="6">
        <f t="shared" si="10"/>
        <v>1.8561484918793614E-2</v>
      </c>
      <c r="D349" s="6">
        <f t="shared" si="11"/>
        <v>1.8391322971423669E-2</v>
      </c>
    </row>
    <row r="350" spans="1:4" x14ac:dyDescent="0.25">
      <c r="A350" t="s">
        <v>397</v>
      </c>
      <c r="B350">
        <v>34.479999999999997</v>
      </c>
      <c r="C350" s="6">
        <f t="shared" si="10"/>
        <v>-8.3405234397471162E-3</v>
      </c>
      <c r="D350" s="6">
        <f t="shared" si="11"/>
        <v>-8.3755002242778941E-3</v>
      </c>
    </row>
    <row r="351" spans="1:4" x14ac:dyDescent="0.25">
      <c r="A351" t="s">
        <v>398</v>
      </c>
      <c r="B351">
        <v>34.770000000000003</v>
      </c>
      <c r="C351" s="6">
        <f t="shared" si="10"/>
        <v>-1.5293118096856406E-2</v>
      </c>
      <c r="D351" s="6">
        <f t="shared" si="11"/>
        <v>-1.5411263920525E-2</v>
      </c>
    </row>
    <row r="352" spans="1:4" x14ac:dyDescent="0.25">
      <c r="A352" t="s">
        <v>399</v>
      </c>
      <c r="B352">
        <v>35.31</v>
      </c>
      <c r="C352" s="6">
        <f t="shared" si="10"/>
        <v>4.8377916903814544E-3</v>
      </c>
      <c r="D352" s="6">
        <f t="shared" si="11"/>
        <v>4.8261271813440304E-3</v>
      </c>
    </row>
    <row r="353" spans="1:4" x14ac:dyDescent="0.25">
      <c r="A353" t="s">
        <v>400</v>
      </c>
      <c r="B353">
        <v>35.14</v>
      </c>
      <c r="C353" s="6">
        <f t="shared" si="10"/>
        <v>2.6584867075664764E-2</v>
      </c>
      <c r="D353" s="6">
        <f t="shared" si="11"/>
        <v>2.6237630216857308E-2</v>
      </c>
    </row>
    <row r="354" spans="1:4" x14ac:dyDescent="0.25">
      <c r="A354" t="s">
        <v>401</v>
      </c>
      <c r="B354">
        <v>34.229999999999997</v>
      </c>
      <c r="C354" s="6">
        <f t="shared" si="10"/>
        <v>7.6538121872240517E-3</v>
      </c>
      <c r="D354" s="6">
        <f t="shared" si="11"/>
        <v>7.6246703696014433E-3</v>
      </c>
    </row>
    <row r="355" spans="1:4" x14ac:dyDescent="0.25">
      <c r="A355" t="s">
        <v>402</v>
      </c>
      <c r="B355">
        <v>33.97</v>
      </c>
      <c r="C355" s="6">
        <f t="shared" si="10"/>
        <v>-2.0564042303172769E-3</v>
      </c>
      <c r="D355" s="6">
        <f t="shared" si="11"/>
        <v>-2.0585215326808393E-3</v>
      </c>
    </row>
    <row r="356" spans="1:4" x14ac:dyDescent="0.25">
      <c r="A356" t="s">
        <v>403</v>
      </c>
      <c r="B356">
        <v>34.04</v>
      </c>
      <c r="C356" s="6">
        <f t="shared" si="10"/>
        <v>3.2419687592100122E-3</v>
      </c>
      <c r="D356" s="6">
        <f t="shared" si="11"/>
        <v>3.2367249090344821E-3</v>
      </c>
    </row>
    <row r="357" spans="1:4" x14ac:dyDescent="0.25">
      <c r="A357" t="s">
        <v>404</v>
      </c>
      <c r="B357">
        <v>33.93</v>
      </c>
      <c r="C357" s="6">
        <f t="shared" si="10"/>
        <v>-1.76522506619603E-3</v>
      </c>
      <c r="D357" s="6">
        <f t="shared" si="11"/>
        <v>-1.7667849118859504E-3</v>
      </c>
    </row>
    <row r="358" spans="1:4" x14ac:dyDescent="0.25">
      <c r="A358" t="s">
        <v>405</v>
      </c>
      <c r="B358">
        <v>33.99</v>
      </c>
      <c r="C358" s="6">
        <f t="shared" si="10"/>
        <v>1.4731879787861502E-3</v>
      </c>
      <c r="D358" s="6">
        <f t="shared" si="11"/>
        <v>1.4721039019444384E-3</v>
      </c>
    </row>
    <row r="359" spans="1:4" x14ac:dyDescent="0.25">
      <c r="A359" t="s">
        <v>406</v>
      </c>
      <c r="B359">
        <v>33.94</v>
      </c>
      <c r="C359" s="6">
        <f t="shared" si="10"/>
        <v>-8.1823495032145033E-3</v>
      </c>
      <c r="D359" s="6">
        <f t="shared" si="11"/>
        <v>-8.2160086579671707E-3</v>
      </c>
    </row>
    <row r="360" spans="1:4" x14ac:dyDescent="0.25">
      <c r="A360" t="s">
        <v>407</v>
      </c>
      <c r="B360">
        <v>34.22</v>
      </c>
      <c r="C360" s="6">
        <f t="shared" si="10"/>
        <v>3.8134350249339199E-3</v>
      </c>
      <c r="D360" s="6">
        <f t="shared" si="11"/>
        <v>3.8061823142356132E-3</v>
      </c>
    </row>
    <row r="361" spans="1:4" x14ac:dyDescent="0.25">
      <c r="A361" t="s">
        <v>408</v>
      </c>
      <c r="B361">
        <v>34.090000000000003</v>
      </c>
      <c r="C361" s="6">
        <f t="shared" si="10"/>
        <v>5.9014458542343551E-3</v>
      </c>
      <c r="D361" s="6">
        <f t="shared" si="11"/>
        <v>5.8841005308518267E-3</v>
      </c>
    </row>
    <row r="362" spans="1:4" x14ac:dyDescent="0.25">
      <c r="A362" t="s">
        <v>409</v>
      </c>
      <c r="B362">
        <v>33.89</v>
      </c>
      <c r="C362" s="6">
        <f t="shared" si="10"/>
        <v>-1.2529137529137535E-2</v>
      </c>
      <c r="D362" s="6">
        <f t="shared" si="11"/>
        <v>-1.2608289000801569E-2</v>
      </c>
    </row>
    <row r="363" spans="1:4" x14ac:dyDescent="0.25">
      <c r="A363" t="s">
        <v>410</v>
      </c>
      <c r="B363">
        <v>34.32</v>
      </c>
      <c r="C363" s="6">
        <f t="shared" si="10"/>
        <v>2.0437956204379937E-3</v>
      </c>
      <c r="D363" s="6">
        <f t="shared" si="11"/>
        <v>2.0417099115272726E-3</v>
      </c>
    </row>
    <row r="364" spans="1:4" x14ac:dyDescent="0.25">
      <c r="A364" t="s">
        <v>411</v>
      </c>
      <c r="B364">
        <v>34.25</v>
      </c>
      <c r="C364" s="6">
        <f t="shared" si="10"/>
        <v>3.255954175459741E-2</v>
      </c>
      <c r="D364" s="6">
        <f t="shared" si="11"/>
        <v>3.2040711749273129E-2</v>
      </c>
    </row>
    <row r="365" spans="1:4" x14ac:dyDescent="0.25">
      <c r="A365" t="s">
        <v>412</v>
      </c>
      <c r="B365">
        <v>33.17</v>
      </c>
      <c r="C365" s="6">
        <f t="shared" si="10"/>
        <v>-2.4698618053513588E-2</v>
      </c>
      <c r="D365" s="6">
        <f t="shared" si="11"/>
        <v>-2.5008746060142951E-2</v>
      </c>
    </row>
    <row r="366" spans="1:4" x14ac:dyDescent="0.25">
      <c r="A366" t="s">
        <v>413</v>
      </c>
      <c r="B366">
        <v>34.01</v>
      </c>
      <c r="C366" s="6">
        <f t="shared" si="10"/>
        <v>-1.1624527753559932E-2</v>
      </c>
      <c r="D366" s="6">
        <f t="shared" si="11"/>
        <v>-1.1692620790284845E-2</v>
      </c>
    </row>
    <row r="367" spans="1:4" x14ac:dyDescent="0.25">
      <c r="A367" t="s">
        <v>414</v>
      </c>
      <c r="B367">
        <v>34.409999999999997</v>
      </c>
      <c r="C367" s="6">
        <f t="shared" si="10"/>
        <v>9.9794540651598762E-3</v>
      </c>
      <c r="D367" s="6">
        <f t="shared" si="11"/>
        <v>9.9299881365137281E-3</v>
      </c>
    </row>
    <row r="368" spans="1:4" x14ac:dyDescent="0.25">
      <c r="A368" t="s">
        <v>415</v>
      </c>
      <c r="B368">
        <v>34.07</v>
      </c>
      <c r="C368" s="6">
        <f t="shared" si="10"/>
        <v>-1.0168506682161627E-2</v>
      </c>
      <c r="D368" s="6">
        <f t="shared" si="11"/>
        <v>-1.0220559110518257E-2</v>
      </c>
    </row>
    <row r="369" spans="1:4" x14ac:dyDescent="0.25">
      <c r="A369" t="s">
        <v>416</v>
      </c>
      <c r="B369">
        <v>34.42</v>
      </c>
      <c r="C369" s="6">
        <f t="shared" si="10"/>
        <v>-9.2112838226827698E-3</v>
      </c>
      <c r="D369" s="6">
        <f t="shared" si="11"/>
        <v>-9.2539700295654996E-3</v>
      </c>
    </row>
    <row r="370" spans="1:4" x14ac:dyDescent="0.25">
      <c r="A370" t="s">
        <v>417</v>
      </c>
      <c r="B370">
        <v>34.74</v>
      </c>
      <c r="C370" s="6">
        <f t="shared" si="10"/>
        <v>-6.2929061784896545E-3</v>
      </c>
      <c r="D370" s="6">
        <f t="shared" si="11"/>
        <v>-6.3127899743757867E-3</v>
      </c>
    </row>
    <row r="371" spans="1:4" x14ac:dyDescent="0.25">
      <c r="A371" t="s">
        <v>418</v>
      </c>
      <c r="B371">
        <v>34.96</v>
      </c>
      <c r="C371" s="6">
        <f t="shared" si="10"/>
        <v>6.6225165562914245E-3</v>
      </c>
      <c r="D371" s="6">
        <f t="shared" si="11"/>
        <v>6.6006840313520927E-3</v>
      </c>
    </row>
    <row r="372" spans="1:4" x14ac:dyDescent="0.25">
      <c r="A372" t="s">
        <v>419</v>
      </c>
      <c r="B372">
        <v>34.729999999999997</v>
      </c>
      <c r="C372" s="6">
        <f t="shared" si="10"/>
        <v>5.0832072617246649E-2</v>
      </c>
      <c r="D372" s="6">
        <f t="shared" si="11"/>
        <v>4.9582300458287411E-2</v>
      </c>
    </row>
    <row r="373" spans="1:4" x14ac:dyDescent="0.25">
      <c r="A373" t="s">
        <v>420</v>
      </c>
      <c r="B373">
        <v>33.049999999999997</v>
      </c>
      <c r="C373" s="6">
        <f t="shared" si="10"/>
        <v>-1.5196662693683138E-2</v>
      </c>
      <c r="D373" s="6">
        <f t="shared" si="11"/>
        <v>-1.5313315301310321E-2</v>
      </c>
    </row>
    <row r="374" spans="1:4" x14ac:dyDescent="0.25">
      <c r="A374" t="s">
        <v>421</v>
      </c>
      <c r="B374">
        <v>33.56</v>
      </c>
      <c r="C374" s="6">
        <f t="shared" si="10"/>
        <v>-1.0904804008252222E-2</v>
      </c>
      <c r="D374" s="6">
        <f t="shared" si="11"/>
        <v>-1.0964697197133288E-2</v>
      </c>
    </row>
    <row r="375" spans="1:4" x14ac:dyDescent="0.25">
      <c r="A375" t="s">
        <v>422</v>
      </c>
      <c r="B375">
        <v>33.93</v>
      </c>
      <c r="C375" s="6">
        <f t="shared" si="10"/>
        <v>-2.0588235294117796E-3</v>
      </c>
      <c r="D375" s="6">
        <f t="shared" si="11"/>
        <v>-2.0609458200226264E-3</v>
      </c>
    </row>
    <row r="376" spans="1:4" x14ac:dyDescent="0.25">
      <c r="A376" t="s">
        <v>423</v>
      </c>
      <c r="B376">
        <v>34</v>
      </c>
      <c r="C376" s="6">
        <f t="shared" si="10"/>
        <v>-1.1052937754508552E-2</v>
      </c>
      <c r="D376" s="6">
        <f t="shared" si="11"/>
        <v>-1.1114475338541926E-2</v>
      </c>
    </row>
    <row r="377" spans="1:4" x14ac:dyDescent="0.25">
      <c r="A377" t="s">
        <v>424</v>
      </c>
      <c r="B377">
        <v>34.380000000000003</v>
      </c>
      <c r="C377" s="6">
        <f t="shared" si="10"/>
        <v>2.3823704586063199E-2</v>
      </c>
      <c r="D377" s="6">
        <f t="shared" si="11"/>
        <v>2.35443483053085E-2</v>
      </c>
    </row>
    <row r="378" spans="1:4" x14ac:dyDescent="0.25">
      <c r="A378" t="s">
        <v>425</v>
      </c>
      <c r="B378">
        <v>33.58</v>
      </c>
      <c r="C378" s="6">
        <f t="shared" si="10"/>
        <v>2.6283618581907087E-2</v>
      </c>
      <c r="D378" s="6">
        <f t="shared" si="11"/>
        <v>2.5944139914848452E-2</v>
      </c>
    </row>
    <row r="379" spans="1:4" x14ac:dyDescent="0.25">
      <c r="A379" t="s">
        <v>426</v>
      </c>
      <c r="B379">
        <v>32.72</v>
      </c>
      <c r="C379" s="6">
        <f t="shared" si="10"/>
        <v>-1.564380264741283E-2</v>
      </c>
      <c r="D379" s="6">
        <f t="shared" si="11"/>
        <v>-1.5767458252701212E-2</v>
      </c>
    </row>
    <row r="380" spans="1:4" x14ac:dyDescent="0.25">
      <c r="A380" t="s">
        <v>427</v>
      </c>
      <c r="B380">
        <v>33.24</v>
      </c>
      <c r="C380" s="6">
        <f t="shared" si="10"/>
        <v>-2.9489051094890417E-2</v>
      </c>
      <c r="D380" s="6">
        <f t="shared" si="11"/>
        <v>-2.9932594720986756E-2</v>
      </c>
    </row>
    <row r="381" spans="1:4" x14ac:dyDescent="0.25">
      <c r="A381" t="s">
        <v>428</v>
      </c>
      <c r="B381">
        <v>34.25</v>
      </c>
      <c r="C381" s="6">
        <f t="shared" si="10"/>
        <v>-2.5327262379055249E-2</v>
      </c>
      <c r="D381" s="6">
        <f t="shared" si="11"/>
        <v>-2.5653518050716879E-2</v>
      </c>
    </row>
    <row r="382" spans="1:4" x14ac:dyDescent="0.25">
      <c r="A382" t="s">
        <v>429</v>
      </c>
      <c r="B382">
        <v>35.14</v>
      </c>
      <c r="C382" s="6">
        <f t="shared" si="10"/>
        <v>3.7132247929163587E-3</v>
      </c>
      <c r="D382" s="6">
        <f t="shared" si="11"/>
        <v>3.7063477923768738E-3</v>
      </c>
    </row>
    <row r="383" spans="1:4" x14ac:dyDescent="0.25">
      <c r="A383" t="s">
        <v>430</v>
      </c>
      <c r="B383">
        <v>35.01</v>
      </c>
      <c r="C383" s="6">
        <f t="shared" si="10"/>
        <v>5.0405040504050369E-2</v>
      </c>
      <c r="D383" s="6">
        <f t="shared" si="11"/>
        <v>4.9175842646925955E-2</v>
      </c>
    </row>
    <row r="384" spans="1:4" x14ac:dyDescent="0.25">
      <c r="A384" t="s">
        <v>431</v>
      </c>
      <c r="B384">
        <v>33.33</v>
      </c>
      <c r="C384" s="6">
        <f t="shared" si="10"/>
        <v>1.3994523881959209E-2</v>
      </c>
      <c r="D384" s="6">
        <f t="shared" si="11"/>
        <v>1.3897504643520256E-2</v>
      </c>
    </row>
    <row r="385" spans="1:4" x14ac:dyDescent="0.25">
      <c r="A385" t="s">
        <v>432</v>
      </c>
      <c r="B385">
        <v>32.869999999999997</v>
      </c>
      <c r="C385" s="6">
        <f t="shared" si="10"/>
        <v>-7.5483091787439394E-3</v>
      </c>
      <c r="D385" s="6">
        <f t="shared" si="11"/>
        <v>-7.5769418409308825E-3</v>
      </c>
    </row>
    <row r="386" spans="1:4" x14ac:dyDescent="0.25">
      <c r="A386" t="s">
        <v>433</v>
      </c>
      <c r="B386">
        <v>33.119999999999997</v>
      </c>
      <c r="C386" s="6">
        <f t="shared" si="10"/>
        <v>-2.3296962547920907E-2</v>
      </c>
      <c r="D386" s="6">
        <f t="shared" si="11"/>
        <v>-2.357262662048824E-2</v>
      </c>
    </row>
    <row r="387" spans="1:4" x14ac:dyDescent="0.25">
      <c r="A387" t="s">
        <v>434</v>
      </c>
      <c r="B387">
        <v>33.909999999999997</v>
      </c>
      <c r="C387" s="6">
        <f t="shared" ref="C387:C450" si="12">(B387/B388)-1</f>
        <v>-2.6414010910134955E-2</v>
      </c>
      <c r="D387" s="6">
        <f t="shared" ref="D387:D450" si="13">LN(B387/B388)</f>
        <v>-2.6769128240362591E-2</v>
      </c>
    </row>
    <row r="388" spans="1:4" x14ac:dyDescent="0.25">
      <c r="A388" t="s">
        <v>435</v>
      </c>
      <c r="B388">
        <v>34.83</v>
      </c>
      <c r="C388" s="6">
        <f t="shared" si="12"/>
        <v>3.2305868405453353E-2</v>
      </c>
      <c r="D388" s="6">
        <f t="shared" si="13"/>
        <v>3.1795007260087466E-2</v>
      </c>
    </row>
    <row r="389" spans="1:4" x14ac:dyDescent="0.25">
      <c r="A389" t="s">
        <v>436</v>
      </c>
      <c r="B389">
        <v>33.74</v>
      </c>
      <c r="C389" s="6">
        <f t="shared" si="12"/>
        <v>-2.766570605187324E-2</v>
      </c>
      <c r="D389" s="6">
        <f t="shared" si="13"/>
        <v>-2.8055609834991307E-2</v>
      </c>
    </row>
    <row r="390" spans="1:4" x14ac:dyDescent="0.25">
      <c r="A390" t="s">
        <v>437</v>
      </c>
      <c r="B390">
        <v>34.700000000000003</v>
      </c>
      <c r="C390" s="6">
        <f t="shared" si="12"/>
        <v>-2.6374859708192977E-2</v>
      </c>
      <c r="D390" s="6">
        <f t="shared" si="13"/>
        <v>-2.6728915649794984E-2</v>
      </c>
    </row>
    <row r="391" spans="1:4" x14ac:dyDescent="0.25">
      <c r="A391" t="s">
        <v>438</v>
      </c>
      <c r="B391">
        <v>35.64</v>
      </c>
      <c r="C391" s="6">
        <f t="shared" si="12"/>
        <v>2.8137310073157451E-3</v>
      </c>
      <c r="D391" s="6">
        <f t="shared" si="13"/>
        <v>2.8097798761033302E-3</v>
      </c>
    </row>
    <row r="392" spans="1:4" x14ac:dyDescent="0.25">
      <c r="A392" t="s">
        <v>439</v>
      </c>
      <c r="B392">
        <v>35.54</v>
      </c>
      <c r="C392" s="6">
        <f t="shared" si="12"/>
        <v>3.2539221382916761E-2</v>
      </c>
      <c r="D392" s="6">
        <f t="shared" si="13"/>
        <v>3.2021031943111775E-2</v>
      </c>
    </row>
    <row r="393" spans="1:4" x14ac:dyDescent="0.25">
      <c r="A393" t="s">
        <v>440</v>
      </c>
      <c r="B393">
        <v>34.42</v>
      </c>
      <c r="C393" s="6">
        <f t="shared" si="12"/>
        <v>-8.0691642651297135E-3</v>
      </c>
      <c r="D393" s="6">
        <f t="shared" si="13"/>
        <v>-8.1018961694201801E-3</v>
      </c>
    </row>
    <row r="394" spans="1:4" x14ac:dyDescent="0.25">
      <c r="A394" t="s">
        <v>441</v>
      </c>
      <c r="B394">
        <v>34.700000000000003</v>
      </c>
      <c r="C394" s="6">
        <f t="shared" si="12"/>
        <v>0</v>
      </c>
      <c r="D394" s="6">
        <f t="shared" si="13"/>
        <v>0</v>
      </c>
    </row>
    <row r="395" spans="1:4" x14ac:dyDescent="0.25">
      <c r="A395" t="s">
        <v>442</v>
      </c>
      <c r="B395">
        <v>34.700000000000003</v>
      </c>
      <c r="C395" s="6">
        <f t="shared" si="12"/>
        <v>-3.7714919578480277E-2</v>
      </c>
      <c r="D395" s="6">
        <f t="shared" si="13"/>
        <v>-3.8444530822357666E-2</v>
      </c>
    </row>
    <row r="396" spans="1:4" x14ac:dyDescent="0.25">
      <c r="A396" t="s">
        <v>443</v>
      </c>
      <c r="B396">
        <v>36.06</v>
      </c>
      <c r="C396" s="6">
        <f t="shared" si="12"/>
        <v>-3.0905670518677764E-2</v>
      </c>
      <c r="D396" s="6">
        <f t="shared" si="13"/>
        <v>-3.1393324583359909E-2</v>
      </c>
    </row>
    <row r="397" spans="1:4" x14ac:dyDescent="0.25">
      <c r="A397" t="s">
        <v>444</v>
      </c>
      <c r="B397">
        <v>37.21</v>
      </c>
      <c r="C397" s="6">
        <f t="shared" si="12"/>
        <v>-1.0738255033556632E-3</v>
      </c>
      <c r="D397" s="6">
        <f t="shared" si="13"/>
        <v>-1.0744024670373512E-3</v>
      </c>
    </row>
    <row r="398" spans="1:4" x14ac:dyDescent="0.25">
      <c r="A398" t="s">
        <v>445</v>
      </c>
      <c r="B398">
        <v>37.25</v>
      </c>
      <c r="C398" s="6">
        <f t="shared" si="12"/>
        <v>-1.0624169986719778E-2</v>
      </c>
      <c r="D398" s="6">
        <f t="shared" si="13"/>
        <v>-1.0681009420334052E-2</v>
      </c>
    </row>
    <row r="399" spans="1:4" x14ac:dyDescent="0.25">
      <c r="A399" t="s">
        <v>446</v>
      </c>
      <c r="B399">
        <v>37.65</v>
      </c>
      <c r="C399" s="6">
        <f t="shared" si="12"/>
        <v>2.93020777836972E-3</v>
      </c>
      <c r="D399" s="6">
        <f t="shared" si="13"/>
        <v>2.9259230875398052E-3</v>
      </c>
    </row>
    <row r="400" spans="1:4" x14ac:dyDescent="0.25">
      <c r="A400" t="s">
        <v>447</v>
      </c>
      <c r="B400">
        <v>37.54</v>
      </c>
      <c r="C400" s="6">
        <f t="shared" si="12"/>
        <v>-1.6247379454926603E-2</v>
      </c>
      <c r="D400" s="6">
        <f t="shared" si="13"/>
        <v>-1.6380815421722993E-2</v>
      </c>
    </row>
    <row r="401" spans="1:4" x14ac:dyDescent="0.25">
      <c r="A401" t="s">
        <v>448</v>
      </c>
      <c r="B401">
        <v>38.159999999999997</v>
      </c>
      <c r="C401" s="6">
        <f t="shared" si="12"/>
        <v>-2.6136957658129401E-3</v>
      </c>
      <c r="D401" s="6">
        <f t="shared" si="13"/>
        <v>-2.6171174320211207E-3</v>
      </c>
    </row>
    <row r="402" spans="1:4" x14ac:dyDescent="0.25">
      <c r="A402" t="s">
        <v>449</v>
      </c>
      <c r="B402">
        <v>38.26</v>
      </c>
      <c r="C402" s="6">
        <f t="shared" si="12"/>
        <v>1.4047177312483505E-2</v>
      </c>
      <c r="D402" s="6">
        <f t="shared" si="13"/>
        <v>1.3949430035887795E-2</v>
      </c>
    </row>
    <row r="403" spans="1:4" x14ac:dyDescent="0.25">
      <c r="A403" t="s">
        <v>450</v>
      </c>
      <c r="B403">
        <v>37.729999999999997</v>
      </c>
      <c r="C403" s="6">
        <f t="shared" si="12"/>
        <v>6.4017071218991362E-3</v>
      </c>
      <c r="D403" s="6">
        <f t="shared" si="13"/>
        <v>6.3813032283983979E-3</v>
      </c>
    </row>
    <row r="404" spans="1:4" x14ac:dyDescent="0.25">
      <c r="A404" t="s">
        <v>451</v>
      </c>
      <c r="B404">
        <v>37.49</v>
      </c>
      <c r="C404" s="6">
        <f t="shared" si="12"/>
        <v>1.1602806260118781E-2</v>
      </c>
      <c r="D404" s="6">
        <f t="shared" si="13"/>
        <v>1.1536009890606989E-2</v>
      </c>
    </row>
    <row r="405" spans="1:4" x14ac:dyDescent="0.25">
      <c r="A405" t="s">
        <v>452</v>
      </c>
      <c r="B405">
        <v>37.06</v>
      </c>
      <c r="C405" s="6">
        <f t="shared" si="12"/>
        <v>-1.0149572649572502E-2</v>
      </c>
      <c r="D405" s="6">
        <f t="shared" si="13"/>
        <v>-1.0201430752177427E-2</v>
      </c>
    </row>
    <row r="406" spans="1:4" x14ac:dyDescent="0.25">
      <c r="A406" t="s">
        <v>453</v>
      </c>
      <c r="B406">
        <v>37.44</v>
      </c>
      <c r="C406" s="6">
        <f t="shared" si="12"/>
        <v>-2.3980815347722784E-3</v>
      </c>
      <c r="D406" s="6">
        <f t="shared" si="13"/>
        <v>-2.4009615375382618E-3</v>
      </c>
    </row>
    <row r="407" spans="1:4" x14ac:dyDescent="0.25">
      <c r="A407" t="s">
        <v>454</v>
      </c>
      <c r="B407">
        <v>37.53</v>
      </c>
      <c r="C407" s="6">
        <f t="shared" si="12"/>
        <v>-7.9302141157810979E-3</v>
      </c>
      <c r="D407" s="6">
        <f t="shared" si="13"/>
        <v>-7.9618254980083902E-3</v>
      </c>
    </row>
    <row r="408" spans="1:4" x14ac:dyDescent="0.25">
      <c r="A408" t="s">
        <v>455</v>
      </c>
      <c r="B408">
        <v>37.83</v>
      </c>
      <c r="C408" s="6">
        <f t="shared" si="12"/>
        <v>-1.1497256336556183E-2</v>
      </c>
      <c r="D408" s="6">
        <f t="shared" si="13"/>
        <v>-1.1563860792673148E-2</v>
      </c>
    </row>
    <row r="409" spans="1:4" x14ac:dyDescent="0.25">
      <c r="A409" t="s">
        <v>456</v>
      </c>
      <c r="B409">
        <v>38.270000000000003</v>
      </c>
      <c r="C409" s="6">
        <f t="shared" si="12"/>
        <v>-1.0441138084050783E-3</v>
      </c>
      <c r="D409" s="6">
        <f t="shared" si="13"/>
        <v>-1.0446592749466829E-3</v>
      </c>
    </row>
    <row r="410" spans="1:4" x14ac:dyDescent="0.25">
      <c r="A410" t="s">
        <v>457</v>
      </c>
      <c r="B410">
        <v>38.31</v>
      </c>
      <c r="C410" s="6">
        <f t="shared" si="12"/>
        <v>1.2688342585249979E-2</v>
      </c>
      <c r="D410" s="6">
        <f t="shared" si="13"/>
        <v>1.2608520067619908E-2</v>
      </c>
    </row>
    <row r="411" spans="1:4" x14ac:dyDescent="0.25">
      <c r="A411" t="s">
        <v>458</v>
      </c>
      <c r="B411">
        <v>37.83</v>
      </c>
      <c r="C411" s="6">
        <f t="shared" si="12"/>
        <v>-1.1238891792995309E-2</v>
      </c>
      <c r="D411" s="6">
        <f t="shared" si="13"/>
        <v>-1.1302525367168949E-2</v>
      </c>
    </row>
    <row r="412" spans="1:4" x14ac:dyDescent="0.25">
      <c r="A412" t="s">
        <v>459</v>
      </c>
      <c r="B412">
        <v>38.26</v>
      </c>
      <c r="C412" s="6">
        <f t="shared" si="12"/>
        <v>2.620545073375391E-3</v>
      </c>
      <c r="D412" s="6">
        <f t="shared" si="13"/>
        <v>2.6171174320211684E-3</v>
      </c>
    </row>
    <row r="413" spans="1:4" x14ac:dyDescent="0.25">
      <c r="A413" t="s">
        <v>460</v>
      </c>
      <c r="B413">
        <v>38.159999999999997</v>
      </c>
      <c r="C413" s="6">
        <f t="shared" si="12"/>
        <v>-1.0471204188483574E-3</v>
      </c>
      <c r="D413" s="6">
        <f t="shared" si="13"/>
        <v>-1.047669032443911E-3</v>
      </c>
    </row>
    <row r="414" spans="1:4" x14ac:dyDescent="0.25">
      <c r="A414" t="s">
        <v>461</v>
      </c>
      <c r="B414">
        <v>38.200000000000003</v>
      </c>
      <c r="C414" s="6">
        <f t="shared" si="12"/>
        <v>-7.0184559396931911E-3</v>
      </c>
      <c r="D414" s="6">
        <f t="shared" si="13"/>
        <v>-7.0432011516741791E-3</v>
      </c>
    </row>
    <row r="415" spans="1:4" x14ac:dyDescent="0.25">
      <c r="A415" t="s">
        <v>462</v>
      </c>
      <c r="B415">
        <v>38.47</v>
      </c>
      <c r="C415" s="6">
        <f t="shared" si="12"/>
        <v>2.8675703858185297E-3</v>
      </c>
      <c r="D415" s="6">
        <f t="shared" si="13"/>
        <v>2.8634667489662521E-3</v>
      </c>
    </row>
    <row r="416" spans="1:4" x14ac:dyDescent="0.25">
      <c r="A416" t="s">
        <v>463</v>
      </c>
      <c r="B416">
        <v>38.36</v>
      </c>
      <c r="C416" s="6">
        <f t="shared" si="12"/>
        <v>-3.6664992466097446E-2</v>
      </c>
      <c r="D416" s="6">
        <f t="shared" si="13"/>
        <v>-3.735404862081277E-2</v>
      </c>
    </row>
    <row r="417" spans="1:4" x14ac:dyDescent="0.25">
      <c r="A417" t="s">
        <v>464</v>
      </c>
      <c r="B417">
        <v>39.82</v>
      </c>
      <c r="C417" s="6">
        <f t="shared" si="12"/>
        <v>-2.255073916311634E-3</v>
      </c>
      <c r="D417" s="6">
        <f t="shared" si="13"/>
        <v>-2.2576204245922217E-3</v>
      </c>
    </row>
    <row r="418" spans="1:4" x14ac:dyDescent="0.25">
      <c r="A418" t="s">
        <v>465</v>
      </c>
      <c r="B418">
        <v>39.909999999999997</v>
      </c>
      <c r="C418" s="6">
        <f t="shared" si="12"/>
        <v>2.5119316754582677E-3</v>
      </c>
      <c r="D418" s="6">
        <f t="shared" si="13"/>
        <v>2.5087820484165292E-3</v>
      </c>
    </row>
    <row r="419" spans="1:4" x14ac:dyDescent="0.25">
      <c r="A419" t="s">
        <v>466</v>
      </c>
      <c r="B419">
        <v>39.81</v>
      </c>
      <c r="C419" s="6">
        <f t="shared" si="12"/>
        <v>-4.5011252813202951E-3</v>
      </c>
      <c r="D419" s="6">
        <f t="shared" si="13"/>
        <v>-4.5112858465011247E-3</v>
      </c>
    </row>
    <row r="420" spans="1:4" x14ac:dyDescent="0.25">
      <c r="A420" t="s">
        <v>467</v>
      </c>
      <c r="B420">
        <v>39.99</v>
      </c>
      <c r="C420" s="6">
        <f t="shared" si="12"/>
        <v>3.7650602409637912E-3</v>
      </c>
      <c r="D420" s="6">
        <f t="shared" si="13"/>
        <v>3.7579901423294444E-3</v>
      </c>
    </row>
    <row r="421" spans="1:4" x14ac:dyDescent="0.25">
      <c r="A421" t="s">
        <v>468</v>
      </c>
      <c r="B421">
        <v>39.840000000000003</v>
      </c>
      <c r="C421" s="6">
        <f t="shared" si="12"/>
        <v>3.5264483627204246E-3</v>
      </c>
      <c r="D421" s="6">
        <f t="shared" si="13"/>
        <v>3.5202450232527768E-3</v>
      </c>
    </row>
    <row r="422" spans="1:4" x14ac:dyDescent="0.25">
      <c r="A422" t="s">
        <v>469</v>
      </c>
      <c r="B422">
        <v>39.700000000000003</v>
      </c>
      <c r="C422" s="6">
        <f t="shared" si="12"/>
        <v>5.8949053080821656E-2</v>
      </c>
      <c r="D422" s="6">
        <f t="shared" si="13"/>
        <v>5.727695694532417E-2</v>
      </c>
    </row>
    <row r="423" spans="1:4" x14ac:dyDescent="0.25">
      <c r="A423" t="s">
        <v>470</v>
      </c>
      <c r="B423">
        <v>37.49</v>
      </c>
      <c r="C423" s="6">
        <f t="shared" si="12"/>
        <v>6.1728395061728669E-3</v>
      </c>
      <c r="D423" s="6">
        <f t="shared" si="13"/>
        <v>6.1538655743782859E-3</v>
      </c>
    </row>
    <row r="424" spans="1:4" x14ac:dyDescent="0.25">
      <c r="A424" t="s">
        <v>471</v>
      </c>
      <c r="B424">
        <v>37.26</v>
      </c>
      <c r="C424" s="6">
        <f t="shared" si="12"/>
        <v>-2.5882352941176467E-2</v>
      </c>
      <c r="D424" s="6">
        <f t="shared" si="13"/>
        <v>-2.6223195099102443E-2</v>
      </c>
    </row>
    <row r="425" spans="1:4" x14ac:dyDescent="0.25">
      <c r="A425" t="s">
        <v>472</v>
      </c>
      <c r="B425">
        <v>38.25</v>
      </c>
      <c r="C425" s="6">
        <f t="shared" si="12"/>
        <v>-1.3412432293010146E-2</v>
      </c>
      <c r="D425" s="6">
        <f t="shared" si="13"/>
        <v>-1.3503191410293002E-2</v>
      </c>
    </row>
    <row r="426" spans="1:4" x14ac:dyDescent="0.25">
      <c r="A426" t="s">
        <v>473</v>
      </c>
      <c r="B426">
        <v>38.770000000000003</v>
      </c>
      <c r="C426" s="6">
        <f t="shared" si="12"/>
        <v>-3.0265132566282937E-2</v>
      </c>
      <c r="D426" s="6">
        <f t="shared" si="13"/>
        <v>-3.0732577389416035E-2</v>
      </c>
    </row>
    <row r="427" spans="1:4" x14ac:dyDescent="0.25">
      <c r="A427" t="s">
        <v>474</v>
      </c>
      <c r="B427">
        <v>39.979999999999997</v>
      </c>
      <c r="C427" s="6">
        <f t="shared" si="12"/>
        <v>4.7750691128423117E-3</v>
      </c>
      <c r="D427" s="6">
        <f t="shared" si="13"/>
        <v>4.7637046334166244E-3</v>
      </c>
    </row>
    <row r="428" spans="1:4" x14ac:dyDescent="0.25">
      <c r="A428" t="s">
        <v>475</v>
      </c>
      <c r="B428">
        <v>39.79</v>
      </c>
      <c r="C428" s="6">
        <f t="shared" si="12"/>
        <v>7.0868134649455516E-3</v>
      </c>
      <c r="D428" s="6">
        <f t="shared" si="13"/>
        <v>7.0618200155378738E-3</v>
      </c>
    </row>
    <row r="429" spans="1:4" x14ac:dyDescent="0.25">
      <c r="A429" t="s">
        <v>476</v>
      </c>
      <c r="B429">
        <v>39.51</v>
      </c>
      <c r="C429" s="6">
        <f t="shared" si="12"/>
        <v>7.5987841945290846E-4</v>
      </c>
      <c r="D429" s="6">
        <f t="shared" si="13"/>
        <v>7.5958985801855157E-4</v>
      </c>
    </row>
    <row r="430" spans="1:4" x14ac:dyDescent="0.25">
      <c r="A430" t="s">
        <v>477</v>
      </c>
      <c r="B430">
        <v>39.479999999999997</v>
      </c>
      <c r="C430" s="6">
        <f t="shared" si="12"/>
        <v>6.3726739739995431E-3</v>
      </c>
      <c r="D430" s="6">
        <f t="shared" si="13"/>
        <v>6.352454343819691E-3</v>
      </c>
    </row>
    <row r="431" spans="1:4" x14ac:dyDescent="0.25">
      <c r="A431" t="s">
        <v>478</v>
      </c>
      <c r="B431">
        <v>39.229999999999997</v>
      </c>
      <c r="C431" s="6">
        <f t="shared" si="12"/>
        <v>-1.2833417211877363E-2</v>
      </c>
      <c r="D431" s="6">
        <f t="shared" si="13"/>
        <v>-1.2916476902209756E-2</v>
      </c>
    </row>
    <row r="432" spans="1:4" x14ac:dyDescent="0.25">
      <c r="A432" t="s">
        <v>479</v>
      </c>
      <c r="B432">
        <v>39.74</v>
      </c>
      <c r="C432" s="6">
        <f t="shared" si="12"/>
        <v>6.0759493670885512E-3</v>
      </c>
      <c r="D432" s="6">
        <f t="shared" si="13"/>
        <v>6.0575652165945487E-3</v>
      </c>
    </row>
    <row r="433" spans="1:4" x14ac:dyDescent="0.25">
      <c r="A433" t="s">
        <v>480</v>
      </c>
      <c r="B433">
        <v>39.5</v>
      </c>
      <c r="C433" s="6">
        <f t="shared" si="12"/>
        <v>9.7137014314929715E-3</v>
      </c>
      <c r="D433" s="6">
        <f t="shared" si="13"/>
        <v>9.6668267404597264E-3</v>
      </c>
    </row>
    <row r="434" spans="1:4" x14ac:dyDescent="0.25">
      <c r="A434" t="s">
        <v>481</v>
      </c>
      <c r="B434">
        <v>39.119999999999997</v>
      </c>
      <c r="C434" s="6">
        <f t="shared" si="12"/>
        <v>1.0069713400464808E-2</v>
      </c>
      <c r="D434" s="6">
        <f t="shared" si="13"/>
        <v>1.0019351639955815E-2</v>
      </c>
    </row>
    <row r="435" spans="1:4" x14ac:dyDescent="0.25">
      <c r="A435" t="s">
        <v>482</v>
      </c>
      <c r="B435">
        <v>38.729999999999997</v>
      </c>
      <c r="C435" s="6">
        <f t="shared" si="12"/>
        <v>5.4517133956384356E-3</v>
      </c>
      <c r="D435" s="6">
        <f t="shared" si="13"/>
        <v>5.4369065967358231E-3</v>
      </c>
    </row>
    <row r="436" spans="1:4" x14ac:dyDescent="0.25">
      <c r="A436" t="s">
        <v>483</v>
      </c>
      <c r="B436">
        <v>38.520000000000003</v>
      </c>
      <c r="C436" s="6">
        <f t="shared" si="12"/>
        <v>-7.2164948453606881E-3</v>
      </c>
      <c r="D436" s="6">
        <f t="shared" si="13"/>
        <v>-7.2426596993028121E-3</v>
      </c>
    </row>
    <row r="437" spans="1:4" x14ac:dyDescent="0.25">
      <c r="A437" t="s">
        <v>484</v>
      </c>
      <c r="B437">
        <v>38.799999999999997</v>
      </c>
      <c r="C437" s="6">
        <f t="shared" si="12"/>
        <v>-1.5728056823947401E-2</v>
      </c>
      <c r="D437" s="6">
        <f t="shared" si="13"/>
        <v>-1.5853055095346555E-2</v>
      </c>
    </row>
    <row r="438" spans="1:4" x14ac:dyDescent="0.25">
      <c r="A438" t="s">
        <v>485</v>
      </c>
      <c r="B438">
        <v>39.42</v>
      </c>
      <c r="C438" s="6">
        <f t="shared" si="12"/>
        <v>2.5432349949134903E-3</v>
      </c>
      <c r="D438" s="6">
        <f t="shared" si="13"/>
        <v>2.540006445608302E-3</v>
      </c>
    </row>
    <row r="439" spans="1:4" x14ac:dyDescent="0.25">
      <c r="A439" t="s">
        <v>486</v>
      </c>
      <c r="B439">
        <v>39.32</v>
      </c>
      <c r="C439" s="6">
        <f t="shared" si="12"/>
        <v>-1.1066398390341958E-2</v>
      </c>
      <c r="D439" s="6">
        <f t="shared" si="13"/>
        <v>-1.1128086509407388E-2</v>
      </c>
    </row>
    <row r="440" spans="1:4" x14ac:dyDescent="0.25">
      <c r="A440" t="s">
        <v>487</v>
      </c>
      <c r="B440">
        <v>39.76</v>
      </c>
      <c r="C440" s="6">
        <f t="shared" si="12"/>
        <v>-1.2664514526943282E-2</v>
      </c>
      <c r="D440" s="6">
        <f t="shared" si="13"/>
        <v>-1.2745393074989663E-2</v>
      </c>
    </row>
    <row r="441" spans="1:4" x14ac:dyDescent="0.25">
      <c r="A441" t="s">
        <v>488</v>
      </c>
      <c r="B441">
        <v>40.270000000000003</v>
      </c>
      <c r="C441" s="6">
        <f t="shared" si="12"/>
        <v>3.7387836490530013E-3</v>
      </c>
      <c r="D441" s="6">
        <f t="shared" si="13"/>
        <v>3.7318117696281761E-3</v>
      </c>
    </row>
    <row r="442" spans="1:4" x14ac:dyDescent="0.25">
      <c r="A442" t="s">
        <v>489</v>
      </c>
      <c r="B442">
        <v>40.119999999999997</v>
      </c>
      <c r="C442" s="6">
        <f t="shared" si="12"/>
        <v>5.5137844611528042E-3</v>
      </c>
      <c r="D442" s="6">
        <f t="shared" si="13"/>
        <v>5.4986391979169316E-3</v>
      </c>
    </row>
    <row r="443" spans="1:4" x14ac:dyDescent="0.25">
      <c r="A443" t="s">
        <v>490</v>
      </c>
      <c r="B443">
        <v>39.9</v>
      </c>
      <c r="C443" s="6">
        <f t="shared" si="12"/>
        <v>2.5068939583849925E-4</v>
      </c>
      <c r="D443" s="6">
        <f t="shared" si="13"/>
        <v>2.5065797850245863E-4</v>
      </c>
    </row>
    <row r="444" spans="1:4" x14ac:dyDescent="0.25">
      <c r="A444" t="s">
        <v>491</v>
      </c>
      <c r="B444">
        <v>39.89</v>
      </c>
      <c r="C444" s="6">
        <f t="shared" si="12"/>
        <v>7.3232323232323981E-3</v>
      </c>
      <c r="D444" s="6">
        <f t="shared" si="13"/>
        <v>7.2965476568804697E-3</v>
      </c>
    </row>
    <row r="445" spans="1:4" x14ac:dyDescent="0.25">
      <c r="A445" t="s">
        <v>492</v>
      </c>
      <c r="B445">
        <v>39.6</v>
      </c>
      <c r="C445" s="6">
        <f t="shared" si="12"/>
        <v>1.0461852513396375E-2</v>
      </c>
      <c r="D445" s="6">
        <f t="shared" si="13"/>
        <v>1.0407506048894869E-2</v>
      </c>
    </row>
    <row r="446" spans="1:4" x14ac:dyDescent="0.25">
      <c r="A446" t="s">
        <v>493</v>
      </c>
      <c r="B446">
        <v>39.19</v>
      </c>
      <c r="C446" s="6">
        <f t="shared" si="12"/>
        <v>9.5311695002575636E-3</v>
      </c>
      <c r="D446" s="6">
        <f t="shared" si="13"/>
        <v>9.4860344706758585E-3</v>
      </c>
    </row>
    <row r="447" spans="1:4" x14ac:dyDescent="0.25">
      <c r="A447" t="s">
        <v>494</v>
      </c>
      <c r="B447">
        <v>38.82</v>
      </c>
      <c r="C447" s="6">
        <f t="shared" si="12"/>
        <v>-2.7555110220440882E-2</v>
      </c>
      <c r="D447" s="6">
        <f t="shared" si="13"/>
        <v>-2.7941873702399027E-2</v>
      </c>
    </row>
    <row r="448" spans="1:4" x14ac:dyDescent="0.25">
      <c r="A448" t="s">
        <v>495</v>
      </c>
      <c r="B448">
        <v>39.92</v>
      </c>
      <c r="C448" s="6">
        <f t="shared" si="12"/>
        <v>6.5557236510338512E-3</v>
      </c>
      <c r="D448" s="6">
        <f t="shared" si="13"/>
        <v>6.5343283516133702E-3</v>
      </c>
    </row>
    <row r="449" spans="1:4" x14ac:dyDescent="0.25">
      <c r="A449" t="s">
        <v>496</v>
      </c>
      <c r="B449">
        <v>39.659999999999997</v>
      </c>
      <c r="C449" s="6">
        <f t="shared" si="12"/>
        <v>-6.7618332081142984E-3</v>
      </c>
      <c r="D449" s="6">
        <f t="shared" si="13"/>
        <v>-6.7847979834801363E-3</v>
      </c>
    </row>
    <row r="450" spans="1:4" x14ac:dyDescent="0.25">
      <c r="A450" t="s">
        <v>497</v>
      </c>
      <c r="B450">
        <v>39.93</v>
      </c>
      <c r="C450" s="6">
        <f t="shared" si="12"/>
        <v>4.5283018867925406E-3</v>
      </c>
      <c r="D450" s="6">
        <f t="shared" si="13"/>
        <v>4.5180799747891361E-3</v>
      </c>
    </row>
    <row r="451" spans="1:4" x14ac:dyDescent="0.25">
      <c r="A451" t="s">
        <v>498</v>
      </c>
      <c r="B451">
        <v>39.75</v>
      </c>
      <c r="C451" s="6">
        <f t="shared" ref="C451:C514" si="14">(B451/B452)-1</f>
        <v>6.0744115413819966E-3</v>
      </c>
      <c r="D451" s="6">
        <f t="shared" ref="D451:D514" si="15">LN(B451/B452)</f>
        <v>6.0560366770416093E-3</v>
      </c>
    </row>
    <row r="452" spans="1:4" x14ac:dyDescent="0.25">
      <c r="A452" t="s">
        <v>499</v>
      </c>
      <c r="B452">
        <v>39.51</v>
      </c>
      <c r="C452" s="6">
        <f t="shared" si="14"/>
        <v>2.3310023310023187E-2</v>
      </c>
      <c r="D452" s="6">
        <f t="shared" si="15"/>
        <v>2.3042494147154258E-2</v>
      </c>
    </row>
    <row r="453" spans="1:4" x14ac:dyDescent="0.25">
      <c r="A453" t="s">
        <v>500</v>
      </c>
      <c r="B453">
        <v>38.61</v>
      </c>
      <c r="C453" s="6">
        <f t="shared" si="14"/>
        <v>3.6391993761373254E-3</v>
      </c>
      <c r="D453" s="6">
        <f t="shared" si="15"/>
        <v>3.632593511941307E-3</v>
      </c>
    </row>
    <row r="454" spans="1:4" x14ac:dyDescent="0.25">
      <c r="A454" t="s">
        <v>501</v>
      </c>
      <c r="B454">
        <v>38.47</v>
      </c>
      <c r="C454" s="6">
        <f t="shared" si="14"/>
        <v>-2.3340248962656629E-3</v>
      </c>
      <c r="D454" s="6">
        <f t="shared" si="15"/>
        <v>-2.3367529781412135E-3</v>
      </c>
    </row>
    <row r="455" spans="1:4" x14ac:dyDescent="0.25">
      <c r="A455" t="s">
        <v>502</v>
      </c>
      <c r="B455">
        <v>38.56</v>
      </c>
      <c r="C455" s="6">
        <f t="shared" si="14"/>
        <v>1.3403416557161707E-2</v>
      </c>
      <c r="D455" s="6">
        <f t="shared" si="15"/>
        <v>1.3314385434650099E-2</v>
      </c>
    </row>
    <row r="456" spans="1:4" x14ac:dyDescent="0.25">
      <c r="A456" t="s">
        <v>503</v>
      </c>
      <c r="B456">
        <v>38.049999999999997</v>
      </c>
      <c r="C456" s="6">
        <f t="shared" si="14"/>
        <v>-1.5014237639140671E-2</v>
      </c>
      <c r="D456" s="6">
        <f t="shared" si="15"/>
        <v>-1.5128092370495203E-2</v>
      </c>
    </row>
    <row r="457" spans="1:4" x14ac:dyDescent="0.25">
      <c r="A457" t="s">
        <v>504</v>
      </c>
      <c r="B457">
        <v>38.630000000000003</v>
      </c>
      <c r="C457" s="6">
        <f t="shared" si="14"/>
        <v>6.2516280281323944E-3</v>
      </c>
      <c r="D457" s="6">
        <f t="shared" si="15"/>
        <v>6.2321676654836658E-3</v>
      </c>
    </row>
    <row r="458" spans="1:4" x14ac:dyDescent="0.25">
      <c r="A458" t="s">
        <v>505</v>
      </c>
      <c r="B458">
        <v>38.39</v>
      </c>
      <c r="C458" s="6">
        <f t="shared" si="14"/>
        <v>-1.560468140442195E-3</v>
      </c>
      <c r="D458" s="6">
        <f t="shared" si="15"/>
        <v>-1.5616869389467043E-3</v>
      </c>
    </row>
    <row r="459" spans="1:4" x14ac:dyDescent="0.25">
      <c r="A459" t="s">
        <v>506</v>
      </c>
      <c r="B459">
        <v>38.450000000000003</v>
      </c>
      <c r="C459" s="6">
        <f t="shared" si="14"/>
        <v>9.9816128184924136E-3</v>
      </c>
      <c r="D459" s="6">
        <f t="shared" si="15"/>
        <v>9.9321255572471581E-3</v>
      </c>
    </row>
    <row r="460" spans="1:4" x14ac:dyDescent="0.25">
      <c r="A460" t="s">
        <v>507</v>
      </c>
      <c r="B460">
        <v>38.07</v>
      </c>
      <c r="C460" s="6">
        <f t="shared" si="14"/>
        <v>-1.3219284603421366E-2</v>
      </c>
      <c r="D460" s="6">
        <f t="shared" si="15"/>
        <v>-1.3307437083176939E-2</v>
      </c>
    </row>
    <row r="461" spans="1:4" x14ac:dyDescent="0.25">
      <c r="A461" t="s">
        <v>508</v>
      </c>
      <c r="B461">
        <v>38.58</v>
      </c>
      <c r="C461" s="6">
        <f t="shared" si="14"/>
        <v>-3.3583053474555147E-3</v>
      </c>
      <c r="D461" s="6">
        <f t="shared" si="15"/>
        <v>-3.3639571119737934E-3</v>
      </c>
    </row>
    <row r="462" spans="1:4" x14ac:dyDescent="0.25">
      <c r="A462" t="s">
        <v>509</v>
      </c>
      <c r="B462">
        <v>38.71</v>
      </c>
      <c r="C462" s="6">
        <f t="shared" si="14"/>
        <v>-1.8757921419518375E-2</v>
      </c>
      <c r="D462" s="6">
        <f t="shared" si="15"/>
        <v>-1.8936082702326509E-2</v>
      </c>
    </row>
    <row r="463" spans="1:4" x14ac:dyDescent="0.25">
      <c r="A463" t="s">
        <v>510</v>
      </c>
      <c r="B463">
        <v>39.450000000000003</v>
      </c>
      <c r="C463" s="6">
        <f t="shared" si="14"/>
        <v>2.2865853658537993E-3</v>
      </c>
      <c r="D463" s="6">
        <f t="shared" si="15"/>
        <v>2.2839751078307154E-3</v>
      </c>
    </row>
    <row r="464" spans="1:4" x14ac:dyDescent="0.25">
      <c r="A464" t="s">
        <v>511</v>
      </c>
      <c r="B464">
        <v>39.36</v>
      </c>
      <c r="C464" s="6">
        <f t="shared" si="14"/>
        <v>1.1565150346954489E-2</v>
      </c>
      <c r="D464" s="6">
        <f t="shared" si="15"/>
        <v>1.1498785187590448E-2</v>
      </c>
    </row>
    <row r="465" spans="1:4" x14ac:dyDescent="0.25">
      <c r="A465" t="s">
        <v>512</v>
      </c>
      <c r="B465">
        <v>38.909999999999997</v>
      </c>
      <c r="C465" s="6">
        <f t="shared" si="14"/>
        <v>-1.6927741283476516E-2</v>
      </c>
      <c r="D465" s="6">
        <f t="shared" si="15"/>
        <v>-1.7072653177957475E-2</v>
      </c>
    </row>
    <row r="466" spans="1:4" x14ac:dyDescent="0.25">
      <c r="A466" t="s">
        <v>513</v>
      </c>
      <c r="B466">
        <v>39.58</v>
      </c>
      <c r="C466" s="6">
        <f t="shared" si="14"/>
        <v>-8.2686043598095837E-3</v>
      </c>
      <c r="D466" s="6">
        <f t="shared" si="15"/>
        <v>-8.302978886222865E-3</v>
      </c>
    </row>
    <row r="467" spans="1:4" x14ac:dyDescent="0.25">
      <c r="A467" t="s">
        <v>514</v>
      </c>
      <c r="B467">
        <v>39.909999999999997</v>
      </c>
      <c r="C467" s="6">
        <f t="shared" si="14"/>
        <v>-2.2500000000000853E-3</v>
      </c>
      <c r="D467" s="6">
        <f t="shared" si="15"/>
        <v>-2.2525350532938667E-3</v>
      </c>
    </row>
    <row r="468" spans="1:4" x14ac:dyDescent="0.25">
      <c r="A468" t="s">
        <v>515</v>
      </c>
      <c r="B468">
        <v>40</v>
      </c>
      <c r="C468" s="6">
        <f t="shared" si="14"/>
        <v>2.0040080160319551E-3</v>
      </c>
      <c r="D468" s="6">
        <f t="shared" si="15"/>
        <v>2.0020026706729687E-3</v>
      </c>
    </row>
    <row r="469" spans="1:4" x14ac:dyDescent="0.25">
      <c r="A469" t="s">
        <v>516</v>
      </c>
      <c r="B469">
        <v>39.92</v>
      </c>
      <c r="C469" s="6">
        <f t="shared" si="14"/>
        <v>7.3176886197325874E-3</v>
      </c>
      <c r="D469" s="6">
        <f t="shared" si="15"/>
        <v>7.2910442409196445E-3</v>
      </c>
    </row>
    <row r="470" spans="1:4" x14ac:dyDescent="0.25">
      <c r="A470" t="s">
        <v>517</v>
      </c>
      <c r="B470">
        <v>39.630000000000003</v>
      </c>
      <c r="C470" s="6">
        <f t="shared" si="14"/>
        <v>3.0372057706911093E-3</v>
      </c>
      <c r="D470" s="6">
        <f t="shared" si="15"/>
        <v>3.032602779044422E-3</v>
      </c>
    </row>
    <row r="471" spans="1:4" x14ac:dyDescent="0.25">
      <c r="A471" t="s">
        <v>518</v>
      </c>
      <c r="B471">
        <v>39.51</v>
      </c>
      <c r="C471" s="6">
        <f t="shared" si="14"/>
        <v>7.6511094108644429E-3</v>
      </c>
      <c r="D471" s="6">
        <f t="shared" si="15"/>
        <v>7.621988119058962E-3</v>
      </c>
    </row>
    <row r="472" spans="1:4" x14ac:dyDescent="0.25">
      <c r="A472" t="s">
        <v>519</v>
      </c>
      <c r="B472">
        <v>39.21</v>
      </c>
      <c r="C472" s="6">
        <f t="shared" si="14"/>
        <v>-8.5967130214916754E-3</v>
      </c>
      <c r="D472" s="6">
        <f t="shared" si="15"/>
        <v>-8.6338779094225007E-3</v>
      </c>
    </row>
    <row r="473" spans="1:4" x14ac:dyDescent="0.25">
      <c r="A473" t="s">
        <v>520</v>
      </c>
      <c r="B473">
        <v>39.549999999999997</v>
      </c>
      <c r="C473" s="6">
        <f t="shared" si="14"/>
        <v>1.4102564102564052E-2</v>
      </c>
      <c r="D473" s="6">
        <f t="shared" si="15"/>
        <v>1.4004048084016403E-2</v>
      </c>
    </row>
    <row r="474" spans="1:4" x14ac:dyDescent="0.25">
      <c r="A474" t="s">
        <v>521</v>
      </c>
      <c r="B474">
        <v>39</v>
      </c>
      <c r="C474" s="6">
        <f t="shared" si="14"/>
        <v>1.4832162373145996E-2</v>
      </c>
      <c r="D474" s="6">
        <f t="shared" si="15"/>
        <v>1.4723241552893875E-2</v>
      </c>
    </row>
    <row r="475" spans="1:4" x14ac:dyDescent="0.25">
      <c r="A475" t="s">
        <v>522</v>
      </c>
      <c r="B475">
        <v>38.43</v>
      </c>
      <c r="C475" s="6">
        <f t="shared" si="14"/>
        <v>8.1322140608603988E-3</v>
      </c>
      <c r="D475" s="6">
        <f t="shared" si="15"/>
        <v>8.0993257907511634E-3</v>
      </c>
    </row>
    <row r="476" spans="1:4" x14ac:dyDescent="0.25">
      <c r="A476" t="s">
        <v>523</v>
      </c>
      <c r="B476">
        <v>38.119999999999997</v>
      </c>
      <c r="C476" s="6">
        <f t="shared" si="14"/>
        <v>5.8047493403694528E-3</v>
      </c>
      <c r="D476" s="6">
        <f t="shared" si="15"/>
        <v>5.7879666976207583E-3</v>
      </c>
    </row>
    <row r="477" spans="1:4" x14ac:dyDescent="0.25">
      <c r="A477" t="s">
        <v>524</v>
      </c>
      <c r="B477">
        <v>37.9</v>
      </c>
      <c r="C477" s="6">
        <f t="shared" si="14"/>
        <v>4.0065861690450122E-2</v>
      </c>
      <c r="D477" s="6">
        <f t="shared" si="15"/>
        <v>3.9284039696623155E-2</v>
      </c>
    </row>
    <row r="478" spans="1:4" x14ac:dyDescent="0.25">
      <c r="A478" t="s">
        <v>525</v>
      </c>
      <c r="B478">
        <v>36.44</v>
      </c>
      <c r="C478" s="6">
        <f t="shared" si="14"/>
        <v>-8.2259391280503635E-4</v>
      </c>
      <c r="D478" s="6">
        <f t="shared" si="15"/>
        <v>-8.2293242883127449E-4</v>
      </c>
    </row>
    <row r="479" spans="1:4" x14ac:dyDescent="0.25">
      <c r="A479" t="s">
        <v>526</v>
      </c>
      <c r="B479">
        <v>36.47</v>
      </c>
      <c r="C479" s="6">
        <f t="shared" si="14"/>
        <v>7.4585635359114555E-3</v>
      </c>
      <c r="D479" s="6">
        <f t="shared" si="15"/>
        <v>7.4308859888633375E-3</v>
      </c>
    </row>
    <row r="480" spans="1:4" x14ac:dyDescent="0.25">
      <c r="A480" t="s">
        <v>527</v>
      </c>
      <c r="B480">
        <v>36.200000000000003</v>
      </c>
      <c r="C480" s="6">
        <f t="shared" si="14"/>
        <v>1.5997754701094546E-2</v>
      </c>
      <c r="D480" s="6">
        <f t="shared" si="15"/>
        <v>1.5871139213980655E-2</v>
      </c>
    </row>
    <row r="481" spans="1:4" x14ac:dyDescent="0.25">
      <c r="A481" t="s">
        <v>528</v>
      </c>
      <c r="B481">
        <v>35.630000000000003</v>
      </c>
      <c r="C481" s="6">
        <f t="shared" si="14"/>
        <v>-9.7276264591438233E-3</v>
      </c>
      <c r="D481" s="6">
        <f t="shared" si="15"/>
        <v>-9.7752489046422173E-3</v>
      </c>
    </row>
    <row r="482" spans="1:4" x14ac:dyDescent="0.25">
      <c r="A482" t="s">
        <v>529</v>
      </c>
      <c r="B482">
        <v>35.979999999999997</v>
      </c>
      <c r="C482" s="6">
        <f t="shared" si="14"/>
        <v>-1.9417475728155109E-3</v>
      </c>
      <c r="D482" s="6">
        <f t="shared" si="15"/>
        <v>-1.9436352085710144E-3</v>
      </c>
    </row>
    <row r="483" spans="1:4" x14ac:dyDescent="0.25">
      <c r="A483" t="s">
        <v>530</v>
      </c>
      <c r="B483">
        <v>36.049999999999997</v>
      </c>
      <c r="C483" s="6">
        <f t="shared" si="14"/>
        <v>-6.3395810363837679E-3</v>
      </c>
      <c r="D483" s="6">
        <f t="shared" si="15"/>
        <v>-6.359761515977857E-3</v>
      </c>
    </row>
    <row r="484" spans="1:4" x14ac:dyDescent="0.25">
      <c r="A484" t="s">
        <v>531</v>
      </c>
      <c r="B484">
        <v>36.28</v>
      </c>
      <c r="C484" s="6">
        <f t="shared" si="14"/>
        <v>-1.2520413718018486E-2</v>
      </c>
      <c r="D484" s="6">
        <f t="shared" si="15"/>
        <v>-1.2599454540043716E-2</v>
      </c>
    </row>
    <row r="485" spans="1:4" x14ac:dyDescent="0.25">
      <c r="A485" t="s">
        <v>532</v>
      </c>
      <c r="B485">
        <v>36.74</v>
      </c>
      <c r="C485" s="6">
        <f t="shared" si="14"/>
        <v>5.4466230936833782E-4</v>
      </c>
      <c r="D485" s="6">
        <f t="shared" si="15"/>
        <v>5.4451403469002403E-4</v>
      </c>
    </row>
    <row r="486" spans="1:4" x14ac:dyDescent="0.25">
      <c r="A486" t="s">
        <v>533</v>
      </c>
      <c r="B486">
        <v>36.72</v>
      </c>
      <c r="C486" s="6">
        <f t="shared" si="14"/>
        <v>2.4570024570023108E-3</v>
      </c>
      <c r="D486" s="6">
        <f t="shared" si="15"/>
        <v>2.4539889615665658E-3</v>
      </c>
    </row>
    <row r="487" spans="1:4" x14ac:dyDescent="0.25">
      <c r="A487" t="s">
        <v>534</v>
      </c>
      <c r="B487">
        <v>36.630000000000003</v>
      </c>
      <c r="C487" s="6">
        <f t="shared" si="14"/>
        <v>-1.080205238995402E-2</v>
      </c>
      <c r="D487" s="6">
        <f t="shared" si="15"/>
        <v>-1.0860818134798243E-2</v>
      </c>
    </row>
    <row r="488" spans="1:4" x14ac:dyDescent="0.25">
      <c r="A488" t="s">
        <v>535</v>
      </c>
      <c r="B488">
        <v>37.03</v>
      </c>
      <c r="C488" s="6">
        <f t="shared" si="14"/>
        <v>-2.1557531662623752E-3</v>
      </c>
      <c r="D488" s="6">
        <f t="shared" si="15"/>
        <v>-2.1580801469848164E-3</v>
      </c>
    </row>
    <row r="489" spans="1:4" x14ac:dyDescent="0.25">
      <c r="A489" t="s">
        <v>536</v>
      </c>
      <c r="B489">
        <v>37.11</v>
      </c>
      <c r="C489" s="6">
        <f t="shared" si="14"/>
        <v>-3.1576200417536504E-2</v>
      </c>
      <c r="D489" s="6">
        <f t="shared" si="15"/>
        <v>-3.208547803015354E-2</v>
      </c>
    </row>
    <row r="490" spans="1:4" x14ac:dyDescent="0.25">
      <c r="A490" t="s">
        <v>537</v>
      </c>
      <c r="B490">
        <v>38.32</v>
      </c>
      <c r="C490" s="6">
        <f t="shared" si="14"/>
        <v>-1.6174582798459625E-2</v>
      </c>
      <c r="D490" s="6">
        <f t="shared" si="15"/>
        <v>-1.6306819214097538E-2</v>
      </c>
    </row>
    <row r="491" spans="1:4" x14ac:dyDescent="0.25">
      <c r="A491" t="s">
        <v>538</v>
      </c>
      <c r="B491">
        <v>38.950000000000003</v>
      </c>
      <c r="C491" s="6">
        <f t="shared" si="14"/>
        <v>-5.1321529381564979E-4</v>
      </c>
      <c r="D491" s="6">
        <f t="shared" si="15"/>
        <v>-5.133470338604851E-4</v>
      </c>
    </row>
    <row r="492" spans="1:4" x14ac:dyDescent="0.25">
      <c r="A492" t="s">
        <v>539</v>
      </c>
      <c r="B492">
        <v>38.97</v>
      </c>
      <c r="C492" s="6">
        <f t="shared" si="14"/>
        <v>-8.1445660473402626E-3</v>
      </c>
      <c r="D492" s="6">
        <f t="shared" si="15"/>
        <v>-8.1779142197505074E-3</v>
      </c>
    </row>
    <row r="493" spans="1:4" x14ac:dyDescent="0.25">
      <c r="A493" t="s">
        <v>540</v>
      </c>
      <c r="B493">
        <v>39.29</v>
      </c>
      <c r="C493" s="6">
        <f t="shared" si="14"/>
        <v>-7.6297049847406928E-4</v>
      </c>
      <c r="D493" s="6">
        <f t="shared" si="15"/>
        <v>-7.6326170859741707E-4</v>
      </c>
    </row>
    <row r="494" spans="1:4" x14ac:dyDescent="0.25">
      <c r="A494" t="s">
        <v>541</v>
      </c>
      <c r="B494">
        <v>39.32</v>
      </c>
      <c r="C494" s="6">
        <f t="shared" si="14"/>
        <v>-3.0425963488842633E-3</v>
      </c>
      <c r="D494" s="6">
        <f t="shared" si="15"/>
        <v>-3.0472344554687463E-3</v>
      </c>
    </row>
    <row r="495" spans="1:4" x14ac:dyDescent="0.25">
      <c r="A495" t="s">
        <v>542</v>
      </c>
      <c r="B495">
        <v>39.44</v>
      </c>
      <c r="C495" s="6">
        <f t="shared" si="14"/>
        <v>4.8407643312100568E-3</v>
      </c>
      <c r="D495" s="6">
        <f t="shared" si="15"/>
        <v>4.8290855060170957E-3</v>
      </c>
    </row>
    <row r="496" spans="1:4" x14ac:dyDescent="0.25">
      <c r="A496" t="s">
        <v>543</v>
      </c>
      <c r="B496">
        <v>39.25</v>
      </c>
      <c r="C496" s="6">
        <f t="shared" si="14"/>
        <v>2.0423793719683836E-3</v>
      </c>
      <c r="D496" s="6">
        <f t="shared" si="15"/>
        <v>2.0402965506775422E-3</v>
      </c>
    </row>
    <row r="497" spans="1:4" x14ac:dyDescent="0.25">
      <c r="A497" t="s">
        <v>544</v>
      </c>
      <c r="B497">
        <v>39.17</v>
      </c>
      <c r="C497" s="6">
        <f t="shared" si="14"/>
        <v>-1.3101536911060641E-2</v>
      </c>
      <c r="D497" s="6">
        <f t="shared" si="15"/>
        <v>-1.318811911723399E-2</v>
      </c>
    </row>
    <row r="498" spans="1:4" x14ac:dyDescent="0.25">
      <c r="A498" t="s">
        <v>545</v>
      </c>
      <c r="B498">
        <v>39.69</v>
      </c>
      <c r="C498" s="6">
        <f t="shared" si="14"/>
        <v>-2.0115665074177391E-3</v>
      </c>
      <c r="D498" s="6">
        <f t="shared" si="15"/>
        <v>-2.0135924246253382E-3</v>
      </c>
    </row>
    <row r="499" spans="1:4" x14ac:dyDescent="0.25">
      <c r="A499" t="s">
        <v>546</v>
      </c>
      <c r="B499">
        <v>39.770000000000003</v>
      </c>
      <c r="C499" s="6">
        <f t="shared" si="14"/>
        <v>2.2681451612904802E-3</v>
      </c>
      <c r="D499" s="6">
        <f t="shared" si="15"/>
        <v>2.2655768029273713E-3</v>
      </c>
    </row>
    <row r="500" spans="1:4" x14ac:dyDescent="0.25">
      <c r="A500" t="s">
        <v>547</v>
      </c>
      <c r="B500">
        <v>39.68</v>
      </c>
      <c r="C500" s="6">
        <f t="shared" si="14"/>
        <v>-4.2659974905897569E-3</v>
      </c>
      <c r="D500" s="6">
        <f t="shared" si="15"/>
        <v>-4.2751228195520479E-3</v>
      </c>
    </row>
    <row r="501" spans="1:4" x14ac:dyDescent="0.25">
      <c r="A501" t="s">
        <v>548</v>
      </c>
      <c r="B501">
        <v>39.85</v>
      </c>
      <c r="C501" s="6">
        <f t="shared" si="14"/>
        <v>-1.4589515331354996E-2</v>
      </c>
      <c r="D501" s="6">
        <f t="shared" si="15"/>
        <v>-1.4696988916046521E-2</v>
      </c>
    </row>
    <row r="502" spans="1:4" x14ac:dyDescent="0.25">
      <c r="A502" t="s">
        <v>549</v>
      </c>
      <c r="B502">
        <v>40.44</v>
      </c>
      <c r="C502" s="6">
        <f t="shared" si="14"/>
        <v>-8.5805344447168475E-3</v>
      </c>
      <c r="D502" s="6">
        <f t="shared" si="15"/>
        <v>-8.6175591771964228E-3</v>
      </c>
    </row>
    <row r="503" spans="1:4" x14ac:dyDescent="0.25">
      <c r="A503" t="s">
        <v>550</v>
      </c>
      <c r="B503">
        <v>40.79</v>
      </c>
      <c r="C503" s="6">
        <f t="shared" si="14"/>
        <v>2.4521824423739957E-4</v>
      </c>
      <c r="D503" s="6">
        <f t="shared" si="15"/>
        <v>2.4518818315799579E-4</v>
      </c>
    </row>
    <row r="504" spans="1:4" x14ac:dyDescent="0.25">
      <c r="A504" t="s">
        <v>551</v>
      </c>
      <c r="B504">
        <v>40.78</v>
      </c>
      <c r="C504" s="6">
        <f t="shared" si="14"/>
        <v>5.6720098643650019E-3</v>
      </c>
      <c r="D504" s="6">
        <f t="shared" si="15"/>
        <v>5.65598458488721E-3</v>
      </c>
    </row>
    <row r="505" spans="1:4" x14ac:dyDescent="0.25">
      <c r="A505" t="s">
        <v>552</v>
      </c>
      <c r="B505">
        <v>40.549999999999997</v>
      </c>
      <c r="C505" s="6">
        <f t="shared" si="14"/>
        <v>1.9767729182109672E-3</v>
      </c>
      <c r="D505" s="6">
        <f t="shared" si="15"/>
        <v>1.9748216736476701E-3</v>
      </c>
    </row>
    <row r="506" spans="1:4" x14ac:dyDescent="0.25">
      <c r="A506" t="s">
        <v>553</v>
      </c>
      <c r="B506">
        <v>40.47</v>
      </c>
      <c r="C506" s="6">
        <f t="shared" si="14"/>
        <v>-5.1622418879055942E-3</v>
      </c>
      <c r="D506" s="6">
        <f t="shared" si="15"/>
        <v>-5.1756122925849871E-3</v>
      </c>
    </row>
    <row r="507" spans="1:4" x14ac:dyDescent="0.25">
      <c r="A507" t="s">
        <v>554</v>
      </c>
      <c r="B507">
        <v>40.68</v>
      </c>
      <c r="C507" s="6">
        <f t="shared" si="14"/>
        <v>4.1964946926684732E-3</v>
      </c>
      <c r="D507" s="6">
        <f t="shared" si="15"/>
        <v>4.1877139657600093E-3</v>
      </c>
    </row>
    <row r="508" spans="1:4" x14ac:dyDescent="0.25">
      <c r="A508" t="s">
        <v>555</v>
      </c>
      <c r="B508">
        <v>40.51</v>
      </c>
      <c r="C508" s="6">
        <f t="shared" si="14"/>
        <v>6.4596273291925854E-3</v>
      </c>
      <c r="D508" s="6">
        <f t="shared" si="15"/>
        <v>6.4388533500268508E-3</v>
      </c>
    </row>
    <row r="509" spans="1:4" x14ac:dyDescent="0.25">
      <c r="A509" t="s">
        <v>556</v>
      </c>
      <c r="B509">
        <v>40.25</v>
      </c>
      <c r="C509" s="6">
        <f t="shared" si="14"/>
        <v>-1.4884644008931192E-3</v>
      </c>
      <c r="D509" s="6">
        <f t="shared" si="15"/>
        <v>-1.4895732645020799E-3</v>
      </c>
    </row>
    <row r="510" spans="1:4" x14ac:dyDescent="0.25">
      <c r="A510" t="s">
        <v>557</v>
      </c>
      <c r="B510">
        <v>40.31</v>
      </c>
      <c r="C510" s="6">
        <f t="shared" si="14"/>
        <v>1.6389309127584628E-2</v>
      </c>
      <c r="D510" s="6">
        <f t="shared" si="15"/>
        <v>1.6256454037424654E-2</v>
      </c>
    </row>
    <row r="511" spans="1:4" x14ac:dyDescent="0.25">
      <c r="A511" t="s">
        <v>558</v>
      </c>
      <c r="B511">
        <v>39.659999999999997</v>
      </c>
      <c r="C511" s="6">
        <f t="shared" si="14"/>
        <v>-3.2671525508922716E-3</v>
      </c>
      <c r="D511" s="6">
        <f t="shared" si="15"/>
        <v>-3.2725013471874391E-3</v>
      </c>
    </row>
    <row r="512" spans="1:4" x14ac:dyDescent="0.25">
      <c r="A512" t="s">
        <v>559</v>
      </c>
      <c r="B512">
        <v>39.79</v>
      </c>
      <c r="C512" s="6">
        <f t="shared" si="14"/>
        <v>1.7623363544814197E-3</v>
      </c>
      <c r="D512" s="6">
        <f t="shared" si="15"/>
        <v>1.7607852618654767E-3</v>
      </c>
    </row>
    <row r="513" spans="1:4" x14ac:dyDescent="0.25">
      <c r="A513" t="s">
        <v>560</v>
      </c>
      <c r="B513">
        <v>39.72</v>
      </c>
      <c r="C513" s="6">
        <f t="shared" si="14"/>
        <v>5.3151100987092192E-3</v>
      </c>
      <c r="D513" s="6">
        <f t="shared" si="15"/>
        <v>5.3010347536725094E-3</v>
      </c>
    </row>
    <row r="514" spans="1:4" x14ac:dyDescent="0.25">
      <c r="A514" t="s">
        <v>561</v>
      </c>
      <c r="B514">
        <v>39.51</v>
      </c>
      <c r="C514" s="6">
        <f t="shared" si="14"/>
        <v>-1.3975542800099827E-2</v>
      </c>
      <c r="D514" s="6">
        <f t="shared" si="15"/>
        <v>-1.4074120224753824E-2</v>
      </c>
    </row>
    <row r="515" spans="1:4" x14ac:dyDescent="0.25">
      <c r="A515" t="s">
        <v>562</v>
      </c>
      <c r="B515">
        <v>40.07</v>
      </c>
      <c r="C515" s="6">
        <f t="shared" ref="C515:C578" si="16">(B515/B516)-1</f>
        <v>2.4546151879314859E-2</v>
      </c>
      <c r="D515" s="6">
        <f t="shared" ref="D515:D578" si="17">LN(B515/B516)</f>
        <v>2.4249735880630539E-2</v>
      </c>
    </row>
    <row r="516" spans="1:4" x14ac:dyDescent="0.25">
      <c r="A516" t="s">
        <v>563</v>
      </c>
      <c r="B516">
        <v>39.11</v>
      </c>
      <c r="C516" s="6">
        <f t="shared" si="16"/>
        <v>1.7429760665973015E-2</v>
      </c>
      <c r="D516" s="6">
        <f t="shared" si="17"/>
        <v>1.7279604665331079E-2</v>
      </c>
    </row>
    <row r="517" spans="1:4" x14ac:dyDescent="0.25">
      <c r="A517" t="s">
        <v>564</v>
      </c>
      <c r="B517">
        <v>38.44</v>
      </c>
      <c r="C517" s="6">
        <f t="shared" si="16"/>
        <v>1.8278145695364234E-2</v>
      </c>
      <c r="D517" s="6">
        <f t="shared" si="17"/>
        <v>1.8113108407058029E-2</v>
      </c>
    </row>
    <row r="518" spans="1:4" x14ac:dyDescent="0.25">
      <c r="A518" t="s">
        <v>565</v>
      </c>
      <c r="B518">
        <v>37.75</v>
      </c>
      <c r="C518" s="6">
        <f t="shared" si="16"/>
        <v>7.4726447824926545E-3</v>
      </c>
      <c r="D518" s="6">
        <f t="shared" si="17"/>
        <v>7.4448628894377049E-3</v>
      </c>
    </row>
    <row r="519" spans="1:4" x14ac:dyDescent="0.25">
      <c r="A519" t="s">
        <v>566</v>
      </c>
      <c r="B519">
        <v>37.47</v>
      </c>
      <c r="C519" s="6">
        <f t="shared" si="16"/>
        <v>-1.1606436296491607E-2</v>
      </c>
      <c r="D519" s="6">
        <f t="shared" si="17"/>
        <v>-1.1674316722647387E-2</v>
      </c>
    </row>
    <row r="520" spans="1:4" x14ac:dyDescent="0.25">
      <c r="A520" t="s">
        <v>567</v>
      </c>
      <c r="B520">
        <v>37.909999999999997</v>
      </c>
      <c r="C520" s="6">
        <f t="shared" si="16"/>
        <v>-1.9906928645294752E-2</v>
      </c>
      <c r="D520" s="6">
        <f t="shared" si="17"/>
        <v>-2.0107741056850134E-2</v>
      </c>
    </row>
    <row r="521" spans="1:4" x14ac:dyDescent="0.25">
      <c r="A521" t="s">
        <v>568</v>
      </c>
      <c r="B521">
        <v>38.68</v>
      </c>
      <c r="C521" s="6">
        <f t="shared" si="16"/>
        <v>1.8967334035827177E-2</v>
      </c>
      <c r="D521" s="6">
        <f t="shared" si="17"/>
        <v>1.8789696843366451E-2</v>
      </c>
    </row>
    <row r="522" spans="1:4" x14ac:dyDescent="0.25">
      <c r="A522" t="s">
        <v>569</v>
      </c>
      <c r="B522">
        <v>37.96</v>
      </c>
      <c r="C522" s="6">
        <f t="shared" si="16"/>
        <v>-4.980340760157187E-3</v>
      </c>
      <c r="D522" s="6">
        <f t="shared" si="17"/>
        <v>-4.9927839887388085E-3</v>
      </c>
    </row>
    <row r="523" spans="1:4" x14ac:dyDescent="0.25">
      <c r="A523" t="s">
        <v>570</v>
      </c>
      <c r="B523">
        <v>38.15</v>
      </c>
      <c r="C523" s="6">
        <f t="shared" si="16"/>
        <v>1.1131725417439675E-2</v>
      </c>
      <c r="D523" s="6">
        <f t="shared" si="17"/>
        <v>1.1070223754246893E-2</v>
      </c>
    </row>
    <row r="524" spans="1:4" x14ac:dyDescent="0.25">
      <c r="A524" t="s">
        <v>571</v>
      </c>
      <c r="B524">
        <v>37.729999999999997</v>
      </c>
      <c r="C524" s="6">
        <f t="shared" si="16"/>
        <v>0</v>
      </c>
      <c r="D524" s="6">
        <f t="shared" si="17"/>
        <v>0</v>
      </c>
    </row>
    <row r="525" spans="1:4" x14ac:dyDescent="0.25">
      <c r="A525" t="s">
        <v>572</v>
      </c>
      <c r="B525">
        <v>37.729999999999997</v>
      </c>
      <c r="C525" s="6">
        <f t="shared" si="16"/>
        <v>-7.9449152542376833E-4</v>
      </c>
      <c r="D525" s="6">
        <f t="shared" si="17"/>
        <v>-7.9480730108088724E-4</v>
      </c>
    </row>
    <row r="526" spans="1:4" x14ac:dyDescent="0.25">
      <c r="A526" t="s">
        <v>573</v>
      </c>
      <c r="B526">
        <v>37.76</v>
      </c>
      <c r="C526" s="6">
        <f t="shared" si="16"/>
        <v>-1.0582010582009804E-3</v>
      </c>
      <c r="D526" s="6">
        <f t="shared" si="17"/>
        <v>-1.0587613482419878E-3</v>
      </c>
    </row>
    <row r="527" spans="1:4" x14ac:dyDescent="0.25">
      <c r="A527" t="s">
        <v>574</v>
      </c>
      <c r="B527">
        <v>37.799999999999997</v>
      </c>
      <c r="C527" s="6">
        <f t="shared" si="16"/>
        <v>-2.6385224274406704E-3</v>
      </c>
      <c r="D527" s="6">
        <f t="shared" si="17"/>
        <v>-2.6420094628386965E-3</v>
      </c>
    </row>
    <row r="528" spans="1:4" x14ac:dyDescent="0.25">
      <c r="A528" t="s">
        <v>575</v>
      </c>
      <c r="B528">
        <v>37.9</v>
      </c>
      <c r="C528" s="6">
        <f t="shared" si="16"/>
        <v>-1.0542962572482883E-3</v>
      </c>
      <c r="D528" s="6">
        <f t="shared" si="17"/>
        <v>-1.0548524184874845E-3</v>
      </c>
    </row>
    <row r="529" spans="1:4" x14ac:dyDescent="0.25">
      <c r="A529" t="s">
        <v>576</v>
      </c>
      <c r="B529">
        <v>37.94</v>
      </c>
      <c r="C529" s="6">
        <f t="shared" si="16"/>
        <v>-1.9384853967433502E-2</v>
      </c>
      <c r="D529" s="6">
        <f t="shared" si="17"/>
        <v>-1.9575204205553507E-2</v>
      </c>
    </row>
    <row r="530" spans="1:4" x14ac:dyDescent="0.25">
      <c r="A530" t="s">
        <v>577</v>
      </c>
      <c r="B530">
        <v>38.69</v>
      </c>
      <c r="C530" s="6">
        <f t="shared" si="16"/>
        <v>2.5443943811290781E-2</v>
      </c>
      <c r="D530" s="6">
        <f t="shared" si="17"/>
        <v>2.5125634736202534E-2</v>
      </c>
    </row>
    <row r="531" spans="1:4" x14ac:dyDescent="0.25">
      <c r="A531" t="s">
        <v>578</v>
      </c>
      <c r="B531">
        <v>37.729999999999997</v>
      </c>
      <c r="C531" s="6">
        <f t="shared" si="16"/>
        <v>5.8651026392961825E-3</v>
      </c>
      <c r="D531" s="6">
        <f t="shared" si="17"/>
        <v>5.8479698824231204E-3</v>
      </c>
    </row>
    <row r="532" spans="1:4" x14ac:dyDescent="0.25">
      <c r="A532" t="s">
        <v>579</v>
      </c>
      <c r="B532">
        <v>37.51</v>
      </c>
      <c r="C532" s="6">
        <f t="shared" si="16"/>
        <v>1.901657158380865E-2</v>
      </c>
      <c r="D532" s="6">
        <f t="shared" si="17"/>
        <v>1.8838016702866112E-2</v>
      </c>
    </row>
    <row r="533" spans="1:4" x14ac:dyDescent="0.25">
      <c r="A533" t="s">
        <v>580</v>
      </c>
      <c r="B533">
        <v>36.81</v>
      </c>
      <c r="C533" s="6">
        <f t="shared" si="16"/>
        <v>8.1566068515503964E-4</v>
      </c>
      <c r="D533" s="6">
        <f t="shared" si="17"/>
        <v>8.1532821475479233E-4</v>
      </c>
    </row>
    <row r="534" spans="1:4" x14ac:dyDescent="0.25">
      <c r="A534" t="s">
        <v>581</v>
      </c>
      <c r="B534">
        <v>36.78</v>
      </c>
      <c r="C534" s="6">
        <f t="shared" si="16"/>
        <v>6.8436901177115761E-3</v>
      </c>
      <c r="D534" s="6">
        <f t="shared" si="17"/>
        <v>6.8203783689840041E-3</v>
      </c>
    </row>
    <row r="535" spans="1:4" x14ac:dyDescent="0.25">
      <c r="A535" t="s">
        <v>582</v>
      </c>
      <c r="B535">
        <v>36.53</v>
      </c>
      <c r="C535" s="6">
        <f t="shared" si="16"/>
        <v>7.446221731936209E-3</v>
      </c>
      <c r="D535" s="6">
        <f t="shared" si="17"/>
        <v>7.4186354804863268E-3</v>
      </c>
    </row>
    <row r="536" spans="1:4" x14ac:dyDescent="0.25">
      <c r="A536" t="s">
        <v>583</v>
      </c>
      <c r="B536">
        <v>36.26</v>
      </c>
      <c r="C536" s="6">
        <f t="shared" si="16"/>
        <v>-3.0244707176243502E-3</v>
      </c>
      <c r="D536" s="6">
        <f t="shared" si="17"/>
        <v>-3.0290536721926048E-3</v>
      </c>
    </row>
    <row r="537" spans="1:4" x14ac:dyDescent="0.25">
      <c r="A537" t="s">
        <v>584</v>
      </c>
      <c r="B537">
        <v>36.369999999999997</v>
      </c>
      <c r="C537" s="6">
        <f t="shared" si="16"/>
        <v>8.2553659878903396E-4</v>
      </c>
      <c r="D537" s="6">
        <f t="shared" si="17"/>
        <v>8.2519603087236146E-4</v>
      </c>
    </row>
    <row r="538" spans="1:4" x14ac:dyDescent="0.25">
      <c r="A538" t="s">
        <v>585</v>
      </c>
      <c r="B538">
        <v>36.340000000000003</v>
      </c>
      <c r="C538" s="6">
        <f t="shared" si="16"/>
        <v>-8.9991818925552192E-3</v>
      </c>
      <c r="D538" s="6">
        <f t="shared" si="17"/>
        <v>-9.0399191152095142E-3</v>
      </c>
    </row>
    <row r="539" spans="1:4" x14ac:dyDescent="0.25">
      <c r="A539" t="s">
        <v>586</v>
      </c>
      <c r="B539">
        <v>36.67</v>
      </c>
      <c r="C539" s="6">
        <f t="shared" si="16"/>
        <v>-2.0827770360480669E-2</v>
      </c>
      <c r="D539" s="6">
        <f t="shared" si="17"/>
        <v>-2.1047727879993868E-2</v>
      </c>
    </row>
    <row r="540" spans="1:4" x14ac:dyDescent="0.25">
      <c r="A540" t="s">
        <v>587</v>
      </c>
      <c r="B540">
        <v>37.450000000000003</v>
      </c>
      <c r="C540" s="6">
        <f t="shared" si="16"/>
        <v>-1.4473684210526194E-2</v>
      </c>
      <c r="D540" s="6">
        <f t="shared" si="17"/>
        <v>-1.457944976315716E-2</v>
      </c>
    </row>
    <row r="541" spans="1:4" x14ac:dyDescent="0.25">
      <c r="A541" t="s">
        <v>588</v>
      </c>
      <c r="B541">
        <v>38</v>
      </c>
      <c r="C541" s="6">
        <f t="shared" si="16"/>
        <v>2.1505376344086002E-2</v>
      </c>
      <c r="D541" s="6">
        <f t="shared" si="17"/>
        <v>2.1277398447284879E-2</v>
      </c>
    </row>
    <row r="542" spans="1:4" x14ac:dyDescent="0.25">
      <c r="A542" t="s">
        <v>589</v>
      </c>
      <c r="B542">
        <v>37.200000000000003</v>
      </c>
      <c r="C542" s="6">
        <f t="shared" si="16"/>
        <v>3.5068788777987692E-3</v>
      </c>
      <c r="D542" s="6">
        <f t="shared" si="17"/>
        <v>3.5007441164599815E-3</v>
      </c>
    </row>
    <row r="543" spans="1:4" x14ac:dyDescent="0.25">
      <c r="A543" t="s">
        <v>590</v>
      </c>
      <c r="B543">
        <v>37.07</v>
      </c>
      <c r="C543" s="6">
        <f t="shared" si="16"/>
        <v>9.80659220920721E-3</v>
      </c>
      <c r="D543" s="6">
        <f t="shared" si="17"/>
        <v>9.7588196538978857E-3</v>
      </c>
    </row>
    <row r="544" spans="1:4" x14ac:dyDescent="0.25">
      <c r="A544" t="s">
        <v>591</v>
      </c>
      <c r="B544">
        <v>36.71</v>
      </c>
      <c r="C544" s="6">
        <f t="shared" si="16"/>
        <v>-4.6095444685466669E-3</v>
      </c>
      <c r="D544" s="6">
        <f t="shared" si="17"/>
        <v>-4.6202011796501827E-3</v>
      </c>
    </row>
    <row r="545" spans="1:4" x14ac:dyDescent="0.25">
      <c r="A545" t="s">
        <v>592</v>
      </c>
      <c r="B545">
        <v>36.880000000000003</v>
      </c>
      <c r="C545" s="6">
        <f t="shared" si="16"/>
        <v>-4.8569886670264406E-3</v>
      </c>
      <c r="D545" s="6">
        <f t="shared" si="17"/>
        <v>-4.8688221688206407E-3</v>
      </c>
    </row>
    <row r="546" spans="1:4" x14ac:dyDescent="0.25">
      <c r="A546" t="s">
        <v>593</v>
      </c>
      <c r="B546">
        <v>37.06</v>
      </c>
      <c r="C546" s="6">
        <f t="shared" si="16"/>
        <v>3.5201733008394243E-3</v>
      </c>
      <c r="D546" s="6">
        <f t="shared" si="17"/>
        <v>3.5139919927418867E-3</v>
      </c>
    </row>
    <row r="547" spans="1:4" x14ac:dyDescent="0.25">
      <c r="A547" t="s">
        <v>594</v>
      </c>
      <c r="B547">
        <v>36.93</v>
      </c>
      <c r="C547" s="6">
        <f t="shared" si="16"/>
        <v>-5.1185344827585633E-3</v>
      </c>
      <c r="D547" s="6">
        <f t="shared" si="17"/>
        <v>-5.1316790535279339E-3</v>
      </c>
    </row>
    <row r="548" spans="1:4" x14ac:dyDescent="0.25">
      <c r="A548" t="s">
        <v>595</v>
      </c>
      <c r="B548">
        <v>37.119999999999997</v>
      </c>
      <c r="C548" s="6">
        <f t="shared" si="16"/>
        <v>3.2432432432432101E-3</v>
      </c>
      <c r="D548" s="6">
        <f t="shared" si="17"/>
        <v>3.2379952737753475E-3</v>
      </c>
    </row>
    <row r="549" spans="1:4" x14ac:dyDescent="0.25">
      <c r="A549" t="s">
        <v>596</v>
      </c>
      <c r="B549">
        <v>37</v>
      </c>
      <c r="C549" s="6">
        <f t="shared" si="16"/>
        <v>-1.0799136069113979E-3</v>
      </c>
      <c r="D549" s="6">
        <f t="shared" si="17"/>
        <v>-1.0804971337541407E-3</v>
      </c>
    </row>
    <row r="550" spans="1:4" x14ac:dyDescent="0.25">
      <c r="A550" t="s">
        <v>597</v>
      </c>
      <c r="B550">
        <v>37.04</v>
      </c>
      <c r="C550" s="6">
        <f t="shared" si="16"/>
        <v>1.451657080251989E-2</v>
      </c>
      <c r="D550" s="6">
        <f t="shared" si="17"/>
        <v>1.4412214110433171E-2</v>
      </c>
    </row>
    <row r="551" spans="1:4" x14ac:dyDescent="0.25">
      <c r="A551" t="s">
        <v>598</v>
      </c>
      <c r="B551">
        <v>36.51</v>
      </c>
      <c r="C551" s="6">
        <f t="shared" si="16"/>
        <v>5.4809536859412589E-4</v>
      </c>
      <c r="D551" s="6">
        <f t="shared" si="17"/>
        <v>5.4794521918921256E-4</v>
      </c>
    </row>
    <row r="552" spans="1:4" x14ac:dyDescent="0.25">
      <c r="A552" t="s">
        <v>599</v>
      </c>
      <c r="B552">
        <v>36.49</v>
      </c>
      <c r="C552" s="6">
        <f t="shared" si="16"/>
        <v>-8.2146768893764932E-4</v>
      </c>
      <c r="D552" s="6">
        <f t="shared" si="17"/>
        <v>-8.2180527841152517E-4</v>
      </c>
    </row>
    <row r="553" spans="1:4" x14ac:dyDescent="0.25">
      <c r="A553" t="s">
        <v>600</v>
      </c>
      <c r="B553">
        <v>36.520000000000003</v>
      </c>
      <c r="C553" s="6">
        <f t="shared" si="16"/>
        <v>-1.8279569892473146E-2</v>
      </c>
      <c r="D553" s="6">
        <f t="shared" si="17"/>
        <v>-1.8448705552333182E-2</v>
      </c>
    </row>
    <row r="554" spans="1:4" x14ac:dyDescent="0.25">
      <c r="A554" t="s">
        <v>601</v>
      </c>
      <c r="B554">
        <v>37.200000000000003</v>
      </c>
      <c r="C554" s="6">
        <f t="shared" si="16"/>
        <v>2.4229074889867919E-2</v>
      </c>
      <c r="D554" s="6">
        <f t="shared" si="17"/>
        <v>2.3940207546008403E-2</v>
      </c>
    </row>
    <row r="555" spans="1:4" x14ac:dyDescent="0.25">
      <c r="A555" t="s">
        <v>602</v>
      </c>
      <c r="B555">
        <v>36.32</v>
      </c>
      <c r="C555" s="6">
        <f t="shared" si="16"/>
        <v>1.5944055944056013E-2</v>
      </c>
      <c r="D555" s="6">
        <f t="shared" si="17"/>
        <v>1.5818284593075951E-2</v>
      </c>
    </row>
    <row r="556" spans="1:4" x14ac:dyDescent="0.25">
      <c r="A556" t="s">
        <v>603</v>
      </c>
      <c r="B556">
        <v>35.75</v>
      </c>
      <c r="C556" s="6">
        <f t="shared" si="16"/>
        <v>4.4956448440571783E-3</v>
      </c>
      <c r="D556" s="6">
        <f t="shared" si="17"/>
        <v>4.4855696179152129E-3</v>
      </c>
    </row>
    <row r="557" spans="1:4" x14ac:dyDescent="0.25">
      <c r="A557" t="s">
        <v>604</v>
      </c>
      <c r="B557">
        <v>35.590000000000003</v>
      </c>
      <c r="C557" s="6">
        <f t="shared" si="16"/>
        <v>-9.1870824053451594E-3</v>
      </c>
      <c r="D557" s="6">
        <f t="shared" si="17"/>
        <v>-9.2295439118974931E-3</v>
      </c>
    </row>
    <row r="558" spans="1:4" x14ac:dyDescent="0.25">
      <c r="A558" t="s">
        <v>605</v>
      </c>
      <c r="B558">
        <v>35.92</v>
      </c>
      <c r="C558" s="6">
        <f t="shared" si="16"/>
        <v>-1.4810751508502418E-2</v>
      </c>
      <c r="D558" s="6">
        <f t="shared" si="17"/>
        <v>-1.4921525816518075E-2</v>
      </c>
    </row>
    <row r="559" spans="1:4" x14ac:dyDescent="0.25">
      <c r="A559" t="s">
        <v>606</v>
      </c>
      <c r="B559">
        <v>36.46</v>
      </c>
      <c r="C559" s="6">
        <f t="shared" si="16"/>
        <v>-1.2994044396318238E-2</v>
      </c>
      <c r="D559" s="6">
        <f t="shared" si="17"/>
        <v>-1.3079205520576806E-2</v>
      </c>
    </row>
    <row r="560" spans="1:4" x14ac:dyDescent="0.25">
      <c r="A560" t="s">
        <v>607</v>
      </c>
      <c r="B560">
        <v>36.94</v>
      </c>
      <c r="C560" s="6">
        <f t="shared" si="16"/>
        <v>-1.3517166801839675E-3</v>
      </c>
      <c r="D560" s="6">
        <f t="shared" si="17"/>
        <v>-1.352631073268853E-3</v>
      </c>
    </row>
    <row r="561" spans="1:4" x14ac:dyDescent="0.25">
      <c r="A561" t="s">
        <v>608</v>
      </c>
      <c r="B561">
        <v>36.99</v>
      </c>
      <c r="C561" s="6">
        <f t="shared" si="16"/>
        <v>2.3802933849986108E-2</v>
      </c>
      <c r="D561" s="6">
        <f t="shared" si="17"/>
        <v>2.3524060684813712E-2</v>
      </c>
    </row>
    <row r="562" spans="1:4" x14ac:dyDescent="0.25">
      <c r="A562" t="s">
        <v>609</v>
      </c>
      <c r="B562">
        <v>36.130000000000003</v>
      </c>
      <c r="C562" s="6">
        <f t="shared" si="16"/>
        <v>5.2865887590429761E-3</v>
      </c>
      <c r="D562" s="6">
        <f t="shared" si="17"/>
        <v>5.2726638041360012E-3</v>
      </c>
    </row>
    <row r="563" spans="1:4" x14ac:dyDescent="0.25">
      <c r="A563" t="s">
        <v>610</v>
      </c>
      <c r="B563">
        <v>35.94</v>
      </c>
      <c r="C563" s="6">
        <f t="shared" si="16"/>
        <v>9.5505617977527102E-3</v>
      </c>
      <c r="D563" s="6">
        <f t="shared" si="17"/>
        <v>9.5052434974281109E-3</v>
      </c>
    </row>
    <row r="564" spans="1:4" x14ac:dyDescent="0.25">
      <c r="A564" t="s">
        <v>611</v>
      </c>
      <c r="B564">
        <v>35.6</v>
      </c>
      <c r="C564" s="6">
        <f t="shared" si="16"/>
        <v>3.3821871476888976E-3</v>
      </c>
      <c r="D564" s="6">
        <f t="shared" si="17"/>
        <v>3.3764804166060906E-3</v>
      </c>
    </row>
    <row r="565" spans="1:4" x14ac:dyDescent="0.25">
      <c r="A565" t="s">
        <v>612</v>
      </c>
      <c r="B565">
        <v>35.479999999999997</v>
      </c>
      <c r="C565" s="6">
        <f t="shared" si="16"/>
        <v>-1.6882386043894915E-3</v>
      </c>
      <c r="D565" s="6">
        <f t="shared" si="17"/>
        <v>-1.6896652851266045E-3</v>
      </c>
    </row>
    <row r="566" spans="1:4" x14ac:dyDescent="0.25">
      <c r="A566" t="s">
        <v>613</v>
      </c>
      <c r="B566">
        <v>35.54</v>
      </c>
      <c r="C566" s="6">
        <f t="shared" si="16"/>
        <v>-5.8741258741259461E-3</v>
      </c>
      <c r="D566" s="6">
        <f t="shared" si="17"/>
        <v>-5.8914464135114593E-3</v>
      </c>
    </row>
    <row r="567" spans="1:4" x14ac:dyDescent="0.25">
      <c r="A567" t="s">
        <v>614</v>
      </c>
      <c r="B567">
        <v>35.75</v>
      </c>
      <c r="C567" s="6">
        <f t="shared" si="16"/>
        <v>-5.286588759042754E-3</v>
      </c>
      <c r="D567" s="6">
        <f t="shared" si="17"/>
        <v>-5.3006122153962248E-3</v>
      </c>
    </row>
    <row r="568" spans="1:4" x14ac:dyDescent="0.25">
      <c r="A568" t="s">
        <v>615</v>
      </c>
      <c r="B568">
        <v>35.94</v>
      </c>
      <c r="C568" s="6">
        <f t="shared" si="16"/>
        <v>-4.7078371642205186E-3</v>
      </c>
      <c r="D568" s="6">
        <f t="shared" si="17"/>
        <v>-4.7189539339534802E-3</v>
      </c>
    </row>
    <row r="569" spans="1:4" x14ac:dyDescent="0.25">
      <c r="A569" t="s">
        <v>616</v>
      </c>
      <c r="B569">
        <v>36.11</v>
      </c>
      <c r="C569" s="6">
        <f t="shared" si="16"/>
        <v>-9.5995611629182687E-3</v>
      </c>
      <c r="D569" s="6">
        <f t="shared" si="17"/>
        <v>-9.6459339611506007E-3</v>
      </c>
    </row>
    <row r="570" spans="1:4" x14ac:dyDescent="0.25">
      <c r="A570" t="s">
        <v>617</v>
      </c>
      <c r="B570">
        <v>36.46</v>
      </c>
      <c r="C570" s="6">
        <f t="shared" si="16"/>
        <v>3.5795454545454408E-2</v>
      </c>
      <c r="D570" s="6">
        <f t="shared" si="17"/>
        <v>3.5169686646465442E-2</v>
      </c>
    </row>
    <row r="571" spans="1:4" x14ac:dyDescent="0.25">
      <c r="A571" t="s">
        <v>618</v>
      </c>
      <c r="B571">
        <v>35.200000000000003</v>
      </c>
      <c r="C571" s="6">
        <f t="shared" si="16"/>
        <v>-3.3975084937711841E-3</v>
      </c>
      <c r="D571" s="6">
        <f t="shared" si="17"/>
        <v>-3.4032931317078069E-3</v>
      </c>
    </row>
    <row r="572" spans="1:4" x14ac:dyDescent="0.25">
      <c r="A572" t="s">
        <v>619</v>
      </c>
      <c r="B572">
        <v>35.32</v>
      </c>
      <c r="C572" s="6">
        <f t="shared" si="16"/>
        <v>1.9630484988452546E-2</v>
      </c>
      <c r="D572" s="6">
        <f t="shared" si="17"/>
        <v>1.944029204152475E-2</v>
      </c>
    </row>
    <row r="573" spans="1:4" x14ac:dyDescent="0.25">
      <c r="A573" t="s">
        <v>620</v>
      </c>
      <c r="B573">
        <v>34.64</v>
      </c>
      <c r="C573" s="6">
        <f t="shared" si="16"/>
        <v>-2.1192427239333123E-2</v>
      </c>
      <c r="D573" s="6">
        <f t="shared" si="17"/>
        <v>-2.1420210663137582E-2</v>
      </c>
    </row>
    <row r="574" spans="1:4" x14ac:dyDescent="0.25">
      <c r="A574" t="s">
        <v>621</v>
      </c>
      <c r="B574">
        <v>35.39</v>
      </c>
      <c r="C574" s="6">
        <f t="shared" si="16"/>
        <v>6.8278805120911557E-3</v>
      </c>
      <c r="D574" s="6">
        <f t="shared" si="17"/>
        <v>6.8046761006982179E-3</v>
      </c>
    </row>
    <row r="575" spans="1:4" x14ac:dyDescent="0.25">
      <c r="A575" t="s">
        <v>622</v>
      </c>
      <c r="B575">
        <v>35.15</v>
      </c>
      <c r="C575" s="6">
        <f t="shared" si="16"/>
        <v>5.4347826086955653E-3</v>
      </c>
      <c r="D575" s="6">
        <f t="shared" si="17"/>
        <v>5.4200674693391133E-3</v>
      </c>
    </row>
    <row r="576" spans="1:4" x14ac:dyDescent="0.25">
      <c r="A576" t="s">
        <v>623</v>
      </c>
      <c r="B576">
        <v>34.96</v>
      </c>
      <c r="C576" s="6">
        <f t="shared" si="16"/>
        <v>2.2935779816513069E-3</v>
      </c>
      <c r="D576" s="6">
        <f t="shared" si="17"/>
        <v>2.2909517465557624E-3</v>
      </c>
    </row>
    <row r="577" spans="1:4" x14ac:dyDescent="0.25">
      <c r="A577" t="s">
        <v>624</v>
      </c>
      <c r="B577">
        <v>34.880000000000003</v>
      </c>
      <c r="C577" s="6">
        <f t="shared" si="16"/>
        <v>-8.5935262102532217E-4</v>
      </c>
      <c r="D577" s="6">
        <f t="shared" si="17"/>
        <v>-8.5972207616561379E-4</v>
      </c>
    </row>
    <row r="578" spans="1:4" x14ac:dyDescent="0.25">
      <c r="A578" t="s">
        <v>625</v>
      </c>
      <c r="B578">
        <v>34.909999999999997</v>
      </c>
      <c r="C578" s="6">
        <f t="shared" si="16"/>
        <v>-2.075736325385702E-2</v>
      </c>
      <c r="D578" s="6">
        <f t="shared" si="17"/>
        <v>-2.0975825743360356E-2</v>
      </c>
    </row>
    <row r="579" spans="1:4" x14ac:dyDescent="0.25">
      <c r="A579" t="s">
        <v>626</v>
      </c>
      <c r="B579">
        <v>35.65</v>
      </c>
      <c r="C579" s="6">
        <f t="shared" ref="C579:C625" si="18">(B579/B580)-1</f>
        <v>9.9150141643060685E-3</v>
      </c>
      <c r="D579" s="6">
        <f t="shared" ref="D579:D625" si="19">LN(B579/B580)</f>
        <v>9.866182921053979E-3</v>
      </c>
    </row>
    <row r="580" spans="1:4" x14ac:dyDescent="0.25">
      <c r="A580" t="s">
        <v>627</v>
      </c>
      <c r="B580">
        <v>35.299999999999997</v>
      </c>
      <c r="C580" s="6">
        <f t="shared" si="18"/>
        <v>1.1751218114072648E-2</v>
      </c>
      <c r="D580" s="6">
        <f t="shared" si="19"/>
        <v>1.1682708740568185E-2</v>
      </c>
    </row>
    <row r="581" spans="1:4" x14ac:dyDescent="0.25">
      <c r="A581" t="s">
        <v>628</v>
      </c>
      <c r="B581">
        <v>34.89</v>
      </c>
      <c r="C581" s="6">
        <f t="shared" si="18"/>
        <v>1.0133178922987929E-2</v>
      </c>
      <c r="D581" s="6">
        <f t="shared" si="19"/>
        <v>1.0082182480150293E-2</v>
      </c>
    </row>
    <row r="582" spans="1:4" x14ac:dyDescent="0.25">
      <c r="A582" t="s">
        <v>629</v>
      </c>
      <c r="B582">
        <v>34.54</v>
      </c>
      <c r="C582" s="6">
        <f t="shared" si="18"/>
        <v>2.159124519372968E-2</v>
      </c>
      <c r="D582" s="6">
        <f t="shared" si="19"/>
        <v>2.1361455998737934E-2</v>
      </c>
    </row>
    <row r="583" spans="1:4" x14ac:dyDescent="0.25">
      <c r="A583" t="s">
        <v>630</v>
      </c>
      <c r="B583">
        <v>33.81</v>
      </c>
      <c r="C583" s="6">
        <f t="shared" si="18"/>
        <v>1.1669658886894085E-2</v>
      </c>
      <c r="D583" s="6">
        <f t="shared" si="19"/>
        <v>1.1602093552546979E-2</v>
      </c>
    </row>
    <row r="584" spans="1:4" x14ac:dyDescent="0.25">
      <c r="A584" t="s">
        <v>631</v>
      </c>
      <c r="B584">
        <v>33.42</v>
      </c>
      <c r="C584" s="6">
        <f t="shared" si="18"/>
        <v>1.0583610523132725E-2</v>
      </c>
      <c r="D584" s="6">
        <f t="shared" si="19"/>
        <v>1.0527996173546217E-2</v>
      </c>
    </row>
    <row r="585" spans="1:4" x14ac:dyDescent="0.25">
      <c r="A585" t="s">
        <v>632</v>
      </c>
      <c r="B585">
        <v>33.07</v>
      </c>
      <c r="C585" s="6">
        <f t="shared" si="18"/>
        <v>-2.1887015675835619E-2</v>
      </c>
      <c r="D585" s="6">
        <f t="shared" si="19"/>
        <v>-2.2130089726093278E-2</v>
      </c>
    </row>
    <row r="586" spans="1:4" x14ac:dyDescent="0.25">
      <c r="A586" t="s">
        <v>633</v>
      </c>
      <c r="B586">
        <v>33.81</v>
      </c>
      <c r="C586" s="6">
        <f t="shared" si="18"/>
        <v>-2.956830277941469E-4</v>
      </c>
      <c r="D586" s="6">
        <f t="shared" si="19"/>
        <v>-2.9572675063955763E-4</v>
      </c>
    </row>
    <row r="587" spans="1:4" x14ac:dyDescent="0.25">
      <c r="A587" t="s">
        <v>634</v>
      </c>
      <c r="B587">
        <v>33.82</v>
      </c>
      <c r="C587" s="6">
        <f t="shared" si="18"/>
        <v>-4.4156608772445427E-3</v>
      </c>
      <c r="D587" s="6">
        <f t="shared" si="19"/>
        <v>-4.4254387020582243E-3</v>
      </c>
    </row>
    <row r="588" spans="1:4" x14ac:dyDescent="0.25">
      <c r="A588" t="s">
        <v>635</v>
      </c>
      <c r="B588">
        <v>33.97</v>
      </c>
      <c r="C588" s="6">
        <f t="shared" si="18"/>
        <v>-8.8235294117655627E-4</v>
      </c>
      <c r="D588" s="6">
        <f t="shared" si="19"/>
        <v>-8.8274244366892576E-4</v>
      </c>
    </row>
    <row r="589" spans="1:4" x14ac:dyDescent="0.25">
      <c r="A589" t="s">
        <v>636</v>
      </c>
      <c r="B589">
        <v>34</v>
      </c>
      <c r="C589" s="6">
        <f t="shared" si="18"/>
        <v>2.9420417769920881E-4</v>
      </c>
      <c r="D589" s="6">
        <f t="shared" si="19"/>
        <v>2.9416090813663698E-4</v>
      </c>
    </row>
    <row r="590" spans="1:4" x14ac:dyDescent="0.25">
      <c r="A590" t="s">
        <v>637</v>
      </c>
      <c r="B590">
        <v>33.99</v>
      </c>
      <c r="C590" s="6">
        <f t="shared" si="18"/>
        <v>7.1111111111110681E-3</v>
      </c>
      <c r="D590" s="6">
        <f t="shared" si="19"/>
        <v>7.0859463894857658E-3</v>
      </c>
    </row>
    <row r="591" spans="1:4" x14ac:dyDescent="0.25">
      <c r="A591" t="s">
        <v>638</v>
      </c>
      <c r="B591">
        <v>33.75</v>
      </c>
      <c r="C591" s="6">
        <f t="shared" si="18"/>
        <v>0</v>
      </c>
      <c r="D591" s="6">
        <f t="shared" si="19"/>
        <v>0</v>
      </c>
    </row>
    <row r="592" spans="1:4" x14ac:dyDescent="0.25">
      <c r="A592" t="s">
        <v>639</v>
      </c>
      <c r="B592">
        <v>33.75</v>
      </c>
      <c r="C592" s="6">
        <f t="shared" si="18"/>
        <v>2.9638411381149865E-4</v>
      </c>
      <c r="D592" s="6">
        <f t="shared" si="19"/>
        <v>2.9634020071658693E-4</v>
      </c>
    </row>
    <row r="593" spans="1:4" x14ac:dyDescent="0.25">
      <c r="A593" t="s">
        <v>640</v>
      </c>
      <c r="B593">
        <v>33.74</v>
      </c>
      <c r="C593" s="6">
        <f t="shared" si="18"/>
        <v>1.108780341624227E-2</v>
      </c>
      <c r="D593" s="6">
        <f t="shared" si="19"/>
        <v>1.1026784354539737E-2</v>
      </c>
    </row>
    <row r="594" spans="1:4" x14ac:dyDescent="0.25">
      <c r="A594" t="s">
        <v>641</v>
      </c>
      <c r="B594">
        <v>33.369999999999997</v>
      </c>
      <c r="C594" s="6">
        <f t="shared" si="18"/>
        <v>2.4877149877149618E-2</v>
      </c>
      <c r="D594" s="6">
        <f t="shared" si="19"/>
        <v>2.4572751628942839E-2</v>
      </c>
    </row>
    <row r="595" spans="1:4" x14ac:dyDescent="0.25">
      <c r="A595" t="s">
        <v>642</v>
      </c>
      <c r="B595">
        <v>32.56</v>
      </c>
      <c r="C595" s="6">
        <f t="shared" si="18"/>
        <v>-2.631578947368407E-2</v>
      </c>
      <c r="D595" s="6">
        <f t="shared" si="19"/>
        <v>-2.666824708216118E-2</v>
      </c>
    </row>
    <row r="596" spans="1:4" x14ac:dyDescent="0.25">
      <c r="A596" t="s">
        <v>643</v>
      </c>
      <c r="B596">
        <v>33.44</v>
      </c>
      <c r="C596" s="6">
        <f t="shared" si="18"/>
        <v>-2.2508038585209111E-2</v>
      </c>
      <c r="D596" s="6">
        <f t="shared" si="19"/>
        <v>-2.2765210773012547E-2</v>
      </c>
    </row>
    <row r="597" spans="1:4" x14ac:dyDescent="0.25">
      <c r="A597" t="s">
        <v>644</v>
      </c>
      <c r="B597">
        <v>34.21</v>
      </c>
      <c r="C597" s="6">
        <f t="shared" si="18"/>
        <v>4.1091869680069948E-3</v>
      </c>
      <c r="D597" s="6">
        <f t="shared" si="19"/>
        <v>4.1007673166380638E-3</v>
      </c>
    </row>
    <row r="598" spans="1:4" x14ac:dyDescent="0.25">
      <c r="A598" t="s">
        <v>645</v>
      </c>
      <c r="B598">
        <v>34.07</v>
      </c>
      <c r="C598" s="6">
        <f t="shared" si="18"/>
        <v>3.3363663936912369E-2</v>
      </c>
      <c r="D598" s="6">
        <f t="shared" si="19"/>
        <v>3.2819174589235535E-2</v>
      </c>
    </row>
    <row r="599" spans="1:4" x14ac:dyDescent="0.25">
      <c r="A599" t="s">
        <v>646</v>
      </c>
      <c r="B599">
        <v>32.97</v>
      </c>
      <c r="C599" s="6">
        <f t="shared" si="18"/>
        <v>-1.0207145001501106E-2</v>
      </c>
      <c r="D599" s="6">
        <f t="shared" si="19"/>
        <v>-1.0259595121948654E-2</v>
      </c>
    </row>
    <row r="600" spans="1:4" x14ac:dyDescent="0.25">
      <c r="A600" t="s">
        <v>647</v>
      </c>
      <c r="B600">
        <v>33.31</v>
      </c>
      <c r="C600" s="6">
        <f t="shared" si="18"/>
        <v>-1.0398098633392583E-2</v>
      </c>
      <c r="D600" s="6">
        <f t="shared" si="19"/>
        <v>-1.0452536557071493E-2</v>
      </c>
    </row>
    <row r="601" spans="1:4" x14ac:dyDescent="0.25">
      <c r="A601" t="s">
        <v>648</v>
      </c>
      <c r="B601">
        <v>33.659999999999997</v>
      </c>
      <c r="C601" s="6">
        <f t="shared" si="18"/>
        <v>-7.6650943396228133E-3</v>
      </c>
      <c r="D601" s="6">
        <f t="shared" si="19"/>
        <v>-7.6946221610425473E-3</v>
      </c>
    </row>
    <row r="602" spans="1:4" x14ac:dyDescent="0.25">
      <c r="A602" t="s">
        <v>649</v>
      </c>
      <c r="B602">
        <v>33.92</v>
      </c>
      <c r="C602" s="6">
        <f t="shared" si="18"/>
        <v>1.1329755515802065E-2</v>
      </c>
      <c r="D602" s="6">
        <f t="shared" si="19"/>
        <v>1.1266054528639567E-2</v>
      </c>
    </row>
    <row r="603" spans="1:4" x14ac:dyDescent="0.25">
      <c r="A603" t="s">
        <v>650</v>
      </c>
      <c r="B603">
        <v>33.54</v>
      </c>
      <c r="C603" s="6">
        <f t="shared" si="18"/>
        <v>1.7905918057663062E-2</v>
      </c>
      <c r="D603" s="6">
        <f t="shared" si="19"/>
        <v>1.7747495446546503E-2</v>
      </c>
    </row>
    <row r="604" spans="1:4" x14ac:dyDescent="0.25">
      <c r="A604" t="s">
        <v>651</v>
      </c>
      <c r="B604">
        <v>32.950000000000003</v>
      </c>
      <c r="C604" s="6">
        <f t="shared" si="18"/>
        <v>1.5197568389058169E-3</v>
      </c>
      <c r="D604" s="6">
        <f t="shared" si="19"/>
        <v>1.5186031771900596E-3</v>
      </c>
    </row>
    <row r="605" spans="1:4" x14ac:dyDescent="0.25">
      <c r="A605" t="s">
        <v>652</v>
      </c>
      <c r="B605">
        <v>32.9</v>
      </c>
      <c r="C605" s="6">
        <f t="shared" si="18"/>
        <v>3.0487804878049918E-3</v>
      </c>
      <c r="D605" s="6">
        <f t="shared" si="19"/>
        <v>3.044142381228273E-3</v>
      </c>
    </row>
    <row r="606" spans="1:4" x14ac:dyDescent="0.25">
      <c r="A606" t="s">
        <v>653</v>
      </c>
      <c r="B606">
        <v>32.799999999999997</v>
      </c>
      <c r="C606" s="6">
        <f t="shared" si="18"/>
        <v>3.979185797367446E-3</v>
      </c>
      <c r="D606" s="6">
        <f t="shared" si="19"/>
        <v>3.9712897771190846E-3</v>
      </c>
    </row>
    <row r="607" spans="1:4" x14ac:dyDescent="0.25">
      <c r="A607" t="s">
        <v>654</v>
      </c>
      <c r="B607">
        <v>32.67</v>
      </c>
      <c r="C607" s="6">
        <f t="shared" si="18"/>
        <v>-2.2149057168512232E-2</v>
      </c>
      <c r="D607" s="6">
        <f t="shared" si="19"/>
        <v>-2.239803075568618E-2</v>
      </c>
    </row>
    <row r="608" spans="1:4" x14ac:dyDescent="0.25">
      <c r="A608" t="s">
        <v>655</v>
      </c>
      <c r="B608">
        <v>33.409999999999997</v>
      </c>
      <c r="C608" s="6">
        <f t="shared" si="18"/>
        <v>1.7356881851400496E-2</v>
      </c>
      <c r="D608" s="6">
        <f t="shared" si="19"/>
        <v>1.7207971784437462E-2</v>
      </c>
    </row>
    <row r="609" spans="1:4" x14ac:dyDescent="0.25">
      <c r="A609" t="s">
        <v>656</v>
      </c>
      <c r="B609">
        <v>32.840000000000003</v>
      </c>
      <c r="C609" s="6">
        <f t="shared" si="18"/>
        <v>-1.0247136829415249E-2</v>
      </c>
      <c r="D609" s="6">
        <f t="shared" si="19"/>
        <v>-1.0300000178070897E-2</v>
      </c>
    </row>
    <row r="610" spans="1:4" x14ac:dyDescent="0.25">
      <c r="A610" t="s">
        <v>657</v>
      </c>
      <c r="B610">
        <v>33.18</v>
      </c>
      <c r="C610" s="6">
        <f t="shared" si="18"/>
        <v>-6.0240963855429097E-4</v>
      </c>
      <c r="D610" s="6">
        <f t="shared" si="19"/>
        <v>-6.0259116014450039E-4</v>
      </c>
    </row>
    <row r="611" spans="1:4" x14ac:dyDescent="0.25">
      <c r="A611" t="s">
        <v>658</v>
      </c>
      <c r="B611">
        <v>33.200000000000003</v>
      </c>
      <c r="C611" s="6">
        <f t="shared" si="18"/>
        <v>1.8404907975460238E-2</v>
      </c>
      <c r="D611" s="6">
        <f t="shared" si="19"/>
        <v>1.8237587549781012E-2</v>
      </c>
    </row>
    <row r="612" spans="1:4" x14ac:dyDescent="0.25">
      <c r="A612" t="s">
        <v>659</v>
      </c>
      <c r="B612">
        <v>32.6</v>
      </c>
      <c r="C612" s="6">
        <f t="shared" si="18"/>
        <v>-9.4196292920083469E-3</v>
      </c>
      <c r="D612" s="6">
        <f t="shared" si="19"/>
        <v>-9.4642745825864478E-3</v>
      </c>
    </row>
    <row r="613" spans="1:4" x14ac:dyDescent="0.25">
      <c r="A613" t="s">
        <v>660</v>
      </c>
      <c r="B613">
        <v>32.909999999999997</v>
      </c>
      <c r="C613" s="6">
        <f t="shared" si="18"/>
        <v>2.4595267745952665E-2</v>
      </c>
      <c r="D613" s="6">
        <f t="shared" si="19"/>
        <v>2.4297673876687634E-2</v>
      </c>
    </row>
    <row r="614" spans="1:4" x14ac:dyDescent="0.25">
      <c r="A614" t="s">
        <v>661</v>
      </c>
      <c r="B614">
        <v>32.119999999999997</v>
      </c>
      <c r="C614" s="6">
        <f t="shared" si="18"/>
        <v>-3.0778515389257799E-2</v>
      </c>
      <c r="D614" s="6">
        <f t="shared" si="19"/>
        <v>-3.1262122919856035E-2</v>
      </c>
    </row>
    <row r="615" spans="1:4" x14ac:dyDescent="0.25">
      <c r="A615" t="s">
        <v>662</v>
      </c>
      <c r="B615">
        <v>33.14</v>
      </c>
      <c r="C615" s="6">
        <f t="shared" si="18"/>
        <v>-4.2067307692308376E-3</v>
      </c>
      <c r="D615" s="6">
        <f t="shared" si="19"/>
        <v>-4.215603954591059E-3</v>
      </c>
    </row>
    <row r="616" spans="1:4" x14ac:dyDescent="0.25">
      <c r="A616" t="s">
        <v>663</v>
      </c>
      <c r="B616">
        <v>33.28</v>
      </c>
      <c r="C616" s="6">
        <f t="shared" si="18"/>
        <v>3.3162496231533556E-3</v>
      </c>
      <c r="D616" s="6">
        <f t="shared" si="19"/>
        <v>3.3107629940466962E-3</v>
      </c>
    </row>
    <row r="617" spans="1:4" x14ac:dyDescent="0.25">
      <c r="A617" t="s">
        <v>664</v>
      </c>
      <c r="B617">
        <v>33.17</v>
      </c>
      <c r="C617" s="6">
        <f t="shared" si="18"/>
        <v>-8.667065152420772E-3</v>
      </c>
      <c r="D617" s="6">
        <f t="shared" si="19"/>
        <v>-8.7048425997168326E-3</v>
      </c>
    </row>
    <row r="618" spans="1:4" x14ac:dyDescent="0.25">
      <c r="A618" t="s">
        <v>665</v>
      </c>
      <c r="B618">
        <v>33.46</v>
      </c>
      <c r="C618" s="6">
        <f t="shared" si="18"/>
        <v>2.9538461538461513E-2</v>
      </c>
      <c r="D618" s="6">
        <f t="shared" si="19"/>
        <v>2.9110606222986089E-2</v>
      </c>
    </row>
    <row r="619" spans="1:4" x14ac:dyDescent="0.25">
      <c r="A619" t="s">
        <v>666</v>
      </c>
      <c r="B619">
        <v>32.5</v>
      </c>
      <c r="C619" s="6">
        <f t="shared" si="18"/>
        <v>2.6207767603410037E-2</v>
      </c>
      <c r="D619" s="6">
        <f t="shared" si="19"/>
        <v>2.5870228785143248E-2</v>
      </c>
    </row>
    <row r="620" spans="1:4" x14ac:dyDescent="0.25">
      <c r="A620" t="s">
        <v>667</v>
      </c>
      <c r="B620">
        <v>31.67</v>
      </c>
      <c r="C620" s="6">
        <f t="shared" si="18"/>
        <v>-5.0267043669492972E-3</v>
      </c>
      <c r="D620" s="6">
        <f t="shared" si="19"/>
        <v>-5.0393807434529082E-3</v>
      </c>
    </row>
    <row r="621" spans="1:4" x14ac:dyDescent="0.25">
      <c r="A621" t="s">
        <v>668</v>
      </c>
      <c r="B621">
        <v>31.83</v>
      </c>
      <c r="C621" s="6">
        <f t="shared" si="18"/>
        <v>3.1515915537345673E-3</v>
      </c>
      <c r="D621" s="6">
        <f t="shared" si="19"/>
        <v>3.1466356988971906E-3</v>
      </c>
    </row>
    <row r="622" spans="1:4" x14ac:dyDescent="0.25">
      <c r="A622" t="s">
        <v>669</v>
      </c>
      <c r="B622">
        <v>31.73</v>
      </c>
      <c r="C622" s="6">
        <f t="shared" si="18"/>
        <v>1.536000000000004E-2</v>
      </c>
      <c r="D622" s="6">
        <f t="shared" si="19"/>
        <v>1.5243229412693734E-2</v>
      </c>
    </row>
    <row r="623" spans="1:4" x14ac:dyDescent="0.25">
      <c r="A623" t="s">
        <v>670</v>
      </c>
      <c r="B623">
        <v>31.25</v>
      </c>
      <c r="C623" s="6">
        <f t="shared" si="18"/>
        <v>-6.9907848744835688E-3</v>
      </c>
      <c r="D623" s="6">
        <f t="shared" si="19"/>
        <v>-7.0153348939049264E-3</v>
      </c>
    </row>
    <row r="624" spans="1:4" x14ac:dyDescent="0.25">
      <c r="A624" t="s">
        <v>671</v>
      </c>
      <c r="B624">
        <v>31.47</v>
      </c>
      <c r="C624" s="6">
        <f t="shared" si="18"/>
        <v>-1.9029495718364542E-3</v>
      </c>
      <c r="D624" s="6">
        <f t="shared" si="19"/>
        <v>-1.9047624806540586E-3</v>
      </c>
    </row>
    <row r="625" spans="1:4" x14ac:dyDescent="0.25">
      <c r="A625" t="s">
        <v>672</v>
      </c>
      <c r="B625">
        <v>31.53</v>
      </c>
      <c r="C625" s="6">
        <f t="shared" si="18"/>
        <v>8.6372360844528817E-3</v>
      </c>
      <c r="D625" s="6">
        <f t="shared" si="19"/>
        <v>8.6001485636388059E-3</v>
      </c>
    </row>
    <row r="626" spans="1:4" x14ac:dyDescent="0.25">
      <c r="A626" t="s">
        <v>673</v>
      </c>
      <c r="B626">
        <v>31.26</v>
      </c>
      <c r="C626" s="6">
        <f>(B626/B627)-1</f>
        <v>1.2305699481865329E-2</v>
      </c>
      <c r="D626" s="6">
        <f>LN(B626/B627)</f>
        <v>1.2230599836755172E-2</v>
      </c>
    </row>
    <row r="627" spans="1:4" x14ac:dyDescent="0.25">
      <c r="A627" t="s">
        <v>674</v>
      </c>
      <c r="B627">
        <v>30.88</v>
      </c>
      <c r="C627" s="6">
        <f>(B627/B628)-1</f>
        <v>5.8631921824103816E-3</v>
      </c>
      <c r="D627" s="6">
        <f t="shared" ref="D627:D690" si="20">LN(B627/B628)</f>
        <v>5.84607056342391E-3</v>
      </c>
    </row>
    <row r="628" spans="1:4" x14ac:dyDescent="0.25">
      <c r="A628" t="s">
        <v>675</v>
      </c>
      <c r="B628">
        <v>30.7</v>
      </c>
      <c r="C628" s="6">
        <f t="shared" ref="C628:C691" si="21">(B628/B629)-1</f>
        <v>4.1737360027146231E-2</v>
      </c>
      <c r="D628" s="6">
        <f t="shared" si="20"/>
        <v>4.0889857843548094E-2</v>
      </c>
    </row>
    <row r="629" spans="1:4" x14ac:dyDescent="0.25">
      <c r="A629" t="s">
        <v>676</v>
      </c>
      <c r="B629">
        <v>29.47</v>
      </c>
      <c r="C629" s="6">
        <f t="shared" si="21"/>
        <v>-1.6683350016683307E-2</v>
      </c>
      <c r="D629" s="6">
        <f t="shared" si="20"/>
        <v>-1.6824084578968442E-2</v>
      </c>
    </row>
    <row r="630" spans="1:4" x14ac:dyDescent="0.25">
      <c r="A630" t="s">
        <v>677</v>
      </c>
      <c r="B630">
        <v>29.97</v>
      </c>
      <c r="C630" s="6">
        <f t="shared" si="21"/>
        <v>4.1710114702815382E-2</v>
      </c>
      <c r="D630" s="6">
        <f t="shared" si="20"/>
        <v>4.086370376511525E-2</v>
      </c>
    </row>
    <row r="631" spans="1:4" x14ac:dyDescent="0.25">
      <c r="A631" t="s">
        <v>678</v>
      </c>
      <c r="B631">
        <v>28.77</v>
      </c>
      <c r="C631" s="6">
        <f t="shared" si="21"/>
        <v>2.0574671869457273E-2</v>
      </c>
      <c r="D631" s="6">
        <f t="shared" si="20"/>
        <v>2.036587243743538E-2</v>
      </c>
    </row>
    <row r="632" spans="1:4" x14ac:dyDescent="0.25">
      <c r="A632" t="s">
        <v>679</v>
      </c>
      <c r="B632">
        <v>28.19</v>
      </c>
      <c r="C632" s="6">
        <f t="shared" si="21"/>
        <v>6.5381708238851033E-2</v>
      </c>
      <c r="D632" s="6">
        <f t="shared" si="20"/>
        <v>6.3333146439211493E-2</v>
      </c>
    </row>
    <row r="633" spans="1:4" x14ac:dyDescent="0.25">
      <c r="A633" t="s">
        <v>680</v>
      </c>
      <c r="B633">
        <v>26.46</v>
      </c>
      <c r="C633" s="6">
        <f t="shared" si="21"/>
        <v>-3.7650602409637912E-3</v>
      </c>
      <c r="D633" s="6">
        <f t="shared" si="20"/>
        <v>-3.7721659214234125E-3</v>
      </c>
    </row>
    <row r="634" spans="1:4" x14ac:dyDescent="0.25">
      <c r="A634" t="s">
        <v>681</v>
      </c>
      <c r="B634">
        <v>26.56</v>
      </c>
      <c r="C634" s="6">
        <f t="shared" si="21"/>
        <v>-8.2150858849888708E-3</v>
      </c>
      <c r="D634" s="6">
        <f t="shared" si="20"/>
        <v>-8.2490156547934193E-3</v>
      </c>
    </row>
    <row r="635" spans="1:4" x14ac:dyDescent="0.25">
      <c r="A635" t="s">
        <v>682</v>
      </c>
      <c r="B635">
        <v>26.78</v>
      </c>
      <c r="C635" s="6">
        <f t="shared" si="21"/>
        <v>1.2859304084720025E-2</v>
      </c>
      <c r="D635" s="6">
        <f t="shared" si="20"/>
        <v>1.2777325279540817E-2</v>
      </c>
    </row>
    <row r="636" spans="1:4" x14ac:dyDescent="0.25">
      <c r="A636" t="s">
        <v>683</v>
      </c>
      <c r="B636">
        <v>26.44</v>
      </c>
      <c r="C636" s="6">
        <f t="shared" si="21"/>
        <v>2.0061728395061706E-2</v>
      </c>
      <c r="D636" s="6">
        <f t="shared" si="20"/>
        <v>1.9863143499411571E-2</v>
      </c>
    </row>
    <row r="637" spans="1:4" x14ac:dyDescent="0.25">
      <c r="A637" t="s">
        <v>684</v>
      </c>
      <c r="B637">
        <v>25.92</v>
      </c>
      <c r="C637" s="6">
        <f t="shared" si="21"/>
        <v>1.1314865392118678E-2</v>
      </c>
      <c r="D637" s="6">
        <f t="shared" si="20"/>
        <v>1.1251331108094269E-2</v>
      </c>
    </row>
    <row r="638" spans="1:4" x14ac:dyDescent="0.25">
      <c r="A638" t="s">
        <v>685</v>
      </c>
      <c r="B638">
        <v>25.63</v>
      </c>
      <c r="C638" s="6">
        <f t="shared" si="21"/>
        <v>-2.3246951219512146E-2</v>
      </c>
      <c r="D638" s="6">
        <f t="shared" si="20"/>
        <v>-2.3521423699908502E-2</v>
      </c>
    </row>
    <row r="639" spans="1:4" x14ac:dyDescent="0.25">
      <c r="A639" t="s">
        <v>686</v>
      </c>
      <c r="B639">
        <v>26.24</v>
      </c>
      <c r="C639" s="6">
        <f t="shared" si="21"/>
        <v>-3.418154196733747E-3</v>
      </c>
      <c r="D639" s="6">
        <f t="shared" si="20"/>
        <v>-3.424009432329725E-3</v>
      </c>
    </row>
    <row r="640" spans="1:4" x14ac:dyDescent="0.25">
      <c r="A640" t="s">
        <v>687</v>
      </c>
      <c r="B640">
        <v>26.33</v>
      </c>
      <c r="C640" s="6">
        <f t="shared" si="21"/>
        <v>4.961832061068705E-3</v>
      </c>
      <c r="D640" s="6">
        <f t="shared" si="20"/>
        <v>4.9495627411668677E-3</v>
      </c>
    </row>
    <row r="641" spans="1:4" x14ac:dyDescent="0.25">
      <c r="A641" t="s">
        <v>688</v>
      </c>
      <c r="B641">
        <v>26.2</v>
      </c>
      <c r="C641" s="6">
        <f t="shared" si="21"/>
        <v>8.0800307810697802E-3</v>
      </c>
      <c r="D641" s="6">
        <f t="shared" si="20"/>
        <v>8.047562113652415E-3</v>
      </c>
    </row>
    <row r="642" spans="1:4" x14ac:dyDescent="0.25">
      <c r="A642" t="s">
        <v>689</v>
      </c>
      <c r="B642">
        <v>25.99</v>
      </c>
      <c r="C642" s="6">
        <f t="shared" si="21"/>
        <v>-3.5263548626577657E-2</v>
      </c>
      <c r="D642" s="6">
        <f t="shared" si="20"/>
        <v>-3.5900322328819116E-2</v>
      </c>
    </row>
    <row r="643" spans="1:4" x14ac:dyDescent="0.25">
      <c r="A643" t="s">
        <v>690</v>
      </c>
      <c r="B643">
        <v>26.94</v>
      </c>
      <c r="C643" s="6">
        <f t="shared" si="21"/>
        <v>1.6603773584905612E-2</v>
      </c>
      <c r="D643" s="6">
        <f t="shared" si="20"/>
        <v>1.6467437990041352E-2</v>
      </c>
    </row>
    <row r="644" spans="1:4" x14ac:dyDescent="0.25">
      <c r="A644" t="s">
        <v>691</v>
      </c>
      <c r="B644">
        <v>26.5</v>
      </c>
      <c r="C644" s="6">
        <f t="shared" si="21"/>
        <v>1.3771996939556219E-2</v>
      </c>
      <c r="D644" s="6">
        <f t="shared" si="20"/>
        <v>1.367802479610062E-2</v>
      </c>
    </row>
    <row r="645" spans="1:4" x14ac:dyDescent="0.25">
      <c r="A645" t="s">
        <v>692</v>
      </c>
      <c r="B645">
        <v>26.14</v>
      </c>
      <c r="C645" s="6">
        <f t="shared" si="21"/>
        <v>-1.6183665788483292E-2</v>
      </c>
      <c r="D645" s="6">
        <f t="shared" si="20"/>
        <v>-1.6316051575646289E-2</v>
      </c>
    </row>
    <row r="646" spans="1:4" x14ac:dyDescent="0.25">
      <c r="A646" t="s">
        <v>693</v>
      </c>
      <c r="B646">
        <v>26.57</v>
      </c>
      <c r="C646" s="6">
        <f t="shared" si="21"/>
        <v>-1.2634708286882179E-2</v>
      </c>
      <c r="D646" s="6">
        <f t="shared" si="20"/>
        <v>-1.2715204967092284E-2</v>
      </c>
    </row>
    <row r="647" spans="1:4" x14ac:dyDescent="0.25">
      <c r="A647" t="s">
        <v>694</v>
      </c>
      <c r="B647">
        <v>26.91</v>
      </c>
      <c r="C647" s="6">
        <f t="shared" si="21"/>
        <v>1.0135135135135087E-2</v>
      </c>
      <c r="D647" s="6">
        <f t="shared" si="20"/>
        <v>1.0084119066626008E-2</v>
      </c>
    </row>
    <row r="648" spans="1:4" x14ac:dyDescent="0.25">
      <c r="A648" t="s">
        <v>695</v>
      </c>
      <c r="B648">
        <v>26.64</v>
      </c>
      <c r="C648" s="6">
        <f t="shared" si="21"/>
        <v>3.3898305084745228E-3</v>
      </c>
      <c r="D648" s="6">
        <f t="shared" si="20"/>
        <v>3.3840979842404942E-3</v>
      </c>
    </row>
    <row r="649" spans="1:4" x14ac:dyDescent="0.25">
      <c r="A649" t="s">
        <v>696</v>
      </c>
      <c r="B649">
        <v>26.55</v>
      </c>
      <c r="C649" s="6">
        <f t="shared" si="21"/>
        <v>4.9205147615443146E-3</v>
      </c>
      <c r="D649" s="6">
        <f t="shared" si="20"/>
        <v>4.90844859376861E-3</v>
      </c>
    </row>
    <row r="650" spans="1:4" x14ac:dyDescent="0.25">
      <c r="A650" t="s">
        <v>697</v>
      </c>
      <c r="B650">
        <v>26.42</v>
      </c>
      <c r="C650" s="6">
        <f t="shared" si="21"/>
        <v>1.3036809815951012E-2</v>
      </c>
      <c r="D650" s="6">
        <f t="shared" si="20"/>
        <v>1.2952562035727146E-2</v>
      </c>
    </row>
    <row r="651" spans="1:4" x14ac:dyDescent="0.25">
      <c r="A651" t="s">
        <v>698</v>
      </c>
      <c r="B651">
        <v>26.08</v>
      </c>
      <c r="C651" s="6">
        <f t="shared" si="21"/>
        <v>-1.7332328560663135E-2</v>
      </c>
      <c r="D651" s="6">
        <f t="shared" si="20"/>
        <v>-1.7484291845609231E-2</v>
      </c>
    </row>
    <row r="652" spans="1:4" x14ac:dyDescent="0.25">
      <c r="A652" t="s">
        <v>699</v>
      </c>
      <c r="B652">
        <v>26.54</v>
      </c>
      <c r="C652" s="6">
        <f t="shared" si="21"/>
        <v>1.569077688480669E-2</v>
      </c>
      <c r="D652" s="6">
        <f t="shared" si="20"/>
        <v>1.5568949371540287E-2</v>
      </c>
    </row>
    <row r="653" spans="1:4" x14ac:dyDescent="0.25">
      <c r="A653" t="s">
        <v>700</v>
      </c>
      <c r="B653">
        <v>26.13</v>
      </c>
      <c r="C653" s="6">
        <f t="shared" si="21"/>
        <v>-3.3653846153846145E-2</v>
      </c>
      <c r="D653" s="6">
        <f t="shared" si="20"/>
        <v>-3.4233171642242211E-2</v>
      </c>
    </row>
    <row r="654" spans="1:4" x14ac:dyDescent="0.25">
      <c r="A654" t="s">
        <v>701</v>
      </c>
      <c r="B654">
        <v>27.04</v>
      </c>
      <c r="C654" s="6">
        <f t="shared" si="21"/>
        <v>-9.1608647856357139E-3</v>
      </c>
      <c r="D654" s="6">
        <f t="shared" si="20"/>
        <v>-9.2030835454837111E-3</v>
      </c>
    </row>
    <row r="655" spans="1:4" x14ac:dyDescent="0.25">
      <c r="A655" t="s">
        <v>702</v>
      </c>
      <c r="B655">
        <v>27.29</v>
      </c>
      <c r="C655" s="6">
        <f t="shared" si="21"/>
        <v>-1.8698309960445858E-2</v>
      </c>
      <c r="D655" s="6">
        <f t="shared" si="20"/>
        <v>-1.8875333525626349E-2</v>
      </c>
    </row>
    <row r="656" spans="1:4" x14ac:dyDescent="0.25">
      <c r="A656" t="s">
        <v>703</v>
      </c>
      <c r="B656">
        <v>27.81</v>
      </c>
      <c r="C656" s="6">
        <f t="shared" si="21"/>
        <v>7.6086956521739246E-3</v>
      </c>
      <c r="D656" s="6">
        <f t="shared" si="20"/>
        <v>7.5798955227691714E-3</v>
      </c>
    </row>
    <row r="657" spans="1:4" x14ac:dyDescent="0.25">
      <c r="A657" t="s">
        <v>704</v>
      </c>
      <c r="B657">
        <v>27.6</v>
      </c>
      <c r="C657" s="6">
        <f t="shared" si="21"/>
        <v>-2.6111503175723305E-2</v>
      </c>
      <c r="D657" s="6">
        <f t="shared" si="20"/>
        <v>-2.6458461539430007E-2</v>
      </c>
    </row>
    <row r="658" spans="1:4" x14ac:dyDescent="0.25">
      <c r="A658" t="s">
        <v>705</v>
      </c>
      <c r="B658">
        <v>28.34</v>
      </c>
      <c r="C658" s="6">
        <f t="shared" si="21"/>
        <v>-8.397480755773179E-3</v>
      </c>
      <c r="D658" s="6">
        <f t="shared" si="20"/>
        <v>-8.4329382391868796E-3</v>
      </c>
    </row>
    <row r="659" spans="1:4" x14ac:dyDescent="0.25">
      <c r="A659" t="s">
        <v>706</v>
      </c>
      <c r="B659">
        <v>28.58</v>
      </c>
      <c r="C659" s="6">
        <f t="shared" si="21"/>
        <v>-1.6517549896765349E-2</v>
      </c>
      <c r="D659" s="6">
        <f t="shared" si="20"/>
        <v>-1.6655485640415534E-2</v>
      </c>
    </row>
    <row r="660" spans="1:4" x14ac:dyDescent="0.25">
      <c r="A660" t="s">
        <v>707</v>
      </c>
      <c r="B660">
        <v>29.06</v>
      </c>
      <c r="C660" s="6">
        <f t="shared" si="21"/>
        <v>2.5405786873676783E-2</v>
      </c>
      <c r="D660" s="6">
        <f t="shared" si="20"/>
        <v>2.5088423879602469E-2</v>
      </c>
    </row>
    <row r="661" spans="1:4" x14ac:dyDescent="0.25">
      <c r="A661" t="s">
        <v>708</v>
      </c>
      <c r="B661">
        <v>28.34</v>
      </c>
      <c r="C661" s="6">
        <f t="shared" si="21"/>
        <v>1.2866333095067795E-2</v>
      </c>
      <c r="D661" s="6">
        <f t="shared" si="20"/>
        <v>1.2784265025199151E-2</v>
      </c>
    </row>
    <row r="662" spans="1:4" x14ac:dyDescent="0.25">
      <c r="A662" t="s">
        <v>709</v>
      </c>
      <c r="B662">
        <v>27.98</v>
      </c>
      <c r="C662" s="6">
        <f t="shared" si="21"/>
        <v>-6.3920454545454142E-3</v>
      </c>
      <c r="D662" s="6">
        <f t="shared" si="20"/>
        <v>-6.4125620525064941E-3</v>
      </c>
    </row>
    <row r="663" spans="1:4" x14ac:dyDescent="0.25">
      <c r="A663" t="s">
        <v>710</v>
      </c>
      <c r="B663">
        <v>28.16</v>
      </c>
      <c r="C663" s="6">
        <f t="shared" si="21"/>
        <v>1.2221423436376666E-2</v>
      </c>
      <c r="D663" s="6">
        <f t="shared" si="20"/>
        <v>1.2147344794544759E-2</v>
      </c>
    </row>
    <row r="664" spans="1:4" x14ac:dyDescent="0.25">
      <c r="A664" t="s">
        <v>711</v>
      </c>
      <c r="B664">
        <v>27.82</v>
      </c>
      <c r="C664" s="6">
        <f t="shared" si="21"/>
        <v>-1.7940437746680749E-3</v>
      </c>
      <c r="D664" s="6">
        <f t="shared" si="20"/>
        <v>-1.7956549985599628E-3</v>
      </c>
    </row>
    <row r="665" spans="1:4" x14ac:dyDescent="0.25">
      <c r="A665" t="s">
        <v>712</v>
      </c>
      <c r="B665">
        <v>27.87</v>
      </c>
      <c r="C665" s="6">
        <f t="shared" si="21"/>
        <v>-1.4497878359264527E-2</v>
      </c>
      <c r="D665" s="6">
        <f t="shared" si="20"/>
        <v>-1.4603999534515195E-2</v>
      </c>
    </row>
    <row r="666" spans="1:4" x14ac:dyDescent="0.25">
      <c r="A666" t="s">
        <v>713</v>
      </c>
      <c r="B666">
        <v>28.28</v>
      </c>
      <c r="C666" s="6">
        <f t="shared" si="21"/>
        <v>3.1363967906637535E-2</v>
      </c>
      <c r="D666" s="6">
        <f t="shared" si="20"/>
        <v>3.0882166894203717E-2</v>
      </c>
    </row>
    <row r="667" spans="1:4" x14ac:dyDescent="0.25">
      <c r="A667" t="s">
        <v>714</v>
      </c>
      <c r="B667">
        <v>27.42</v>
      </c>
      <c r="C667" s="6">
        <f t="shared" si="21"/>
        <v>4.7636496885306023E-3</v>
      </c>
      <c r="D667" s="6">
        <f t="shared" si="20"/>
        <v>4.7523394139212336E-3</v>
      </c>
    </row>
    <row r="668" spans="1:4" x14ac:dyDescent="0.25">
      <c r="A668" t="s">
        <v>715</v>
      </c>
      <c r="B668">
        <v>27.29</v>
      </c>
      <c r="C668" s="6">
        <f t="shared" si="21"/>
        <v>-1.3733285146367957E-2</v>
      </c>
      <c r="D668" s="6">
        <f t="shared" si="20"/>
        <v>-1.3828459078587485E-2</v>
      </c>
    </row>
    <row r="669" spans="1:4" x14ac:dyDescent="0.25">
      <c r="A669" t="s">
        <v>716</v>
      </c>
      <c r="B669">
        <v>27.67</v>
      </c>
      <c r="C669" s="6">
        <f t="shared" si="21"/>
        <v>-1.9489723600283337E-2</v>
      </c>
      <c r="D669" s="6">
        <f t="shared" si="20"/>
        <v>-1.9682152625833255E-2</v>
      </c>
    </row>
    <row r="670" spans="1:4" x14ac:dyDescent="0.25">
      <c r="A670" t="s">
        <v>717</v>
      </c>
      <c r="B670">
        <v>28.22</v>
      </c>
      <c r="C670" s="6">
        <f t="shared" si="21"/>
        <v>-4.3065445913869072E-2</v>
      </c>
      <c r="D670" s="6">
        <f t="shared" si="20"/>
        <v>-4.4020276402516892E-2</v>
      </c>
    </row>
    <row r="671" spans="1:4" x14ac:dyDescent="0.25">
      <c r="A671" t="s">
        <v>718</v>
      </c>
      <c r="B671">
        <v>29.49</v>
      </c>
      <c r="C671" s="6">
        <f t="shared" si="21"/>
        <v>-1.3712374581939857E-2</v>
      </c>
      <c r="D671" s="6">
        <f t="shared" si="20"/>
        <v>-1.3807257569455925E-2</v>
      </c>
    </row>
    <row r="672" spans="1:4" x14ac:dyDescent="0.25">
      <c r="A672" t="s">
        <v>719</v>
      </c>
      <c r="B672">
        <v>29.9</v>
      </c>
      <c r="C672" s="6">
        <f t="shared" si="21"/>
        <v>-2.5423728813559365E-2</v>
      </c>
      <c r="D672" s="6">
        <f t="shared" si="20"/>
        <v>-2.575249610241474E-2</v>
      </c>
    </row>
    <row r="673" spans="1:4" x14ac:dyDescent="0.25">
      <c r="A673" t="s">
        <v>720</v>
      </c>
      <c r="B673">
        <v>30.68</v>
      </c>
      <c r="C673" s="6">
        <f t="shared" si="21"/>
        <v>6.8920249425665769E-3</v>
      </c>
      <c r="D673" s="6">
        <f t="shared" si="20"/>
        <v>6.8683835014378787E-3</v>
      </c>
    </row>
    <row r="674" spans="1:4" x14ac:dyDescent="0.25">
      <c r="A674" t="s">
        <v>721</v>
      </c>
      <c r="B674">
        <v>30.47</v>
      </c>
      <c r="C674" s="6">
        <f t="shared" si="21"/>
        <v>2.9624753127057701E-3</v>
      </c>
      <c r="D674" s="6">
        <f t="shared" si="20"/>
        <v>2.958095829990921E-3</v>
      </c>
    </row>
    <row r="675" spans="1:4" x14ac:dyDescent="0.25">
      <c r="A675" t="s">
        <v>722</v>
      </c>
      <c r="B675">
        <v>30.38</v>
      </c>
      <c r="C675" s="6">
        <f t="shared" si="21"/>
        <v>1.0309278350515427E-2</v>
      </c>
      <c r="D675" s="6">
        <f t="shared" si="20"/>
        <v>1.0256500167189061E-2</v>
      </c>
    </row>
    <row r="676" spans="1:4" x14ac:dyDescent="0.25">
      <c r="A676" t="s">
        <v>723</v>
      </c>
      <c r="B676">
        <v>30.07</v>
      </c>
      <c r="C676" s="6">
        <f t="shared" si="21"/>
        <v>1.4165261382799388E-2</v>
      </c>
      <c r="D676" s="6">
        <f t="shared" si="20"/>
        <v>1.4065871556703302E-2</v>
      </c>
    </row>
    <row r="677" spans="1:4" x14ac:dyDescent="0.25">
      <c r="A677" t="s">
        <v>724</v>
      </c>
      <c r="B677">
        <v>29.65</v>
      </c>
      <c r="C677" s="6">
        <f t="shared" si="21"/>
        <v>2.3119392684610052E-2</v>
      </c>
      <c r="D677" s="6">
        <f t="shared" si="20"/>
        <v>2.2856188551198114E-2</v>
      </c>
    </row>
    <row r="678" spans="1:4" x14ac:dyDescent="0.25">
      <c r="A678" t="s">
        <v>725</v>
      </c>
      <c r="B678">
        <v>28.98</v>
      </c>
      <c r="C678" s="6">
        <f t="shared" si="21"/>
        <v>1.3641133263378791E-2</v>
      </c>
      <c r="D678" s="6">
        <f t="shared" si="20"/>
        <v>1.3548930558315872E-2</v>
      </c>
    </row>
    <row r="679" spans="1:4" x14ac:dyDescent="0.25">
      <c r="A679" t="s">
        <v>726</v>
      </c>
      <c r="B679">
        <v>28.59</v>
      </c>
      <c r="C679" s="6">
        <f t="shared" si="21"/>
        <v>4.1530054644808745E-2</v>
      </c>
      <c r="D679" s="6">
        <f t="shared" si="20"/>
        <v>4.0690838378680802E-2</v>
      </c>
    </row>
    <row r="680" spans="1:4" x14ac:dyDescent="0.25">
      <c r="A680" t="s">
        <v>727</v>
      </c>
      <c r="B680">
        <v>27.45</v>
      </c>
      <c r="C680" s="6">
        <f t="shared" si="21"/>
        <v>-7.5921908893709089E-3</v>
      </c>
      <c r="D680" s="6">
        <f t="shared" si="20"/>
        <v>-7.6211582810724893E-3</v>
      </c>
    </row>
    <row r="681" spans="1:4" x14ac:dyDescent="0.25">
      <c r="A681" t="s">
        <v>728</v>
      </c>
      <c r="B681">
        <v>27.66</v>
      </c>
      <c r="C681" s="6">
        <f t="shared" si="21"/>
        <v>-8.2466833990677557E-3</v>
      </c>
      <c r="D681" s="6">
        <f t="shared" si="20"/>
        <v>-8.2808754027854231E-3</v>
      </c>
    </row>
    <row r="682" spans="1:4" x14ac:dyDescent="0.25">
      <c r="A682" t="s">
        <v>729</v>
      </c>
      <c r="B682">
        <v>27.89</v>
      </c>
      <c r="C682" s="6">
        <f t="shared" si="21"/>
        <v>3.2374100719423371E-3</v>
      </c>
      <c r="D682" s="6">
        <f t="shared" si="20"/>
        <v>3.2321809428060939E-3</v>
      </c>
    </row>
    <row r="683" spans="1:4" x14ac:dyDescent="0.25">
      <c r="A683" t="s">
        <v>730</v>
      </c>
      <c r="B683">
        <v>27.8</v>
      </c>
      <c r="C683" s="6">
        <f t="shared" si="21"/>
        <v>-6.4331665475338973E-3</v>
      </c>
      <c r="D683" s="6">
        <f t="shared" si="20"/>
        <v>-6.4539485407436783E-3</v>
      </c>
    </row>
    <row r="684" spans="1:4" x14ac:dyDescent="0.25">
      <c r="A684" t="s">
        <v>731</v>
      </c>
      <c r="B684">
        <v>27.98</v>
      </c>
      <c r="C684" s="6">
        <f t="shared" si="21"/>
        <v>2.8673835125447855E-3</v>
      </c>
      <c r="D684" s="6">
        <f t="shared" si="20"/>
        <v>2.8632804100151548E-3</v>
      </c>
    </row>
    <row r="685" spans="1:4" x14ac:dyDescent="0.25">
      <c r="A685" t="s">
        <v>732</v>
      </c>
      <c r="B685">
        <v>27.9</v>
      </c>
      <c r="C685" s="6">
        <f t="shared" si="21"/>
        <v>-5.7020669992872142E-3</v>
      </c>
      <c r="D685" s="6">
        <f t="shared" si="20"/>
        <v>-5.7183858469949085E-3</v>
      </c>
    </row>
    <row r="686" spans="1:4" x14ac:dyDescent="0.25">
      <c r="A686" t="s">
        <v>733</v>
      </c>
      <c r="B686">
        <v>28.06</v>
      </c>
      <c r="C686" s="6">
        <f t="shared" si="21"/>
        <v>-5.3172633817796244E-3</v>
      </c>
      <c r="D686" s="6">
        <f t="shared" si="20"/>
        <v>-5.3314503395901526E-3</v>
      </c>
    </row>
    <row r="687" spans="1:4" x14ac:dyDescent="0.25">
      <c r="A687" t="s">
        <v>734</v>
      </c>
      <c r="B687">
        <v>28.21</v>
      </c>
      <c r="C687" s="6">
        <f t="shared" si="21"/>
        <v>-1.0869565217391242E-2</v>
      </c>
      <c r="D687" s="6">
        <f t="shared" si="20"/>
        <v>-1.0929070532190206E-2</v>
      </c>
    </row>
    <row r="688" spans="1:4" x14ac:dyDescent="0.25">
      <c r="A688" t="s">
        <v>735</v>
      </c>
      <c r="B688">
        <v>28.52</v>
      </c>
      <c r="C688" s="6">
        <f t="shared" si="21"/>
        <v>-1.2123311395912717E-2</v>
      </c>
      <c r="D688" s="6">
        <f t="shared" si="20"/>
        <v>-1.2197398128748543E-2</v>
      </c>
    </row>
    <row r="689" spans="1:4" x14ac:dyDescent="0.25">
      <c r="A689" t="s">
        <v>736</v>
      </c>
      <c r="B689">
        <v>28.87</v>
      </c>
      <c r="C689" s="6">
        <f t="shared" si="21"/>
        <v>-1.2653898768809735E-2</v>
      </c>
      <c r="D689" s="6">
        <f t="shared" si="20"/>
        <v>-1.2734641206733913E-2</v>
      </c>
    </row>
    <row r="690" spans="1:4" x14ac:dyDescent="0.25">
      <c r="A690" t="s">
        <v>737</v>
      </c>
      <c r="B690">
        <v>29.24</v>
      </c>
      <c r="C690" s="6">
        <f t="shared" si="21"/>
        <v>-2.5982678214523713E-2</v>
      </c>
      <c r="D690" s="6">
        <f t="shared" si="20"/>
        <v>-2.6326191323738205E-2</v>
      </c>
    </row>
    <row r="691" spans="1:4" x14ac:dyDescent="0.25">
      <c r="A691" t="s">
        <v>738</v>
      </c>
      <c r="B691">
        <v>30.02</v>
      </c>
      <c r="C691" s="6">
        <f t="shared" si="21"/>
        <v>2.4573378839590321E-2</v>
      </c>
      <c r="D691" s="6">
        <f t="shared" ref="D691:D754" si="22">LN(B691/B692)</f>
        <v>2.4276310182294154E-2</v>
      </c>
    </row>
    <row r="692" spans="1:4" x14ac:dyDescent="0.25">
      <c r="A692" t="s">
        <v>739</v>
      </c>
      <c r="B692">
        <v>29.3</v>
      </c>
      <c r="C692" s="6">
        <f t="shared" ref="C692:C755" si="23">(B692/B693)-1</f>
        <v>1.384083044982698E-2</v>
      </c>
      <c r="D692" s="6">
        <f t="shared" si="22"/>
        <v>1.3745920904635136E-2</v>
      </c>
    </row>
    <row r="693" spans="1:4" x14ac:dyDescent="0.25">
      <c r="A693" t="s">
        <v>740</v>
      </c>
      <c r="B693">
        <v>28.9</v>
      </c>
      <c r="C693" s="6">
        <f t="shared" si="23"/>
        <v>1.0391409767924742E-3</v>
      </c>
      <c r="D693" s="6">
        <f t="shared" si="22"/>
        <v>1.0386014435427066E-3</v>
      </c>
    </row>
    <row r="694" spans="1:4" x14ac:dyDescent="0.25">
      <c r="A694" t="s">
        <v>741</v>
      </c>
      <c r="B694">
        <v>28.87</v>
      </c>
      <c r="C694" s="6">
        <f t="shared" si="23"/>
        <v>0</v>
      </c>
      <c r="D694" s="6">
        <f t="shared" si="22"/>
        <v>0</v>
      </c>
    </row>
    <row r="695" spans="1:4" x14ac:dyDescent="0.25">
      <c r="A695" t="s">
        <v>742</v>
      </c>
      <c r="B695">
        <v>28.87</v>
      </c>
      <c r="C695" s="6">
        <f t="shared" si="23"/>
        <v>-2.4002704530087793E-2</v>
      </c>
      <c r="D695" s="6">
        <f t="shared" si="22"/>
        <v>-2.4295463607809906E-2</v>
      </c>
    </row>
    <row r="696" spans="1:4" x14ac:dyDescent="0.25">
      <c r="A696" t="s">
        <v>743</v>
      </c>
      <c r="B696">
        <v>29.58</v>
      </c>
      <c r="C696" s="6">
        <f t="shared" si="23"/>
        <v>2.1761658031087983E-2</v>
      </c>
      <c r="D696" s="6">
        <f t="shared" si="22"/>
        <v>2.1528253263649391E-2</v>
      </c>
    </row>
    <row r="697" spans="1:4" x14ac:dyDescent="0.25">
      <c r="A697" t="s">
        <v>744</v>
      </c>
      <c r="B697">
        <v>28.95</v>
      </c>
      <c r="C697" s="6">
        <f t="shared" si="23"/>
        <v>-6.1791967044284579E-3</v>
      </c>
      <c r="D697" s="6">
        <f t="shared" si="22"/>
        <v>-6.1983669523390187E-3</v>
      </c>
    </row>
    <row r="698" spans="1:4" x14ac:dyDescent="0.25">
      <c r="A698" t="s">
        <v>745</v>
      </c>
      <c r="B698">
        <v>29.13</v>
      </c>
      <c r="C698" s="6">
        <f t="shared" si="23"/>
        <v>2.4261603375527407E-2</v>
      </c>
      <c r="D698" s="6">
        <f t="shared" si="22"/>
        <v>2.397196603630309E-2</v>
      </c>
    </row>
    <row r="699" spans="1:4" x14ac:dyDescent="0.25">
      <c r="A699" t="s">
        <v>746</v>
      </c>
      <c r="B699">
        <v>28.44</v>
      </c>
      <c r="C699" s="6">
        <f t="shared" si="23"/>
        <v>-2.4552788495264544E-3</v>
      </c>
      <c r="D699" s="6">
        <f t="shared" si="22"/>
        <v>-2.458297989540469E-3</v>
      </c>
    </row>
    <row r="700" spans="1:4" x14ac:dyDescent="0.25">
      <c r="A700" t="s">
        <v>747</v>
      </c>
      <c r="B700">
        <v>28.51</v>
      </c>
      <c r="C700" s="6">
        <f t="shared" si="23"/>
        <v>7.4204946996465626E-3</v>
      </c>
      <c r="D700" s="6">
        <f t="shared" si="22"/>
        <v>7.3930982753886041E-3</v>
      </c>
    </row>
    <row r="701" spans="1:4" x14ac:dyDescent="0.25">
      <c r="A701" t="s">
        <v>748</v>
      </c>
      <c r="B701">
        <v>28.3</v>
      </c>
      <c r="C701" s="6">
        <f t="shared" si="23"/>
        <v>2.1291952363767574E-2</v>
      </c>
      <c r="D701" s="6">
        <f t="shared" si="22"/>
        <v>2.1068445774304875E-2</v>
      </c>
    </row>
    <row r="702" spans="1:4" x14ac:dyDescent="0.25">
      <c r="A702" t="s">
        <v>749</v>
      </c>
      <c r="B702">
        <v>27.71</v>
      </c>
      <c r="C702" s="6">
        <f t="shared" si="23"/>
        <v>1.094491061656333E-2</v>
      </c>
      <c r="D702" s="6">
        <f t="shared" si="22"/>
        <v>1.0885448560192655E-2</v>
      </c>
    </row>
    <row r="703" spans="1:4" x14ac:dyDescent="0.25">
      <c r="A703" t="s">
        <v>750</v>
      </c>
      <c r="B703">
        <v>27.41</v>
      </c>
      <c r="C703" s="6">
        <f t="shared" si="23"/>
        <v>4.9387442572741191E-2</v>
      </c>
      <c r="D703" s="6">
        <f t="shared" si="22"/>
        <v>4.8206605906464112E-2</v>
      </c>
    </row>
    <row r="704" spans="1:4" x14ac:dyDescent="0.25">
      <c r="A704" t="s">
        <v>751</v>
      </c>
      <c r="B704">
        <v>26.12</v>
      </c>
      <c r="C704" s="6">
        <f t="shared" si="23"/>
        <v>4.6153846153846878E-3</v>
      </c>
      <c r="D704" s="6">
        <f t="shared" si="22"/>
        <v>4.6047663867483388E-3</v>
      </c>
    </row>
    <row r="705" spans="1:4" x14ac:dyDescent="0.25">
      <c r="A705" t="s">
        <v>752</v>
      </c>
      <c r="B705">
        <v>26</v>
      </c>
      <c r="C705" s="6">
        <f t="shared" si="23"/>
        <v>-1.5524422567209428E-2</v>
      </c>
      <c r="D705" s="6">
        <f t="shared" si="22"/>
        <v>-1.5646188287558843E-2</v>
      </c>
    </row>
    <row r="706" spans="1:4" x14ac:dyDescent="0.25">
      <c r="A706" t="s">
        <v>753</v>
      </c>
      <c r="B706">
        <v>26.41</v>
      </c>
      <c r="C706" s="6">
        <f t="shared" si="23"/>
        <v>-2.6179941002949847E-2</v>
      </c>
      <c r="D706" s="6">
        <f t="shared" si="22"/>
        <v>-2.6528736763153964E-2</v>
      </c>
    </row>
    <row r="707" spans="1:4" x14ac:dyDescent="0.25">
      <c r="A707" t="s">
        <v>754</v>
      </c>
      <c r="B707">
        <v>27.12</v>
      </c>
      <c r="C707" s="6">
        <f t="shared" si="23"/>
        <v>1.0432190760059745E-2</v>
      </c>
      <c r="D707" s="6">
        <f t="shared" si="22"/>
        <v>1.0378150968713909E-2</v>
      </c>
    </row>
    <row r="708" spans="1:4" x14ac:dyDescent="0.25">
      <c r="A708" t="s">
        <v>755</v>
      </c>
      <c r="B708">
        <v>26.84</v>
      </c>
      <c r="C708" s="6">
        <f t="shared" si="23"/>
        <v>3.9101819589624442E-2</v>
      </c>
      <c r="D708" s="6">
        <f t="shared" si="22"/>
        <v>3.8356704995731898E-2</v>
      </c>
    </row>
    <row r="709" spans="1:4" x14ac:dyDescent="0.25">
      <c r="A709" t="s">
        <v>756</v>
      </c>
      <c r="B709">
        <v>25.83</v>
      </c>
      <c r="C709" s="6">
        <f t="shared" si="23"/>
        <v>-3.6194029850746379E-2</v>
      </c>
      <c r="D709" s="6">
        <f t="shared" si="22"/>
        <v>-3.6865280409061986E-2</v>
      </c>
    </row>
    <row r="710" spans="1:4" x14ac:dyDescent="0.25">
      <c r="A710" t="s">
        <v>757</v>
      </c>
      <c r="B710">
        <v>26.8</v>
      </c>
      <c r="C710" s="6">
        <f t="shared" si="23"/>
        <v>1.494768310911887E-3</v>
      </c>
      <c r="D710" s="6">
        <f t="shared" si="22"/>
        <v>1.493652256783372E-3</v>
      </c>
    </row>
    <row r="711" spans="1:4" x14ac:dyDescent="0.25">
      <c r="A711" t="s">
        <v>758</v>
      </c>
      <c r="B711">
        <v>26.76</v>
      </c>
      <c r="C711" s="6">
        <f t="shared" si="23"/>
        <v>-1.72603745868527E-2</v>
      </c>
      <c r="D711" s="6">
        <f t="shared" si="22"/>
        <v>-1.7411071425640492E-2</v>
      </c>
    </row>
    <row r="712" spans="1:4" x14ac:dyDescent="0.25">
      <c r="A712" t="s">
        <v>759</v>
      </c>
      <c r="B712">
        <v>27.23</v>
      </c>
      <c r="C712" s="6">
        <f t="shared" si="23"/>
        <v>-9.818181818181837E-3</v>
      </c>
      <c r="D712" s="6">
        <f t="shared" si="22"/>
        <v>-9.8666979868573985E-3</v>
      </c>
    </row>
    <row r="713" spans="1:4" x14ac:dyDescent="0.25">
      <c r="A713" t="s">
        <v>760</v>
      </c>
      <c r="B713">
        <v>27.5</v>
      </c>
      <c r="C713" s="6">
        <f t="shared" si="23"/>
        <v>4.7497259773474632E-3</v>
      </c>
      <c r="D713" s="6">
        <f t="shared" si="22"/>
        <v>4.7384816199379032E-3</v>
      </c>
    </row>
    <row r="714" spans="1:4" x14ac:dyDescent="0.25">
      <c r="A714" t="s">
        <v>761</v>
      </c>
      <c r="B714">
        <v>27.37</v>
      </c>
      <c r="C714" s="6">
        <f t="shared" si="23"/>
        <v>-1.5821646889607965E-2</v>
      </c>
      <c r="D714" s="6">
        <f t="shared" si="22"/>
        <v>-1.594814519328568E-2</v>
      </c>
    </row>
    <row r="715" spans="1:4" x14ac:dyDescent="0.25">
      <c r="A715" t="s">
        <v>762</v>
      </c>
      <c r="B715">
        <v>27.81</v>
      </c>
      <c r="C715" s="6">
        <f t="shared" si="23"/>
        <v>6.1505065123008684E-3</v>
      </c>
      <c r="D715" s="6">
        <f t="shared" si="22"/>
        <v>6.1316693464041859E-3</v>
      </c>
    </row>
    <row r="716" spans="1:4" x14ac:dyDescent="0.25">
      <c r="A716" t="s">
        <v>763</v>
      </c>
      <c r="B716">
        <v>27.64</v>
      </c>
      <c r="C716" s="6">
        <f t="shared" si="23"/>
        <v>2.1056520132988643E-2</v>
      </c>
      <c r="D716" s="6">
        <f t="shared" si="22"/>
        <v>2.0837895273259424E-2</v>
      </c>
    </row>
    <row r="717" spans="1:4" x14ac:dyDescent="0.25">
      <c r="A717" t="s">
        <v>764</v>
      </c>
      <c r="B717">
        <v>27.07</v>
      </c>
      <c r="C717" s="6">
        <f t="shared" si="23"/>
        <v>-1.5994183933115247E-2</v>
      </c>
      <c r="D717" s="6">
        <f t="shared" si="22"/>
        <v>-1.6123471310273373E-2</v>
      </c>
    </row>
    <row r="718" spans="1:4" x14ac:dyDescent="0.25">
      <c r="A718" t="s">
        <v>765</v>
      </c>
      <c r="B718">
        <v>27.51</v>
      </c>
      <c r="C718" s="6">
        <f t="shared" si="23"/>
        <v>2.8795811518324665E-2</v>
      </c>
      <c r="D718" s="6">
        <f t="shared" si="22"/>
        <v>2.8389003262686108E-2</v>
      </c>
    </row>
    <row r="719" spans="1:4" x14ac:dyDescent="0.25">
      <c r="A719" t="s">
        <v>766</v>
      </c>
      <c r="B719">
        <v>26.74</v>
      </c>
      <c r="C719" s="6">
        <f t="shared" si="23"/>
        <v>3.2033963720571101E-2</v>
      </c>
      <c r="D719" s="6">
        <f t="shared" si="22"/>
        <v>3.1531577099778413E-2</v>
      </c>
    </row>
    <row r="720" spans="1:4" x14ac:dyDescent="0.25">
      <c r="A720" t="s">
        <v>767</v>
      </c>
      <c r="B720">
        <v>25.91</v>
      </c>
      <c r="C720" s="6">
        <f t="shared" si="23"/>
        <v>6.995724834823136E-3</v>
      </c>
      <c r="D720" s="6">
        <f t="shared" si="22"/>
        <v>6.9713682803657752E-3</v>
      </c>
    </row>
    <row r="721" spans="1:4" x14ac:dyDescent="0.25">
      <c r="A721" t="s">
        <v>768</v>
      </c>
      <c r="B721">
        <v>25.73</v>
      </c>
      <c r="C721" s="6">
        <f t="shared" si="23"/>
        <v>-1.9435975609756073E-2</v>
      </c>
      <c r="D721" s="6">
        <f t="shared" si="22"/>
        <v>-1.9627337782235466E-2</v>
      </c>
    </row>
    <row r="722" spans="1:4" x14ac:dyDescent="0.25">
      <c r="A722" t="s">
        <v>769</v>
      </c>
      <c r="B722">
        <v>26.24</v>
      </c>
      <c r="C722" s="6">
        <f t="shared" si="23"/>
        <v>-3.3517495395948393E-2</v>
      </c>
      <c r="D722" s="6">
        <f t="shared" si="22"/>
        <v>-3.4092082304056109E-2</v>
      </c>
    </row>
    <row r="723" spans="1:4" x14ac:dyDescent="0.25">
      <c r="A723" t="s">
        <v>770</v>
      </c>
      <c r="B723">
        <v>27.15</v>
      </c>
      <c r="C723" s="6">
        <f t="shared" si="23"/>
        <v>-8.0379978078188863E-3</v>
      </c>
      <c r="D723" s="6">
        <f t="shared" si="22"/>
        <v>-8.0704766726433716E-3</v>
      </c>
    </row>
    <row r="724" spans="1:4" x14ac:dyDescent="0.25">
      <c r="A724" t="s">
        <v>771</v>
      </c>
      <c r="B724">
        <v>27.37</v>
      </c>
      <c r="C724" s="6">
        <f t="shared" si="23"/>
        <v>6.2500000000000888E-3</v>
      </c>
      <c r="D724" s="6">
        <f t="shared" si="22"/>
        <v>6.2305497506361628E-3</v>
      </c>
    </row>
    <row r="725" spans="1:4" x14ac:dyDescent="0.25">
      <c r="A725" t="s">
        <v>772</v>
      </c>
      <c r="B725">
        <v>27.2</v>
      </c>
      <c r="C725" s="6">
        <f t="shared" si="23"/>
        <v>-5.6538328130419702E-2</v>
      </c>
      <c r="D725" s="6">
        <f t="shared" si="22"/>
        <v>-5.8199538348359184E-2</v>
      </c>
    </row>
    <row r="726" spans="1:4" x14ac:dyDescent="0.25">
      <c r="A726" t="s">
        <v>773</v>
      </c>
      <c r="B726">
        <v>28.83</v>
      </c>
      <c r="C726" s="6">
        <f t="shared" si="23"/>
        <v>-1.7047391749062446E-2</v>
      </c>
      <c r="D726" s="6">
        <f t="shared" si="22"/>
        <v>-1.7194371339048907E-2</v>
      </c>
    </row>
    <row r="727" spans="1:4" x14ac:dyDescent="0.25">
      <c r="A727" t="s">
        <v>774</v>
      </c>
      <c r="B727">
        <v>29.33</v>
      </c>
      <c r="C727" s="6">
        <f t="shared" si="23"/>
        <v>-2.0701168614357335E-2</v>
      </c>
      <c r="D727" s="6">
        <f t="shared" si="22"/>
        <v>-2.091844157209876E-2</v>
      </c>
    </row>
    <row r="728" spans="1:4" x14ac:dyDescent="0.25">
      <c r="A728" t="s">
        <v>775</v>
      </c>
      <c r="B728">
        <v>29.95</v>
      </c>
      <c r="C728" s="6">
        <f t="shared" si="23"/>
        <v>4.355400696864109E-2</v>
      </c>
      <c r="D728" s="6">
        <f t="shared" si="22"/>
        <v>4.263220179588291E-2</v>
      </c>
    </row>
    <row r="729" spans="1:4" x14ac:dyDescent="0.25">
      <c r="A729" t="s">
        <v>776</v>
      </c>
      <c r="B729">
        <v>28.7</v>
      </c>
      <c r="C729" s="6">
        <f t="shared" si="23"/>
        <v>1.7730496453900679E-2</v>
      </c>
      <c r="D729" s="6">
        <f t="shared" si="22"/>
        <v>1.7575144821507491E-2</v>
      </c>
    </row>
    <row r="730" spans="1:4" x14ac:dyDescent="0.25">
      <c r="A730" t="s">
        <v>777</v>
      </c>
      <c r="B730">
        <v>28.2</v>
      </c>
      <c r="C730" s="6">
        <f t="shared" si="23"/>
        <v>-1.6393442622950949E-2</v>
      </c>
      <c r="D730" s="6">
        <f t="shared" si="22"/>
        <v>-1.6529301951210697E-2</v>
      </c>
    </row>
    <row r="731" spans="1:4" x14ac:dyDescent="0.25">
      <c r="A731" t="s">
        <v>778</v>
      </c>
      <c r="B731">
        <v>28.67</v>
      </c>
      <c r="C731" s="6">
        <f t="shared" si="23"/>
        <v>2.31977159172021E-2</v>
      </c>
      <c r="D731" s="6">
        <f t="shared" si="22"/>
        <v>2.2932738986417622E-2</v>
      </c>
    </row>
    <row r="732" spans="1:4" x14ac:dyDescent="0.25">
      <c r="A732" t="s">
        <v>779</v>
      </c>
      <c r="B732">
        <v>28.02</v>
      </c>
      <c r="C732" s="6">
        <f t="shared" si="23"/>
        <v>-2.7083333333333348E-2</v>
      </c>
      <c r="D732" s="6">
        <f t="shared" si="22"/>
        <v>-2.7456846233039317E-2</v>
      </c>
    </row>
    <row r="733" spans="1:4" x14ac:dyDescent="0.25">
      <c r="A733" t="s">
        <v>780</v>
      </c>
      <c r="B733">
        <v>28.8</v>
      </c>
      <c r="C733" s="6">
        <f t="shared" si="23"/>
        <v>-5.4808007876599896E-2</v>
      </c>
      <c r="D733" s="6">
        <f t="shared" si="22"/>
        <v>-5.6367205855717389E-2</v>
      </c>
    </row>
    <row r="734" spans="1:4" x14ac:dyDescent="0.25">
      <c r="A734" t="s">
        <v>781</v>
      </c>
      <c r="B734">
        <v>30.47</v>
      </c>
      <c r="C734" s="6">
        <f t="shared" si="23"/>
        <v>2.9044241810199267E-2</v>
      </c>
      <c r="D734" s="6">
        <f t="shared" si="22"/>
        <v>2.8630450884117781E-2</v>
      </c>
    </row>
    <row r="735" spans="1:4" x14ac:dyDescent="0.25">
      <c r="A735" t="s">
        <v>782</v>
      </c>
      <c r="B735">
        <v>29.61</v>
      </c>
      <c r="C735" s="6">
        <f t="shared" si="23"/>
        <v>1.1270491803278659E-2</v>
      </c>
      <c r="D735" s="6">
        <f t="shared" si="22"/>
        <v>1.1207453020389068E-2</v>
      </c>
    </row>
    <row r="736" spans="1:4" x14ac:dyDescent="0.25">
      <c r="A736" t="s">
        <v>783</v>
      </c>
      <c r="B736">
        <v>29.28</v>
      </c>
      <c r="C736" s="6">
        <f t="shared" si="23"/>
        <v>-2.0449897750510759E-3</v>
      </c>
      <c r="D736" s="6">
        <f t="shared" si="22"/>
        <v>-2.0470836217247996E-3</v>
      </c>
    </row>
    <row r="737" spans="1:4" x14ac:dyDescent="0.25">
      <c r="A737" t="s">
        <v>784</v>
      </c>
      <c r="B737">
        <v>29.34</v>
      </c>
      <c r="C737" s="6">
        <f t="shared" si="23"/>
        <v>-6.8119891008178168E-4</v>
      </c>
      <c r="D737" s="6">
        <f t="shared" si="22"/>
        <v>-6.8143103147921141E-4</v>
      </c>
    </row>
    <row r="738" spans="1:4" x14ac:dyDescent="0.25">
      <c r="A738" t="s">
        <v>785</v>
      </c>
      <c r="B738">
        <v>29.36</v>
      </c>
      <c r="C738" s="6">
        <f t="shared" si="23"/>
        <v>-7.7728962487326747E-3</v>
      </c>
      <c r="D738" s="6">
        <f t="shared" si="22"/>
        <v>-7.8032626658034454E-3</v>
      </c>
    </row>
    <row r="739" spans="1:4" x14ac:dyDescent="0.25">
      <c r="A739" t="s">
        <v>786</v>
      </c>
      <c r="B739">
        <v>29.59</v>
      </c>
      <c r="C739" s="6">
        <f t="shared" si="23"/>
        <v>2.8144544822793494E-2</v>
      </c>
      <c r="D739" s="6">
        <f t="shared" si="22"/>
        <v>2.7755764952896413E-2</v>
      </c>
    </row>
    <row r="740" spans="1:4" x14ac:dyDescent="0.25">
      <c r="A740" t="s">
        <v>787</v>
      </c>
      <c r="B740">
        <v>28.78</v>
      </c>
      <c r="C740" s="6">
        <f t="shared" si="23"/>
        <v>-1.3879250520472119E-3</v>
      </c>
      <c r="D740" s="6">
        <f t="shared" si="22"/>
        <v>-1.3888891121542938E-3</v>
      </c>
    </row>
    <row r="741" spans="1:4" x14ac:dyDescent="0.25">
      <c r="A741" t="s">
        <v>788</v>
      </c>
      <c r="B741">
        <v>28.82</v>
      </c>
      <c r="C741" s="6">
        <f t="shared" si="23"/>
        <v>-6.9348127600554754E-4</v>
      </c>
      <c r="D741" s="6">
        <f t="shared" si="22"/>
        <v>-6.937218453722968E-4</v>
      </c>
    </row>
    <row r="742" spans="1:4" x14ac:dyDescent="0.25">
      <c r="A742" t="s">
        <v>789</v>
      </c>
      <c r="B742">
        <v>28.84</v>
      </c>
      <c r="C742" s="6">
        <f t="shared" si="23"/>
        <v>-7.2289156626506035E-3</v>
      </c>
      <c r="D742" s="6">
        <f t="shared" si="22"/>
        <v>-7.2551708811719098E-3</v>
      </c>
    </row>
    <row r="743" spans="1:4" x14ac:dyDescent="0.25">
      <c r="A743" t="s">
        <v>790</v>
      </c>
      <c r="B743">
        <v>29.05</v>
      </c>
      <c r="C743" s="6">
        <f t="shared" si="23"/>
        <v>2.2887323943661997E-2</v>
      </c>
      <c r="D743" s="6">
        <f t="shared" si="22"/>
        <v>2.2629338130759902E-2</v>
      </c>
    </row>
    <row r="744" spans="1:4" x14ac:dyDescent="0.25">
      <c r="A744" t="s">
        <v>791</v>
      </c>
      <c r="B744">
        <v>28.4</v>
      </c>
      <c r="C744" s="6">
        <f t="shared" si="23"/>
        <v>-3.5198873636044237E-4</v>
      </c>
      <c r="D744" s="6">
        <f t="shared" si="22"/>
        <v>-3.5205069893621708E-4</v>
      </c>
    </row>
    <row r="745" spans="1:4" x14ac:dyDescent="0.25">
      <c r="A745" t="s">
        <v>792</v>
      </c>
      <c r="B745">
        <v>28.41</v>
      </c>
      <c r="C745" s="6">
        <f t="shared" si="23"/>
        <v>3.8869257950528979E-3</v>
      </c>
      <c r="D745" s="6">
        <f t="shared" si="22"/>
        <v>3.8793912169045215E-3</v>
      </c>
    </row>
    <row r="746" spans="1:4" x14ac:dyDescent="0.25">
      <c r="A746" t="s">
        <v>793</v>
      </c>
      <c r="B746">
        <v>28.3</v>
      </c>
      <c r="C746" s="6">
        <f t="shared" si="23"/>
        <v>-1.2561060711793415E-2</v>
      </c>
      <c r="D746" s="6">
        <f t="shared" si="22"/>
        <v>-1.2640617750833825E-2</v>
      </c>
    </row>
    <row r="747" spans="1:4" x14ac:dyDescent="0.25">
      <c r="A747" t="s">
        <v>794</v>
      </c>
      <c r="B747">
        <v>28.66</v>
      </c>
      <c r="C747" s="6">
        <f t="shared" si="23"/>
        <v>-6.9735006973503655E-4</v>
      </c>
      <c r="D747" s="6">
        <f t="shared" si="22"/>
        <v>-6.975933313938473E-4</v>
      </c>
    </row>
    <row r="748" spans="1:4" x14ac:dyDescent="0.25">
      <c r="A748" t="s">
        <v>795</v>
      </c>
      <c r="B748">
        <v>28.68</v>
      </c>
      <c r="C748" s="6">
        <f t="shared" si="23"/>
        <v>2.8325564718536977E-2</v>
      </c>
      <c r="D748" s="6">
        <f t="shared" si="22"/>
        <v>2.7931814092021896E-2</v>
      </c>
    </row>
    <row r="749" spans="1:4" x14ac:dyDescent="0.25">
      <c r="A749" t="s">
        <v>796</v>
      </c>
      <c r="B749">
        <v>27.89</v>
      </c>
      <c r="C749" s="6">
        <f t="shared" si="23"/>
        <v>1.2341197822141492E-2</v>
      </c>
      <c r="D749" s="6">
        <f t="shared" si="22"/>
        <v>1.2265666040474023E-2</v>
      </c>
    </row>
    <row r="750" spans="1:4" x14ac:dyDescent="0.25">
      <c r="A750" t="s">
        <v>797</v>
      </c>
      <c r="B750">
        <v>27.55</v>
      </c>
      <c r="C750" s="6">
        <f t="shared" si="23"/>
        <v>1.9992595335061036E-2</v>
      </c>
      <c r="D750" s="6">
        <f t="shared" si="22"/>
        <v>1.9795367794399239E-2</v>
      </c>
    </row>
    <row r="751" spans="1:4" x14ac:dyDescent="0.25">
      <c r="A751" t="s">
        <v>798</v>
      </c>
      <c r="B751">
        <v>27.01</v>
      </c>
      <c r="C751" s="6">
        <f t="shared" si="23"/>
        <v>-1.423357664233571E-2</v>
      </c>
      <c r="D751" s="6">
        <f t="shared" si="22"/>
        <v>-1.4335845589500278E-2</v>
      </c>
    </row>
    <row r="752" spans="1:4" x14ac:dyDescent="0.25">
      <c r="A752" t="s">
        <v>799</v>
      </c>
      <c r="B752">
        <v>27.4</v>
      </c>
      <c r="C752" s="6">
        <f t="shared" si="23"/>
        <v>1.4619883040936088E-3</v>
      </c>
      <c r="D752" s="6">
        <f t="shared" si="22"/>
        <v>1.4609206396748698E-3</v>
      </c>
    </row>
    <row r="753" spans="1:4" x14ac:dyDescent="0.25">
      <c r="A753" t="s">
        <v>800</v>
      </c>
      <c r="B753">
        <v>27.36</v>
      </c>
      <c r="C753" s="6">
        <f t="shared" si="23"/>
        <v>-5.0909090909091459E-3</v>
      </c>
      <c r="D753" s="6">
        <f t="shared" si="22"/>
        <v>-5.103911918175952E-3</v>
      </c>
    </row>
    <row r="754" spans="1:4" x14ac:dyDescent="0.25">
      <c r="A754" t="s">
        <v>801</v>
      </c>
      <c r="B754">
        <v>27.5</v>
      </c>
      <c r="C754" s="6">
        <f t="shared" si="23"/>
        <v>-4.613250086715226E-2</v>
      </c>
      <c r="D754" s="6">
        <f t="shared" si="22"/>
        <v>-4.7230506977785192E-2</v>
      </c>
    </row>
    <row r="755" spans="1:4" x14ac:dyDescent="0.25">
      <c r="A755" t="s">
        <v>802</v>
      </c>
      <c r="B755">
        <v>28.83</v>
      </c>
      <c r="C755" s="6">
        <f t="shared" si="23"/>
        <v>1.193401193401189E-2</v>
      </c>
      <c r="D755" s="6">
        <f t="shared" ref="D755:D818" si="24">LN(B755/B756)</f>
        <v>1.1863363140493846E-2</v>
      </c>
    </row>
    <row r="756" spans="1:4" x14ac:dyDescent="0.25">
      <c r="A756" t="s">
        <v>803</v>
      </c>
      <c r="B756">
        <v>28.49</v>
      </c>
      <c r="C756" s="6">
        <f t="shared" ref="C756:C819" si="25">(B756/B757)-1</f>
        <v>-3.8798920377867807E-2</v>
      </c>
      <c r="D756" s="6">
        <f t="shared" si="24"/>
        <v>-3.9571651918069273E-2</v>
      </c>
    </row>
    <row r="757" spans="1:4" x14ac:dyDescent="0.25">
      <c r="A757" t="s">
        <v>804</v>
      </c>
      <c r="B757">
        <v>29.64</v>
      </c>
      <c r="C757" s="6">
        <f t="shared" si="25"/>
        <v>-5.0352467270895485E-3</v>
      </c>
      <c r="D757" s="6">
        <f t="shared" si="24"/>
        <v>-5.0479662973046983E-3</v>
      </c>
    </row>
    <row r="758" spans="1:4" x14ac:dyDescent="0.25">
      <c r="A758" t="s">
        <v>805</v>
      </c>
      <c r="B758">
        <v>29.79</v>
      </c>
      <c r="C758" s="6">
        <f t="shared" si="25"/>
        <v>1.2576478585995865E-2</v>
      </c>
      <c r="D758" s="6">
        <f t="shared" si="24"/>
        <v>1.2498051551899401E-2</v>
      </c>
    </row>
    <row r="759" spans="1:4" x14ac:dyDescent="0.25">
      <c r="A759" t="s">
        <v>806</v>
      </c>
      <c r="B759">
        <v>29.42</v>
      </c>
      <c r="C759" s="6">
        <f t="shared" si="25"/>
        <v>1.0649261422191802E-2</v>
      </c>
      <c r="D759" s="6">
        <f t="shared" si="24"/>
        <v>1.0592957415759717E-2</v>
      </c>
    </row>
    <row r="760" spans="1:4" x14ac:dyDescent="0.25">
      <c r="A760" t="s">
        <v>807</v>
      </c>
      <c r="B760">
        <v>29.11</v>
      </c>
      <c r="C760" s="6">
        <f t="shared" si="25"/>
        <v>1.0316368638239037E-3</v>
      </c>
      <c r="D760" s="6">
        <f t="shared" si="24"/>
        <v>1.0311050922132102E-3</v>
      </c>
    </row>
    <row r="761" spans="1:4" x14ac:dyDescent="0.25">
      <c r="A761" t="s">
        <v>808</v>
      </c>
      <c r="B761">
        <v>29.08</v>
      </c>
      <c r="C761" s="6">
        <f t="shared" si="25"/>
        <v>2.3583245336149083E-2</v>
      </c>
      <c r="D761" s="6">
        <f t="shared" si="24"/>
        <v>2.3309456799221893E-2</v>
      </c>
    </row>
    <row r="762" spans="1:4" x14ac:dyDescent="0.25">
      <c r="A762" t="s">
        <v>809</v>
      </c>
      <c r="B762">
        <v>28.41</v>
      </c>
      <c r="C762" s="6">
        <f t="shared" si="25"/>
        <v>3.5211267605639307E-4</v>
      </c>
      <c r="D762" s="6">
        <f t="shared" si="24"/>
        <v>3.520506989362662E-4</v>
      </c>
    </row>
    <row r="763" spans="1:4" x14ac:dyDescent="0.25">
      <c r="A763" t="s">
        <v>810</v>
      </c>
      <c r="B763">
        <v>28.4</v>
      </c>
      <c r="C763" s="6">
        <f t="shared" si="25"/>
        <v>-1.251738525730195E-2</v>
      </c>
      <c r="D763" s="6">
        <f t="shared" si="24"/>
        <v>-1.2596387685685726E-2</v>
      </c>
    </row>
    <row r="764" spans="1:4" x14ac:dyDescent="0.25">
      <c r="A764" t="s">
        <v>811</v>
      </c>
      <c r="B764">
        <v>28.76</v>
      </c>
      <c r="C764" s="6">
        <f t="shared" si="25"/>
        <v>-2.0818875780707069E-3</v>
      </c>
      <c r="D764" s="6">
        <f t="shared" si="24"/>
        <v>-2.0840577185300127E-3</v>
      </c>
    </row>
    <row r="765" spans="1:4" x14ac:dyDescent="0.25">
      <c r="A765" t="s">
        <v>812</v>
      </c>
      <c r="B765">
        <v>28.82</v>
      </c>
      <c r="C765" s="6">
        <f t="shared" si="25"/>
        <v>1.4788732394366289E-2</v>
      </c>
      <c r="D765" s="6">
        <f t="shared" si="24"/>
        <v>1.4680445404215764E-2</v>
      </c>
    </row>
    <row r="766" spans="1:4" x14ac:dyDescent="0.25">
      <c r="A766" t="s">
        <v>813</v>
      </c>
      <c r="B766">
        <v>28.4</v>
      </c>
      <c r="C766" s="6">
        <f t="shared" si="25"/>
        <v>1.4648088603072429E-2</v>
      </c>
      <c r="D766" s="6">
        <f t="shared" si="24"/>
        <v>1.4541841639798112E-2</v>
      </c>
    </row>
    <row r="767" spans="1:4" x14ac:dyDescent="0.25">
      <c r="A767" t="s">
        <v>814</v>
      </c>
      <c r="B767">
        <v>27.99</v>
      </c>
      <c r="C767" s="6">
        <f t="shared" si="25"/>
        <v>2.8663561447508368E-3</v>
      </c>
      <c r="D767" s="6">
        <f t="shared" si="24"/>
        <v>2.8622559791311986E-3</v>
      </c>
    </row>
    <row r="768" spans="1:4" x14ac:dyDescent="0.25">
      <c r="A768" t="s">
        <v>815</v>
      </c>
      <c r="B768">
        <v>27.91</v>
      </c>
      <c r="C768" s="6">
        <f t="shared" si="25"/>
        <v>-6.4079743681024759E-3</v>
      </c>
      <c r="D768" s="6">
        <f t="shared" si="24"/>
        <v>-6.4285935679214458E-3</v>
      </c>
    </row>
    <row r="769" spans="1:4" x14ac:dyDescent="0.25">
      <c r="A769" t="s">
        <v>816</v>
      </c>
      <c r="B769">
        <v>28.09</v>
      </c>
      <c r="C769" s="6">
        <f t="shared" si="25"/>
        <v>2.8937728937728835E-2</v>
      </c>
      <c r="D769" s="6">
        <f t="shared" si="24"/>
        <v>2.8526938925238152E-2</v>
      </c>
    </row>
    <row r="770" spans="1:4" x14ac:dyDescent="0.25">
      <c r="A770" t="s">
        <v>817</v>
      </c>
      <c r="B770">
        <v>27.3</v>
      </c>
      <c r="C770" s="6">
        <f t="shared" si="25"/>
        <v>7.3313782991202281E-4</v>
      </c>
      <c r="D770" s="6">
        <f t="shared" si="24"/>
        <v>7.3286921565269766E-4</v>
      </c>
    </row>
    <row r="771" spans="1:4" x14ac:dyDescent="0.25">
      <c r="A771" t="s">
        <v>818</v>
      </c>
      <c r="B771">
        <v>27.28</v>
      </c>
      <c r="C771" s="6">
        <f t="shared" si="25"/>
        <v>-1.3024602026049159E-2</v>
      </c>
      <c r="D771" s="6">
        <f t="shared" si="24"/>
        <v>-1.3110165924207752E-2</v>
      </c>
    </row>
    <row r="772" spans="1:4" x14ac:dyDescent="0.25">
      <c r="A772" t="s">
        <v>819</v>
      </c>
      <c r="B772">
        <v>27.64</v>
      </c>
      <c r="C772" s="6">
        <f t="shared" si="25"/>
        <v>-2.3666548922642083E-2</v>
      </c>
      <c r="D772" s="6">
        <f t="shared" si="24"/>
        <v>-2.3951100224338991E-2</v>
      </c>
    </row>
    <row r="773" spans="1:4" x14ac:dyDescent="0.25">
      <c r="A773" t="s">
        <v>820</v>
      </c>
      <c r="B773">
        <v>28.31</v>
      </c>
      <c r="C773" s="6">
        <f t="shared" si="25"/>
        <v>-6.3180063180062751E-3</v>
      </c>
      <c r="D773" s="6">
        <f t="shared" si="24"/>
        <v>-6.3380493860086496E-3</v>
      </c>
    </row>
    <row r="774" spans="1:4" x14ac:dyDescent="0.25">
      <c r="A774" t="s">
        <v>821</v>
      </c>
      <c r="B774">
        <v>28.49</v>
      </c>
      <c r="C774" s="6">
        <f t="shared" si="25"/>
        <v>1.8227305218012857E-2</v>
      </c>
      <c r="D774" s="6">
        <f t="shared" si="24"/>
        <v>1.80631792724818E-2</v>
      </c>
    </row>
    <row r="775" spans="1:4" x14ac:dyDescent="0.25">
      <c r="A775" t="s">
        <v>822</v>
      </c>
      <c r="B775">
        <v>27.98</v>
      </c>
      <c r="C775" s="6">
        <f t="shared" si="25"/>
        <v>1.7824663514005135E-2</v>
      </c>
      <c r="D775" s="6">
        <f t="shared" si="24"/>
        <v>1.7667667060180813E-2</v>
      </c>
    </row>
    <row r="776" spans="1:4" x14ac:dyDescent="0.25">
      <c r="A776" t="s">
        <v>823</v>
      </c>
      <c r="B776">
        <v>27.49</v>
      </c>
      <c r="C776" s="6">
        <f t="shared" si="25"/>
        <v>7.3286918285084823E-3</v>
      </c>
      <c r="D776" s="6">
        <f t="shared" si="24"/>
        <v>7.3019674569071132E-3</v>
      </c>
    </row>
    <row r="777" spans="1:4" x14ac:dyDescent="0.25">
      <c r="A777" t="s">
        <v>824</v>
      </c>
      <c r="B777">
        <v>27.29</v>
      </c>
      <c r="C777" s="6">
        <f t="shared" si="25"/>
        <v>4.0411742279832241E-2</v>
      </c>
      <c r="D777" s="6">
        <f t="shared" si="24"/>
        <v>3.9616540841464785E-2</v>
      </c>
    </row>
    <row r="778" spans="1:4" x14ac:dyDescent="0.25">
      <c r="A778" t="s">
        <v>825</v>
      </c>
      <c r="B778">
        <v>26.23</v>
      </c>
      <c r="C778" s="6">
        <f t="shared" si="25"/>
        <v>1.9098548510314561E-3</v>
      </c>
      <c r="D778" s="6">
        <f t="shared" si="24"/>
        <v>1.9080333970285677E-3</v>
      </c>
    </row>
    <row r="779" spans="1:4" x14ac:dyDescent="0.25">
      <c r="A779" t="s">
        <v>826</v>
      </c>
      <c r="B779">
        <v>26.18</v>
      </c>
      <c r="C779" s="6">
        <f t="shared" si="25"/>
        <v>1.2374323279195742E-2</v>
      </c>
      <c r="D779" s="6">
        <f t="shared" si="24"/>
        <v>1.2298387138042523E-2</v>
      </c>
    </row>
    <row r="780" spans="1:4" x14ac:dyDescent="0.25">
      <c r="A780" t="s">
        <v>827</v>
      </c>
      <c r="B780">
        <v>25.86</v>
      </c>
      <c r="C780" s="6">
        <f t="shared" si="25"/>
        <v>-5.0019238168526048E-3</v>
      </c>
      <c r="D780" s="6">
        <f t="shared" si="24"/>
        <v>-5.0144753096874398E-3</v>
      </c>
    </row>
    <row r="781" spans="1:4" x14ac:dyDescent="0.25">
      <c r="A781" t="s">
        <v>828</v>
      </c>
      <c r="B781">
        <v>25.99</v>
      </c>
      <c r="C781" s="6">
        <f t="shared" si="25"/>
        <v>-1.887504718761801E-2</v>
      </c>
      <c r="D781" s="6">
        <f t="shared" si="24"/>
        <v>-1.9055454630579487E-2</v>
      </c>
    </row>
    <row r="782" spans="1:4" x14ac:dyDescent="0.25">
      <c r="A782" t="s">
        <v>829</v>
      </c>
      <c r="B782">
        <v>26.49</v>
      </c>
      <c r="C782" s="6">
        <f t="shared" si="25"/>
        <v>1.3389441469012997E-2</v>
      </c>
      <c r="D782" s="6">
        <f t="shared" si="24"/>
        <v>1.3300595087902439E-2</v>
      </c>
    </row>
    <row r="783" spans="1:4" x14ac:dyDescent="0.25">
      <c r="A783" t="s">
        <v>830</v>
      </c>
      <c r="B783">
        <v>26.14</v>
      </c>
      <c r="C783" s="6">
        <f t="shared" si="25"/>
        <v>-3.1851851851851798E-2</v>
      </c>
      <c r="D783" s="6">
        <f t="shared" si="24"/>
        <v>-3.2370157808253128E-2</v>
      </c>
    </row>
    <row r="784" spans="1:4" x14ac:dyDescent="0.25">
      <c r="A784" t="s">
        <v>831</v>
      </c>
      <c r="B784">
        <v>27</v>
      </c>
      <c r="C784" s="6">
        <f t="shared" si="25"/>
        <v>5.4275673565013616E-2</v>
      </c>
      <c r="D784" s="6">
        <f t="shared" si="24"/>
        <v>5.2853965792895148E-2</v>
      </c>
    </row>
    <row r="785" spans="1:4" x14ac:dyDescent="0.25">
      <c r="A785" t="s">
        <v>832</v>
      </c>
      <c r="B785">
        <v>25.61</v>
      </c>
      <c r="C785" s="6">
        <f t="shared" si="25"/>
        <v>-1.1700468018721599E-3</v>
      </c>
      <c r="D785" s="6">
        <f t="shared" si="24"/>
        <v>-1.1707318410355009E-3</v>
      </c>
    </row>
    <row r="786" spans="1:4" x14ac:dyDescent="0.25">
      <c r="A786" t="s">
        <v>833</v>
      </c>
      <c r="B786">
        <v>25.64</v>
      </c>
      <c r="C786" s="6">
        <f t="shared" si="25"/>
        <v>-3.3182503770739058E-2</v>
      </c>
      <c r="D786" s="6">
        <f t="shared" si="24"/>
        <v>-3.3745533265192459E-2</v>
      </c>
    </row>
    <row r="787" spans="1:4" x14ac:dyDescent="0.25">
      <c r="A787" t="s">
        <v>834</v>
      </c>
      <c r="B787">
        <v>26.52</v>
      </c>
      <c r="C787" s="6">
        <f t="shared" si="25"/>
        <v>-1.4858841010401247E-2</v>
      </c>
      <c r="D787" s="6">
        <f t="shared" si="24"/>
        <v>-1.4970339458865356E-2</v>
      </c>
    </row>
    <row r="788" spans="1:4" x14ac:dyDescent="0.25">
      <c r="A788" t="s">
        <v>835</v>
      </c>
      <c r="B788">
        <v>26.92</v>
      </c>
      <c r="C788" s="6">
        <f t="shared" si="25"/>
        <v>-2.8158844765342916E-2</v>
      </c>
      <c r="D788" s="6">
        <f t="shared" si="24"/>
        <v>-2.8562908416765714E-2</v>
      </c>
    </row>
    <row r="789" spans="1:4" x14ac:dyDescent="0.25">
      <c r="A789" t="s">
        <v>836</v>
      </c>
      <c r="B789">
        <v>27.7</v>
      </c>
      <c r="C789" s="6">
        <f t="shared" si="25"/>
        <v>-2.7729027729027744E-2</v>
      </c>
      <c r="D789" s="6">
        <f t="shared" si="24"/>
        <v>-2.8120735316524124E-2</v>
      </c>
    </row>
    <row r="790" spans="1:4" x14ac:dyDescent="0.25">
      <c r="A790" t="s">
        <v>837</v>
      </c>
      <c r="B790">
        <v>28.49</v>
      </c>
      <c r="C790" s="6">
        <f t="shared" si="25"/>
        <v>7.0696359137503162E-3</v>
      </c>
      <c r="D790" s="6">
        <f t="shared" si="24"/>
        <v>7.0447631963409824E-3</v>
      </c>
    </row>
    <row r="791" spans="1:4" x14ac:dyDescent="0.25">
      <c r="A791" t="s">
        <v>838</v>
      </c>
      <c r="B791">
        <v>28.29</v>
      </c>
      <c r="C791" s="6">
        <f t="shared" si="25"/>
        <v>-1.7642907551164155E-3</v>
      </c>
      <c r="D791" s="6">
        <f t="shared" si="24"/>
        <v>-1.7658489490585321E-3</v>
      </c>
    </row>
    <row r="792" spans="1:4" x14ac:dyDescent="0.25">
      <c r="A792" t="s">
        <v>839</v>
      </c>
      <c r="B792">
        <v>28.34</v>
      </c>
      <c r="C792" s="6">
        <f t="shared" si="25"/>
        <v>-3.6709721278042173E-2</v>
      </c>
      <c r="D792" s="6">
        <f t="shared" si="24"/>
        <v>-3.7400480910757108E-2</v>
      </c>
    </row>
    <row r="793" spans="1:4" x14ac:dyDescent="0.25">
      <c r="A793" t="s">
        <v>840</v>
      </c>
      <c r="B793">
        <v>29.42</v>
      </c>
      <c r="C793" s="6">
        <f t="shared" si="25"/>
        <v>-4.3873903152421123E-2</v>
      </c>
      <c r="D793" s="6">
        <f t="shared" si="24"/>
        <v>-4.4865474160658933E-2</v>
      </c>
    </row>
    <row r="794" spans="1:4" x14ac:dyDescent="0.25">
      <c r="A794" t="s">
        <v>841</v>
      </c>
      <c r="B794">
        <v>30.77</v>
      </c>
      <c r="C794" s="6">
        <f t="shared" si="25"/>
        <v>2.4983344437041977E-2</v>
      </c>
      <c r="D794" s="6">
        <f t="shared" si="24"/>
        <v>2.4676363128634568E-2</v>
      </c>
    </row>
    <row r="795" spans="1:4" x14ac:dyDescent="0.25">
      <c r="A795" t="s">
        <v>842</v>
      </c>
      <c r="B795">
        <v>30.02</v>
      </c>
      <c r="C795" s="6">
        <f t="shared" si="25"/>
        <v>4.2361111111111072E-2</v>
      </c>
      <c r="D795" s="6">
        <f t="shared" si="24"/>
        <v>4.1488439063415615E-2</v>
      </c>
    </row>
    <row r="796" spans="1:4" x14ac:dyDescent="0.25">
      <c r="A796" t="s">
        <v>843</v>
      </c>
      <c r="B796">
        <v>28.8</v>
      </c>
      <c r="C796" s="6">
        <f t="shared" si="25"/>
        <v>2.0876826722338038E-3</v>
      </c>
      <c r="D796" s="6">
        <f t="shared" si="24"/>
        <v>2.0855064910213611E-3</v>
      </c>
    </row>
    <row r="797" spans="1:4" x14ac:dyDescent="0.25">
      <c r="A797" t="s">
        <v>844</v>
      </c>
      <c r="B797">
        <v>28.74</v>
      </c>
      <c r="C797" s="6">
        <f t="shared" si="25"/>
        <v>1.0903974674639327E-2</v>
      </c>
      <c r="D797" s="6">
        <f t="shared" si="24"/>
        <v>1.0844954987970317E-2</v>
      </c>
    </row>
    <row r="798" spans="1:4" x14ac:dyDescent="0.25">
      <c r="A798" t="s">
        <v>845</v>
      </c>
      <c r="B798">
        <v>28.43</v>
      </c>
      <c r="C798" s="6">
        <f t="shared" si="25"/>
        <v>1.0563380281689572E-3</v>
      </c>
      <c r="D798" s="6">
        <f t="shared" si="24"/>
        <v>1.0557804957480018E-3</v>
      </c>
    </row>
    <row r="799" spans="1:4" x14ac:dyDescent="0.25">
      <c r="A799" t="s">
        <v>846</v>
      </c>
      <c r="B799">
        <v>28.4</v>
      </c>
      <c r="C799" s="6">
        <f t="shared" si="25"/>
        <v>-2.5394646533973941E-2</v>
      </c>
      <c r="D799" s="6">
        <f t="shared" si="24"/>
        <v>-2.572265559989844E-2</v>
      </c>
    </row>
    <row r="800" spans="1:4" x14ac:dyDescent="0.25">
      <c r="A800" t="s">
        <v>847</v>
      </c>
      <c r="B800">
        <v>29.14</v>
      </c>
      <c r="C800" s="6">
        <f t="shared" si="25"/>
        <v>-3.9235080778107445E-2</v>
      </c>
      <c r="D800" s="6">
        <f t="shared" si="24"/>
        <v>-4.0025520933430925E-2</v>
      </c>
    </row>
    <row r="801" spans="1:4" x14ac:dyDescent="0.25">
      <c r="A801" t="s">
        <v>848</v>
      </c>
      <c r="B801">
        <v>30.33</v>
      </c>
      <c r="C801" s="6">
        <f t="shared" si="25"/>
        <v>1.5060240963855387E-2</v>
      </c>
      <c r="D801" s="6">
        <f t="shared" si="24"/>
        <v>1.4947961435873148E-2</v>
      </c>
    </row>
    <row r="802" spans="1:4" x14ac:dyDescent="0.25">
      <c r="A802" t="s">
        <v>849</v>
      </c>
      <c r="B802">
        <v>29.88</v>
      </c>
      <c r="C802" s="6">
        <f t="shared" si="25"/>
        <v>-1.0268300761841709E-2</v>
      </c>
      <c r="D802" s="6">
        <f t="shared" si="24"/>
        <v>-1.0321383454130917E-2</v>
      </c>
    </row>
    <row r="803" spans="1:4" x14ac:dyDescent="0.25">
      <c r="A803" t="s">
        <v>850</v>
      </c>
      <c r="B803">
        <v>30.19</v>
      </c>
      <c r="C803" s="6">
        <f t="shared" si="25"/>
        <v>9.9469496021220571E-4</v>
      </c>
      <c r="D803" s="6">
        <f t="shared" si="24"/>
        <v>9.9420057899211466E-4</v>
      </c>
    </row>
    <row r="804" spans="1:4" x14ac:dyDescent="0.25">
      <c r="A804" t="s">
        <v>851</v>
      </c>
      <c r="B804">
        <v>30.16</v>
      </c>
      <c r="C804" s="6">
        <f t="shared" si="25"/>
        <v>-7.2416063199473024E-3</v>
      </c>
      <c r="D804" s="6">
        <f t="shared" si="24"/>
        <v>-7.2679540278714422E-3</v>
      </c>
    </row>
    <row r="805" spans="1:4" x14ac:dyDescent="0.25">
      <c r="A805" t="s">
        <v>852</v>
      </c>
      <c r="B805">
        <v>30.38</v>
      </c>
      <c r="C805" s="6">
        <f t="shared" si="25"/>
        <v>-9.778357235984414E-3</v>
      </c>
      <c r="D805" s="6">
        <f t="shared" si="24"/>
        <v>-9.8264793314286995E-3</v>
      </c>
    </row>
    <row r="806" spans="1:4" x14ac:dyDescent="0.25">
      <c r="A806" t="s">
        <v>853</v>
      </c>
      <c r="B806">
        <v>30.68</v>
      </c>
      <c r="C806" s="6">
        <f t="shared" si="25"/>
        <v>1.4550264550264647E-2</v>
      </c>
      <c r="D806" s="6">
        <f t="shared" si="24"/>
        <v>1.4445425187723283E-2</v>
      </c>
    </row>
    <row r="807" spans="1:4" x14ac:dyDescent="0.25">
      <c r="A807" t="s">
        <v>854</v>
      </c>
      <c r="B807">
        <v>30.24</v>
      </c>
      <c r="C807" s="6">
        <f t="shared" si="25"/>
        <v>-1.5304461087593646E-2</v>
      </c>
      <c r="D807" s="6">
        <f t="shared" si="24"/>
        <v>-1.5422783141398779E-2</v>
      </c>
    </row>
    <row r="808" spans="1:4" x14ac:dyDescent="0.25">
      <c r="A808" t="s">
        <v>855</v>
      </c>
      <c r="B808">
        <v>30.71</v>
      </c>
      <c r="C808" s="6">
        <f t="shared" si="25"/>
        <v>-1.2540192926045024E-2</v>
      </c>
      <c r="D808" s="6">
        <f t="shared" si="24"/>
        <v>-1.2619484732457458E-2</v>
      </c>
    </row>
    <row r="809" spans="1:4" x14ac:dyDescent="0.25">
      <c r="A809" t="s">
        <v>856</v>
      </c>
      <c r="B809">
        <v>31.1</v>
      </c>
      <c r="C809" s="6">
        <f t="shared" si="25"/>
        <v>-1.6756244072083426E-2</v>
      </c>
      <c r="D809" s="6">
        <f t="shared" si="24"/>
        <v>-1.6898218132368983E-2</v>
      </c>
    </row>
    <row r="810" spans="1:4" x14ac:dyDescent="0.25">
      <c r="A810" t="s">
        <v>857</v>
      </c>
      <c r="B810">
        <v>31.63</v>
      </c>
      <c r="C810" s="6">
        <f t="shared" si="25"/>
        <v>4.011838211114771E-2</v>
      </c>
      <c r="D810" s="6">
        <f t="shared" si="24"/>
        <v>3.9334535628284255E-2</v>
      </c>
    </row>
    <row r="811" spans="1:4" x14ac:dyDescent="0.25">
      <c r="A811" t="s">
        <v>858</v>
      </c>
      <c r="B811">
        <v>30.41</v>
      </c>
      <c r="C811" s="6">
        <f t="shared" si="25"/>
        <v>2.736486486486478E-2</v>
      </c>
      <c r="D811" s="6">
        <f t="shared" si="24"/>
        <v>2.6997140359258508E-2</v>
      </c>
    </row>
    <row r="812" spans="1:4" x14ac:dyDescent="0.25">
      <c r="A812" t="s">
        <v>859</v>
      </c>
      <c r="B812">
        <v>29.6</v>
      </c>
      <c r="C812" s="6">
        <f t="shared" si="25"/>
        <v>2.9923451635351483E-2</v>
      </c>
      <c r="D812" s="6">
        <f t="shared" si="24"/>
        <v>2.9484480679135876E-2</v>
      </c>
    </row>
    <row r="813" spans="1:4" x14ac:dyDescent="0.25">
      <c r="A813" t="s">
        <v>860</v>
      </c>
      <c r="B813">
        <v>28.74</v>
      </c>
      <c r="C813" s="6">
        <f t="shared" si="25"/>
        <v>-2.9054054054054146E-2</v>
      </c>
      <c r="D813" s="6">
        <f t="shared" si="24"/>
        <v>-2.9484480679135915E-2</v>
      </c>
    </row>
    <row r="814" spans="1:4" x14ac:dyDescent="0.25">
      <c r="A814" t="s">
        <v>861</v>
      </c>
      <c r="B814">
        <v>29.6</v>
      </c>
      <c r="C814" s="6">
        <f t="shared" si="25"/>
        <v>-6.7521944631998565E-4</v>
      </c>
      <c r="D814" s="6">
        <f t="shared" si="24"/>
        <v>-6.7544750963796684E-4</v>
      </c>
    </row>
    <row r="815" spans="1:4" x14ac:dyDescent="0.25">
      <c r="A815" t="s">
        <v>862</v>
      </c>
      <c r="B815">
        <v>29.62</v>
      </c>
      <c r="C815" s="6">
        <f t="shared" si="25"/>
        <v>-6.0402684563758413E-3</v>
      </c>
      <c r="D815" s="6">
        <f t="shared" si="24"/>
        <v>-6.0585846717060446E-3</v>
      </c>
    </row>
    <row r="816" spans="1:4" x14ac:dyDescent="0.25">
      <c r="A816" t="s">
        <v>863</v>
      </c>
      <c r="B816">
        <v>29.8</v>
      </c>
      <c r="C816" s="6">
        <f t="shared" si="25"/>
        <v>7.7781535339871422E-3</v>
      </c>
      <c r="D816" s="6">
        <f t="shared" si="24"/>
        <v>7.74805964697291E-3</v>
      </c>
    </row>
    <row r="817" spans="1:4" x14ac:dyDescent="0.25">
      <c r="A817" t="s">
        <v>864</v>
      </c>
      <c r="B817">
        <v>29.57</v>
      </c>
      <c r="C817" s="6">
        <f t="shared" si="25"/>
        <v>6.8096697310180421E-3</v>
      </c>
      <c r="D817" s="6">
        <f t="shared" si="24"/>
        <v>6.78658865385714E-3</v>
      </c>
    </row>
    <row r="818" spans="1:4" x14ac:dyDescent="0.25">
      <c r="A818" t="s">
        <v>865</v>
      </c>
      <c r="B818">
        <v>29.37</v>
      </c>
      <c r="C818" s="6">
        <f t="shared" si="25"/>
        <v>-4.2386697098141579E-2</v>
      </c>
      <c r="D818" s="6">
        <f t="shared" si="24"/>
        <v>-4.3311232915631534E-2</v>
      </c>
    </row>
    <row r="819" spans="1:4" x14ac:dyDescent="0.25">
      <c r="A819" t="s">
        <v>866</v>
      </c>
      <c r="B819">
        <v>30.67</v>
      </c>
      <c r="C819" s="6">
        <f t="shared" si="25"/>
        <v>2.5409562019391485E-2</v>
      </c>
      <c r="D819" s="6">
        <f t="shared" ref="D819:D882" si="26">LN(B819/B820)</f>
        <v>2.509210548430349E-2</v>
      </c>
    </row>
    <row r="820" spans="1:4" x14ac:dyDescent="0.25">
      <c r="A820" t="s">
        <v>867</v>
      </c>
      <c r="B820">
        <v>29.91</v>
      </c>
      <c r="C820" s="6">
        <f t="shared" ref="C820:C883" si="27">(B820/B821)-1</f>
        <v>0</v>
      </c>
      <c r="D820" s="6">
        <f t="shared" si="26"/>
        <v>0</v>
      </c>
    </row>
    <row r="821" spans="1:4" x14ac:dyDescent="0.25">
      <c r="A821" t="s">
        <v>868</v>
      </c>
      <c r="B821">
        <v>29.91</v>
      </c>
      <c r="C821" s="6">
        <f t="shared" si="27"/>
        <v>9.7906819716406801E-3</v>
      </c>
      <c r="D821" s="6">
        <f t="shared" si="26"/>
        <v>9.7430638022038274E-3</v>
      </c>
    </row>
    <row r="822" spans="1:4" x14ac:dyDescent="0.25">
      <c r="A822" t="s">
        <v>869</v>
      </c>
      <c r="B822">
        <v>29.62</v>
      </c>
      <c r="C822" s="6">
        <f t="shared" si="27"/>
        <v>-3.8311688311688297E-2</v>
      </c>
      <c r="D822" s="6">
        <f t="shared" si="26"/>
        <v>-3.9064881139876044E-2</v>
      </c>
    </row>
    <row r="823" spans="1:4" x14ac:dyDescent="0.25">
      <c r="A823" t="s">
        <v>870</v>
      </c>
      <c r="B823">
        <v>30.8</v>
      </c>
      <c r="C823" s="6">
        <f t="shared" si="27"/>
        <v>9.1743119266054496E-3</v>
      </c>
      <c r="D823" s="6">
        <f t="shared" si="26"/>
        <v>9.1324835632724723E-3</v>
      </c>
    </row>
    <row r="824" spans="1:4" x14ac:dyDescent="0.25">
      <c r="A824" t="s">
        <v>871</v>
      </c>
      <c r="B824">
        <v>30.52</v>
      </c>
      <c r="C824" s="6">
        <f t="shared" si="27"/>
        <v>-1.3089005235601414E-3</v>
      </c>
      <c r="D824" s="6">
        <f t="shared" si="26"/>
        <v>-1.3097578820634181E-3</v>
      </c>
    </row>
    <row r="825" spans="1:4" x14ac:dyDescent="0.25">
      <c r="A825" t="s">
        <v>872</v>
      </c>
      <c r="B825">
        <v>30.56</v>
      </c>
      <c r="C825" s="6">
        <f t="shared" si="27"/>
        <v>-2.6109660574412663E-3</v>
      </c>
      <c r="D825" s="6">
        <f t="shared" si="26"/>
        <v>-2.6143805740708207E-3</v>
      </c>
    </row>
    <row r="826" spans="1:4" x14ac:dyDescent="0.25">
      <c r="A826" t="s">
        <v>873</v>
      </c>
      <c r="B826">
        <v>30.64</v>
      </c>
      <c r="C826" s="6">
        <f t="shared" si="27"/>
        <v>4.9196457855034126E-3</v>
      </c>
      <c r="D826" s="6">
        <f t="shared" si="26"/>
        <v>4.9075838722271057E-3</v>
      </c>
    </row>
    <row r="827" spans="1:4" x14ac:dyDescent="0.25">
      <c r="A827" t="s">
        <v>874</v>
      </c>
      <c r="B827">
        <v>30.49</v>
      </c>
      <c r="C827" s="6">
        <f t="shared" si="27"/>
        <v>-8.7776332899871523E-3</v>
      </c>
      <c r="D827" s="6">
        <f t="shared" si="26"/>
        <v>-8.8163836372799689E-3</v>
      </c>
    </row>
    <row r="828" spans="1:4" x14ac:dyDescent="0.25">
      <c r="A828" t="s">
        <v>875</v>
      </c>
      <c r="B828">
        <v>30.76</v>
      </c>
      <c r="C828" s="6">
        <f t="shared" si="27"/>
        <v>-1.2836970474967901E-2</v>
      </c>
      <c r="D828" s="6">
        <f t="shared" si="26"/>
        <v>-1.2920076365104283E-2</v>
      </c>
    </row>
    <row r="829" spans="1:4" x14ac:dyDescent="0.25">
      <c r="A829" t="s">
        <v>876</v>
      </c>
      <c r="B829">
        <v>31.16</v>
      </c>
      <c r="C829" s="6">
        <f t="shared" si="27"/>
        <v>-1.6724518775639075E-2</v>
      </c>
      <c r="D829" s="6">
        <f t="shared" si="26"/>
        <v>-1.6865952700281937E-2</v>
      </c>
    </row>
    <row r="830" spans="1:4" x14ac:dyDescent="0.25">
      <c r="A830" t="s">
        <v>877</v>
      </c>
      <c r="B830">
        <v>31.69</v>
      </c>
      <c r="C830" s="6">
        <f t="shared" si="27"/>
        <v>4.4374009508716394E-3</v>
      </c>
      <c r="D830" s="6">
        <f t="shared" si="26"/>
        <v>4.4275847156072211E-3</v>
      </c>
    </row>
    <row r="831" spans="1:4" x14ac:dyDescent="0.25">
      <c r="A831" t="s">
        <v>878</v>
      </c>
      <c r="B831">
        <v>31.55</v>
      </c>
      <c r="C831" s="6">
        <f t="shared" si="27"/>
        <v>-6.6120906801008239E-3</v>
      </c>
      <c r="D831" s="6">
        <f t="shared" si="26"/>
        <v>-6.634047391712878E-3</v>
      </c>
    </row>
    <row r="832" spans="1:4" x14ac:dyDescent="0.25">
      <c r="A832" t="s">
        <v>879</v>
      </c>
      <c r="B832">
        <v>31.76</v>
      </c>
      <c r="C832" s="6">
        <f t="shared" si="27"/>
        <v>1.2109623964308591E-2</v>
      </c>
      <c r="D832" s="6">
        <f t="shared" si="26"/>
        <v>1.2036889074048552E-2</v>
      </c>
    </row>
    <row r="833" spans="1:4" x14ac:dyDescent="0.25">
      <c r="A833" t="s">
        <v>880</v>
      </c>
      <c r="B833">
        <v>31.38</v>
      </c>
      <c r="C833" s="6">
        <f t="shared" si="27"/>
        <v>1.2584704743465736E-2</v>
      </c>
      <c r="D833" s="6">
        <f t="shared" si="26"/>
        <v>1.2506175505229764E-2</v>
      </c>
    </row>
    <row r="834" spans="1:4" x14ac:dyDescent="0.25">
      <c r="A834" t="s">
        <v>881</v>
      </c>
      <c r="B834">
        <v>30.99</v>
      </c>
      <c r="C834" s="6">
        <f t="shared" si="27"/>
        <v>-1.274291175533615E-2</v>
      </c>
      <c r="D834" s="6">
        <f t="shared" si="26"/>
        <v>-1.2824799054205371E-2</v>
      </c>
    </row>
    <row r="835" spans="1:4" x14ac:dyDescent="0.25">
      <c r="A835" t="s">
        <v>882</v>
      </c>
      <c r="B835">
        <v>31.39</v>
      </c>
      <c r="C835" s="6">
        <f t="shared" si="27"/>
        <v>5.445227418321652E-3</v>
      </c>
      <c r="D835" s="6">
        <f t="shared" si="26"/>
        <v>5.4304557665762424E-3</v>
      </c>
    </row>
    <row r="836" spans="1:4" x14ac:dyDescent="0.25">
      <c r="A836" t="s">
        <v>883</v>
      </c>
      <c r="B836">
        <v>31.22</v>
      </c>
      <c r="C836" s="6">
        <f t="shared" si="27"/>
        <v>6.7720090293452717E-3</v>
      </c>
      <c r="D836" s="6">
        <f t="shared" si="26"/>
        <v>6.7491819749283298E-3</v>
      </c>
    </row>
    <row r="837" spans="1:4" x14ac:dyDescent="0.25">
      <c r="A837" t="s">
        <v>884</v>
      </c>
      <c r="B837">
        <v>31.01</v>
      </c>
      <c r="C837" s="6">
        <f t="shared" si="27"/>
        <v>-3.2144005143039944E-3</v>
      </c>
      <c r="D837" s="6">
        <f t="shared" si="26"/>
        <v>-3.2195777971879892E-3</v>
      </c>
    </row>
    <row r="838" spans="1:4" x14ac:dyDescent="0.25">
      <c r="A838" t="s">
        <v>885</v>
      </c>
      <c r="B838">
        <v>31.11</v>
      </c>
      <c r="C838" s="6">
        <f t="shared" si="27"/>
        <v>5.494505494505475E-3</v>
      </c>
      <c r="D838" s="6">
        <f t="shared" si="26"/>
        <v>5.4794657646255705E-3</v>
      </c>
    </row>
    <row r="839" spans="1:4" x14ac:dyDescent="0.25">
      <c r="A839" t="s">
        <v>886</v>
      </c>
      <c r="B839">
        <v>30.94</v>
      </c>
      <c r="C839" s="6">
        <f t="shared" si="27"/>
        <v>-7.3788899582932777E-3</v>
      </c>
      <c r="D839" s="6">
        <f t="shared" si="26"/>
        <v>-7.4062486343257003E-3</v>
      </c>
    </row>
    <row r="840" spans="1:4" x14ac:dyDescent="0.25">
      <c r="A840" t="s">
        <v>887</v>
      </c>
      <c r="B840">
        <v>31.17</v>
      </c>
      <c r="C840" s="6">
        <f t="shared" si="27"/>
        <v>9.6339113680166122E-4</v>
      </c>
      <c r="D840" s="6">
        <f t="shared" si="26"/>
        <v>9.6292737339356469E-4</v>
      </c>
    </row>
    <row r="841" spans="1:4" x14ac:dyDescent="0.25">
      <c r="A841" t="s">
        <v>888</v>
      </c>
      <c r="B841">
        <v>31.14</v>
      </c>
      <c r="C841" s="6">
        <f t="shared" si="27"/>
        <v>-4.7938638542665002E-3</v>
      </c>
      <c r="D841" s="6">
        <f t="shared" si="26"/>
        <v>-4.8053912749384592E-3</v>
      </c>
    </row>
    <row r="842" spans="1:4" x14ac:dyDescent="0.25">
      <c r="A842" t="s">
        <v>889</v>
      </c>
      <c r="B842">
        <v>31.29</v>
      </c>
      <c r="C842" s="6">
        <f t="shared" si="27"/>
        <v>4.81695568400764E-3</v>
      </c>
      <c r="D842" s="6">
        <f t="shared" si="26"/>
        <v>4.8053912749384314E-3</v>
      </c>
    </row>
    <row r="843" spans="1:4" x14ac:dyDescent="0.25">
      <c r="A843" t="s">
        <v>890</v>
      </c>
      <c r="B843">
        <v>31.14</v>
      </c>
      <c r="C843" s="6">
        <f t="shared" si="27"/>
        <v>1.2353706111833507E-2</v>
      </c>
      <c r="D843" s="6">
        <f t="shared" si="26"/>
        <v>1.2278021768409003E-2</v>
      </c>
    </row>
    <row r="844" spans="1:4" x14ac:dyDescent="0.25">
      <c r="A844" t="s">
        <v>891</v>
      </c>
      <c r="B844">
        <v>30.76</v>
      </c>
      <c r="C844" s="6">
        <f t="shared" si="27"/>
        <v>7.5335735342285659E-3</v>
      </c>
      <c r="D844" s="6">
        <f t="shared" si="26"/>
        <v>7.5053378906566872E-3</v>
      </c>
    </row>
    <row r="845" spans="1:4" x14ac:dyDescent="0.25">
      <c r="A845" t="s">
        <v>892</v>
      </c>
      <c r="B845">
        <v>30.53</v>
      </c>
      <c r="C845" s="6">
        <f t="shared" si="27"/>
        <v>2.9679595278246262E-2</v>
      </c>
      <c r="D845" s="6">
        <f t="shared" si="26"/>
        <v>2.9247681303052074E-2</v>
      </c>
    </row>
    <row r="846" spans="1:4" x14ac:dyDescent="0.25">
      <c r="A846" t="s">
        <v>893</v>
      </c>
      <c r="B846">
        <v>29.65</v>
      </c>
      <c r="C846" s="6">
        <f t="shared" si="27"/>
        <v>8.1604896293776541E-3</v>
      </c>
      <c r="D846" s="6">
        <f t="shared" si="26"/>
        <v>8.1273728778306926E-3</v>
      </c>
    </row>
    <row r="847" spans="1:4" x14ac:dyDescent="0.25">
      <c r="A847" t="s">
        <v>894</v>
      </c>
      <c r="B847">
        <v>29.41</v>
      </c>
      <c r="C847" s="6">
        <f t="shared" si="27"/>
        <v>-2.0319786808794094E-2</v>
      </c>
      <c r="D847" s="6">
        <f t="shared" si="26"/>
        <v>-2.0529073639412192E-2</v>
      </c>
    </row>
    <row r="848" spans="1:4" x14ac:dyDescent="0.25">
      <c r="A848" t="s">
        <v>895</v>
      </c>
      <c r="B848">
        <v>30.02</v>
      </c>
      <c r="C848" s="6">
        <f t="shared" si="27"/>
        <v>-1.6060308095706355E-2</v>
      </c>
      <c r="D848" s="6">
        <f t="shared" si="26"/>
        <v>-1.6190672523262409E-2</v>
      </c>
    </row>
    <row r="849" spans="1:4" x14ac:dyDescent="0.25">
      <c r="A849" t="s">
        <v>896</v>
      </c>
      <c r="B849">
        <v>30.51</v>
      </c>
      <c r="C849" s="6">
        <f t="shared" si="27"/>
        <v>6.5595277140051422E-4</v>
      </c>
      <c r="D849" s="6">
        <f t="shared" si="26"/>
        <v>6.5573772841491648E-4</v>
      </c>
    </row>
    <row r="850" spans="1:4" x14ac:dyDescent="0.25">
      <c r="A850" t="s">
        <v>897</v>
      </c>
      <c r="B850">
        <v>30.49</v>
      </c>
      <c r="C850" s="6">
        <f t="shared" si="27"/>
        <v>6.5638332786344122E-4</v>
      </c>
      <c r="D850" s="6">
        <f t="shared" si="26"/>
        <v>6.5616800254570632E-4</v>
      </c>
    </row>
    <row r="851" spans="1:4" x14ac:dyDescent="0.25">
      <c r="A851" t="s">
        <v>898</v>
      </c>
      <c r="B851">
        <v>30.47</v>
      </c>
      <c r="C851" s="6">
        <f t="shared" si="27"/>
        <v>-6.5210303227910549E-3</v>
      </c>
      <c r="D851" s="6">
        <f t="shared" si="26"/>
        <v>-6.5423851285425442E-3</v>
      </c>
    </row>
    <row r="852" spans="1:4" x14ac:dyDescent="0.25">
      <c r="A852" t="s">
        <v>899</v>
      </c>
      <c r="B852">
        <v>30.67</v>
      </c>
      <c r="C852" s="6">
        <f t="shared" si="27"/>
        <v>-1.8873960332693507E-2</v>
      </c>
      <c r="D852" s="6">
        <f t="shared" si="26"/>
        <v>-1.9054346867170353E-2</v>
      </c>
    </row>
    <row r="853" spans="1:4" x14ac:dyDescent="0.25">
      <c r="A853" t="s">
        <v>900</v>
      </c>
      <c r="B853">
        <v>31.26</v>
      </c>
      <c r="C853" s="6">
        <f t="shared" si="27"/>
        <v>-1.2010113780025256E-2</v>
      </c>
      <c r="D853" s="6">
        <f t="shared" si="26"/>
        <v>-1.2082817906122544E-2</v>
      </c>
    </row>
    <row r="854" spans="1:4" x14ac:dyDescent="0.25">
      <c r="A854" t="s">
        <v>901</v>
      </c>
      <c r="B854">
        <v>31.64</v>
      </c>
      <c r="C854" s="6">
        <f t="shared" si="27"/>
        <v>-6.59340659340657E-3</v>
      </c>
      <c r="D854" s="6">
        <f t="shared" si="26"/>
        <v>-6.6152391187192048E-3</v>
      </c>
    </row>
    <row r="855" spans="1:4" x14ac:dyDescent="0.25">
      <c r="A855" t="s">
        <v>902</v>
      </c>
      <c r="B855">
        <v>31.85</v>
      </c>
      <c r="C855" s="6">
        <f t="shared" si="27"/>
        <v>-4.0650406504064707E-3</v>
      </c>
      <c r="D855" s="6">
        <f t="shared" si="26"/>
        <v>-4.0733253876357864E-3</v>
      </c>
    </row>
    <row r="856" spans="1:4" x14ac:dyDescent="0.25">
      <c r="A856" t="s">
        <v>903</v>
      </c>
      <c r="B856">
        <v>31.98</v>
      </c>
      <c r="C856" s="6">
        <f t="shared" si="27"/>
        <v>-8.9866749302758286E-3</v>
      </c>
      <c r="D856" s="6">
        <f t="shared" si="26"/>
        <v>-9.0272986580623143E-3</v>
      </c>
    </row>
    <row r="857" spans="1:4" x14ac:dyDescent="0.25">
      <c r="A857" t="s">
        <v>904</v>
      </c>
      <c r="B857">
        <v>32.270000000000003</v>
      </c>
      <c r="C857" s="6">
        <f t="shared" si="27"/>
        <v>-2.0934466019417397E-2</v>
      </c>
      <c r="D857" s="6">
        <f t="shared" si="26"/>
        <v>-2.1156698977400416E-2</v>
      </c>
    </row>
    <row r="858" spans="1:4" x14ac:dyDescent="0.25">
      <c r="A858" t="s">
        <v>905</v>
      </c>
      <c r="B858">
        <v>32.96</v>
      </c>
      <c r="C858" s="6">
        <f t="shared" si="27"/>
        <v>8.2594065463446054E-3</v>
      </c>
      <c r="D858" s="6">
        <f t="shared" si="26"/>
        <v>8.2254843051518568E-3</v>
      </c>
    </row>
    <row r="859" spans="1:4" x14ac:dyDescent="0.25">
      <c r="A859" t="s">
        <v>906</v>
      </c>
      <c r="B859">
        <v>32.69</v>
      </c>
      <c r="C859" s="6">
        <f t="shared" si="27"/>
        <v>-2.9106029106029219E-2</v>
      </c>
      <c r="D859" s="6">
        <f t="shared" si="26"/>
        <v>-2.9538012436863985E-2</v>
      </c>
    </row>
    <row r="860" spans="1:4" x14ac:dyDescent="0.25">
      <c r="A860" t="s">
        <v>907</v>
      </c>
      <c r="B860">
        <v>33.67</v>
      </c>
      <c r="C860" s="6">
        <f t="shared" si="27"/>
        <v>8.3857442348007627E-3</v>
      </c>
      <c r="D860" s="6">
        <f t="shared" si="26"/>
        <v>8.3507792174198885E-3</v>
      </c>
    </row>
    <row r="861" spans="1:4" x14ac:dyDescent="0.25">
      <c r="A861" t="s">
        <v>908</v>
      </c>
      <c r="B861">
        <v>33.39</v>
      </c>
      <c r="C861" s="6">
        <f t="shared" si="27"/>
        <v>3.5991312441824519E-2</v>
      </c>
      <c r="D861" s="6">
        <f t="shared" si="26"/>
        <v>3.5358758128216802E-2</v>
      </c>
    </row>
    <row r="862" spans="1:4" x14ac:dyDescent="0.25">
      <c r="A862" t="s">
        <v>909</v>
      </c>
      <c r="B862">
        <v>32.229999999999997</v>
      </c>
      <c r="C862" s="6">
        <f t="shared" si="27"/>
        <v>2.676011468620576E-2</v>
      </c>
      <c r="D862" s="6">
        <f t="shared" si="26"/>
        <v>2.6408324973484262E-2</v>
      </c>
    </row>
    <row r="863" spans="1:4" x14ac:dyDescent="0.25">
      <c r="A863" t="s">
        <v>910</v>
      </c>
      <c r="B863">
        <v>31.39</v>
      </c>
      <c r="C863" s="6">
        <f t="shared" si="27"/>
        <v>-5.3865652724968127E-3</v>
      </c>
      <c r="D863" s="6">
        <f t="shared" si="26"/>
        <v>-5.4011251238112899E-3</v>
      </c>
    </row>
    <row r="864" spans="1:4" x14ac:dyDescent="0.25">
      <c r="A864" t="s">
        <v>911</v>
      </c>
      <c r="B864">
        <v>31.56</v>
      </c>
      <c r="C864" s="6">
        <f t="shared" si="27"/>
        <v>-2.5284450063212116E-3</v>
      </c>
      <c r="D864" s="6">
        <f t="shared" si="26"/>
        <v>-2.5316469217797305E-3</v>
      </c>
    </row>
    <row r="865" spans="1:4" x14ac:dyDescent="0.25">
      <c r="A865" t="s">
        <v>912</v>
      </c>
      <c r="B865">
        <v>31.64</v>
      </c>
      <c r="C865" s="6">
        <f t="shared" si="27"/>
        <v>-3.1595576619269927E-4</v>
      </c>
      <c r="D865" s="6">
        <f t="shared" si="26"/>
        <v>-3.1600569073203549E-4</v>
      </c>
    </row>
    <row r="866" spans="1:4" x14ac:dyDescent="0.25">
      <c r="A866" t="s">
        <v>913</v>
      </c>
      <c r="B866">
        <v>31.65</v>
      </c>
      <c r="C866" s="6">
        <f t="shared" si="27"/>
        <v>1.0213852537503953E-2</v>
      </c>
      <c r="D866" s="6">
        <f t="shared" si="26"/>
        <v>1.0162043626084794E-2</v>
      </c>
    </row>
    <row r="867" spans="1:4" x14ac:dyDescent="0.25">
      <c r="A867" t="s">
        <v>914</v>
      </c>
      <c r="B867">
        <v>31.33</v>
      </c>
      <c r="C867" s="6">
        <f t="shared" si="27"/>
        <v>4.1666666666666519E-3</v>
      </c>
      <c r="D867" s="6">
        <f t="shared" si="26"/>
        <v>4.158010148663677E-3</v>
      </c>
    </row>
    <row r="868" spans="1:4" x14ac:dyDescent="0.25">
      <c r="A868" t="s">
        <v>915</v>
      </c>
      <c r="B868">
        <v>31.2</v>
      </c>
      <c r="C868" s="6">
        <f t="shared" si="27"/>
        <v>-2.4695217255392254E-2</v>
      </c>
      <c r="D868" s="6">
        <f t="shared" si="26"/>
        <v>-2.5005259145989906E-2</v>
      </c>
    </row>
    <row r="869" spans="1:4" x14ac:dyDescent="0.25">
      <c r="A869" t="s">
        <v>916</v>
      </c>
      <c r="B869">
        <v>31.99</v>
      </c>
      <c r="C869" s="6">
        <f t="shared" si="27"/>
        <v>1.25195618153362E-3</v>
      </c>
      <c r="D869" s="6">
        <f t="shared" si="26"/>
        <v>1.2511731378827993E-3</v>
      </c>
    </row>
    <row r="870" spans="1:4" x14ac:dyDescent="0.25">
      <c r="A870" t="s">
        <v>917</v>
      </c>
      <c r="B870">
        <v>31.95</v>
      </c>
      <c r="C870" s="6">
        <f t="shared" si="27"/>
        <v>8.5227272727272929E-3</v>
      </c>
      <c r="D870" s="6">
        <f t="shared" si="26"/>
        <v>8.4866138773187251E-3</v>
      </c>
    </row>
    <row r="871" spans="1:4" x14ac:dyDescent="0.25">
      <c r="A871" t="s">
        <v>918</v>
      </c>
      <c r="B871">
        <v>31.68</v>
      </c>
      <c r="C871" s="6">
        <f t="shared" si="27"/>
        <v>-6.309148264984632E-4</v>
      </c>
      <c r="D871" s="6">
        <f t="shared" si="26"/>
        <v>-6.3111393700986476E-4</v>
      </c>
    </row>
    <row r="872" spans="1:4" x14ac:dyDescent="0.25">
      <c r="A872" t="s">
        <v>919</v>
      </c>
      <c r="B872">
        <v>31.7</v>
      </c>
      <c r="C872" s="6">
        <f t="shared" si="27"/>
        <v>-1.9789734075448484E-2</v>
      </c>
      <c r="D872" s="6">
        <f t="shared" si="26"/>
        <v>-1.9988173265725981E-2</v>
      </c>
    </row>
    <row r="873" spans="1:4" x14ac:dyDescent="0.25">
      <c r="A873" t="s">
        <v>920</v>
      </c>
      <c r="B873">
        <v>32.340000000000003</v>
      </c>
      <c r="C873" s="6">
        <f t="shared" si="27"/>
        <v>3.4129692832767233E-3</v>
      </c>
      <c r="D873" s="6">
        <f t="shared" si="26"/>
        <v>3.407158321614577E-3</v>
      </c>
    </row>
    <row r="874" spans="1:4" x14ac:dyDescent="0.25">
      <c r="A874" t="s">
        <v>921</v>
      </c>
      <c r="B874">
        <v>32.229999999999997</v>
      </c>
      <c r="C874" s="6">
        <f t="shared" si="27"/>
        <v>2.1766169154229242E-3</v>
      </c>
      <c r="D874" s="6">
        <f t="shared" si="26"/>
        <v>2.1742515165808999E-3</v>
      </c>
    </row>
    <row r="875" spans="1:4" x14ac:dyDescent="0.25">
      <c r="A875" t="s">
        <v>922</v>
      </c>
      <c r="B875">
        <v>32.159999999999997</v>
      </c>
      <c r="C875" s="6">
        <f t="shared" si="27"/>
        <v>-5.8732612055643063E-3</v>
      </c>
      <c r="D875" s="6">
        <f t="shared" si="26"/>
        <v>-5.8905766361441155E-3</v>
      </c>
    </row>
    <row r="876" spans="1:4" x14ac:dyDescent="0.25">
      <c r="A876" t="s">
        <v>923</v>
      </c>
      <c r="B876">
        <v>32.35</v>
      </c>
      <c r="C876" s="6">
        <f t="shared" si="27"/>
        <v>2.4790827393863513E-3</v>
      </c>
      <c r="D876" s="6">
        <f t="shared" si="26"/>
        <v>2.4760148830390402E-3</v>
      </c>
    </row>
    <row r="877" spans="1:4" x14ac:dyDescent="0.25">
      <c r="A877" t="s">
        <v>924</v>
      </c>
      <c r="B877">
        <v>32.270000000000003</v>
      </c>
      <c r="C877" s="6">
        <f t="shared" si="27"/>
        <v>1.0648293141246601E-2</v>
      </c>
      <c r="D877" s="6">
        <f t="shared" si="26"/>
        <v>1.0591999337179929E-2</v>
      </c>
    </row>
    <row r="878" spans="1:4" x14ac:dyDescent="0.25">
      <c r="A878" t="s">
        <v>925</v>
      </c>
      <c r="B878">
        <v>31.93</v>
      </c>
      <c r="C878" s="6">
        <f t="shared" si="27"/>
        <v>-1.0842627013630812E-2</v>
      </c>
      <c r="D878" s="6">
        <f t="shared" si="26"/>
        <v>-1.0901836675057482E-2</v>
      </c>
    </row>
    <row r="879" spans="1:4" x14ac:dyDescent="0.25">
      <c r="A879" t="s">
        <v>926</v>
      </c>
      <c r="B879">
        <v>32.28</v>
      </c>
      <c r="C879" s="6">
        <f t="shared" si="27"/>
        <v>-8.903899293828621E-3</v>
      </c>
      <c r="D879" s="6">
        <f t="shared" si="26"/>
        <v>-8.9437758863940182E-3</v>
      </c>
    </row>
    <row r="880" spans="1:4" x14ac:dyDescent="0.25">
      <c r="A880" t="s">
        <v>927</v>
      </c>
      <c r="B880">
        <v>32.57</v>
      </c>
      <c r="C880" s="6">
        <f t="shared" si="27"/>
        <v>-1.6606280193236622E-2</v>
      </c>
      <c r="D880" s="6">
        <f t="shared" si="26"/>
        <v>-1.6745710228916726E-2</v>
      </c>
    </row>
    <row r="881" spans="1:4" x14ac:dyDescent="0.25">
      <c r="A881" t="s">
        <v>928</v>
      </c>
      <c r="B881">
        <v>33.119999999999997</v>
      </c>
      <c r="C881" s="6">
        <f t="shared" si="27"/>
        <v>1.511944360447437E-3</v>
      </c>
      <c r="D881" s="6">
        <f t="shared" si="26"/>
        <v>1.5108025233574302E-3</v>
      </c>
    </row>
    <row r="882" spans="1:4" x14ac:dyDescent="0.25">
      <c r="A882" t="s">
        <v>929</v>
      </c>
      <c r="B882">
        <v>33.07</v>
      </c>
      <c r="C882" s="6">
        <f t="shared" si="27"/>
        <v>-7.8007800780077741E-3</v>
      </c>
      <c r="D882" s="6">
        <f t="shared" si="26"/>
        <v>-7.831365325946877E-3</v>
      </c>
    </row>
    <row r="883" spans="1:4" x14ac:dyDescent="0.25">
      <c r="A883" t="s">
        <v>930</v>
      </c>
      <c r="B883">
        <v>33.33</v>
      </c>
      <c r="C883" s="6">
        <f t="shared" si="27"/>
        <v>6.0368246302444639E-3</v>
      </c>
      <c r="D883" s="6">
        <f t="shared" ref="D883:D946" si="28">LN(B883/B884)</f>
        <v>6.0186760078437974E-3</v>
      </c>
    </row>
    <row r="884" spans="1:4" x14ac:dyDescent="0.25">
      <c r="A884" t="s">
        <v>931</v>
      </c>
      <c r="B884">
        <v>33.130000000000003</v>
      </c>
      <c r="C884" s="6">
        <f t="shared" ref="C884:C947" si="29">(B884/B885)-1</f>
        <v>4.5482110369923223E-3</v>
      </c>
      <c r="D884" s="6">
        <f t="shared" si="28"/>
        <v>4.5378991803518547E-3</v>
      </c>
    </row>
    <row r="885" spans="1:4" x14ac:dyDescent="0.25">
      <c r="A885" t="s">
        <v>932</v>
      </c>
      <c r="B885">
        <v>32.979999999999997</v>
      </c>
      <c r="C885" s="6">
        <f t="shared" si="29"/>
        <v>-5.4282267792521433E-3</v>
      </c>
      <c r="D885" s="6">
        <f t="shared" si="28"/>
        <v>-5.4430131356414139E-3</v>
      </c>
    </row>
    <row r="886" spans="1:4" x14ac:dyDescent="0.25">
      <c r="A886" t="s">
        <v>933</v>
      </c>
      <c r="B886">
        <v>33.159999999999997</v>
      </c>
      <c r="C886" s="6">
        <f t="shared" si="29"/>
        <v>9.744214372715998E-3</v>
      </c>
      <c r="D886" s="6">
        <f t="shared" si="28"/>
        <v>9.6970456828665529E-3</v>
      </c>
    </row>
    <row r="887" spans="1:4" x14ac:dyDescent="0.25">
      <c r="A887" t="s">
        <v>934</v>
      </c>
      <c r="B887">
        <v>32.840000000000003</v>
      </c>
      <c r="C887" s="6">
        <f t="shared" si="29"/>
        <v>6.0938452163328272E-4</v>
      </c>
      <c r="D887" s="6">
        <f t="shared" si="28"/>
        <v>6.0919892228276614E-4</v>
      </c>
    </row>
    <row r="888" spans="1:4" x14ac:dyDescent="0.25">
      <c r="A888" t="s">
        <v>935</v>
      </c>
      <c r="B888">
        <v>32.82</v>
      </c>
      <c r="C888" s="6">
        <f t="shared" si="29"/>
        <v>1.831501831501825E-3</v>
      </c>
      <c r="D888" s="6">
        <f t="shared" si="28"/>
        <v>1.8298266770761572E-3</v>
      </c>
    </row>
    <row r="889" spans="1:4" x14ac:dyDescent="0.25">
      <c r="A889" t="s">
        <v>936</v>
      </c>
      <c r="B889">
        <v>32.76</v>
      </c>
      <c r="C889" s="6">
        <f t="shared" si="29"/>
        <v>-9.6735187424425995E-3</v>
      </c>
      <c r="D889" s="6">
        <f t="shared" si="28"/>
        <v>-9.7206111706219268E-3</v>
      </c>
    </row>
    <row r="890" spans="1:4" x14ac:dyDescent="0.25">
      <c r="A890" t="s">
        <v>937</v>
      </c>
      <c r="B890">
        <v>33.08</v>
      </c>
      <c r="C890" s="6">
        <f t="shared" si="29"/>
        <v>1.1930253900275245E-2</v>
      </c>
      <c r="D890" s="6">
        <f t="shared" si="28"/>
        <v>1.1859649419371249E-2</v>
      </c>
    </row>
    <row r="891" spans="1:4" x14ac:dyDescent="0.25">
      <c r="A891" t="s">
        <v>938</v>
      </c>
      <c r="B891">
        <v>32.69</v>
      </c>
      <c r="C891" s="6">
        <f t="shared" si="29"/>
        <v>-1.3876319758672762E-2</v>
      </c>
      <c r="D891" s="6">
        <f t="shared" si="28"/>
        <v>-1.3973495895752329E-2</v>
      </c>
    </row>
    <row r="892" spans="1:4" x14ac:dyDescent="0.25">
      <c r="A892" t="s">
        <v>939</v>
      </c>
      <c r="B892">
        <v>33.15</v>
      </c>
      <c r="C892" s="6">
        <f t="shared" si="29"/>
        <v>-3.3072760072158092E-3</v>
      </c>
      <c r="D892" s="6">
        <f t="shared" si="28"/>
        <v>-3.3127571329100371E-3</v>
      </c>
    </row>
    <row r="893" spans="1:4" x14ac:dyDescent="0.25">
      <c r="A893" t="s">
        <v>940</v>
      </c>
      <c r="B893">
        <v>33.26</v>
      </c>
      <c r="C893" s="6">
        <f t="shared" si="29"/>
        <v>2.0245398773006018E-2</v>
      </c>
      <c r="D893" s="6">
        <f t="shared" si="28"/>
        <v>2.0043185392119543E-2</v>
      </c>
    </row>
    <row r="894" spans="1:4" x14ac:dyDescent="0.25">
      <c r="A894" t="s">
        <v>941</v>
      </c>
      <c r="B894">
        <v>32.6</v>
      </c>
      <c r="C894" s="6">
        <f t="shared" si="29"/>
        <v>2.1518598217029616E-3</v>
      </c>
      <c r="D894" s="6">
        <f t="shared" si="28"/>
        <v>2.1495478874017904E-3</v>
      </c>
    </row>
    <row r="895" spans="1:4" x14ac:dyDescent="0.25">
      <c r="A895" t="s">
        <v>942</v>
      </c>
      <c r="B895">
        <v>32.53</v>
      </c>
      <c r="C895" s="6">
        <f t="shared" si="29"/>
        <v>-7.6266015863331038E-3</v>
      </c>
      <c r="D895" s="6">
        <f t="shared" si="28"/>
        <v>-7.6558328304235125E-3</v>
      </c>
    </row>
    <row r="896" spans="1:4" x14ac:dyDescent="0.25">
      <c r="A896" t="s">
        <v>943</v>
      </c>
      <c r="B896">
        <v>32.78</v>
      </c>
      <c r="C896" s="6">
        <f t="shared" si="29"/>
        <v>2.7531355154482018E-3</v>
      </c>
      <c r="D896" s="6">
        <f t="shared" si="28"/>
        <v>2.7493525795644303E-3</v>
      </c>
    </row>
    <row r="897" spans="1:4" x14ac:dyDescent="0.25">
      <c r="A897" t="s">
        <v>944</v>
      </c>
      <c r="B897">
        <v>32.69</v>
      </c>
      <c r="C897" s="6">
        <f t="shared" si="29"/>
        <v>4.3010752688172893E-3</v>
      </c>
      <c r="D897" s="6">
        <f t="shared" si="28"/>
        <v>4.2918520815410843E-3</v>
      </c>
    </row>
    <row r="898" spans="1:4" x14ac:dyDescent="0.25">
      <c r="A898" t="s">
        <v>945</v>
      </c>
      <c r="B898">
        <v>32.549999999999997</v>
      </c>
      <c r="C898" s="6">
        <f t="shared" si="29"/>
        <v>-3.0673019654556266E-2</v>
      </c>
      <c r="D898" s="6">
        <f t="shared" si="28"/>
        <v>-3.1153282994816494E-2</v>
      </c>
    </row>
    <row r="899" spans="1:4" x14ac:dyDescent="0.25">
      <c r="A899" t="s">
        <v>946</v>
      </c>
      <c r="B899">
        <v>33.58</v>
      </c>
      <c r="C899" s="6">
        <f t="shared" si="29"/>
        <v>-2.6730026730027445E-3</v>
      </c>
      <c r="D899" s="6">
        <f t="shared" si="28"/>
        <v>-2.6765815235884277E-3</v>
      </c>
    </row>
    <row r="900" spans="1:4" x14ac:dyDescent="0.25">
      <c r="A900" t="s">
        <v>947</v>
      </c>
      <c r="B900">
        <v>33.67</v>
      </c>
      <c r="C900" s="6">
        <f t="shared" si="29"/>
        <v>-9.4145336863783458E-3</v>
      </c>
      <c r="D900" s="6">
        <f t="shared" si="28"/>
        <v>-9.4591305350415194E-3</v>
      </c>
    </row>
    <row r="901" spans="1:4" x14ac:dyDescent="0.25">
      <c r="A901" t="s">
        <v>948</v>
      </c>
      <c r="B901">
        <v>33.99</v>
      </c>
      <c r="C901" s="6">
        <f t="shared" si="29"/>
        <v>2.8441754916792794E-2</v>
      </c>
      <c r="D901" s="6">
        <f t="shared" si="28"/>
        <v>2.8044797410329399E-2</v>
      </c>
    </row>
    <row r="902" spans="1:4" x14ac:dyDescent="0.25">
      <c r="A902" t="s">
        <v>949</v>
      </c>
      <c r="B902">
        <v>33.049999999999997</v>
      </c>
      <c r="C902" s="6">
        <f t="shared" si="29"/>
        <v>-3.3172496984318345E-3</v>
      </c>
      <c r="D902" s="6">
        <f t="shared" si="28"/>
        <v>-3.3227639693989217E-3</v>
      </c>
    </row>
    <row r="903" spans="1:4" x14ac:dyDescent="0.25">
      <c r="A903" t="s">
        <v>950</v>
      </c>
      <c r="B903">
        <v>33.159999999999997</v>
      </c>
      <c r="C903" s="6">
        <f t="shared" si="29"/>
        <v>-1.1624441132637831E-2</v>
      </c>
      <c r="D903" s="6">
        <f t="shared" si="28"/>
        <v>-1.1692533150596551E-2</v>
      </c>
    </row>
    <row r="904" spans="1:4" x14ac:dyDescent="0.25">
      <c r="A904" t="s">
        <v>951</v>
      </c>
      <c r="B904">
        <v>33.549999999999997</v>
      </c>
      <c r="C904" s="6">
        <f t="shared" si="29"/>
        <v>-2.9797377830764749E-4</v>
      </c>
      <c r="D904" s="6">
        <f t="shared" si="28"/>
        <v>-2.9801818131476723E-4</v>
      </c>
    </row>
    <row r="905" spans="1:4" x14ac:dyDescent="0.25">
      <c r="A905" t="s">
        <v>952</v>
      </c>
      <c r="B905">
        <v>33.56</v>
      </c>
      <c r="C905" s="6">
        <f t="shared" si="29"/>
        <v>-1.2650779641070864E-2</v>
      </c>
      <c r="D905" s="6">
        <f t="shared" si="28"/>
        <v>-1.2731482109019171E-2</v>
      </c>
    </row>
    <row r="906" spans="1:4" x14ac:dyDescent="0.25">
      <c r="A906" t="s">
        <v>953</v>
      </c>
      <c r="B906">
        <v>33.99</v>
      </c>
      <c r="C906" s="6">
        <f t="shared" si="29"/>
        <v>-2.1588946459412783E-2</v>
      </c>
      <c r="D906" s="6">
        <f t="shared" si="28"/>
        <v>-2.1825397104934242E-2</v>
      </c>
    </row>
    <row r="907" spans="1:4" x14ac:dyDescent="0.25">
      <c r="A907" t="s">
        <v>954</v>
      </c>
      <c r="B907">
        <v>34.74</v>
      </c>
      <c r="C907" s="6">
        <f t="shared" si="29"/>
        <v>-7.7120822622106511E-3</v>
      </c>
      <c r="D907" s="6">
        <f t="shared" si="28"/>
        <v>-7.741974153615285E-3</v>
      </c>
    </row>
    <row r="908" spans="1:4" x14ac:dyDescent="0.25">
      <c r="A908" t="s">
        <v>955</v>
      </c>
      <c r="B908">
        <v>35.01</v>
      </c>
      <c r="C908" s="6">
        <f t="shared" si="29"/>
        <v>-2.8579356270810208E-2</v>
      </c>
      <c r="D908" s="6">
        <f t="shared" si="28"/>
        <v>-2.8995697773562853E-2</v>
      </c>
    </row>
    <row r="909" spans="1:4" x14ac:dyDescent="0.25">
      <c r="A909" t="s">
        <v>956</v>
      </c>
      <c r="B909">
        <v>36.04</v>
      </c>
      <c r="C909" s="6">
        <f t="shared" si="29"/>
        <v>-3.3261802575107358E-2</v>
      </c>
      <c r="D909" s="6">
        <f t="shared" si="28"/>
        <v>-3.382755707725333E-2</v>
      </c>
    </row>
    <row r="910" spans="1:4" x14ac:dyDescent="0.25">
      <c r="A910" t="s">
        <v>957</v>
      </c>
      <c r="B910">
        <v>37.28</v>
      </c>
      <c r="C910" s="6">
        <f t="shared" si="29"/>
        <v>3.6707452725250223E-2</v>
      </c>
      <c r="D910" s="6">
        <f t="shared" si="28"/>
        <v>3.6049780213970858E-2</v>
      </c>
    </row>
    <row r="911" spans="1:4" x14ac:dyDescent="0.25">
      <c r="A911" t="s">
        <v>958</v>
      </c>
      <c r="B911">
        <v>35.96</v>
      </c>
      <c r="C911" s="6">
        <f t="shared" si="29"/>
        <v>2.0431328036322416E-2</v>
      </c>
      <c r="D911" s="6">
        <f t="shared" si="28"/>
        <v>2.0225408535440817E-2</v>
      </c>
    </row>
    <row r="912" spans="1:4" x14ac:dyDescent="0.25">
      <c r="A912" t="s">
        <v>959</v>
      </c>
      <c r="B912">
        <v>35.24</v>
      </c>
      <c r="C912" s="6">
        <f t="shared" si="29"/>
        <v>1.9380966155626345E-2</v>
      </c>
      <c r="D912" s="6">
        <f t="shared" si="28"/>
        <v>1.919554713444567E-2</v>
      </c>
    </row>
    <row r="913" spans="1:4" x14ac:dyDescent="0.25">
      <c r="A913" t="s">
        <v>960</v>
      </c>
      <c r="B913">
        <v>34.57</v>
      </c>
      <c r="C913" s="6">
        <f t="shared" si="29"/>
        <v>1.6465745369009133E-2</v>
      </c>
      <c r="D913" s="6">
        <f t="shared" si="28"/>
        <v>1.6331654914429096E-2</v>
      </c>
    </row>
    <row r="914" spans="1:4" x14ac:dyDescent="0.25">
      <c r="A914" t="s">
        <v>961</v>
      </c>
      <c r="B914">
        <v>34.01</v>
      </c>
      <c r="C914" s="6">
        <f t="shared" si="29"/>
        <v>8.8994363690297895E-3</v>
      </c>
      <c r="D914" s="6">
        <f t="shared" si="28"/>
        <v>8.8600697731345598E-3</v>
      </c>
    </row>
    <row r="915" spans="1:4" x14ac:dyDescent="0.25">
      <c r="A915" t="s">
        <v>962</v>
      </c>
      <c r="B915">
        <v>33.71</v>
      </c>
      <c r="C915" s="6">
        <f t="shared" si="29"/>
        <v>4.4696066746126029E-3</v>
      </c>
      <c r="D915" s="6">
        <f t="shared" si="28"/>
        <v>4.4596476469638989E-3</v>
      </c>
    </row>
    <row r="916" spans="1:4" x14ac:dyDescent="0.25">
      <c r="A916" t="s">
        <v>963</v>
      </c>
      <c r="B916">
        <v>33.56</v>
      </c>
      <c r="C916" s="6">
        <f t="shared" si="29"/>
        <v>-9.1526424564509767E-3</v>
      </c>
      <c r="D916" s="6">
        <f t="shared" si="28"/>
        <v>-9.1947852306747506E-3</v>
      </c>
    </row>
    <row r="917" spans="1:4" x14ac:dyDescent="0.25">
      <c r="A917" t="s">
        <v>964</v>
      </c>
      <c r="B917">
        <v>33.869999999999997</v>
      </c>
      <c r="C917" s="6">
        <f t="shared" si="29"/>
        <v>1.1823825007388766E-3</v>
      </c>
      <c r="D917" s="6">
        <f t="shared" si="28"/>
        <v>1.1816840370631207E-3</v>
      </c>
    </row>
    <row r="918" spans="1:4" x14ac:dyDescent="0.25">
      <c r="A918" t="s">
        <v>965</v>
      </c>
      <c r="B918">
        <v>33.83</v>
      </c>
      <c r="C918" s="6">
        <f t="shared" si="29"/>
        <v>-1.0818713450292505E-2</v>
      </c>
      <c r="D918" s="6">
        <f t="shared" si="28"/>
        <v>-1.0877661275942469E-2</v>
      </c>
    </row>
    <row r="919" spans="1:4" x14ac:dyDescent="0.25">
      <c r="A919" t="s">
        <v>966</v>
      </c>
      <c r="B919">
        <v>34.200000000000003</v>
      </c>
      <c r="C919" s="6">
        <f t="shared" si="29"/>
        <v>-1.0130246020260358E-2</v>
      </c>
      <c r="D919" s="6">
        <f t="shared" si="28"/>
        <v>-1.01819061451193E-2</v>
      </c>
    </row>
    <row r="920" spans="1:4" x14ac:dyDescent="0.25">
      <c r="A920" t="s">
        <v>967</v>
      </c>
      <c r="B920">
        <v>34.549999999999997</v>
      </c>
      <c r="C920" s="6">
        <f t="shared" si="29"/>
        <v>5.5296856810242989E-3</v>
      </c>
      <c r="D920" s="6">
        <f t="shared" si="28"/>
        <v>5.5144530976241335E-3</v>
      </c>
    </row>
    <row r="921" spans="1:4" x14ac:dyDescent="0.25">
      <c r="A921" t="s">
        <v>968</v>
      </c>
      <c r="B921">
        <v>34.36</v>
      </c>
      <c r="C921" s="6">
        <f t="shared" si="29"/>
        <v>-3.1294051310966964E-2</v>
      </c>
      <c r="D921" s="6">
        <f t="shared" si="28"/>
        <v>-3.179417166947579E-2</v>
      </c>
    </row>
    <row r="922" spans="1:4" x14ac:dyDescent="0.25">
      <c r="A922" t="s">
        <v>969</v>
      </c>
      <c r="B922">
        <v>35.47</v>
      </c>
      <c r="C922" s="6">
        <f t="shared" si="29"/>
        <v>2.5440878866724415E-2</v>
      </c>
      <c r="D922" s="6">
        <f t="shared" si="28"/>
        <v>2.5122645836453041E-2</v>
      </c>
    </row>
    <row r="923" spans="1:4" x14ac:dyDescent="0.25">
      <c r="A923" t="s">
        <v>970</v>
      </c>
      <c r="B923">
        <v>34.590000000000003</v>
      </c>
      <c r="C923" s="6">
        <f t="shared" si="29"/>
        <v>2.6086956521740312E-3</v>
      </c>
      <c r="D923" s="6">
        <f t="shared" si="28"/>
        <v>2.6052989117633942E-3</v>
      </c>
    </row>
    <row r="924" spans="1:4" x14ac:dyDescent="0.25">
      <c r="A924" t="s">
        <v>971</v>
      </c>
      <c r="B924">
        <v>34.5</v>
      </c>
      <c r="C924" s="6">
        <f t="shared" si="29"/>
        <v>1.4109347442680775E-2</v>
      </c>
      <c r="D924" s="6">
        <f t="shared" si="28"/>
        <v>1.4010737069598369E-2</v>
      </c>
    </row>
    <row r="925" spans="1:4" x14ac:dyDescent="0.25">
      <c r="A925" t="s">
        <v>972</v>
      </c>
      <c r="B925">
        <v>34.020000000000003</v>
      </c>
      <c r="C925" s="6">
        <f t="shared" si="29"/>
        <v>8.8261253309807053E-4</v>
      </c>
      <c r="D925" s="6">
        <f t="shared" si="28"/>
        <v>8.8222325969116572E-4</v>
      </c>
    </row>
    <row r="926" spans="1:4" x14ac:dyDescent="0.25">
      <c r="A926" t="s">
        <v>973</v>
      </c>
      <c r="B926">
        <v>33.99</v>
      </c>
      <c r="C926" s="6">
        <f t="shared" si="29"/>
        <v>1.8579562481270795E-2</v>
      </c>
      <c r="D926" s="6">
        <f t="shared" si="28"/>
        <v>1.8409070944742187E-2</v>
      </c>
    </row>
    <row r="927" spans="1:4" x14ac:dyDescent="0.25">
      <c r="A927" t="s">
        <v>974</v>
      </c>
      <c r="B927">
        <v>33.369999999999997</v>
      </c>
      <c r="C927" s="6">
        <f t="shared" si="29"/>
        <v>-1.4180206794682571E-2</v>
      </c>
      <c r="D927" s="6">
        <f t="shared" si="28"/>
        <v>-1.428170659500151E-2</v>
      </c>
    </row>
    <row r="928" spans="1:4" x14ac:dyDescent="0.25">
      <c r="A928" t="s">
        <v>975</v>
      </c>
      <c r="B928">
        <v>33.85</v>
      </c>
      <c r="C928" s="6">
        <f t="shared" si="29"/>
        <v>-3.5325287017956564E-3</v>
      </c>
      <c r="D928" s="6">
        <f t="shared" si="28"/>
        <v>-3.5387828142085039E-3</v>
      </c>
    </row>
    <row r="929" spans="1:4" x14ac:dyDescent="0.25">
      <c r="A929" t="s">
        <v>976</v>
      </c>
      <c r="B929">
        <v>33.97</v>
      </c>
      <c r="C929" s="6">
        <f t="shared" si="29"/>
        <v>3.5450516986705871E-3</v>
      </c>
      <c r="D929" s="6">
        <f t="shared" si="28"/>
        <v>3.5387828142085312E-3</v>
      </c>
    </row>
    <row r="930" spans="1:4" x14ac:dyDescent="0.25">
      <c r="A930" t="s">
        <v>977</v>
      </c>
      <c r="B930">
        <v>33.85</v>
      </c>
      <c r="C930" s="6">
        <f t="shared" si="29"/>
        <v>-6.457293806868214E-3</v>
      </c>
      <c r="D930" s="6">
        <f t="shared" si="28"/>
        <v>-6.478232314591199E-3</v>
      </c>
    </row>
    <row r="931" spans="1:4" x14ac:dyDescent="0.25">
      <c r="A931" t="s">
        <v>978</v>
      </c>
      <c r="B931">
        <v>34.07</v>
      </c>
      <c r="C931" s="6">
        <f t="shared" si="29"/>
        <v>7.0942950044339259E-3</v>
      </c>
      <c r="D931" s="6">
        <f t="shared" si="28"/>
        <v>7.069248880258081E-3</v>
      </c>
    </row>
    <row r="932" spans="1:4" x14ac:dyDescent="0.25">
      <c r="A932" t="s">
        <v>979</v>
      </c>
      <c r="B932">
        <v>33.83</v>
      </c>
      <c r="C932" s="6">
        <f t="shared" si="29"/>
        <v>4.5103490886623465E-2</v>
      </c>
      <c r="D932" s="6">
        <f t="shared" si="28"/>
        <v>4.4115914854464172E-2</v>
      </c>
    </row>
    <row r="933" spans="1:4" x14ac:dyDescent="0.25">
      <c r="A933" t="s">
        <v>980</v>
      </c>
      <c r="B933">
        <v>32.369999999999997</v>
      </c>
      <c r="C933" s="6">
        <f t="shared" si="29"/>
        <v>6.8429237947122967E-3</v>
      </c>
      <c r="D933" s="6">
        <f t="shared" si="28"/>
        <v>6.8196172545245994E-3</v>
      </c>
    </row>
    <row r="934" spans="1:4" x14ac:dyDescent="0.25">
      <c r="A934" t="s">
        <v>981</v>
      </c>
      <c r="B934">
        <v>32.15</v>
      </c>
      <c r="C934" s="6">
        <f t="shared" si="29"/>
        <v>3.4332084893882175E-3</v>
      </c>
      <c r="D934" s="6">
        <f t="shared" si="28"/>
        <v>3.4273284834698751E-3</v>
      </c>
    </row>
    <row r="935" spans="1:4" x14ac:dyDescent="0.25">
      <c r="A935" t="s">
        <v>982</v>
      </c>
      <c r="B935">
        <v>32.04</v>
      </c>
      <c r="C935" s="6">
        <f t="shared" si="29"/>
        <v>1.5852885225110969E-2</v>
      </c>
      <c r="D935" s="6">
        <f t="shared" si="28"/>
        <v>1.5728540665266147E-2</v>
      </c>
    </row>
    <row r="936" spans="1:4" x14ac:dyDescent="0.25">
      <c r="A936" t="s">
        <v>983</v>
      </c>
      <c r="B936">
        <v>31.54</v>
      </c>
      <c r="C936" s="6">
        <f t="shared" si="29"/>
        <v>9.279999999999955E-3</v>
      </c>
      <c r="D936" s="6">
        <f t="shared" si="28"/>
        <v>9.2372053524817747E-3</v>
      </c>
    </row>
    <row r="937" spans="1:4" x14ac:dyDescent="0.25">
      <c r="A937" t="s">
        <v>984</v>
      </c>
      <c r="B937">
        <v>31.25</v>
      </c>
      <c r="C937" s="6">
        <f t="shared" si="29"/>
        <v>-1.8530150753768848E-2</v>
      </c>
      <c r="D937" s="6">
        <f t="shared" si="28"/>
        <v>-1.8703984793771763E-2</v>
      </c>
    </row>
    <row r="938" spans="1:4" x14ac:dyDescent="0.25">
      <c r="A938" t="s">
        <v>985</v>
      </c>
      <c r="B938">
        <v>31.84</v>
      </c>
      <c r="C938" s="6">
        <f t="shared" si="29"/>
        <v>5.6854074542009858E-3</v>
      </c>
      <c r="D938" s="6">
        <f t="shared" si="28"/>
        <v>5.6693065233162764E-3</v>
      </c>
    </row>
    <row r="939" spans="1:4" x14ac:dyDescent="0.25">
      <c r="A939" t="s">
        <v>986</v>
      </c>
      <c r="B939">
        <v>31.66</v>
      </c>
      <c r="C939" s="6">
        <f t="shared" si="29"/>
        <v>1.2148337595907943E-2</v>
      </c>
      <c r="D939" s="6">
        <f t="shared" si="28"/>
        <v>1.2075138775755773E-2</v>
      </c>
    </row>
    <row r="940" spans="1:4" x14ac:dyDescent="0.25">
      <c r="A940" t="s">
        <v>987</v>
      </c>
      <c r="B940">
        <v>31.28</v>
      </c>
      <c r="C940" s="6">
        <f t="shared" si="29"/>
        <v>-2.2328548644338087E-3</v>
      </c>
      <c r="D940" s="6">
        <f t="shared" si="28"/>
        <v>-2.2353514018193677E-3</v>
      </c>
    </row>
    <row r="941" spans="1:4" x14ac:dyDescent="0.25">
      <c r="A941" t="s">
        <v>988</v>
      </c>
      <c r="B941">
        <v>31.35</v>
      </c>
      <c r="C941" s="6">
        <f t="shared" si="29"/>
        <v>-1.9699812382739212E-2</v>
      </c>
      <c r="D941" s="6">
        <f t="shared" si="28"/>
        <v>-1.989644032687847E-2</v>
      </c>
    </row>
    <row r="942" spans="1:4" x14ac:dyDescent="0.25">
      <c r="A942" t="s">
        <v>989</v>
      </c>
      <c r="B942">
        <v>31.98</v>
      </c>
      <c r="C942" s="6">
        <f t="shared" si="29"/>
        <v>-9.3720712277400864E-4</v>
      </c>
      <c r="D942" s="6">
        <f t="shared" si="28"/>
        <v>-9.3764657596339231E-4</v>
      </c>
    </row>
    <row r="943" spans="1:4" x14ac:dyDescent="0.25">
      <c r="A943" t="s">
        <v>990</v>
      </c>
      <c r="B943">
        <v>32.01</v>
      </c>
      <c r="C943" s="6">
        <f t="shared" si="29"/>
        <v>-6.8259385665528916E-3</v>
      </c>
      <c r="D943" s="6">
        <f t="shared" si="28"/>
        <v>-6.849341845574783E-3</v>
      </c>
    </row>
    <row r="944" spans="1:4" x14ac:dyDescent="0.25">
      <c r="A944" t="s">
        <v>991</v>
      </c>
      <c r="B944">
        <v>32.229999999999997</v>
      </c>
      <c r="C944" s="6">
        <f t="shared" si="29"/>
        <v>-1.225865767698453E-2</v>
      </c>
      <c r="D944" s="6">
        <f t="shared" si="28"/>
        <v>-1.2334414777882934E-2</v>
      </c>
    </row>
    <row r="945" spans="1:4" x14ac:dyDescent="0.25">
      <c r="A945" t="s">
        <v>992</v>
      </c>
      <c r="B945">
        <v>32.630000000000003</v>
      </c>
      <c r="C945" s="6">
        <f t="shared" si="29"/>
        <v>-5.1829268292681308E-3</v>
      </c>
      <c r="D945" s="6">
        <f t="shared" si="28"/>
        <v>-5.196404784868631E-3</v>
      </c>
    </row>
    <row r="946" spans="1:4" x14ac:dyDescent="0.25">
      <c r="A946" t="s">
        <v>993</v>
      </c>
      <c r="B946">
        <v>32.799999999999997</v>
      </c>
      <c r="C946" s="6">
        <f t="shared" si="29"/>
        <v>-2.4330900243311193E-3</v>
      </c>
      <c r="D946" s="6">
        <f t="shared" si="28"/>
        <v>-2.4360547978813383E-3</v>
      </c>
    </row>
    <row r="947" spans="1:4" x14ac:dyDescent="0.25">
      <c r="A947" t="s">
        <v>994</v>
      </c>
      <c r="B947">
        <v>32.880000000000003</v>
      </c>
      <c r="C947" s="6">
        <f t="shared" si="29"/>
        <v>-2.2010707911957028E-2</v>
      </c>
      <c r="D947" s="6">
        <f t="shared" ref="D947:D1010" si="30">LN(B947/B948)</f>
        <v>-2.225655779249024E-2</v>
      </c>
    </row>
    <row r="948" spans="1:4" x14ac:dyDescent="0.25">
      <c r="A948" t="s">
        <v>995</v>
      </c>
      <c r="B948">
        <v>33.619999999999997</v>
      </c>
      <c r="C948" s="6">
        <f t="shared" ref="C948:C1011" si="31">(B948/B949)-1</f>
        <v>2.437538086532598E-2</v>
      </c>
      <c r="D948" s="6">
        <f t="shared" si="30"/>
        <v>2.4083042318524671E-2</v>
      </c>
    </row>
    <row r="949" spans="1:4" x14ac:dyDescent="0.25">
      <c r="A949" t="s">
        <v>996</v>
      </c>
      <c r="B949">
        <v>32.82</v>
      </c>
      <c r="C949" s="6">
        <f t="shared" si="31"/>
        <v>4.2839657282742749E-3</v>
      </c>
      <c r="D949" s="6">
        <f t="shared" si="30"/>
        <v>4.2748156701428045E-3</v>
      </c>
    </row>
    <row r="950" spans="1:4" x14ac:dyDescent="0.25">
      <c r="A950" t="s">
        <v>997</v>
      </c>
      <c r="B950">
        <v>32.68</v>
      </c>
      <c r="C950" s="6">
        <f t="shared" si="31"/>
        <v>1.3962147067949182E-2</v>
      </c>
      <c r="D950" s="6">
        <f t="shared" si="30"/>
        <v>1.3865574164455718E-2</v>
      </c>
    </row>
    <row r="951" spans="1:4" x14ac:dyDescent="0.25">
      <c r="A951" t="s">
        <v>998</v>
      </c>
      <c r="B951">
        <v>32.229999999999997</v>
      </c>
      <c r="C951" s="6">
        <f t="shared" si="31"/>
        <v>5.6162246489859236E-3</v>
      </c>
      <c r="D951" s="6">
        <f t="shared" si="30"/>
        <v>5.6005124606674003E-3</v>
      </c>
    </row>
    <row r="952" spans="1:4" x14ac:dyDescent="0.25">
      <c r="A952" t="s">
        <v>999</v>
      </c>
      <c r="B952">
        <v>32.049999999999997</v>
      </c>
      <c r="C952" s="6">
        <f t="shared" si="31"/>
        <v>-6.5096094234345925E-3</v>
      </c>
      <c r="D952" s="6">
        <f t="shared" si="30"/>
        <v>-6.5308893303837549E-3</v>
      </c>
    </row>
    <row r="953" spans="1:4" x14ac:dyDescent="0.25">
      <c r="A953" t="s">
        <v>1000</v>
      </c>
      <c r="B953">
        <v>32.26</v>
      </c>
      <c r="C953" s="6">
        <f t="shared" si="31"/>
        <v>-2.8313253012048345E-2</v>
      </c>
      <c r="D953" s="6">
        <f t="shared" si="30"/>
        <v>-2.8721803225380212E-2</v>
      </c>
    </row>
    <row r="954" spans="1:4" x14ac:dyDescent="0.25">
      <c r="A954" t="s">
        <v>1001</v>
      </c>
      <c r="B954">
        <v>33.200000000000003</v>
      </c>
      <c r="C954" s="6">
        <f t="shared" si="31"/>
        <v>-6.0204695966270538E-4</v>
      </c>
      <c r="D954" s="6">
        <f t="shared" si="30"/>
        <v>-6.0222826270580753E-4</v>
      </c>
    </row>
    <row r="955" spans="1:4" x14ac:dyDescent="0.25">
      <c r="A955" t="s">
        <v>1002</v>
      </c>
      <c r="B955">
        <v>33.22</v>
      </c>
      <c r="C955" s="6">
        <f t="shared" si="31"/>
        <v>-1.5028554253082582E-3</v>
      </c>
      <c r="D955" s="6">
        <f t="shared" si="30"/>
        <v>-1.5039858452367172E-3</v>
      </c>
    </row>
    <row r="956" spans="1:4" x14ac:dyDescent="0.25">
      <c r="A956" t="s">
        <v>1003</v>
      </c>
      <c r="B956">
        <v>33.270000000000003</v>
      </c>
      <c r="C956" s="6">
        <f t="shared" si="31"/>
        <v>9.0252707581228719E-4</v>
      </c>
      <c r="D956" s="6">
        <f t="shared" si="30"/>
        <v>9.0212004313792895E-4</v>
      </c>
    </row>
    <row r="957" spans="1:4" x14ac:dyDescent="0.25">
      <c r="A957" t="s">
        <v>1004</v>
      </c>
      <c r="B957">
        <v>33.24</v>
      </c>
      <c r="C957" s="6">
        <f t="shared" si="31"/>
        <v>-1.7149615612063851E-2</v>
      </c>
      <c r="D957" s="6">
        <f t="shared" si="30"/>
        <v>-1.7298373483186781E-2</v>
      </c>
    </row>
    <row r="958" spans="1:4" x14ac:dyDescent="0.25">
      <c r="A958" t="s">
        <v>1005</v>
      </c>
      <c r="B958">
        <v>33.82</v>
      </c>
      <c r="C958" s="6">
        <f t="shared" si="31"/>
        <v>-1.3994169096209874E-2</v>
      </c>
      <c r="D958" s="6">
        <f t="shared" si="30"/>
        <v>-1.4093010701459952E-2</v>
      </c>
    </row>
    <row r="959" spans="1:4" x14ac:dyDescent="0.25">
      <c r="A959" t="s">
        <v>1006</v>
      </c>
      <c r="B959">
        <v>34.299999999999997</v>
      </c>
      <c r="C959" s="6">
        <f t="shared" si="31"/>
        <v>-2.970297029702984E-2</v>
      </c>
      <c r="D959" s="6">
        <f t="shared" si="30"/>
        <v>-3.0153038170687672E-2</v>
      </c>
    </row>
    <row r="960" spans="1:4" x14ac:dyDescent="0.25">
      <c r="A960" t="s">
        <v>1007</v>
      </c>
      <c r="B960">
        <v>35.35</v>
      </c>
      <c r="C960" s="6">
        <f t="shared" si="31"/>
        <v>0</v>
      </c>
      <c r="D960" s="6">
        <f t="shared" si="30"/>
        <v>0</v>
      </c>
    </row>
    <row r="961" spans="1:4" x14ac:dyDescent="0.25">
      <c r="A961" t="s">
        <v>1008</v>
      </c>
      <c r="B961">
        <v>35.35</v>
      </c>
      <c r="C961" s="6">
        <f t="shared" si="31"/>
        <v>8.8470319634703642E-3</v>
      </c>
      <c r="D961" s="6">
        <f t="shared" si="30"/>
        <v>8.8081262743911169E-3</v>
      </c>
    </row>
    <row r="962" spans="1:4" x14ac:dyDescent="0.25">
      <c r="A962" t="s">
        <v>1009</v>
      </c>
      <c r="B962">
        <v>35.04</v>
      </c>
      <c r="C962" s="6">
        <f t="shared" si="31"/>
        <v>0</v>
      </c>
      <c r="D962" s="6">
        <f t="shared" si="30"/>
        <v>0</v>
      </c>
    </row>
    <row r="963" spans="1:4" x14ac:dyDescent="0.25">
      <c r="A963" t="s">
        <v>1010</v>
      </c>
      <c r="B963">
        <v>35.04</v>
      </c>
      <c r="C963" s="6">
        <f t="shared" si="31"/>
        <v>5.7110222729850335E-4</v>
      </c>
      <c r="D963" s="6">
        <f t="shared" si="30"/>
        <v>5.7093921048471474E-4</v>
      </c>
    </row>
    <row r="964" spans="1:4" x14ac:dyDescent="0.25">
      <c r="A964" t="s">
        <v>1011</v>
      </c>
      <c r="B964">
        <v>35.020000000000003</v>
      </c>
      <c r="C964" s="6">
        <f t="shared" si="31"/>
        <v>-4.8309178743959347E-3</v>
      </c>
      <c r="D964" s="6">
        <f t="shared" si="30"/>
        <v>-4.8426244757877922E-3</v>
      </c>
    </row>
    <row r="965" spans="1:4" x14ac:dyDescent="0.25">
      <c r="A965" t="s">
        <v>1012</v>
      </c>
      <c r="B965">
        <v>35.19</v>
      </c>
      <c r="C965" s="6">
        <f t="shared" si="31"/>
        <v>-5.0890585241730735E-3</v>
      </c>
      <c r="D965" s="6">
        <f t="shared" si="30"/>
        <v>-5.1020518838955104E-3</v>
      </c>
    </row>
    <row r="966" spans="1:4" x14ac:dyDescent="0.25">
      <c r="A966" t="s">
        <v>1013</v>
      </c>
      <c r="B966">
        <v>35.369999999999997</v>
      </c>
      <c r="C966" s="6">
        <f t="shared" si="31"/>
        <v>1.0282776349614275E-2</v>
      </c>
      <c r="D966" s="6">
        <f t="shared" si="30"/>
        <v>1.0230268250814823E-2</v>
      </c>
    </row>
    <row r="967" spans="1:4" x14ac:dyDescent="0.25">
      <c r="A967" t="s">
        <v>1014</v>
      </c>
      <c r="B967">
        <v>35.01</v>
      </c>
      <c r="C967" s="6">
        <f t="shared" si="31"/>
        <v>-1.6849199663016012E-2</v>
      </c>
      <c r="D967" s="6">
        <f t="shared" si="30"/>
        <v>-1.6992762323112059E-2</v>
      </c>
    </row>
    <row r="968" spans="1:4" x14ac:dyDescent="0.25">
      <c r="A968" t="s">
        <v>1015</v>
      </c>
      <c r="B968">
        <v>35.61</v>
      </c>
      <c r="C968" s="6">
        <f t="shared" si="31"/>
        <v>1.1073253833049357E-2</v>
      </c>
      <c r="D968" s="6">
        <f t="shared" si="30"/>
        <v>1.1012394221626233E-2</v>
      </c>
    </row>
    <row r="969" spans="1:4" x14ac:dyDescent="0.25">
      <c r="A969" t="s">
        <v>1016</v>
      </c>
      <c r="B969">
        <v>35.22</v>
      </c>
      <c r="C969" s="6">
        <f t="shared" si="31"/>
        <v>-3.3955857385400412E-3</v>
      </c>
      <c r="D969" s="6">
        <f t="shared" si="30"/>
        <v>-3.401363823490401E-3</v>
      </c>
    </row>
    <row r="970" spans="1:4" x14ac:dyDescent="0.25">
      <c r="A970" t="s">
        <v>1017</v>
      </c>
      <c r="B970">
        <v>35.340000000000003</v>
      </c>
      <c r="C970" s="6">
        <f t="shared" si="31"/>
        <v>3.4071550255538874E-3</v>
      </c>
      <c r="D970" s="6">
        <f t="shared" si="30"/>
        <v>3.4013638234904817E-3</v>
      </c>
    </row>
    <row r="971" spans="1:4" x14ac:dyDescent="0.25">
      <c r="A971" t="s">
        <v>1018</v>
      </c>
      <c r="B971">
        <v>35.22</v>
      </c>
      <c r="C971" s="6">
        <f t="shared" si="31"/>
        <v>-7.8873239436619835E-3</v>
      </c>
      <c r="D971" s="6">
        <f t="shared" si="30"/>
        <v>-7.9185934133100423E-3</v>
      </c>
    </row>
    <row r="972" spans="1:4" x14ac:dyDescent="0.25">
      <c r="A972" t="s">
        <v>1019</v>
      </c>
      <c r="B972">
        <v>35.5</v>
      </c>
      <c r="C972" s="6">
        <f t="shared" si="31"/>
        <v>-1.6348018841784495E-2</v>
      </c>
      <c r="D972" s="6">
        <f t="shared" si="30"/>
        <v>-1.6483122173327158E-2</v>
      </c>
    </row>
    <row r="973" spans="1:4" x14ac:dyDescent="0.25">
      <c r="A973" t="s">
        <v>1020</v>
      </c>
      <c r="B973">
        <v>36.090000000000003</v>
      </c>
      <c r="C973" s="6">
        <f t="shared" si="31"/>
        <v>1.0641276953234469E-2</v>
      </c>
      <c r="D973" s="6">
        <f t="shared" si="30"/>
        <v>1.0585057048340204E-2</v>
      </c>
    </row>
    <row r="974" spans="1:4" x14ac:dyDescent="0.25">
      <c r="A974" t="s">
        <v>1021</v>
      </c>
      <c r="B974">
        <v>35.71</v>
      </c>
      <c r="C974" s="6">
        <f t="shared" si="31"/>
        <v>-2.2982216142270806E-2</v>
      </c>
      <c r="D974" s="6">
        <f t="shared" si="30"/>
        <v>-2.3250424589430378E-2</v>
      </c>
    </row>
    <row r="975" spans="1:4" x14ac:dyDescent="0.25">
      <c r="A975" t="s">
        <v>1022</v>
      </c>
      <c r="B975">
        <v>36.549999999999997</v>
      </c>
      <c r="C975" s="6">
        <f t="shared" si="31"/>
        <v>-1.6388964763726088E-3</v>
      </c>
      <c r="D975" s="6">
        <f t="shared" si="30"/>
        <v>-1.6402409363573606E-3</v>
      </c>
    </row>
    <row r="976" spans="1:4" x14ac:dyDescent="0.25">
      <c r="A976" t="s">
        <v>1023</v>
      </c>
      <c r="B976">
        <v>36.61</v>
      </c>
      <c r="C976" s="6">
        <f t="shared" si="31"/>
        <v>-1.2941493664060499E-2</v>
      </c>
      <c r="D976" s="6">
        <f t="shared" si="30"/>
        <v>-1.3025964369354704E-2</v>
      </c>
    </row>
    <row r="977" spans="1:4" x14ac:dyDescent="0.25">
      <c r="A977" t="s">
        <v>1024</v>
      </c>
      <c r="B977">
        <v>37.090000000000003</v>
      </c>
      <c r="C977" s="6">
        <f t="shared" si="31"/>
        <v>2.1615779519050804E-3</v>
      </c>
      <c r="D977" s="6">
        <f t="shared" si="30"/>
        <v>2.1592451034350172E-3</v>
      </c>
    </row>
    <row r="978" spans="1:4" x14ac:dyDescent="0.25">
      <c r="A978" t="s">
        <v>1025</v>
      </c>
      <c r="B978">
        <v>37.01</v>
      </c>
      <c r="C978" s="6">
        <f t="shared" si="31"/>
        <v>-1.6185594820610216E-3</v>
      </c>
      <c r="D978" s="6">
        <f t="shared" si="30"/>
        <v>-1.6198707645763491E-3</v>
      </c>
    </row>
    <row r="979" spans="1:4" x14ac:dyDescent="0.25">
      <c r="A979" t="s">
        <v>1026</v>
      </c>
      <c r="B979">
        <v>37.07</v>
      </c>
      <c r="C979" s="6">
        <f t="shared" si="31"/>
        <v>9.5315904139434693E-3</v>
      </c>
      <c r="D979" s="6">
        <f t="shared" si="30"/>
        <v>9.4864514103512997E-3</v>
      </c>
    </row>
    <row r="980" spans="1:4" x14ac:dyDescent="0.25">
      <c r="A980" t="s">
        <v>1027</v>
      </c>
      <c r="B980">
        <v>36.72</v>
      </c>
      <c r="C980" s="6">
        <f t="shared" si="31"/>
        <v>-1.0881392818280489E-3</v>
      </c>
      <c r="D980" s="6">
        <f t="shared" si="30"/>
        <v>-1.0887317351965606E-3</v>
      </c>
    </row>
    <row r="981" spans="1:4" x14ac:dyDescent="0.25">
      <c r="A981" t="s">
        <v>1028</v>
      </c>
      <c r="B981">
        <v>36.76</v>
      </c>
      <c r="C981" s="6">
        <f t="shared" si="31"/>
        <v>-3.2537960954448497E-3</v>
      </c>
      <c r="D981" s="6">
        <f t="shared" si="30"/>
        <v>-3.2591012009069429E-3</v>
      </c>
    </row>
    <row r="982" spans="1:4" x14ac:dyDescent="0.25">
      <c r="A982" t="s">
        <v>1029</v>
      </c>
      <c r="B982">
        <v>36.880000000000003</v>
      </c>
      <c r="C982" s="6">
        <f t="shared" si="31"/>
        <v>-1.3376136971642638E-2</v>
      </c>
      <c r="D982" s="6">
        <f t="shared" si="30"/>
        <v>-1.3466403339023747E-2</v>
      </c>
    </row>
    <row r="983" spans="1:4" x14ac:dyDescent="0.25">
      <c r="A983" t="s">
        <v>1030</v>
      </c>
      <c r="B983">
        <v>37.380000000000003</v>
      </c>
      <c r="C983" s="6">
        <f t="shared" si="31"/>
        <v>4.5009784735812186E-2</v>
      </c>
      <c r="D983" s="6">
        <f t="shared" si="30"/>
        <v>4.4026248756490458E-2</v>
      </c>
    </row>
    <row r="984" spans="1:4" x14ac:dyDescent="0.25">
      <c r="A984" t="s">
        <v>1031</v>
      </c>
      <c r="B984">
        <v>35.770000000000003</v>
      </c>
      <c r="C984" s="6">
        <f t="shared" si="31"/>
        <v>-9.1412742382270817E-3</v>
      </c>
      <c r="D984" s="6">
        <f t="shared" si="30"/>
        <v>-9.1833120679087991E-3</v>
      </c>
    </row>
    <row r="985" spans="1:4" x14ac:dyDescent="0.25">
      <c r="A985" t="s">
        <v>1032</v>
      </c>
      <c r="B985">
        <v>36.1</v>
      </c>
      <c r="C985" s="6">
        <f t="shared" si="31"/>
        <v>1.6648168701443034E-3</v>
      </c>
      <c r="D985" s="6">
        <f t="shared" si="30"/>
        <v>1.6634325986980901E-3</v>
      </c>
    </row>
    <row r="986" spans="1:4" x14ac:dyDescent="0.25">
      <c r="A986" t="s">
        <v>1033</v>
      </c>
      <c r="B986">
        <v>36.04</v>
      </c>
      <c r="C986" s="6">
        <f t="shared" si="31"/>
        <v>2.7754648903677293E-4</v>
      </c>
      <c r="D986" s="6">
        <f t="shared" si="30"/>
        <v>2.7750798013516012E-4</v>
      </c>
    </row>
    <row r="987" spans="1:4" x14ac:dyDescent="0.25">
      <c r="A987" t="s">
        <v>1034</v>
      </c>
      <c r="B987">
        <v>36.03</v>
      </c>
      <c r="C987" s="6">
        <f t="shared" si="31"/>
        <v>-1.1089548100914337E-3</v>
      </c>
      <c r="D987" s="6">
        <f t="shared" si="30"/>
        <v>-1.1095701554457058E-3</v>
      </c>
    </row>
    <row r="988" spans="1:4" x14ac:dyDescent="0.25">
      <c r="A988" t="s">
        <v>1035</v>
      </c>
      <c r="B988">
        <v>36.07</v>
      </c>
      <c r="C988" s="6">
        <f t="shared" si="31"/>
        <v>3.3379694019470829E-3</v>
      </c>
      <c r="D988" s="6">
        <f t="shared" si="30"/>
        <v>3.3324107483918646E-3</v>
      </c>
    </row>
    <row r="989" spans="1:4" x14ac:dyDescent="0.25">
      <c r="A989" t="s">
        <v>1036</v>
      </c>
      <c r="B989">
        <v>35.950000000000003</v>
      </c>
      <c r="C989" s="6">
        <f t="shared" si="31"/>
        <v>1.0115200899128984E-2</v>
      </c>
      <c r="D989" s="6">
        <f t="shared" si="30"/>
        <v>1.0064384644954403E-2</v>
      </c>
    </row>
    <row r="990" spans="1:4" x14ac:dyDescent="0.25">
      <c r="A990" t="s">
        <v>1037</v>
      </c>
      <c r="B990">
        <v>35.590000000000003</v>
      </c>
      <c r="C990" s="6">
        <f t="shared" si="31"/>
        <v>7.3591848287575257E-3</v>
      </c>
      <c r="D990" s="6">
        <f t="shared" si="30"/>
        <v>7.3322381510475525E-3</v>
      </c>
    </row>
    <row r="991" spans="1:4" x14ac:dyDescent="0.25">
      <c r="A991" t="s">
        <v>1038</v>
      </c>
      <c r="B991">
        <v>35.33</v>
      </c>
      <c r="C991" s="6">
        <f t="shared" si="31"/>
        <v>7.9885877318117693E-3</v>
      </c>
      <c r="D991" s="6">
        <f t="shared" si="30"/>
        <v>7.956847890454824E-3</v>
      </c>
    </row>
    <row r="992" spans="1:4" x14ac:dyDescent="0.25">
      <c r="A992" t="s">
        <v>1039</v>
      </c>
      <c r="B992">
        <v>35.049999999999997</v>
      </c>
      <c r="C992" s="6">
        <f t="shared" si="31"/>
        <v>-1.4245014245015675E-3</v>
      </c>
      <c r="D992" s="6">
        <f t="shared" si="30"/>
        <v>-1.4255169912211724E-3</v>
      </c>
    </row>
    <row r="993" spans="1:4" x14ac:dyDescent="0.25">
      <c r="A993" t="s">
        <v>1040</v>
      </c>
      <c r="B993">
        <v>35.1</v>
      </c>
      <c r="C993" s="6">
        <f t="shared" si="31"/>
        <v>-8.4745762711863071E-3</v>
      </c>
      <c r="D993" s="6">
        <f t="shared" si="30"/>
        <v>-8.5106896679085064E-3</v>
      </c>
    </row>
    <row r="994" spans="1:4" x14ac:dyDescent="0.25">
      <c r="A994" t="s">
        <v>1041</v>
      </c>
      <c r="B994">
        <v>35.4</v>
      </c>
      <c r="C994" s="6">
        <f t="shared" si="31"/>
        <v>-1.0343863572826462E-2</v>
      </c>
      <c r="D994" s="6">
        <f t="shared" si="30"/>
        <v>-1.0397733131197675E-2</v>
      </c>
    </row>
    <row r="995" spans="1:4" x14ac:dyDescent="0.25">
      <c r="A995" t="s">
        <v>1042</v>
      </c>
      <c r="B995">
        <v>35.770000000000003</v>
      </c>
      <c r="C995" s="6">
        <f t="shared" si="31"/>
        <v>1.3314447592068124E-2</v>
      </c>
      <c r="D995" s="6">
        <f t="shared" si="30"/>
        <v>1.3226589331675422E-2</v>
      </c>
    </row>
    <row r="996" spans="1:4" x14ac:dyDescent="0.25">
      <c r="A996" t="s">
        <v>1043</v>
      </c>
      <c r="B996">
        <v>35.299999999999997</v>
      </c>
      <c r="C996" s="6">
        <f t="shared" si="31"/>
        <v>-7.0323488045006544E-3</v>
      </c>
      <c r="D996" s="6">
        <f t="shared" si="30"/>
        <v>-7.057192309998751E-3</v>
      </c>
    </row>
    <row r="997" spans="1:4" x14ac:dyDescent="0.25">
      <c r="A997" t="s">
        <v>1044</v>
      </c>
      <c r="B997">
        <v>35.549999999999997</v>
      </c>
      <c r="C997" s="6">
        <f t="shared" si="31"/>
        <v>7.9387581514032135E-3</v>
      </c>
      <c r="D997" s="6">
        <f t="shared" si="30"/>
        <v>7.9074120012890131E-3</v>
      </c>
    </row>
    <row r="998" spans="1:4" x14ac:dyDescent="0.25">
      <c r="A998" t="s">
        <v>1045</v>
      </c>
      <c r="B998">
        <v>35.270000000000003</v>
      </c>
      <c r="C998" s="6">
        <f t="shared" si="31"/>
        <v>3.4139402560455778E-3</v>
      </c>
      <c r="D998" s="6">
        <f t="shared" si="30"/>
        <v>3.4081259912867737E-3</v>
      </c>
    </row>
    <row r="999" spans="1:4" x14ac:dyDescent="0.25">
      <c r="A999" t="s">
        <v>1046</v>
      </c>
      <c r="B999">
        <v>35.15</v>
      </c>
      <c r="C999" s="6">
        <f t="shared" si="31"/>
        <v>7.1633237822350537E-3</v>
      </c>
      <c r="D999" s="6">
        <f t="shared" si="30"/>
        <v>7.1377890482925274E-3</v>
      </c>
    </row>
    <row r="1000" spans="1:4" x14ac:dyDescent="0.25">
      <c r="A1000" t="s">
        <v>1047</v>
      </c>
      <c r="B1000">
        <v>34.9</v>
      </c>
      <c r="C1000" s="6">
        <f t="shared" si="31"/>
        <v>-6.2642369020501354E-3</v>
      </c>
      <c r="D1000" s="6">
        <f t="shared" si="30"/>
        <v>-6.2839395585344527E-3</v>
      </c>
    </row>
    <row r="1001" spans="1:4" x14ac:dyDescent="0.25">
      <c r="A1001" t="s">
        <v>1048</v>
      </c>
      <c r="B1001">
        <v>35.119999999999997</v>
      </c>
      <c r="C1001" s="6">
        <f t="shared" si="31"/>
        <v>-1.1261261261261368E-2</v>
      </c>
      <c r="D1001" s="6">
        <f t="shared" si="30"/>
        <v>-1.1325149357053513E-2</v>
      </c>
    </row>
    <row r="1002" spans="1:4" x14ac:dyDescent="0.25">
      <c r="A1002" t="s">
        <v>1049</v>
      </c>
      <c r="B1002">
        <v>35.520000000000003</v>
      </c>
      <c r="C1002" s="6">
        <f t="shared" si="31"/>
        <v>-2.5273799494522908E-3</v>
      </c>
      <c r="D1002" s="6">
        <f t="shared" si="30"/>
        <v>-2.5305791657169352E-3</v>
      </c>
    </row>
    <row r="1003" spans="1:4" x14ac:dyDescent="0.25">
      <c r="A1003" t="s">
        <v>1050</v>
      </c>
      <c r="B1003">
        <v>35.61</v>
      </c>
      <c r="C1003" s="6">
        <f t="shared" si="31"/>
        <v>1.3663535439794927E-2</v>
      </c>
      <c r="D1003" s="6">
        <f t="shared" si="30"/>
        <v>1.3571031011950577E-2</v>
      </c>
    </row>
    <row r="1004" spans="1:4" x14ac:dyDescent="0.25">
      <c r="A1004" t="s">
        <v>1051</v>
      </c>
      <c r="B1004">
        <v>35.130000000000003</v>
      </c>
      <c r="C1004" s="6">
        <f t="shared" si="31"/>
        <v>1.1399259048161525E-3</v>
      </c>
      <c r="D1004" s="6">
        <f t="shared" si="30"/>
        <v>1.1392766826118835E-3</v>
      </c>
    </row>
    <row r="1005" spans="1:4" x14ac:dyDescent="0.25">
      <c r="A1005" t="s">
        <v>1052</v>
      </c>
      <c r="B1005">
        <v>35.090000000000003</v>
      </c>
      <c r="C1005" s="6">
        <f t="shared" si="31"/>
        <v>-1.7069701280225669E-3</v>
      </c>
      <c r="D1005" s="6">
        <f t="shared" si="30"/>
        <v>-1.7084286615499705E-3</v>
      </c>
    </row>
    <row r="1006" spans="1:4" x14ac:dyDescent="0.25">
      <c r="A1006" t="s">
        <v>1053</v>
      </c>
      <c r="B1006">
        <v>35.15</v>
      </c>
      <c r="C1006" s="6">
        <f t="shared" si="31"/>
        <v>-3.4023249220301865E-3</v>
      </c>
      <c r="D1006" s="6">
        <f t="shared" si="30"/>
        <v>-3.4081259912868483E-3</v>
      </c>
    </row>
    <row r="1007" spans="1:4" x14ac:dyDescent="0.25">
      <c r="A1007" t="s">
        <v>1054</v>
      </c>
      <c r="B1007">
        <v>35.270000000000003</v>
      </c>
      <c r="C1007" s="6">
        <f t="shared" si="31"/>
        <v>1.4196479273140827E-3</v>
      </c>
      <c r="D1007" s="6">
        <f t="shared" si="30"/>
        <v>1.4186411799006016E-3</v>
      </c>
    </row>
    <row r="1008" spans="1:4" x14ac:dyDescent="0.25">
      <c r="A1008" t="s">
        <v>1055</v>
      </c>
      <c r="B1008">
        <v>35.22</v>
      </c>
      <c r="C1008" s="6">
        <f t="shared" si="31"/>
        <v>6.2857142857142279E-3</v>
      </c>
      <c r="D1008" s="6">
        <f t="shared" si="30"/>
        <v>6.2660415786463435E-3</v>
      </c>
    </row>
    <row r="1009" spans="1:4" x14ac:dyDescent="0.25">
      <c r="A1009" t="s">
        <v>1056</v>
      </c>
      <c r="B1009">
        <v>35</v>
      </c>
      <c r="C1009" s="6">
        <f t="shared" si="31"/>
        <v>-2.8587288370802155E-2</v>
      </c>
      <c r="D1009" s="6">
        <f t="shared" si="30"/>
        <v>-2.900386327058823E-2</v>
      </c>
    </row>
    <row r="1010" spans="1:4" x14ac:dyDescent="0.25">
      <c r="A1010" t="s">
        <v>1057</v>
      </c>
      <c r="B1010">
        <v>36.03</v>
      </c>
      <c r="C1010" s="6">
        <f t="shared" si="31"/>
        <v>3.3416875522140899E-3</v>
      </c>
      <c r="D1010" s="6">
        <f t="shared" si="30"/>
        <v>3.3361165220106141E-3</v>
      </c>
    </row>
    <row r="1011" spans="1:4" x14ac:dyDescent="0.25">
      <c r="A1011" t="s">
        <v>1058</v>
      </c>
      <c r="B1011">
        <v>35.909999999999997</v>
      </c>
      <c r="C1011" s="6">
        <f t="shared" si="31"/>
        <v>1.1264432554209947E-2</v>
      </c>
      <c r="D1011" s="6">
        <f t="shared" ref="D1011:D1074" si="32">LN(B1011/B1012)</f>
        <v>1.1201461282994813E-2</v>
      </c>
    </row>
    <row r="1012" spans="1:4" x14ac:dyDescent="0.25">
      <c r="A1012" t="s">
        <v>1059</v>
      </c>
      <c r="B1012">
        <v>35.51</v>
      </c>
      <c r="C1012" s="6">
        <f t="shared" ref="C1012:C1075" si="33">(B1012/B1013)-1</f>
        <v>-2.283984589983501E-2</v>
      </c>
      <c r="D1012" s="6">
        <f t="shared" si="32"/>
        <v>-2.3104716013028721E-2</v>
      </c>
    </row>
    <row r="1013" spans="1:4" x14ac:dyDescent="0.25">
      <c r="A1013" t="s">
        <v>1060</v>
      </c>
      <c r="B1013">
        <v>36.340000000000003</v>
      </c>
      <c r="C1013" s="6">
        <f t="shared" si="33"/>
        <v>-3.3767614996011552E-2</v>
      </c>
      <c r="D1013" s="6">
        <f t="shared" si="32"/>
        <v>-3.4350909514219742E-2</v>
      </c>
    </row>
    <row r="1014" spans="1:4" x14ac:dyDescent="0.25">
      <c r="A1014" t="s">
        <v>1061</v>
      </c>
      <c r="B1014">
        <v>37.61</v>
      </c>
      <c r="C1014" s="6">
        <f t="shared" si="33"/>
        <v>4.5405982905983855E-3</v>
      </c>
      <c r="D1014" s="6">
        <f t="shared" si="32"/>
        <v>4.5303208728538196E-3</v>
      </c>
    </row>
    <row r="1015" spans="1:4" x14ac:dyDescent="0.25">
      <c r="A1015" t="s">
        <v>1062</v>
      </c>
      <c r="B1015">
        <v>37.44</v>
      </c>
      <c r="C1015" s="6">
        <f t="shared" si="33"/>
        <v>4.8309178743961567E-3</v>
      </c>
      <c r="D1015" s="6">
        <f t="shared" si="32"/>
        <v>4.8192864359489218E-3</v>
      </c>
    </row>
    <row r="1016" spans="1:4" x14ac:dyDescent="0.25">
      <c r="A1016" t="s">
        <v>1063</v>
      </c>
      <c r="B1016">
        <v>37.26</v>
      </c>
      <c r="C1016" s="6">
        <f t="shared" si="33"/>
        <v>2.3907666941467287E-2</v>
      </c>
      <c r="D1016" s="6">
        <f t="shared" si="32"/>
        <v>2.3626353549373799E-2</v>
      </c>
    </row>
    <row r="1017" spans="1:4" x14ac:dyDescent="0.25">
      <c r="A1017" t="s">
        <v>1064</v>
      </c>
      <c r="B1017">
        <v>36.39</v>
      </c>
      <c r="C1017" s="6">
        <f t="shared" si="33"/>
        <v>2.2191011235955127E-2</v>
      </c>
      <c r="D1017" s="6">
        <f t="shared" si="32"/>
        <v>2.1948373766083749E-2</v>
      </c>
    </row>
    <row r="1018" spans="1:4" x14ac:dyDescent="0.25">
      <c r="A1018" t="s">
        <v>1065</v>
      </c>
      <c r="B1018">
        <v>35.6</v>
      </c>
      <c r="C1018" s="6">
        <f t="shared" si="33"/>
        <v>-1.0836343428730189E-2</v>
      </c>
      <c r="D1018" s="6">
        <f t="shared" si="32"/>
        <v>-1.0895484232954543E-2</v>
      </c>
    </row>
    <row r="1019" spans="1:4" x14ac:dyDescent="0.25">
      <c r="A1019" t="s">
        <v>1066</v>
      </c>
      <c r="B1019">
        <v>35.99</v>
      </c>
      <c r="C1019" s="6">
        <f t="shared" si="33"/>
        <v>1.5805814281682151E-2</v>
      </c>
      <c r="D1019" s="6">
        <f t="shared" si="32"/>
        <v>1.5682203213558666E-2</v>
      </c>
    </row>
    <row r="1020" spans="1:4" x14ac:dyDescent="0.25">
      <c r="A1020" t="s">
        <v>1067</v>
      </c>
      <c r="B1020">
        <v>35.43</v>
      </c>
      <c r="C1020" s="6">
        <f t="shared" si="33"/>
        <v>-5.0547598989048037E-3</v>
      </c>
      <c r="D1020" s="6">
        <f t="shared" si="32"/>
        <v>-5.0675784123057335E-3</v>
      </c>
    </row>
    <row r="1021" spans="1:4" x14ac:dyDescent="0.25">
      <c r="A1021" t="s">
        <v>1068</v>
      </c>
      <c r="B1021">
        <v>35.61</v>
      </c>
      <c r="C1021" s="6">
        <f t="shared" si="33"/>
        <v>1.0499432463110026E-2</v>
      </c>
      <c r="D1021" s="6">
        <f t="shared" si="32"/>
        <v>1.0444696221707525E-2</v>
      </c>
    </row>
    <row r="1022" spans="1:4" x14ac:dyDescent="0.25">
      <c r="A1022" t="s">
        <v>1069</v>
      </c>
      <c r="B1022">
        <v>35.24</v>
      </c>
      <c r="C1022" s="6">
        <f t="shared" si="33"/>
        <v>-2.8368794326238955E-4</v>
      </c>
      <c r="D1022" s="6">
        <f t="shared" si="32"/>
        <v>-2.837281902988784E-4</v>
      </c>
    </row>
    <row r="1023" spans="1:4" x14ac:dyDescent="0.25">
      <c r="A1023" t="s">
        <v>1070</v>
      </c>
      <c r="B1023">
        <v>35.25</v>
      </c>
      <c r="C1023" s="6">
        <f t="shared" si="33"/>
        <v>1.1477761836441891E-2</v>
      </c>
      <c r="D1023" s="6">
        <f t="shared" si="32"/>
        <v>1.1412392051744765E-2</v>
      </c>
    </row>
    <row r="1024" spans="1:4" x14ac:dyDescent="0.25">
      <c r="A1024" t="s">
        <v>1071</v>
      </c>
      <c r="B1024">
        <v>34.85</v>
      </c>
      <c r="C1024" s="6">
        <f t="shared" si="33"/>
        <v>-8.5348506401137225E-3</v>
      </c>
      <c r="D1024" s="6">
        <f t="shared" si="32"/>
        <v>-8.5714810501409441E-3</v>
      </c>
    </row>
    <row r="1025" spans="1:4" x14ac:dyDescent="0.25">
      <c r="A1025" t="s">
        <v>1072</v>
      </c>
      <c r="B1025">
        <v>35.15</v>
      </c>
      <c r="C1025" s="6">
        <f t="shared" si="33"/>
        <v>1.3844822613210184E-2</v>
      </c>
      <c r="D1025" s="6">
        <f t="shared" si="32"/>
        <v>1.3749858559741764E-2</v>
      </c>
    </row>
    <row r="1026" spans="1:4" x14ac:dyDescent="0.25">
      <c r="A1026" t="s">
        <v>1073</v>
      </c>
      <c r="B1026">
        <v>34.67</v>
      </c>
      <c r="C1026" s="6">
        <f t="shared" si="33"/>
        <v>2.0231213872832221E-3</v>
      </c>
      <c r="D1026" s="6">
        <f t="shared" si="32"/>
        <v>2.0210776332534775E-3</v>
      </c>
    </row>
    <row r="1027" spans="1:4" x14ac:dyDescent="0.25">
      <c r="A1027" t="s">
        <v>1074</v>
      </c>
      <c r="B1027">
        <v>34.6</v>
      </c>
      <c r="C1027" s="6">
        <f t="shared" si="33"/>
        <v>2.3174971031285629E-3</v>
      </c>
      <c r="D1027" s="6">
        <f t="shared" si="32"/>
        <v>2.3148158484513179E-3</v>
      </c>
    </row>
    <row r="1028" spans="1:4" x14ac:dyDescent="0.25">
      <c r="A1028" t="s">
        <v>1075</v>
      </c>
      <c r="B1028">
        <v>34.520000000000003</v>
      </c>
      <c r="C1028" s="6">
        <f t="shared" si="33"/>
        <v>-1.1737761236759181E-2</v>
      </c>
      <c r="D1028" s="6">
        <f t="shared" si="32"/>
        <v>-1.1807192603513353E-2</v>
      </c>
    </row>
    <row r="1029" spans="1:4" x14ac:dyDescent="0.25">
      <c r="A1029" t="s">
        <v>1076</v>
      </c>
      <c r="B1029">
        <v>34.93</v>
      </c>
      <c r="C1029" s="6">
        <f t="shared" si="33"/>
        <v>7.2087658592849824E-3</v>
      </c>
      <c r="D1029" s="6">
        <f t="shared" si="32"/>
        <v>7.182906906399591E-3</v>
      </c>
    </row>
    <row r="1030" spans="1:4" x14ac:dyDescent="0.25">
      <c r="A1030" t="s">
        <v>1077</v>
      </c>
      <c r="B1030">
        <v>34.68</v>
      </c>
      <c r="C1030" s="6">
        <f t="shared" si="33"/>
        <v>5.8004640371229765E-3</v>
      </c>
      <c r="D1030" s="6">
        <f t="shared" si="32"/>
        <v>5.7837061168487611E-3</v>
      </c>
    </row>
    <row r="1031" spans="1:4" x14ac:dyDescent="0.25">
      <c r="A1031" t="s">
        <v>1078</v>
      </c>
      <c r="B1031">
        <v>34.479999999999997</v>
      </c>
      <c r="C1031" s="6">
        <f t="shared" si="33"/>
        <v>1.1614401858304202E-3</v>
      </c>
      <c r="D1031" s="6">
        <f t="shared" si="32"/>
        <v>1.1607662359622872E-3</v>
      </c>
    </row>
    <row r="1032" spans="1:4" x14ac:dyDescent="0.25">
      <c r="A1032" t="s">
        <v>1079</v>
      </c>
      <c r="B1032">
        <v>34.44</v>
      </c>
      <c r="C1032" s="6">
        <f t="shared" si="33"/>
        <v>-2.6064291920070426E-3</v>
      </c>
      <c r="D1032" s="6">
        <f t="shared" si="32"/>
        <v>-2.6098318423710084E-3</v>
      </c>
    </row>
    <row r="1033" spans="1:4" x14ac:dyDescent="0.25">
      <c r="A1033" t="s">
        <v>1080</v>
      </c>
      <c r="B1033">
        <v>34.53</v>
      </c>
      <c r="C1033" s="6">
        <f t="shared" si="33"/>
        <v>5.5329062317996947E-3</v>
      </c>
      <c r="D1033" s="6">
        <f t="shared" si="32"/>
        <v>5.5176559325715389E-3</v>
      </c>
    </row>
    <row r="1034" spans="1:4" x14ac:dyDescent="0.25">
      <c r="A1034" t="s">
        <v>1081</v>
      </c>
      <c r="B1034">
        <v>34.340000000000003</v>
      </c>
      <c r="C1034" s="6">
        <f t="shared" si="33"/>
        <v>-3.1930333817126177E-3</v>
      </c>
      <c r="D1034" s="6">
        <f t="shared" si="32"/>
        <v>-3.1981419903380948E-3</v>
      </c>
    </row>
    <row r="1035" spans="1:4" x14ac:dyDescent="0.25">
      <c r="A1035" t="s">
        <v>1082</v>
      </c>
      <c r="B1035">
        <v>34.450000000000003</v>
      </c>
      <c r="C1035" s="6">
        <f t="shared" si="33"/>
        <v>-2.8208744710860323E-2</v>
      </c>
      <c r="D1035" s="6">
        <f t="shared" si="32"/>
        <v>-2.8614255518468884E-2</v>
      </c>
    </row>
    <row r="1036" spans="1:4" x14ac:dyDescent="0.25">
      <c r="A1036" t="s">
        <v>1083</v>
      </c>
      <c r="B1036">
        <v>35.450000000000003</v>
      </c>
      <c r="C1036" s="6">
        <f t="shared" si="33"/>
        <v>-5.6100981767179814E-3</v>
      </c>
      <c r="D1036" s="6">
        <f t="shared" si="32"/>
        <v>-5.6258938821683261E-3</v>
      </c>
    </row>
    <row r="1037" spans="1:4" x14ac:dyDescent="0.25">
      <c r="A1037" t="s">
        <v>1084</v>
      </c>
      <c r="B1037">
        <v>35.65</v>
      </c>
      <c r="C1037" s="6">
        <f t="shared" si="33"/>
        <v>-1.4005602240897419E-3</v>
      </c>
      <c r="D1037" s="6">
        <f t="shared" si="32"/>
        <v>-1.4015419252885557E-3</v>
      </c>
    </row>
    <row r="1038" spans="1:4" x14ac:dyDescent="0.25">
      <c r="A1038" t="s">
        <v>1085</v>
      </c>
      <c r="B1038">
        <v>35.700000000000003</v>
      </c>
      <c r="C1038" s="6">
        <f t="shared" si="33"/>
        <v>-4.4617958728386808E-3</v>
      </c>
      <c r="D1038" s="6">
        <f t="shared" si="32"/>
        <v>-4.4717793913932897E-3</v>
      </c>
    </row>
    <row r="1039" spans="1:4" x14ac:dyDescent="0.25">
      <c r="A1039" t="s">
        <v>1086</v>
      </c>
      <c r="B1039">
        <v>35.86</v>
      </c>
      <c r="C1039" s="6">
        <f t="shared" si="33"/>
        <v>5.8906030855541136E-3</v>
      </c>
      <c r="D1039" s="6">
        <f t="shared" si="32"/>
        <v>5.8733213166819922E-3</v>
      </c>
    </row>
    <row r="1040" spans="1:4" x14ac:dyDescent="0.25">
      <c r="A1040" t="s">
        <v>1087</v>
      </c>
      <c r="B1040">
        <v>35.65</v>
      </c>
      <c r="C1040" s="6">
        <f t="shared" si="33"/>
        <v>3.7543655413271315E-2</v>
      </c>
      <c r="D1040" s="6">
        <f t="shared" si="32"/>
        <v>3.6856049744250385E-2</v>
      </c>
    </row>
    <row r="1041" spans="1:4" x14ac:dyDescent="0.25">
      <c r="A1041" t="s">
        <v>1088</v>
      </c>
      <c r="B1041">
        <v>34.36</v>
      </c>
      <c r="C1041" s="6">
        <f t="shared" si="33"/>
        <v>-2.0524515393386511E-2</v>
      </c>
      <c r="D1041" s="6">
        <f t="shared" si="32"/>
        <v>-2.0738070387927635E-2</v>
      </c>
    </row>
    <row r="1042" spans="1:4" x14ac:dyDescent="0.25">
      <c r="A1042" t="s">
        <v>1089</v>
      </c>
      <c r="B1042">
        <v>35.08</v>
      </c>
      <c r="C1042" s="6">
        <f t="shared" si="33"/>
        <v>1.9994287346472017E-3</v>
      </c>
      <c r="D1042" s="6">
        <f t="shared" si="32"/>
        <v>1.9974325374079414E-3</v>
      </c>
    </row>
    <row r="1043" spans="1:4" x14ac:dyDescent="0.25">
      <c r="A1043" t="s">
        <v>1090</v>
      </c>
      <c r="B1043">
        <v>35.01</v>
      </c>
      <c r="C1043" s="6">
        <f t="shared" si="33"/>
        <v>-1.1016949152542366E-2</v>
      </c>
      <c r="D1043" s="6">
        <f t="shared" si="32"/>
        <v>-1.1078085173154452E-2</v>
      </c>
    </row>
    <row r="1044" spans="1:4" x14ac:dyDescent="0.25">
      <c r="A1044" t="s">
        <v>1091</v>
      </c>
      <c r="B1044">
        <v>35.4</v>
      </c>
      <c r="C1044" s="6">
        <f t="shared" si="33"/>
        <v>1.1139674378748854E-2</v>
      </c>
      <c r="D1044" s="6">
        <f t="shared" si="32"/>
        <v>1.1078085173154386E-2</v>
      </c>
    </row>
    <row r="1045" spans="1:4" x14ac:dyDescent="0.25">
      <c r="A1045" t="s">
        <v>1092</v>
      </c>
      <c r="B1045">
        <v>35.01</v>
      </c>
      <c r="C1045" s="6">
        <f t="shared" si="33"/>
        <v>5.7159188339506173E-4</v>
      </c>
      <c r="D1045" s="6">
        <f t="shared" si="32"/>
        <v>5.7142858697745505E-4</v>
      </c>
    </row>
    <row r="1046" spans="1:4" x14ac:dyDescent="0.25">
      <c r="A1046" t="s">
        <v>1093</v>
      </c>
      <c r="B1046">
        <v>34.99</v>
      </c>
      <c r="C1046" s="6">
        <f t="shared" si="33"/>
        <v>2.3398654577361899E-2</v>
      </c>
      <c r="D1046" s="6">
        <f t="shared" si="32"/>
        <v>2.3129102728386836E-2</v>
      </c>
    </row>
    <row r="1047" spans="1:4" x14ac:dyDescent="0.25">
      <c r="A1047" t="s">
        <v>1094</v>
      </c>
      <c r="B1047">
        <v>34.19</v>
      </c>
      <c r="C1047" s="6">
        <f t="shared" si="33"/>
        <v>-1.8093049971280917E-2</v>
      </c>
      <c r="D1047" s="6">
        <f t="shared" si="32"/>
        <v>-1.8258730688833109E-2</v>
      </c>
    </row>
    <row r="1048" spans="1:4" x14ac:dyDescent="0.25">
      <c r="A1048" t="s">
        <v>1095</v>
      </c>
      <c r="B1048">
        <v>34.82</v>
      </c>
      <c r="C1048" s="6">
        <f t="shared" si="33"/>
        <v>1.9917984768599961E-2</v>
      </c>
      <c r="D1048" s="6">
        <f t="shared" si="32"/>
        <v>1.9722216973748506E-2</v>
      </c>
    </row>
    <row r="1049" spans="1:4" x14ac:dyDescent="0.25">
      <c r="A1049" t="s">
        <v>1096</v>
      </c>
      <c r="B1049">
        <v>34.14</v>
      </c>
      <c r="C1049" s="6">
        <f t="shared" si="33"/>
        <v>-6.9808027923211613E-3</v>
      </c>
      <c r="D1049" s="6">
        <f t="shared" si="32"/>
        <v>-7.0052825884086879E-3</v>
      </c>
    </row>
    <row r="1050" spans="1:4" x14ac:dyDescent="0.25">
      <c r="A1050" t="s">
        <v>1097</v>
      </c>
      <c r="B1050">
        <v>34.380000000000003</v>
      </c>
      <c r="C1050" s="6">
        <f t="shared" si="33"/>
        <v>2.7802690582959588E-2</v>
      </c>
      <c r="D1050" s="6">
        <f t="shared" si="32"/>
        <v>2.7423213380465689E-2</v>
      </c>
    </row>
    <row r="1051" spans="1:4" x14ac:dyDescent="0.25">
      <c r="A1051" t="s">
        <v>1098</v>
      </c>
      <c r="B1051">
        <v>33.450000000000003</v>
      </c>
      <c r="C1051" s="6">
        <f t="shared" si="33"/>
        <v>-1.790510295434089E-3</v>
      </c>
      <c r="D1051" s="6">
        <f t="shared" si="32"/>
        <v>-1.7921151749814655E-3</v>
      </c>
    </row>
    <row r="1052" spans="1:4" x14ac:dyDescent="0.25">
      <c r="A1052" t="s">
        <v>1099</v>
      </c>
      <c r="B1052">
        <v>33.51</v>
      </c>
      <c r="C1052" s="6">
        <f t="shared" si="33"/>
        <v>-8.9445438282653722E-4</v>
      </c>
      <c r="D1052" s="6">
        <f t="shared" si="32"/>
        <v>-8.9485464584382183E-4</v>
      </c>
    </row>
    <row r="1053" spans="1:4" x14ac:dyDescent="0.25">
      <c r="A1053" t="s">
        <v>1100</v>
      </c>
      <c r="B1053">
        <v>33.54</v>
      </c>
      <c r="C1053" s="6">
        <f t="shared" si="33"/>
        <v>-1.7857142857143904E-3</v>
      </c>
      <c r="D1053" s="6">
        <f t="shared" si="32"/>
        <v>-1.7873105740958627E-3</v>
      </c>
    </row>
    <row r="1054" spans="1:4" x14ac:dyDescent="0.25">
      <c r="A1054" t="s">
        <v>1101</v>
      </c>
      <c r="B1054">
        <v>33.6</v>
      </c>
      <c r="C1054" s="6">
        <f t="shared" si="33"/>
        <v>-2.8620988725065133E-2</v>
      </c>
      <c r="D1054" s="6">
        <f t="shared" si="32"/>
        <v>-2.9038555979918886E-2</v>
      </c>
    </row>
    <row r="1055" spans="1:4" x14ac:dyDescent="0.25">
      <c r="A1055" t="s">
        <v>1102</v>
      </c>
      <c r="B1055">
        <v>34.590000000000003</v>
      </c>
      <c r="C1055" s="6">
        <f t="shared" si="33"/>
        <v>-6.0344827586205074E-3</v>
      </c>
      <c r="D1055" s="6">
        <f t="shared" si="32"/>
        <v>-6.0527638313511208E-3</v>
      </c>
    </row>
    <row r="1056" spans="1:4" x14ac:dyDescent="0.25">
      <c r="A1056" t="s">
        <v>1103</v>
      </c>
      <c r="B1056">
        <v>34.799999999999997</v>
      </c>
      <c r="C1056" s="6">
        <f t="shared" si="33"/>
        <v>-2.2935779816515289E-3</v>
      </c>
      <c r="D1056" s="6">
        <f t="shared" si="32"/>
        <v>-2.296212260350379E-3</v>
      </c>
    </row>
    <row r="1057" spans="1:4" x14ac:dyDescent="0.25">
      <c r="A1057" t="s">
        <v>1104</v>
      </c>
      <c r="B1057">
        <v>34.880000000000003</v>
      </c>
      <c r="C1057" s="6">
        <f t="shared" si="33"/>
        <v>-7.3989755264655122E-3</v>
      </c>
      <c r="D1057" s="6">
        <f t="shared" si="32"/>
        <v>-7.426483718172199E-3</v>
      </c>
    </row>
    <row r="1058" spans="1:4" x14ac:dyDescent="0.25">
      <c r="A1058" t="s">
        <v>1105</v>
      </c>
      <c r="B1058">
        <v>35.14</v>
      </c>
      <c r="C1058" s="6">
        <f t="shared" si="33"/>
        <v>6.3001145475372056E-3</v>
      </c>
      <c r="D1058" s="6">
        <f t="shared" si="32"/>
        <v>6.2803517875496548E-3</v>
      </c>
    </row>
    <row r="1059" spans="1:4" x14ac:dyDescent="0.25">
      <c r="A1059" t="s">
        <v>1106</v>
      </c>
      <c r="B1059">
        <v>34.92</v>
      </c>
      <c r="C1059" s="6">
        <f t="shared" si="33"/>
        <v>-7.9545454545454364E-3</v>
      </c>
      <c r="D1059" s="6">
        <f t="shared" si="32"/>
        <v>-7.9863516326499333E-3</v>
      </c>
    </row>
    <row r="1060" spans="1:4" x14ac:dyDescent="0.25">
      <c r="A1060" t="s">
        <v>1107</v>
      </c>
      <c r="B1060">
        <v>35.200000000000003</v>
      </c>
      <c r="C1060" s="6">
        <f t="shared" si="33"/>
        <v>-9.5666854248732669E-3</v>
      </c>
      <c r="D1060" s="6">
        <f t="shared" si="32"/>
        <v>-9.6127401224537518E-3</v>
      </c>
    </row>
    <row r="1061" spans="1:4" x14ac:dyDescent="0.25">
      <c r="A1061" t="s">
        <v>1108</v>
      </c>
      <c r="B1061">
        <v>35.54</v>
      </c>
      <c r="C1061" s="6">
        <f t="shared" si="33"/>
        <v>1.9214224261542956E-2</v>
      </c>
      <c r="D1061" s="6">
        <f t="shared" si="32"/>
        <v>1.9031962038945565E-2</v>
      </c>
    </row>
    <row r="1062" spans="1:4" x14ac:dyDescent="0.25">
      <c r="A1062" t="s">
        <v>1109</v>
      </c>
      <c r="B1062">
        <v>34.869999999999997</v>
      </c>
      <c r="C1062" s="6">
        <f t="shared" si="33"/>
        <v>-3.6207849640685574E-2</v>
      </c>
      <c r="D1062" s="6">
        <f t="shared" si="32"/>
        <v>-3.6879619279589403E-2</v>
      </c>
    </row>
    <row r="1063" spans="1:4" x14ac:dyDescent="0.25">
      <c r="A1063" t="s">
        <v>1110</v>
      </c>
      <c r="B1063">
        <v>36.18</v>
      </c>
      <c r="C1063" s="6">
        <f t="shared" si="33"/>
        <v>-1.738185768604017E-2</v>
      </c>
      <c r="D1063" s="6">
        <f t="shared" si="32"/>
        <v>-1.7534695837782697E-2</v>
      </c>
    </row>
    <row r="1064" spans="1:4" x14ac:dyDescent="0.25">
      <c r="A1064" t="s">
        <v>1111</v>
      </c>
      <c r="B1064">
        <v>36.82</v>
      </c>
      <c r="C1064" s="6">
        <f t="shared" si="33"/>
        <v>4.5428733674048871E-2</v>
      </c>
      <c r="D1064" s="6">
        <f t="shared" si="32"/>
        <v>4.4427072736871749E-2</v>
      </c>
    </row>
    <row r="1065" spans="1:4" x14ac:dyDescent="0.25">
      <c r="A1065" t="s">
        <v>1112</v>
      </c>
      <c r="B1065">
        <v>35.22</v>
      </c>
      <c r="C1065" s="6">
        <f t="shared" si="33"/>
        <v>4.5636052481459188E-3</v>
      </c>
      <c r="D1065" s="6">
        <f t="shared" si="32"/>
        <v>4.5532235749715247E-3</v>
      </c>
    </row>
    <row r="1066" spans="1:4" x14ac:dyDescent="0.25">
      <c r="A1066" t="s">
        <v>1113</v>
      </c>
      <c r="B1066">
        <v>35.06</v>
      </c>
      <c r="C1066" s="6">
        <f t="shared" si="33"/>
        <v>-2.1763392857142905E-2</v>
      </c>
      <c r="D1066" s="6">
        <f t="shared" si="32"/>
        <v>-2.2003708613641329E-2</v>
      </c>
    </row>
    <row r="1067" spans="1:4" x14ac:dyDescent="0.25">
      <c r="A1067" t="s">
        <v>1114</v>
      </c>
      <c r="B1067">
        <v>35.840000000000003</v>
      </c>
      <c r="C1067" s="6">
        <f t="shared" si="33"/>
        <v>-1.754385964912264E-2</v>
      </c>
      <c r="D1067" s="6">
        <f t="shared" si="32"/>
        <v>-1.7699577099400749E-2</v>
      </c>
    </row>
    <row r="1068" spans="1:4" x14ac:dyDescent="0.25">
      <c r="A1068" t="s">
        <v>1115</v>
      </c>
      <c r="B1068">
        <v>36.479999999999997</v>
      </c>
      <c r="C1068" s="6">
        <f t="shared" si="33"/>
        <v>1.2770682953914259E-2</v>
      </c>
      <c r="D1068" s="6">
        <f t="shared" si="32"/>
        <v>1.268982545832039E-2</v>
      </c>
    </row>
    <row r="1069" spans="1:4" x14ac:dyDescent="0.25">
      <c r="A1069" t="s">
        <v>1116</v>
      </c>
      <c r="B1069">
        <v>36.020000000000003</v>
      </c>
      <c r="C1069" s="6">
        <f t="shared" si="33"/>
        <v>5.8642837196314357E-3</v>
      </c>
      <c r="D1069" s="6">
        <f t="shared" si="32"/>
        <v>5.8471557374687342E-3</v>
      </c>
    </row>
    <row r="1070" spans="1:4" x14ac:dyDescent="0.25">
      <c r="A1070" t="s">
        <v>1117</v>
      </c>
      <c r="B1070">
        <v>35.81</v>
      </c>
      <c r="C1070" s="6">
        <f t="shared" si="33"/>
        <v>-2.3186033824331598E-2</v>
      </c>
      <c r="D1070" s="6">
        <f t="shared" si="32"/>
        <v>-2.3459058401217522E-2</v>
      </c>
    </row>
    <row r="1071" spans="1:4" x14ac:dyDescent="0.25">
      <c r="A1071" t="s">
        <v>1118</v>
      </c>
      <c r="B1071">
        <v>36.659999999999997</v>
      </c>
      <c r="C1071" s="6">
        <f t="shared" si="33"/>
        <v>-8.921330089213475E-3</v>
      </c>
      <c r="D1071" s="6">
        <f t="shared" si="32"/>
        <v>-8.9613634328038413E-3</v>
      </c>
    </row>
    <row r="1072" spans="1:4" x14ac:dyDescent="0.25">
      <c r="A1072" t="s">
        <v>1119</v>
      </c>
      <c r="B1072">
        <v>36.99</v>
      </c>
      <c r="C1072" s="6">
        <f t="shared" si="33"/>
        <v>-1.3336889837289978E-2</v>
      </c>
      <c r="D1072" s="6">
        <f t="shared" si="32"/>
        <v>-1.342662490345807E-2</v>
      </c>
    </row>
    <row r="1073" spans="1:4" x14ac:dyDescent="0.25">
      <c r="A1073" t="s">
        <v>1120</v>
      </c>
      <c r="B1073">
        <v>37.49</v>
      </c>
      <c r="C1073" s="6">
        <f t="shared" si="33"/>
        <v>2.8250137136587972E-2</v>
      </c>
      <c r="D1073" s="6">
        <f t="shared" si="32"/>
        <v>2.7858461497303609E-2</v>
      </c>
    </row>
    <row r="1074" spans="1:4" x14ac:dyDescent="0.25">
      <c r="A1074" t="s">
        <v>1121</v>
      </c>
      <c r="B1074">
        <v>36.46</v>
      </c>
      <c r="C1074" s="6">
        <f t="shared" si="33"/>
        <v>1.7867113344500307E-2</v>
      </c>
      <c r="D1074" s="6">
        <f t="shared" si="32"/>
        <v>1.7709372617951288E-2</v>
      </c>
    </row>
    <row r="1075" spans="1:4" x14ac:dyDescent="0.25">
      <c r="A1075" t="s">
        <v>1122</v>
      </c>
      <c r="B1075">
        <v>35.82</v>
      </c>
      <c r="C1075" s="6">
        <f t="shared" si="33"/>
        <v>1.1293054771315703E-2</v>
      </c>
      <c r="D1075" s="6">
        <f t="shared" ref="D1075:D1138" si="34">LN(B1075/B1076)</f>
        <v>1.12297642778783E-2</v>
      </c>
    </row>
    <row r="1076" spans="1:4" x14ac:dyDescent="0.25">
      <c r="A1076" t="s">
        <v>1123</v>
      </c>
      <c r="B1076">
        <v>35.42</v>
      </c>
      <c r="C1076" s="6">
        <f t="shared" ref="C1076:C1139" si="35">(B1076/B1077)-1</f>
        <v>0</v>
      </c>
      <c r="D1076" s="6">
        <f t="shared" si="34"/>
        <v>0</v>
      </c>
    </row>
    <row r="1077" spans="1:4" x14ac:dyDescent="0.25">
      <c r="A1077" t="s">
        <v>1124</v>
      </c>
      <c r="B1077">
        <v>35.42</v>
      </c>
      <c r="C1077" s="6">
        <f t="shared" si="35"/>
        <v>1.6968325791855143E-3</v>
      </c>
      <c r="D1077" s="6">
        <f t="shared" si="34"/>
        <v>1.6953945852447895E-3</v>
      </c>
    </row>
    <row r="1078" spans="1:4" x14ac:dyDescent="0.25">
      <c r="A1078" t="s">
        <v>1125</v>
      </c>
      <c r="B1078">
        <v>35.36</v>
      </c>
      <c r="C1078" s="6">
        <f t="shared" si="35"/>
        <v>-1.8595614765473223E-2</v>
      </c>
      <c r="D1078" s="6">
        <f t="shared" si="34"/>
        <v>-1.8770686990559185E-2</v>
      </c>
    </row>
    <row r="1079" spans="1:4" x14ac:dyDescent="0.25">
      <c r="A1079" t="s">
        <v>1126</v>
      </c>
      <c r="B1079">
        <v>36.03</v>
      </c>
      <c r="C1079" s="6">
        <f t="shared" si="35"/>
        <v>2.3579545454545325E-2</v>
      </c>
      <c r="D1079" s="6">
        <f t="shared" si="34"/>
        <v>2.3305842155950333E-2</v>
      </c>
    </row>
    <row r="1080" spans="1:4" x14ac:dyDescent="0.25">
      <c r="A1080" t="s">
        <v>1127</v>
      </c>
      <c r="B1080">
        <v>35.200000000000003</v>
      </c>
      <c r="C1080" s="6">
        <f t="shared" si="35"/>
        <v>1.7074558907228532E-3</v>
      </c>
      <c r="D1080" s="6">
        <f t="shared" si="34"/>
        <v>1.7059998451003046E-3</v>
      </c>
    </row>
    <row r="1081" spans="1:4" x14ac:dyDescent="0.25">
      <c r="A1081" t="s">
        <v>1128</v>
      </c>
      <c r="B1081">
        <v>35.14</v>
      </c>
      <c r="C1081" s="6">
        <f t="shared" si="35"/>
        <v>-5.659309564233217E-3</v>
      </c>
      <c r="D1081" s="6">
        <f t="shared" si="34"/>
        <v>-5.67538413259926E-3</v>
      </c>
    </row>
    <row r="1082" spans="1:4" x14ac:dyDescent="0.25">
      <c r="A1082" t="s">
        <v>1129</v>
      </c>
      <c r="B1082">
        <v>35.340000000000003</v>
      </c>
      <c r="C1082" s="6">
        <f t="shared" si="35"/>
        <v>7.6988879384090048E-3</v>
      </c>
      <c r="D1082" s="6">
        <f t="shared" si="34"/>
        <v>7.6694027394637104E-3</v>
      </c>
    </row>
    <row r="1083" spans="1:4" x14ac:dyDescent="0.25">
      <c r="A1083" t="s">
        <v>1130</v>
      </c>
      <c r="B1083">
        <v>35.07</v>
      </c>
      <c r="C1083" s="6">
        <f t="shared" si="35"/>
        <v>-1.8197088465845446E-2</v>
      </c>
      <c r="D1083" s="6">
        <f t="shared" si="34"/>
        <v>-1.8364691856211542E-2</v>
      </c>
    </row>
    <row r="1084" spans="1:4" x14ac:dyDescent="0.25">
      <c r="A1084" t="s">
        <v>1131</v>
      </c>
      <c r="B1084">
        <v>35.72</v>
      </c>
      <c r="C1084" s="6">
        <f t="shared" si="35"/>
        <v>-2.513264451270647E-3</v>
      </c>
      <c r="D1084" s="6">
        <f t="shared" si="34"/>
        <v>-2.5164280020430877E-3</v>
      </c>
    </row>
    <row r="1085" spans="1:4" x14ac:dyDescent="0.25">
      <c r="A1085" t="s">
        <v>1132</v>
      </c>
      <c r="B1085">
        <v>35.81</v>
      </c>
      <c r="C1085" s="6">
        <f t="shared" si="35"/>
        <v>8.448324415657682E-3</v>
      </c>
      <c r="D1085" s="6">
        <f t="shared" si="34"/>
        <v>8.4128370553449277E-3</v>
      </c>
    </row>
    <row r="1086" spans="1:4" x14ac:dyDescent="0.25">
      <c r="A1086" t="s">
        <v>1133</v>
      </c>
      <c r="B1086">
        <v>35.51</v>
      </c>
      <c r="C1086" s="6">
        <f t="shared" si="35"/>
        <v>6.5192743764170835E-3</v>
      </c>
      <c r="D1086" s="6">
        <f t="shared" si="34"/>
        <v>6.4981158164058236E-3</v>
      </c>
    </row>
    <row r="1087" spans="1:4" x14ac:dyDescent="0.25">
      <c r="A1087" t="s">
        <v>1134</v>
      </c>
      <c r="B1087">
        <v>35.28</v>
      </c>
      <c r="C1087" s="6">
        <f t="shared" si="35"/>
        <v>2.7672589571803075E-2</v>
      </c>
      <c r="D1087" s="6">
        <f t="shared" si="34"/>
        <v>2.7296623668989852E-2</v>
      </c>
    </row>
    <row r="1088" spans="1:4" x14ac:dyDescent="0.25">
      <c r="A1088" t="s">
        <v>1135</v>
      </c>
      <c r="B1088">
        <v>34.33</v>
      </c>
      <c r="C1088" s="6">
        <f t="shared" si="35"/>
        <v>6.1547479484174161E-3</v>
      </c>
      <c r="D1088" s="6">
        <f t="shared" si="34"/>
        <v>6.1358848461223843E-3</v>
      </c>
    </row>
    <row r="1089" spans="1:4" x14ac:dyDescent="0.25">
      <c r="A1089" t="s">
        <v>1136</v>
      </c>
      <c r="B1089">
        <v>34.119999999999997</v>
      </c>
      <c r="C1089" s="6">
        <f t="shared" si="35"/>
        <v>3.8246543100910468E-3</v>
      </c>
      <c r="D1089" s="6">
        <f t="shared" si="34"/>
        <v>3.8173589154535748E-3</v>
      </c>
    </row>
    <row r="1090" spans="1:4" x14ac:dyDescent="0.25">
      <c r="A1090" t="s">
        <v>1137</v>
      </c>
      <c r="B1090">
        <v>33.99</v>
      </c>
      <c r="C1090" s="6">
        <f t="shared" si="35"/>
        <v>2.9429075927023263E-4</v>
      </c>
      <c r="D1090" s="6">
        <f t="shared" si="34"/>
        <v>2.9424746423874687E-4</v>
      </c>
    </row>
    <row r="1091" spans="1:4" x14ac:dyDescent="0.25">
      <c r="A1091" t="s">
        <v>1138</v>
      </c>
      <c r="B1091">
        <v>33.979999999999997</v>
      </c>
      <c r="C1091" s="6">
        <f t="shared" si="35"/>
        <v>-7.3035349108968584E-3</v>
      </c>
      <c r="D1091" s="6">
        <f t="shared" si="34"/>
        <v>-7.3303362983079814E-3</v>
      </c>
    </row>
    <row r="1092" spans="1:4" x14ac:dyDescent="0.25">
      <c r="A1092" t="s">
        <v>1139</v>
      </c>
      <c r="B1092">
        <v>34.229999999999997</v>
      </c>
      <c r="C1092" s="6">
        <f t="shared" si="35"/>
        <v>2.3318385650223927E-2</v>
      </c>
      <c r="D1092" s="6">
        <f t="shared" si="34"/>
        <v>2.3050665967856224E-2</v>
      </c>
    </row>
    <row r="1093" spans="1:4" x14ac:dyDescent="0.25">
      <c r="A1093" t="s">
        <v>1140</v>
      </c>
      <c r="B1093">
        <v>33.450000000000003</v>
      </c>
      <c r="C1093" s="6">
        <f t="shared" si="35"/>
        <v>1.5174506828528056E-2</v>
      </c>
      <c r="D1093" s="6">
        <f t="shared" si="34"/>
        <v>1.5060525625721214E-2</v>
      </c>
    </row>
    <row r="1094" spans="1:4" x14ac:dyDescent="0.25">
      <c r="A1094" t="s">
        <v>1141</v>
      </c>
      <c r="B1094">
        <v>32.950000000000003</v>
      </c>
      <c r="C1094" s="6">
        <f t="shared" si="35"/>
        <v>-8.4261209750223776E-3</v>
      </c>
      <c r="D1094" s="6">
        <f t="shared" si="34"/>
        <v>-8.4618214179864922E-3</v>
      </c>
    </row>
    <row r="1095" spans="1:4" x14ac:dyDescent="0.25">
      <c r="A1095" t="s">
        <v>1142</v>
      </c>
      <c r="B1095">
        <v>33.229999999999997</v>
      </c>
      <c r="C1095" s="6">
        <f t="shared" si="35"/>
        <v>2.7837921435199364E-2</v>
      </c>
      <c r="D1095" s="6">
        <f t="shared" si="34"/>
        <v>2.7457490629161061E-2</v>
      </c>
    </row>
    <row r="1096" spans="1:4" x14ac:dyDescent="0.25">
      <c r="A1096" t="s">
        <v>1143</v>
      </c>
      <c r="B1096">
        <v>32.33</v>
      </c>
      <c r="C1096" s="6">
        <f t="shared" si="35"/>
        <v>-3.697996918336055E-3</v>
      </c>
      <c r="D1096" s="6">
        <f t="shared" si="34"/>
        <v>-3.7048514127574405E-3</v>
      </c>
    </row>
    <row r="1097" spans="1:4" x14ac:dyDescent="0.25">
      <c r="A1097" t="s">
        <v>1144</v>
      </c>
      <c r="B1097">
        <v>32.450000000000003</v>
      </c>
      <c r="C1097" s="6">
        <f t="shared" si="35"/>
        <v>-1.0972264553489763E-2</v>
      </c>
      <c r="D1097" s="6">
        <f t="shared" si="34"/>
        <v>-1.1032903822911236E-2</v>
      </c>
    </row>
    <row r="1098" spans="1:4" x14ac:dyDescent="0.25">
      <c r="A1098" t="s">
        <v>1145</v>
      </c>
      <c r="B1098">
        <v>32.81</v>
      </c>
      <c r="C1098" s="6">
        <f t="shared" si="35"/>
        <v>2.8526645768025105E-2</v>
      </c>
      <c r="D1098" s="6">
        <f t="shared" si="34"/>
        <v>2.8127337182211404E-2</v>
      </c>
    </row>
    <row r="1099" spans="1:4" x14ac:dyDescent="0.25">
      <c r="A1099" t="s">
        <v>1146</v>
      </c>
      <c r="B1099">
        <v>31.9</v>
      </c>
      <c r="C1099" s="6">
        <f t="shared" si="35"/>
        <v>-1.0852713178294615E-2</v>
      </c>
      <c r="D1099" s="6">
        <f t="shared" si="34"/>
        <v>-1.091203345098265E-2</v>
      </c>
    </row>
    <row r="1100" spans="1:4" x14ac:dyDescent="0.25">
      <c r="A1100" t="s">
        <v>1147</v>
      </c>
      <c r="B1100">
        <v>32.25</v>
      </c>
      <c r="C1100" s="6">
        <f t="shared" si="35"/>
        <v>-2.6268115942028936E-2</v>
      </c>
      <c r="D1100" s="6">
        <f t="shared" si="34"/>
        <v>-2.6619286275277397E-2</v>
      </c>
    </row>
    <row r="1101" spans="1:4" x14ac:dyDescent="0.25">
      <c r="A1101" t="s">
        <v>1148</v>
      </c>
      <c r="B1101">
        <v>33.119999999999997</v>
      </c>
      <c r="C1101" s="6">
        <f t="shared" si="35"/>
        <v>2.7247956403269047E-3</v>
      </c>
      <c r="D1101" s="6">
        <f t="shared" si="34"/>
        <v>2.7210901143605863E-3</v>
      </c>
    </row>
    <row r="1102" spans="1:4" x14ac:dyDescent="0.25">
      <c r="A1102" t="s">
        <v>1149</v>
      </c>
      <c r="B1102">
        <v>33.03</v>
      </c>
      <c r="C1102" s="6">
        <f t="shared" si="35"/>
        <v>7.9340860543180014E-3</v>
      </c>
      <c r="D1102" s="6">
        <f t="shared" si="34"/>
        <v>7.9027766919750869E-3</v>
      </c>
    </row>
    <row r="1103" spans="1:4" x14ac:dyDescent="0.25">
      <c r="A1103" t="s">
        <v>1150</v>
      </c>
      <c r="B1103">
        <v>32.770000000000003</v>
      </c>
      <c r="C1103" s="6">
        <f t="shared" si="35"/>
        <v>-6.969696969696848E-3</v>
      </c>
      <c r="D1103" s="6">
        <f t="shared" si="34"/>
        <v>-6.9940987557568848E-3</v>
      </c>
    </row>
    <row r="1104" spans="1:4" x14ac:dyDescent="0.25">
      <c r="A1104" t="s">
        <v>1151</v>
      </c>
      <c r="B1104">
        <v>33</v>
      </c>
      <c r="C1104" s="6">
        <f t="shared" si="35"/>
        <v>-5.1251130539644585E-3</v>
      </c>
      <c r="D1104" s="6">
        <f t="shared" si="34"/>
        <v>-5.1382914924808483E-3</v>
      </c>
    </row>
    <row r="1105" spans="1:4" x14ac:dyDescent="0.25">
      <c r="A1105" t="s">
        <v>1152</v>
      </c>
      <c r="B1105">
        <v>33.17</v>
      </c>
      <c r="C1105" s="6">
        <f t="shared" si="35"/>
        <v>-7.4805505685218154E-3</v>
      </c>
      <c r="D1105" s="6">
        <f t="shared" si="34"/>
        <v>-7.5086702082865758E-3</v>
      </c>
    </row>
    <row r="1106" spans="1:4" x14ac:dyDescent="0.25">
      <c r="A1106" t="s">
        <v>1153</v>
      </c>
      <c r="B1106">
        <v>33.42</v>
      </c>
      <c r="C1106" s="6">
        <f t="shared" si="35"/>
        <v>7.5369309617123736E-3</v>
      </c>
      <c r="D1106" s="6">
        <f t="shared" si="34"/>
        <v>7.5086702082865862E-3</v>
      </c>
    </row>
    <row r="1107" spans="1:4" x14ac:dyDescent="0.25">
      <c r="A1107" t="s">
        <v>1154</v>
      </c>
      <c r="B1107">
        <v>33.17</v>
      </c>
      <c r="C1107" s="6">
        <f t="shared" si="35"/>
        <v>-1.4557338086749749E-2</v>
      </c>
      <c r="D1107" s="6">
        <f t="shared" si="34"/>
        <v>-1.4664335803698794E-2</v>
      </c>
    </row>
    <row r="1108" spans="1:4" x14ac:dyDescent="0.25">
      <c r="A1108" t="s">
        <v>1155</v>
      </c>
      <c r="B1108">
        <v>33.659999999999997</v>
      </c>
      <c r="C1108" s="6">
        <f t="shared" si="35"/>
        <v>-2.2364217252396235E-2</v>
      </c>
      <c r="D1108" s="6">
        <f t="shared" si="34"/>
        <v>-2.2618088587772513E-2</v>
      </c>
    </row>
    <row r="1109" spans="1:4" x14ac:dyDescent="0.25">
      <c r="A1109" t="s">
        <v>1156</v>
      </c>
      <c r="B1109">
        <v>34.43</v>
      </c>
      <c r="C1109" s="6">
        <f t="shared" si="35"/>
        <v>2.0148148148148248E-2</v>
      </c>
      <c r="D1109" s="6">
        <f t="shared" si="34"/>
        <v>1.9947860031893663E-2</v>
      </c>
    </row>
    <row r="1110" spans="1:4" x14ac:dyDescent="0.25">
      <c r="A1110" t="s">
        <v>1157</v>
      </c>
      <c r="B1110">
        <v>33.75</v>
      </c>
      <c r="C1110" s="6">
        <f t="shared" si="35"/>
        <v>4.6511627906976827E-2</v>
      </c>
      <c r="D1110" s="6">
        <f t="shared" si="34"/>
        <v>4.5462374076757413E-2</v>
      </c>
    </row>
    <row r="1111" spans="1:4" x14ac:dyDescent="0.25">
      <c r="A1111" t="s">
        <v>1158</v>
      </c>
      <c r="B1111">
        <v>32.25</v>
      </c>
      <c r="C1111" s="6">
        <f t="shared" si="35"/>
        <v>5.926388022457818E-3</v>
      </c>
      <c r="D1111" s="6">
        <f t="shared" si="34"/>
        <v>5.9088960603745277E-3</v>
      </c>
    </row>
    <row r="1112" spans="1:4" x14ac:dyDescent="0.25">
      <c r="A1112" t="s">
        <v>1159</v>
      </c>
      <c r="B1112">
        <v>32.06</v>
      </c>
      <c r="C1112" s="6">
        <f t="shared" si="35"/>
        <v>-3.5789473684210482E-2</v>
      </c>
      <c r="D1112" s="6">
        <f t="shared" si="34"/>
        <v>-3.6445619920456203E-2</v>
      </c>
    </row>
    <row r="1113" spans="1:4" x14ac:dyDescent="0.25">
      <c r="A1113" t="s">
        <v>1160</v>
      </c>
      <c r="B1113">
        <v>33.25</v>
      </c>
      <c r="C1113" s="6">
        <f t="shared" si="35"/>
        <v>-3.8945476333134277E-3</v>
      </c>
      <c r="D1113" s="6">
        <f t="shared" si="34"/>
        <v>-3.9021511318259382E-3</v>
      </c>
    </row>
    <row r="1114" spans="1:4" x14ac:dyDescent="0.25">
      <c r="A1114" t="s">
        <v>1161</v>
      </c>
      <c r="B1114">
        <v>33.380000000000003</v>
      </c>
      <c r="C1114" s="6">
        <f t="shared" si="35"/>
        <v>-9.7893800059328795E-3</v>
      </c>
      <c r="D1114" s="6">
        <f t="shared" si="34"/>
        <v>-9.8376110122802615E-3</v>
      </c>
    </row>
    <row r="1115" spans="1:4" x14ac:dyDescent="0.25">
      <c r="A1115" t="s">
        <v>1162</v>
      </c>
      <c r="B1115">
        <v>33.71</v>
      </c>
      <c r="C1115" s="6">
        <f t="shared" si="35"/>
        <v>4.7690014903130074E-3</v>
      </c>
      <c r="D1115" s="6">
        <f t="shared" si="34"/>
        <v>4.7576658282785997E-3</v>
      </c>
    </row>
    <row r="1116" spans="1:4" x14ac:dyDescent="0.25">
      <c r="A1116" t="s">
        <v>1163</v>
      </c>
      <c r="B1116">
        <v>33.549999999999997</v>
      </c>
      <c r="C1116" s="6">
        <f t="shared" si="35"/>
        <v>-5.9577003276745089E-4</v>
      </c>
      <c r="D1116" s="6">
        <f t="shared" si="34"/>
        <v>-5.9594757425285587E-4</v>
      </c>
    </row>
    <row r="1117" spans="1:4" x14ac:dyDescent="0.25">
      <c r="A1117" t="s">
        <v>1164</v>
      </c>
      <c r="B1117">
        <v>33.57</v>
      </c>
      <c r="C1117" s="6">
        <f t="shared" si="35"/>
        <v>-5.0385299347955881E-3</v>
      </c>
      <c r="D1117" s="6">
        <f t="shared" si="34"/>
        <v>-5.0512661258787792E-3</v>
      </c>
    </row>
    <row r="1118" spans="1:4" x14ac:dyDescent="0.25">
      <c r="A1118" t="s">
        <v>1165</v>
      </c>
      <c r="B1118">
        <v>33.74</v>
      </c>
      <c r="C1118" s="6">
        <f t="shared" si="35"/>
        <v>2.4286581663631068E-2</v>
      </c>
      <c r="D1118" s="6">
        <f t="shared" si="34"/>
        <v>2.3996352368328196E-2</v>
      </c>
    </row>
    <row r="1119" spans="1:4" x14ac:dyDescent="0.25">
      <c r="A1119" t="s">
        <v>1166</v>
      </c>
      <c r="B1119">
        <v>32.94</v>
      </c>
      <c r="C1119" s="6">
        <f t="shared" si="35"/>
        <v>5.8015267175572927E-3</v>
      </c>
      <c r="D1119" s="6">
        <f t="shared" si="34"/>
        <v>5.7847626682333798E-3</v>
      </c>
    </row>
    <row r="1120" spans="1:4" x14ac:dyDescent="0.25">
      <c r="A1120" t="s">
        <v>1167</v>
      </c>
      <c r="B1120">
        <v>32.75</v>
      </c>
      <c r="C1120" s="6">
        <f t="shared" si="35"/>
        <v>-1.8287107589149976E-3</v>
      </c>
      <c r="D1120" s="6">
        <f t="shared" si="34"/>
        <v>-1.8303848917493714E-3</v>
      </c>
    </row>
    <row r="1121" spans="1:4" x14ac:dyDescent="0.25">
      <c r="A1121" t="s">
        <v>1168</v>
      </c>
      <c r="B1121">
        <v>32.81</v>
      </c>
      <c r="C1121" s="6">
        <f t="shared" si="35"/>
        <v>7.36874424316869E-3</v>
      </c>
      <c r="D1121" s="6">
        <f t="shared" si="34"/>
        <v>7.3417276848682708E-3</v>
      </c>
    </row>
    <row r="1122" spans="1:4" x14ac:dyDescent="0.25">
      <c r="A1122" t="s">
        <v>1169</v>
      </c>
      <c r="B1122">
        <v>32.57</v>
      </c>
      <c r="C1122" s="6">
        <f t="shared" si="35"/>
        <v>3.3887861983981082E-3</v>
      </c>
      <c r="D1122" s="6">
        <f t="shared" si="34"/>
        <v>3.383057201697048E-3</v>
      </c>
    </row>
    <row r="1123" spans="1:4" x14ac:dyDescent="0.25">
      <c r="A1123" t="s">
        <v>1170</v>
      </c>
      <c r="B1123">
        <v>32.46</v>
      </c>
      <c r="C1123" s="6">
        <f t="shared" si="35"/>
        <v>-2.0519010259505088E-2</v>
      </c>
      <c r="D1123" s="6">
        <f t="shared" si="34"/>
        <v>-2.0732449911971658E-2</v>
      </c>
    </row>
    <row r="1124" spans="1:4" x14ac:dyDescent="0.25">
      <c r="A1124" t="s">
        <v>1171</v>
      </c>
      <c r="B1124">
        <v>33.14</v>
      </c>
      <c r="C1124" s="6">
        <f t="shared" si="35"/>
        <v>5.2397586535408047E-2</v>
      </c>
      <c r="D1124" s="6">
        <f t="shared" si="34"/>
        <v>5.1070976885483559E-2</v>
      </c>
    </row>
    <row r="1125" spans="1:4" x14ac:dyDescent="0.25">
      <c r="A1125" t="s">
        <v>1172</v>
      </c>
      <c r="B1125">
        <v>31.49</v>
      </c>
      <c r="C1125" s="6">
        <f t="shared" si="35"/>
        <v>1.1239563262684493E-2</v>
      </c>
      <c r="D1125" s="6">
        <f t="shared" si="34"/>
        <v>1.1176868707080852E-2</v>
      </c>
    </row>
    <row r="1126" spans="1:4" x14ac:dyDescent="0.25">
      <c r="A1126" t="s">
        <v>1173</v>
      </c>
      <c r="B1126">
        <v>31.14</v>
      </c>
      <c r="C1126" s="6">
        <f t="shared" si="35"/>
        <v>-2.1370207416719023E-2</v>
      </c>
      <c r="D1126" s="6">
        <f t="shared" si="34"/>
        <v>-2.1601856503788517E-2</v>
      </c>
    </row>
    <row r="1127" spans="1:4" x14ac:dyDescent="0.25">
      <c r="A1127" t="s">
        <v>1174</v>
      </c>
      <c r="B1127">
        <v>31.82</v>
      </c>
      <c r="C1127" s="6">
        <f t="shared" si="35"/>
        <v>-1.2414649286157653E-2</v>
      </c>
      <c r="D1127" s="6">
        <f t="shared" si="34"/>
        <v>-1.2492354839187498E-2</v>
      </c>
    </row>
    <row r="1128" spans="1:4" x14ac:dyDescent="0.25">
      <c r="A1128" t="s">
        <v>1175</v>
      </c>
      <c r="B1128">
        <v>32.22</v>
      </c>
      <c r="C1128" s="6">
        <f t="shared" si="35"/>
        <v>1.448362720403007E-2</v>
      </c>
      <c r="D1128" s="6">
        <f t="shared" si="34"/>
        <v>1.4379741369893192E-2</v>
      </c>
    </row>
    <row r="1129" spans="1:4" x14ac:dyDescent="0.25">
      <c r="A1129" t="s">
        <v>1176</v>
      </c>
      <c r="B1129">
        <v>31.76</v>
      </c>
      <c r="C1129" s="6">
        <f t="shared" si="35"/>
        <v>9.2151255163648305E-3</v>
      </c>
      <c r="D1129" s="6">
        <f t="shared" si="34"/>
        <v>9.172925302619513E-3</v>
      </c>
    </row>
    <row r="1130" spans="1:4" x14ac:dyDescent="0.25">
      <c r="A1130" t="s">
        <v>1177</v>
      </c>
      <c r="B1130">
        <v>31.47</v>
      </c>
      <c r="C1130" s="6">
        <f t="shared" si="35"/>
        <v>-1.9029495718364542E-3</v>
      </c>
      <c r="D1130" s="6">
        <f t="shared" si="34"/>
        <v>-1.9047624806540586E-3</v>
      </c>
    </row>
    <row r="1131" spans="1:4" x14ac:dyDescent="0.25">
      <c r="A1131" t="s">
        <v>1178</v>
      </c>
      <c r="B1131">
        <v>31.53</v>
      </c>
      <c r="C1131" s="6">
        <f t="shared" si="35"/>
        <v>-2.8650646950092451E-2</v>
      </c>
      <c r="D1131" s="6">
        <f t="shared" si="34"/>
        <v>-2.9069088529475737E-2</v>
      </c>
    </row>
    <row r="1132" spans="1:4" x14ac:dyDescent="0.25">
      <c r="A1132" t="s">
        <v>1179</v>
      </c>
      <c r="B1132">
        <v>32.46</v>
      </c>
      <c r="C1132" s="6">
        <f t="shared" si="35"/>
        <v>-8.8549618320610257E-3</v>
      </c>
      <c r="D1132" s="6">
        <f t="shared" si="34"/>
        <v>-8.8943999948157271E-3</v>
      </c>
    </row>
    <row r="1133" spans="1:4" x14ac:dyDescent="0.25">
      <c r="A1133" t="s">
        <v>1180</v>
      </c>
      <c r="B1133">
        <v>32.75</v>
      </c>
      <c r="C1133" s="6">
        <f t="shared" si="35"/>
        <v>-1.3554216867469937E-2</v>
      </c>
      <c r="D1133" s="6">
        <f t="shared" si="34"/>
        <v>-1.364691384118199E-2</v>
      </c>
    </row>
    <row r="1134" spans="1:4" x14ac:dyDescent="0.25">
      <c r="A1134" t="s">
        <v>1181</v>
      </c>
      <c r="B1134">
        <v>33.200000000000003</v>
      </c>
      <c r="C1134" s="6">
        <f t="shared" si="35"/>
        <v>-8.6593012839653039E-3</v>
      </c>
      <c r="D1134" s="6">
        <f t="shared" si="34"/>
        <v>-8.6970108836703017E-3</v>
      </c>
    </row>
    <row r="1135" spans="1:4" x14ac:dyDescent="0.25">
      <c r="A1135" t="s">
        <v>1182</v>
      </c>
      <c r="B1135">
        <v>33.49</v>
      </c>
      <c r="C1135" s="6">
        <f t="shared" si="35"/>
        <v>1.1958146487294208E-3</v>
      </c>
      <c r="D1135" s="6">
        <f t="shared" si="34"/>
        <v>1.1951002318757362E-3</v>
      </c>
    </row>
    <row r="1136" spans="1:4" x14ac:dyDescent="0.25">
      <c r="A1136" t="s">
        <v>1183</v>
      </c>
      <c r="B1136">
        <v>33.450000000000003</v>
      </c>
      <c r="C1136" s="6">
        <f t="shared" si="35"/>
        <v>7.8336848448330443E-3</v>
      </c>
      <c r="D1136" s="6">
        <f t="shared" si="34"/>
        <v>7.8031608423544743E-3</v>
      </c>
    </row>
    <row r="1137" spans="1:4" x14ac:dyDescent="0.25">
      <c r="A1137" t="s">
        <v>1184</v>
      </c>
      <c r="B1137">
        <v>33.19</v>
      </c>
      <c r="C1137" s="6">
        <f t="shared" si="35"/>
        <v>-2.6115023474178378E-2</v>
      </c>
      <c r="D1137" s="6">
        <f t="shared" si="34"/>
        <v>-2.6462076229231711E-2</v>
      </c>
    </row>
    <row r="1138" spans="1:4" x14ac:dyDescent="0.25">
      <c r="A1138" t="s">
        <v>1185</v>
      </c>
      <c r="B1138">
        <v>34.08</v>
      </c>
      <c r="C1138" s="6">
        <f t="shared" si="35"/>
        <v>8.8105726872256263E-4</v>
      </c>
      <c r="D1138" s="6">
        <f t="shared" si="34"/>
        <v>8.8066936559370499E-4</v>
      </c>
    </row>
    <row r="1139" spans="1:4" x14ac:dyDescent="0.25">
      <c r="A1139" t="s">
        <v>1186</v>
      </c>
      <c r="B1139">
        <v>34.049999999999997</v>
      </c>
      <c r="C1139" s="6">
        <f t="shared" si="35"/>
        <v>-1.7882895875396709E-2</v>
      </c>
      <c r="D1139" s="6">
        <f t="shared" ref="D1139:D1202" si="36">LN(B1139/B1140)</f>
        <v>-1.8044727101410807E-2</v>
      </c>
    </row>
    <row r="1140" spans="1:4" x14ac:dyDescent="0.25">
      <c r="A1140" t="s">
        <v>1187</v>
      </c>
      <c r="B1140">
        <v>34.67</v>
      </c>
      <c r="C1140" s="6">
        <f t="shared" ref="C1140:C1203" si="37">(B1140/B1141)-1</f>
        <v>1.8507638072855492E-2</v>
      </c>
      <c r="D1140" s="6">
        <f t="shared" si="36"/>
        <v>1.8338455991758706E-2</v>
      </c>
    </row>
    <row r="1141" spans="1:4" x14ac:dyDescent="0.25">
      <c r="A1141" t="s">
        <v>1188</v>
      </c>
      <c r="B1141">
        <v>34.04</v>
      </c>
      <c r="C1141" s="6">
        <f t="shared" si="37"/>
        <v>2.0606417427142532E-3</v>
      </c>
      <c r="D1141" s="6">
        <f t="shared" si="36"/>
        <v>2.05852153268093E-3</v>
      </c>
    </row>
    <row r="1142" spans="1:4" x14ac:dyDescent="0.25">
      <c r="A1142" t="s">
        <v>1189</v>
      </c>
      <c r="B1142">
        <v>33.97</v>
      </c>
      <c r="C1142" s="6">
        <f t="shared" si="37"/>
        <v>1.2216924910607663E-2</v>
      </c>
      <c r="D1142" s="6">
        <f t="shared" si="36"/>
        <v>1.2142900573486921E-2</v>
      </c>
    </row>
    <row r="1143" spans="1:4" x14ac:dyDescent="0.25">
      <c r="A1143" t="s">
        <v>1190</v>
      </c>
      <c r="B1143">
        <v>33.56</v>
      </c>
      <c r="C1143" s="6">
        <f t="shared" si="37"/>
        <v>-1.0029498525073621E-2</v>
      </c>
      <c r="D1143" s="6">
        <f t="shared" si="36"/>
        <v>-1.0080132787399021E-2</v>
      </c>
    </row>
    <row r="1144" spans="1:4" x14ac:dyDescent="0.25">
      <c r="A1144" t="s">
        <v>1191</v>
      </c>
      <c r="B1144">
        <v>33.9</v>
      </c>
      <c r="C1144" s="6">
        <f t="shared" si="37"/>
        <v>-7.0298769771529601E-3</v>
      </c>
      <c r="D1144" s="6">
        <f t="shared" si="36"/>
        <v>-7.0547029798900384E-3</v>
      </c>
    </row>
    <row r="1145" spans="1:4" x14ac:dyDescent="0.25">
      <c r="A1145" t="s">
        <v>1192</v>
      </c>
      <c r="B1145">
        <v>34.14</v>
      </c>
      <c r="C1145" s="6">
        <f t="shared" si="37"/>
        <v>-1.2724117987275796E-2</v>
      </c>
      <c r="D1145" s="6">
        <f t="shared" si="36"/>
        <v>-1.2805762888849801E-2</v>
      </c>
    </row>
    <row r="1146" spans="1:4" x14ac:dyDescent="0.25">
      <c r="A1146" t="s">
        <v>1193</v>
      </c>
      <c r="B1146">
        <v>34.58</v>
      </c>
      <c r="C1146" s="6">
        <f t="shared" si="37"/>
        <v>-2.810567734682401E-2</v>
      </c>
      <c r="D1146" s="6">
        <f t="shared" si="36"/>
        <v>-2.8508201982544591E-2</v>
      </c>
    </row>
    <row r="1147" spans="1:4" x14ac:dyDescent="0.25">
      <c r="A1147" t="s">
        <v>1194</v>
      </c>
      <c r="B1147">
        <v>35.58</v>
      </c>
      <c r="C1147" s="6">
        <f t="shared" si="37"/>
        <v>4.2179261862917317E-2</v>
      </c>
      <c r="D1147" s="6">
        <f t="shared" si="36"/>
        <v>4.1313964871394451E-2</v>
      </c>
    </row>
    <row r="1148" spans="1:4" x14ac:dyDescent="0.25">
      <c r="A1148" t="s">
        <v>1195</v>
      </c>
      <c r="B1148">
        <v>34.14</v>
      </c>
      <c r="C1148" s="6">
        <f t="shared" si="37"/>
        <v>-6.402793946449381E-3</v>
      </c>
      <c r="D1148" s="6">
        <f t="shared" si="36"/>
        <v>-6.4233797497600898E-3</v>
      </c>
    </row>
    <row r="1149" spans="1:4" x14ac:dyDescent="0.25">
      <c r="A1149" t="s">
        <v>1196</v>
      </c>
      <c r="B1149">
        <v>34.36</v>
      </c>
      <c r="C1149" s="6">
        <f t="shared" si="37"/>
        <v>-8.9414479376983547E-3</v>
      </c>
      <c r="D1149" s="6">
        <f t="shared" si="36"/>
        <v>-8.9816625808775002E-3</v>
      </c>
    </row>
    <row r="1150" spans="1:4" x14ac:dyDescent="0.25">
      <c r="A1150" t="s">
        <v>1197</v>
      </c>
      <c r="B1150">
        <v>34.67</v>
      </c>
      <c r="C1150" s="6">
        <f t="shared" si="37"/>
        <v>1.6715542521994253E-2</v>
      </c>
      <c r="D1150" s="6">
        <f t="shared" si="36"/>
        <v>1.6577375407461074E-2</v>
      </c>
    </row>
    <row r="1151" spans="1:4" x14ac:dyDescent="0.25">
      <c r="A1151" t="s">
        <v>1198</v>
      </c>
      <c r="B1151">
        <v>34.1</v>
      </c>
      <c r="C1151" s="6">
        <f t="shared" si="37"/>
        <v>-4.960606944849788E-3</v>
      </c>
      <c r="D1151" s="6">
        <f t="shared" si="36"/>
        <v>-4.9729515970464233E-3</v>
      </c>
    </row>
    <row r="1152" spans="1:4" x14ac:dyDescent="0.25">
      <c r="A1152" t="s">
        <v>1199</v>
      </c>
      <c r="B1152">
        <v>34.270000000000003</v>
      </c>
      <c r="C1152" s="6">
        <f t="shared" si="37"/>
        <v>-2.36467236467236E-2</v>
      </c>
      <c r="D1152" s="6">
        <f t="shared" si="36"/>
        <v>-2.3930794585302614E-2</v>
      </c>
    </row>
    <row r="1153" spans="1:4" x14ac:dyDescent="0.25">
      <c r="A1153" t="s">
        <v>1200</v>
      </c>
      <c r="B1153">
        <v>35.1</v>
      </c>
      <c r="C1153" s="6">
        <f t="shared" si="37"/>
        <v>-3.1241124680487786E-3</v>
      </c>
      <c r="D1153" s="6">
        <f t="shared" si="36"/>
        <v>-3.1290026951409458E-3</v>
      </c>
    </row>
    <row r="1154" spans="1:4" x14ac:dyDescent="0.25">
      <c r="A1154" t="s">
        <v>1201</v>
      </c>
      <c r="B1154">
        <v>35.21</v>
      </c>
      <c r="C1154" s="6">
        <f t="shared" si="37"/>
        <v>-2.8392958546274993E-4</v>
      </c>
      <c r="D1154" s="6">
        <f t="shared" si="36"/>
        <v>-2.8396990109888227E-4</v>
      </c>
    </row>
    <row r="1155" spans="1:4" x14ac:dyDescent="0.25">
      <c r="A1155" t="s">
        <v>1202</v>
      </c>
      <c r="B1155">
        <v>35.22</v>
      </c>
      <c r="C1155" s="6">
        <f t="shared" si="37"/>
        <v>1.8507807981492208E-2</v>
      </c>
      <c r="D1155" s="6">
        <f t="shared" si="36"/>
        <v>1.8338622812915654E-2</v>
      </c>
    </row>
    <row r="1156" spans="1:4" x14ac:dyDescent="0.25">
      <c r="A1156" t="s">
        <v>1203</v>
      </c>
      <c r="B1156">
        <v>34.58</v>
      </c>
      <c r="C1156" s="6">
        <f t="shared" si="37"/>
        <v>-1.3972055888223589E-2</v>
      </c>
      <c r="D1156" s="6">
        <f t="shared" si="36"/>
        <v>-1.4070583896942331E-2</v>
      </c>
    </row>
    <row r="1157" spans="1:4" x14ac:dyDescent="0.25">
      <c r="A1157" t="s">
        <v>1204</v>
      </c>
      <c r="B1157">
        <v>35.07</v>
      </c>
      <c r="C1157" s="6">
        <f t="shared" si="37"/>
        <v>1.0080645161290258E-2</v>
      </c>
      <c r="D1157" s="6">
        <f t="shared" si="36"/>
        <v>1.0030174359937251E-2</v>
      </c>
    </row>
    <row r="1158" spans="1:4" x14ac:dyDescent="0.25">
      <c r="A1158" t="s">
        <v>1205</v>
      </c>
      <c r="B1158">
        <v>34.72</v>
      </c>
      <c r="C1158" s="6">
        <f t="shared" si="37"/>
        <v>1.7311021350261413E-3</v>
      </c>
      <c r="D1158" s="6">
        <f t="shared" si="36"/>
        <v>1.7296055046895737E-3</v>
      </c>
    </row>
    <row r="1159" spans="1:4" x14ac:dyDescent="0.25">
      <c r="A1159" t="s">
        <v>1206</v>
      </c>
      <c r="B1159">
        <v>34.659999999999997</v>
      </c>
      <c r="C1159" s="6">
        <f t="shared" si="37"/>
        <v>-2.8768699654776464E-3</v>
      </c>
      <c r="D1159" s="6">
        <f t="shared" si="36"/>
        <v>-2.8810161097313539E-3</v>
      </c>
    </row>
    <row r="1160" spans="1:4" x14ac:dyDescent="0.25">
      <c r="A1160" t="s">
        <v>1207</v>
      </c>
      <c r="B1160">
        <v>34.76</v>
      </c>
      <c r="C1160" s="6">
        <f t="shared" si="37"/>
        <v>1.6968987712112193E-2</v>
      </c>
      <c r="D1160" s="6">
        <f t="shared" si="36"/>
        <v>1.6826622709746306E-2</v>
      </c>
    </row>
    <row r="1161" spans="1:4" x14ac:dyDescent="0.25">
      <c r="A1161" t="s">
        <v>1208</v>
      </c>
      <c r="B1161">
        <v>34.18</v>
      </c>
      <c r="C1161" s="6">
        <f t="shared" si="37"/>
        <v>-2.3986293546544912E-2</v>
      </c>
      <c r="D1161" s="6">
        <f t="shared" si="36"/>
        <v>-2.4278649170261044E-2</v>
      </c>
    </row>
    <row r="1162" spans="1:4" x14ac:dyDescent="0.25">
      <c r="A1162" t="s">
        <v>1209</v>
      </c>
      <c r="B1162">
        <v>35.020000000000003</v>
      </c>
      <c r="C1162" s="6">
        <f t="shared" si="37"/>
        <v>1.0969976905311762E-2</v>
      </c>
      <c r="D1162" s="6">
        <f t="shared" si="36"/>
        <v>1.091024316347137E-2</v>
      </c>
    </row>
    <row r="1163" spans="1:4" x14ac:dyDescent="0.25">
      <c r="A1163" t="s">
        <v>1210</v>
      </c>
      <c r="B1163">
        <v>34.64</v>
      </c>
      <c r="C1163" s="6">
        <f t="shared" si="37"/>
        <v>-7.1653768988249045E-3</v>
      </c>
      <c r="D1163" s="6">
        <f t="shared" si="36"/>
        <v>-7.1911715044483673E-3</v>
      </c>
    </row>
    <row r="1164" spans="1:4" x14ac:dyDescent="0.25">
      <c r="A1164" t="s">
        <v>1211</v>
      </c>
      <c r="B1164">
        <v>34.89</v>
      </c>
      <c r="C1164" s="6">
        <f t="shared" si="37"/>
        <v>-3.0294608115619681E-2</v>
      </c>
      <c r="D1164" s="6">
        <f t="shared" si="36"/>
        <v>-3.0762973323704184E-2</v>
      </c>
    </row>
    <row r="1165" spans="1:4" x14ac:dyDescent="0.25">
      <c r="A1165" t="s">
        <v>1212</v>
      </c>
      <c r="B1165">
        <v>35.979999999999997</v>
      </c>
      <c r="C1165" s="6">
        <f t="shared" si="37"/>
        <v>3.9283651068746428E-2</v>
      </c>
      <c r="D1165" s="6">
        <f t="shared" si="36"/>
        <v>3.8531678774323889E-2</v>
      </c>
    </row>
    <row r="1166" spans="1:4" x14ac:dyDescent="0.25">
      <c r="A1166" t="s">
        <v>1213</v>
      </c>
      <c r="B1166">
        <v>34.619999999999997</v>
      </c>
      <c r="C1166" s="6">
        <f t="shared" si="37"/>
        <v>-2.4788732394366297E-2</v>
      </c>
      <c r="D1166" s="6">
        <f t="shared" si="36"/>
        <v>-2.5101146733307021E-2</v>
      </c>
    </row>
    <row r="1167" spans="1:4" x14ac:dyDescent="0.25">
      <c r="A1167" t="s">
        <v>1214</v>
      </c>
      <c r="B1167">
        <v>35.5</v>
      </c>
      <c r="C1167" s="6">
        <f t="shared" si="37"/>
        <v>1.4285714285714235E-2</v>
      </c>
      <c r="D1167" s="6">
        <f t="shared" si="36"/>
        <v>1.4184634991956381E-2</v>
      </c>
    </row>
    <row r="1168" spans="1:4" x14ac:dyDescent="0.25">
      <c r="A1168" t="s">
        <v>1215</v>
      </c>
      <c r="B1168">
        <v>35</v>
      </c>
      <c r="C1168" s="6">
        <f t="shared" si="37"/>
        <v>-1.4362151506617793E-2</v>
      </c>
      <c r="D1168" s="6">
        <f t="shared" si="36"/>
        <v>-1.4466285465582785E-2</v>
      </c>
    </row>
    <row r="1169" spans="1:4" x14ac:dyDescent="0.25">
      <c r="A1169" t="s">
        <v>1216</v>
      </c>
      <c r="B1169">
        <v>35.51</v>
      </c>
      <c r="C1169" s="6">
        <f t="shared" si="37"/>
        <v>1.5441807263368634E-2</v>
      </c>
      <c r="D1169" s="6">
        <f t="shared" si="36"/>
        <v>1.5323795879712084E-2</v>
      </c>
    </row>
    <row r="1170" spans="1:4" x14ac:dyDescent="0.25">
      <c r="A1170" t="s">
        <v>1217</v>
      </c>
      <c r="B1170">
        <v>34.97</v>
      </c>
      <c r="C1170" s="6">
        <f t="shared" si="37"/>
        <v>-2.7530589543937722E-2</v>
      </c>
      <c r="D1170" s="6">
        <f t="shared" si="36"/>
        <v>-2.7916658528135064E-2</v>
      </c>
    </row>
    <row r="1171" spans="1:4" x14ac:dyDescent="0.25">
      <c r="A1171" t="s">
        <v>1218</v>
      </c>
      <c r="B1171">
        <v>35.96</v>
      </c>
      <c r="C1171" s="6">
        <f t="shared" si="37"/>
        <v>-3.229278794402568E-2</v>
      </c>
      <c r="D1171" s="6">
        <f t="shared" si="36"/>
        <v>-3.2825704342218084E-2</v>
      </c>
    </row>
    <row r="1172" spans="1:4" x14ac:dyDescent="0.25">
      <c r="A1172" t="s">
        <v>1219</v>
      </c>
      <c r="B1172">
        <v>37.159999999999997</v>
      </c>
      <c r="C1172" s="6">
        <f t="shared" si="37"/>
        <v>1.1431682090364603E-2</v>
      </c>
      <c r="D1172" s="6">
        <f t="shared" si="36"/>
        <v>1.1366834158658055E-2</v>
      </c>
    </row>
    <row r="1173" spans="1:4" x14ac:dyDescent="0.25">
      <c r="A1173" t="s">
        <v>1220</v>
      </c>
      <c r="B1173">
        <v>36.74</v>
      </c>
      <c r="C1173" s="6">
        <f t="shared" si="37"/>
        <v>4.4937428896473453E-2</v>
      </c>
      <c r="D1173" s="6">
        <f t="shared" si="36"/>
        <v>4.3957006970003522E-2</v>
      </c>
    </row>
    <row r="1174" spans="1:4" x14ac:dyDescent="0.25">
      <c r="A1174" t="s">
        <v>1221</v>
      </c>
      <c r="B1174">
        <v>35.159999999999997</v>
      </c>
      <c r="C1174" s="6">
        <f t="shared" si="37"/>
        <v>-1.3744740532959376E-2</v>
      </c>
      <c r="D1174" s="6">
        <f t="shared" si="36"/>
        <v>-1.3840074043328746E-2</v>
      </c>
    </row>
    <row r="1175" spans="1:4" x14ac:dyDescent="0.25">
      <c r="A1175" t="s">
        <v>1222</v>
      </c>
      <c r="B1175">
        <v>35.65</v>
      </c>
      <c r="C1175" s="6">
        <f t="shared" si="37"/>
        <v>-9.4470686301751927E-3</v>
      </c>
      <c r="D1175" s="6">
        <f t="shared" si="36"/>
        <v>-9.4919752306345338E-3</v>
      </c>
    </row>
    <row r="1176" spans="1:4" x14ac:dyDescent="0.25">
      <c r="A1176" t="s">
        <v>1223</v>
      </c>
      <c r="B1176">
        <v>35.99</v>
      </c>
      <c r="C1176" s="6">
        <f t="shared" si="37"/>
        <v>-1.4782370654256805E-2</v>
      </c>
      <c r="D1176" s="6">
        <f t="shared" si="36"/>
        <v>-1.4892718716251831E-2</v>
      </c>
    </row>
    <row r="1177" spans="1:4" x14ac:dyDescent="0.25">
      <c r="A1177" t="s">
        <v>1224</v>
      </c>
      <c r="B1177">
        <v>36.53</v>
      </c>
      <c r="C1177" s="6">
        <f t="shared" si="37"/>
        <v>-2.6645350386357625E-2</v>
      </c>
      <c r="D1177" s="6">
        <f t="shared" si="36"/>
        <v>-2.7006772339738375E-2</v>
      </c>
    </row>
    <row r="1178" spans="1:4" x14ac:dyDescent="0.25">
      <c r="A1178" t="s">
        <v>1225</v>
      </c>
      <c r="B1178">
        <v>37.53</v>
      </c>
      <c r="C1178" s="6">
        <f t="shared" si="37"/>
        <v>1.2135922330097193E-2</v>
      </c>
      <c r="D1178" s="6">
        <f t="shared" si="36"/>
        <v>1.2062872449275163E-2</v>
      </c>
    </row>
    <row r="1179" spans="1:4" x14ac:dyDescent="0.25">
      <c r="A1179" t="s">
        <v>1226</v>
      </c>
      <c r="B1179">
        <v>37.08</v>
      </c>
      <c r="C1179" s="6">
        <f t="shared" si="37"/>
        <v>-1.7227670288894714E-2</v>
      </c>
      <c r="D1179" s="6">
        <f t="shared" si="36"/>
        <v>-1.7377793278564622E-2</v>
      </c>
    </row>
    <row r="1180" spans="1:4" x14ac:dyDescent="0.25">
      <c r="A1180" t="s">
        <v>1227</v>
      </c>
      <c r="B1180">
        <v>37.729999999999997</v>
      </c>
      <c r="C1180" s="6">
        <f t="shared" si="37"/>
        <v>-3.9598732840551154E-3</v>
      </c>
      <c r="D1180" s="6">
        <f t="shared" si="36"/>
        <v>-3.9677343416586091E-3</v>
      </c>
    </row>
    <row r="1181" spans="1:4" x14ac:dyDescent="0.25">
      <c r="A1181" t="s">
        <v>1228</v>
      </c>
      <c r="B1181">
        <v>37.880000000000003</v>
      </c>
      <c r="C1181" s="6">
        <f t="shared" si="37"/>
        <v>1.6094420600858417E-2</v>
      </c>
      <c r="D1181" s="6">
        <f t="shared" si="36"/>
        <v>1.5966278500487107E-2</v>
      </c>
    </row>
    <row r="1182" spans="1:4" x14ac:dyDescent="0.25">
      <c r="A1182" t="s">
        <v>1229</v>
      </c>
      <c r="B1182">
        <v>37.28</v>
      </c>
      <c r="C1182" s="6">
        <f t="shared" si="37"/>
        <v>1.0024383635871104E-2</v>
      </c>
      <c r="D1182" s="6">
        <f t="shared" si="36"/>
        <v>9.9744727754832972E-3</v>
      </c>
    </row>
    <row r="1183" spans="1:4" x14ac:dyDescent="0.25">
      <c r="A1183" t="s">
        <v>1230</v>
      </c>
      <c r="B1183">
        <v>36.909999999999997</v>
      </c>
      <c r="C1183" s="6">
        <f t="shared" si="37"/>
        <v>-9.1275167785236366E-3</v>
      </c>
      <c r="D1183" s="6">
        <f t="shared" si="36"/>
        <v>-9.1694277836614664E-3</v>
      </c>
    </row>
    <row r="1184" spans="1:4" x14ac:dyDescent="0.25">
      <c r="A1184" t="s">
        <v>1231</v>
      </c>
      <c r="B1184">
        <v>37.25</v>
      </c>
      <c r="C1184" s="6">
        <f t="shared" si="37"/>
        <v>2.1522733387140391E-3</v>
      </c>
      <c r="D1184" s="6">
        <f t="shared" si="36"/>
        <v>2.149960516407774E-3</v>
      </c>
    </row>
    <row r="1185" spans="1:4" x14ac:dyDescent="0.25">
      <c r="A1185" t="s">
        <v>1232</v>
      </c>
      <c r="B1185">
        <v>37.17</v>
      </c>
      <c r="C1185" s="6">
        <f t="shared" si="37"/>
        <v>8.6838534599729122E-3</v>
      </c>
      <c r="D1185" s="6">
        <f t="shared" si="36"/>
        <v>8.6463656738152098E-3</v>
      </c>
    </row>
    <row r="1186" spans="1:4" x14ac:dyDescent="0.25">
      <c r="A1186" t="s">
        <v>1233</v>
      </c>
      <c r="B1186">
        <v>36.85</v>
      </c>
      <c r="C1186" s="6">
        <f t="shared" si="37"/>
        <v>-1.8959913326110911E-3</v>
      </c>
      <c r="D1186" s="6">
        <f t="shared" si="36"/>
        <v>-1.8977909993058381E-3</v>
      </c>
    </row>
    <row r="1187" spans="1:4" x14ac:dyDescent="0.25">
      <c r="A1187" t="s">
        <v>1234</v>
      </c>
      <c r="B1187">
        <v>36.92</v>
      </c>
      <c r="C1187" s="6">
        <f t="shared" si="37"/>
        <v>1.8763796909492259E-2</v>
      </c>
      <c r="D1187" s="6">
        <f t="shared" si="36"/>
        <v>1.8589928459872812E-2</v>
      </c>
    </row>
    <row r="1188" spans="1:4" x14ac:dyDescent="0.25">
      <c r="A1188" t="s">
        <v>1235</v>
      </c>
      <c r="B1188">
        <v>36.24</v>
      </c>
      <c r="C1188" s="6">
        <f t="shared" si="37"/>
        <v>1.1049723756906271E-3</v>
      </c>
      <c r="D1188" s="6">
        <f t="shared" si="36"/>
        <v>1.1043623430532275E-3</v>
      </c>
    </row>
    <row r="1189" spans="1:4" x14ac:dyDescent="0.25">
      <c r="A1189" t="s">
        <v>1236</v>
      </c>
      <c r="B1189">
        <v>36.200000000000003</v>
      </c>
      <c r="C1189" s="6">
        <f t="shared" si="37"/>
        <v>1.0044642857142794E-2</v>
      </c>
      <c r="D1189" s="6">
        <f t="shared" si="36"/>
        <v>9.9945307249955876E-3</v>
      </c>
    </row>
    <row r="1190" spans="1:4" x14ac:dyDescent="0.25">
      <c r="A1190" t="s">
        <v>1237</v>
      </c>
      <c r="B1190">
        <v>35.840000000000003</v>
      </c>
      <c r="C1190" s="6">
        <f t="shared" si="37"/>
        <v>-1.1310344827586083E-2</v>
      </c>
      <c r="D1190" s="6">
        <f t="shared" si="36"/>
        <v>-1.1374793193953936E-2</v>
      </c>
    </row>
    <row r="1191" spans="1:4" x14ac:dyDescent="0.25">
      <c r="A1191" t="s">
        <v>1238</v>
      </c>
      <c r="B1191">
        <v>36.25</v>
      </c>
      <c r="C1191" s="6">
        <f t="shared" si="37"/>
        <v>8.9062065126634948E-3</v>
      </c>
      <c r="D1191" s="6">
        <f t="shared" si="36"/>
        <v>8.8667801752564043E-3</v>
      </c>
    </row>
    <row r="1192" spans="1:4" x14ac:dyDescent="0.25">
      <c r="A1192" t="s">
        <v>1239</v>
      </c>
      <c r="B1192">
        <v>35.93</v>
      </c>
      <c r="C1192" s="6">
        <f t="shared" si="37"/>
        <v>-1.803771522273856E-2</v>
      </c>
      <c r="D1192" s="6">
        <f t="shared" si="36"/>
        <v>-1.820237790568819E-2</v>
      </c>
    </row>
    <row r="1193" spans="1:4" x14ac:dyDescent="0.25">
      <c r="A1193" t="s">
        <v>1240</v>
      </c>
      <c r="B1193">
        <v>36.590000000000003</v>
      </c>
      <c r="C1193" s="6">
        <f t="shared" si="37"/>
        <v>1.2171507607192433E-2</v>
      </c>
      <c r="D1193" s="6">
        <f t="shared" si="36"/>
        <v>1.2098030426341926E-2</v>
      </c>
    </row>
    <row r="1194" spans="1:4" x14ac:dyDescent="0.25">
      <c r="A1194" t="s">
        <v>1241</v>
      </c>
      <c r="B1194">
        <v>36.15</v>
      </c>
      <c r="C1194" s="6">
        <f t="shared" si="37"/>
        <v>-7.4135090609556142E-3</v>
      </c>
      <c r="D1194" s="6">
        <f t="shared" si="36"/>
        <v>-7.4411256946882972E-3</v>
      </c>
    </row>
    <row r="1195" spans="1:4" x14ac:dyDescent="0.25">
      <c r="A1195" t="s">
        <v>1242</v>
      </c>
      <c r="B1195">
        <v>36.42</v>
      </c>
      <c r="C1195" s="6">
        <f t="shared" si="37"/>
        <v>2.0739910313901433E-2</v>
      </c>
      <c r="D1195" s="6">
        <f t="shared" si="36"/>
        <v>2.0527766587653352E-2</v>
      </c>
    </row>
    <row r="1196" spans="1:4" x14ac:dyDescent="0.25">
      <c r="A1196" t="s">
        <v>1243</v>
      </c>
      <c r="B1196">
        <v>35.68</v>
      </c>
      <c r="C1196" s="6">
        <f t="shared" si="37"/>
        <v>-6.4049011417431911E-3</v>
      </c>
      <c r="D1196" s="6">
        <f t="shared" si="36"/>
        <v>-6.4255005261827864E-3</v>
      </c>
    </row>
    <row r="1197" spans="1:4" x14ac:dyDescent="0.25">
      <c r="A1197" t="s">
        <v>1244</v>
      </c>
      <c r="B1197">
        <v>35.909999999999997</v>
      </c>
      <c r="C1197" s="6">
        <f t="shared" si="37"/>
        <v>-8.5588072887907707E-3</v>
      </c>
      <c r="D1197" s="6">
        <f t="shared" si="36"/>
        <v>-8.5956442172758999E-3</v>
      </c>
    </row>
    <row r="1198" spans="1:4" x14ac:dyDescent="0.25">
      <c r="A1198" t="s">
        <v>1245</v>
      </c>
      <c r="B1198">
        <v>36.22</v>
      </c>
      <c r="C1198" s="6">
        <f t="shared" si="37"/>
        <v>2.7685492801772238E-3</v>
      </c>
      <c r="D1198" s="6">
        <f t="shared" si="36"/>
        <v>2.764723906482689E-3</v>
      </c>
    </row>
    <row r="1199" spans="1:4" x14ac:dyDescent="0.25">
      <c r="A1199" t="s">
        <v>1246</v>
      </c>
      <c r="B1199">
        <v>36.119999999999997</v>
      </c>
      <c r="C1199" s="6">
        <f t="shared" si="37"/>
        <v>2.4099801531046072E-2</v>
      </c>
      <c r="D1199" s="6">
        <f t="shared" si="36"/>
        <v>2.3813984300823904E-2</v>
      </c>
    </row>
    <row r="1200" spans="1:4" x14ac:dyDescent="0.25">
      <c r="A1200" t="s">
        <v>1247</v>
      </c>
      <c r="B1200">
        <v>35.270000000000003</v>
      </c>
      <c r="C1200" s="6">
        <f t="shared" si="37"/>
        <v>2.7980180705333701E-2</v>
      </c>
      <c r="D1200" s="6">
        <f t="shared" si="36"/>
        <v>2.7595887377602258E-2</v>
      </c>
    </row>
    <row r="1201" spans="1:4" x14ac:dyDescent="0.25">
      <c r="A1201" t="s">
        <v>1248</v>
      </c>
      <c r="B1201">
        <v>34.31</v>
      </c>
      <c r="C1201" s="6">
        <f t="shared" si="37"/>
        <v>7.6358296622616173E-3</v>
      </c>
      <c r="D1201" s="6">
        <f t="shared" si="36"/>
        <v>7.6068242748372102E-3</v>
      </c>
    </row>
    <row r="1202" spans="1:4" x14ac:dyDescent="0.25">
      <c r="A1202" t="s">
        <v>1249</v>
      </c>
      <c r="B1202">
        <v>34.049999999999997</v>
      </c>
      <c r="C1202" s="6">
        <f t="shared" si="37"/>
        <v>7.6945841965077033E-3</v>
      </c>
      <c r="D1202" s="6">
        <f t="shared" si="36"/>
        <v>7.6651318693226568E-3</v>
      </c>
    </row>
    <row r="1203" spans="1:4" x14ac:dyDescent="0.25">
      <c r="A1203" t="s">
        <v>1250</v>
      </c>
      <c r="B1203">
        <v>33.79</v>
      </c>
      <c r="C1203" s="6">
        <f t="shared" si="37"/>
        <v>-3.5387791212031505E-3</v>
      </c>
      <c r="D1203" s="6">
        <f t="shared" ref="D1203:D1260" si="38">LN(B1203/B1204)</f>
        <v>-3.5450554113486323E-3</v>
      </c>
    </row>
    <row r="1204" spans="1:4" x14ac:dyDescent="0.25">
      <c r="A1204" t="s">
        <v>1251</v>
      </c>
      <c r="B1204">
        <v>33.909999999999997</v>
      </c>
      <c r="C1204" s="6">
        <f t="shared" ref="C1204:C1260" si="39">(B1204/B1205)-1</f>
        <v>-8.4795321637428644E-3</v>
      </c>
      <c r="D1204" s="6">
        <f t="shared" si="38"/>
        <v>-8.5156879310123983E-3</v>
      </c>
    </row>
    <row r="1205" spans="1:4" x14ac:dyDescent="0.25">
      <c r="A1205" t="s">
        <v>1252</v>
      </c>
      <c r="B1205">
        <v>34.200000000000003</v>
      </c>
      <c r="C1205" s="6">
        <f t="shared" si="39"/>
        <v>3.919781221513241E-2</v>
      </c>
      <c r="D1205" s="6">
        <f t="shared" si="38"/>
        <v>3.844908111331112E-2</v>
      </c>
    </row>
    <row r="1206" spans="1:4" x14ac:dyDescent="0.25">
      <c r="A1206" t="s">
        <v>1253</v>
      </c>
      <c r="B1206">
        <v>32.909999999999997</v>
      </c>
      <c r="C1206" s="6">
        <f t="shared" si="39"/>
        <v>4.5787545787545625E-3</v>
      </c>
      <c r="D1206" s="6">
        <f t="shared" si="38"/>
        <v>4.5683039703798781E-3</v>
      </c>
    </row>
    <row r="1207" spans="1:4" x14ac:dyDescent="0.25">
      <c r="A1207" t="s">
        <v>1254</v>
      </c>
      <c r="B1207">
        <v>32.76</v>
      </c>
      <c r="C1207" s="6">
        <f t="shared" si="39"/>
        <v>-4.0983606557376984E-2</v>
      </c>
      <c r="D1207" s="6">
        <f t="shared" si="38"/>
        <v>-4.1847109935500372E-2</v>
      </c>
    </row>
    <row r="1208" spans="1:4" x14ac:dyDescent="0.25">
      <c r="A1208" t="s">
        <v>1255</v>
      </c>
      <c r="B1208">
        <v>34.159999999999997</v>
      </c>
      <c r="C1208" s="6">
        <f t="shared" si="39"/>
        <v>-8.9933275311866456E-3</v>
      </c>
      <c r="D1208" s="6">
        <f t="shared" si="38"/>
        <v>-9.034011608404998E-3</v>
      </c>
    </row>
    <row r="1209" spans="1:4" x14ac:dyDescent="0.25">
      <c r="A1209" t="s">
        <v>1256</v>
      </c>
      <c r="B1209">
        <v>34.47</v>
      </c>
      <c r="C1209" s="6">
        <f t="shared" si="39"/>
        <v>-5.798782255727053E-4</v>
      </c>
      <c r="D1209" s="6">
        <f t="shared" si="38"/>
        <v>-5.800464199756096E-4</v>
      </c>
    </row>
    <row r="1210" spans="1:4" x14ac:dyDescent="0.25">
      <c r="A1210" t="s">
        <v>1257</v>
      </c>
      <c r="B1210">
        <v>34.49</v>
      </c>
      <c r="C1210" s="6">
        <f t="shared" si="39"/>
        <v>-2.211511199319538E-2</v>
      </c>
      <c r="D1210" s="6">
        <f t="shared" si="38"/>
        <v>-2.2363317299211118E-2</v>
      </c>
    </row>
    <row r="1211" spans="1:4" x14ac:dyDescent="0.25">
      <c r="A1211" t="s">
        <v>1258</v>
      </c>
      <c r="B1211">
        <v>35.270000000000003</v>
      </c>
      <c r="C1211" s="6">
        <f t="shared" si="39"/>
        <v>-8.1552305961754001E-3</v>
      </c>
      <c r="D1211" s="6">
        <f t="shared" si="38"/>
        <v>-8.1886663977431239E-3</v>
      </c>
    </row>
    <row r="1212" spans="1:4" x14ac:dyDescent="0.25">
      <c r="A1212" t="s">
        <v>1259</v>
      </c>
      <c r="B1212">
        <v>35.56</v>
      </c>
      <c r="C1212" s="6">
        <f t="shared" si="39"/>
        <v>6.5100481177471359E-3</v>
      </c>
      <c r="D1212" s="6">
        <f t="shared" si="38"/>
        <v>6.4889492746501567E-3</v>
      </c>
    </row>
    <row r="1213" spans="1:4" x14ac:dyDescent="0.25">
      <c r="A1213" t="s">
        <v>1260</v>
      </c>
      <c r="B1213">
        <v>35.33</v>
      </c>
      <c r="C1213" s="6">
        <f t="shared" si="39"/>
        <v>-8.1414935429533486E-3</v>
      </c>
      <c r="D1213" s="6">
        <f t="shared" si="38"/>
        <v>-8.1748164904616935E-3</v>
      </c>
    </row>
    <row r="1214" spans="1:4" x14ac:dyDescent="0.25">
      <c r="A1214" t="s">
        <v>1261</v>
      </c>
      <c r="B1214">
        <v>35.619999999999997</v>
      </c>
      <c r="C1214" s="6">
        <f t="shared" si="39"/>
        <v>-2.2408963585435204E-3</v>
      </c>
      <c r="D1214" s="6">
        <f t="shared" si="38"/>
        <v>-2.2434109240779031E-3</v>
      </c>
    </row>
    <row r="1215" spans="1:4" x14ac:dyDescent="0.25">
      <c r="A1215" t="s">
        <v>1262</v>
      </c>
      <c r="B1215">
        <v>35.700000000000003</v>
      </c>
      <c r="C1215" s="6">
        <f t="shared" si="39"/>
        <v>5.6053811659206865E-4</v>
      </c>
      <c r="D1215" s="6">
        <f t="shared" si="38"/>
        <v>5.6038107378490482E-4</v>
      </c>
    </row>
    <row r="1216" spans="1:4" x14ac:dyDescent="0.25">
      <c r="A1216" t="s">
        <v>1263</v>
      </c>
      <c r="B1216">
        <v>35.68</v>
      </c>
      <c r="C1216" s="6">
        <f t="shared" si="39"/>
        <v>1.5078236130867673E-2</v>
      </c>
      <c r="D1216" s="6">
        <f t="shared" si="38"/>
        <v>1.4965689455134681E-2</v>
      </c>
    </row>
    <row r="1217" spans="1:4" x14ac:dyDescent="0.25">
      <c r="A1217" t="s">
        <v>1264</v>
      </c>
      <c r="B1217">
        <v>35.15</v>
      </c>
      <c r="C1217" s="6">
        <f t="shared" si="39"/>
        <v>-2.034559643255307E-2</v>
      </c>
      <c r="D1217" s="6">
        <f t="shared" si="38"/>
        <v>-2.0555418933921578E-2</v>
      </c>
    </row>
    <row r="1218" spans="1:4" x14ac:dyDescent="0.25">
      <c r="A1218" t="s">
        <v>1265</v>
      </c>
      <c r="B1218">
        <v>35.880000000000003</v>
      </c>
      <c r="C1218" s="6">
        <f t="shared" si="39"/>
        <v>2.896472612560963E-2</v>
      </c>
      <c r="D1218" s="6">
        <f t="shared" si="38"/>
        <v>2.8553176503035797E-2</v>
      </c>
    </row>
    <row r="1219" spans="1:4" x14ac:dyDescent="0.25">
      <c r="A1219" t="s">
        <v>1266</v>
      </c>
      <c r="B1219">
        <v>34.869999999999997</v>
      </c>
      <c r="C1219" s="6">
        <f t="shared" si="39"/>
        <v>-2.5743707093822676E-3</v>
      </c>
      <c r="D1219" s="6">
        <f t="shared" si="38"/>
        <v>-2.5776900997750377E-3</v>
      </c>
    </row>
    <row r="1220" spans="1:4" x14ac:dyDescent="0.25">
      <c r="A1220" t="s">
        <v>1267</v>
      </c>
      <c r="B1220">
        <v>34.96</v>
      </c>
      <c r="C1220" s="6">
        <f t="shared" si="39"/>
        <v>6.3327576280944875E-3</v>
      </c>
      <c r="D1220" s="6">
        <f t="shared" si="38"/>
        <v>6.3127899743759064E-3</v>
      </c>
    </row>
    <row r="1221" spans="1:4" x14ac:dyDescent="0.25">
      <c r="A1221" t="s">
        <v>1268</v>
      </c>
      <c r="B1221">
        <v>34.74</v>
      </c>
      <c r="C1221" s="6">
        <f t="shared" si="39"/>
        <v>-1.4747589336358335E-2</v>
      </c>
      <c r="D1221" s="6">
        <f t="shared" si="38"/>
        <v>-1.4857416156765146E-2</v>
      </c>
    </row>
    <row r="1222" spans="1:4" x14ac:dyDescent="0.25">
      <c r="A1222" t="s">
        <v>1269</v>
      </c>
      <c r="B1222">
        <v>35.26</v>
      </c>
      <c r="C1222" s="6">
        <f t="shared" si="39"/>
        <v>2.3809523809523725E-2</v>
      </c>
      <c r="D1222" s="6">
        <f t="shared" si="38"/>
        <v>2.3530497410194036E-2</v>
      </c>
    </row>
    <row r="1223" spans="1:4" x14ac:dyDescent="0.25">
      <c r="A1223" t="s">
        <v>1270</v>
      </c>
      <c r="B1223">
        <v>34.44</v>
      </c>
      <c r="C1223" s="6">
        <f t="shared" si="39"/>
        <v>1.4539110206455153E-3</v>
      </c>
      <c r="D1223" s="6">
        <f t="shared" si="38"/>
        <v>1.4528551153551912E-3</v>
      </c>
    </row>
    <row r="1224" spans="1:4" x14ac:dyDescent="0.25">
      <c r="A1224" t="s">
        <v>1271</v>
      </c>
      <c r="B1224">
        <v>34.39</v>
      </c>
      <c r="C1224" s="6">
        <f t="shared" si="39"/>
        <v>-1.1781609195402165E-2</v>
      </c>
      <c r="D1224" s="6">
        <f t="shared" si="38"/>
        <v>-1.1851562336253679E-2</v>
      </c>
    </row>
    <row r="1225" spans="1:4" x14ac:dyDescent="0.25">
      <c r="A1225" t="s">
        <v>1272</v>
      </c>
      <c r="B1225">
        <v>34.799999999999997</v>
      </c>
      <c r="C1225" s="6">
        <f t="shared" si="39"/>
        <v>2.3041474654377225E-3</v>
      </c>
      <c r="D1225" s="6">
        <f t="shared" si="38"/>
        <v>2.3014969882791674E-3</v>
      </c>
    </row>
    <row r="1226" spans="1:4" x14ac:dyDescent="0.25">
      <c r="A1226" t="s">
        <v>1273</v>
      </c>
      <c r="B1226">
        <v>34.72</v>
      </c>
      <c r="C1226" s="6">
        <f t="shared" si="39"/>
        <v>2.7522935779816571E-2</v>
      </c>
      <c r="D1226" s="6">
        <f t="shared" si="38"/>
        <v>2.7150989065950898E-2</v>
      </c>
    </row>
    <row r="1227" spans="1:4" x14ac:dyDescent="0.25">
      <c r="A1227" t="s">
        <v>1274</v>
      </c>
      <c r="B1227">
        <v>33.79</v>
      </c>
      <c r="C1227" s="6">
        <f t="shared" si="39"/>
        <v>-1.3430656934306562E-2</v>
      </c>
      <c r="D1227" s="6">
        <f t="shared" si="38"/>
        <v>-1.3521663982035711E-2</v>
      </c>
    </row>
    <row r="1228" spans="1:4" x14ac:dyDescent="0.25">
      <c r="A1228" t="s">
        <v>1275</v>
      </c>
      <c r="B1228">
        <v>34.25</v>
      </c>
      <c r="C1228" s="6">
        <f t="shared" si="39"/>
        <v>-8.7514585764292274E-4</v>
      </c>
      <c r="D1228" s="6">
        <f t="shared" si="38"/>
        <v>-8.7552902134472601E-4</v>
      </c>
    </row>
    <row r="1229" spans="1:4" x14ac:dyDescent="0.25">
      <c r="A1229" t="s">
        <v>1276</v>
      </c>
      <c r="B1229">
        <v>34.28</v>
      </c>
      <c r="C1229" s="6">
        <f t="shared" si="39"/>
        <v>1.7814726840855055E-2</v>
      </c>
      <c r="D1229" s="6">
        <f t="shared" si="38"/>
        <v>1.7657904355453013E-2</v>
      </c>
    </row>
    <row r="1230" spans="1:4" x14ac:dyDescent="0.25">
      <c r="A1230" t="s">
        <v>1277</v>
      </c>
      <c r="B1230">
        <v>33.68</v>
      </c>
      <c r="C1230" s="6">
        <f t="shared" si="39"/>
        <v>4.4736057262153572E-3</v>
      </c>
      <c r="D1230" s="6">
        <f t="shared" si="38"/>
        <v>4.4636288959888333E-3</v>
      </c>
    </row>
    <row r="1231" spans="1:4" x14ac:dyDescent="0.25">
      <c r="A1231" t="s">
        <v>1278</v>
      </c>
      <c r="B1231">
        <v>33.53</v>
      </c>
      <c r="C1231" s="6">
        <f t="shared" si="39"/>
        <v>-4.9064095292115639E-2</v>
      </c>
      <c r="D1231" s="6">
        <f t="shared" si="38"/>
        <v>-5.0308616491586917E-2</v>
      </c>
    </row>
    <row r="1232" spans="1:4" x14ac:dyDescent="0.25">
      <c r="A1232" t="s">
        <v>1279</v>
      </c>
      <c r="B1232">
        <v>35.26</v>
      </c>
      <c r="C1232" s="6">
        <f t="shared" si="39"/>
        <v>-5.0790067720090093E-3</v>
      </c>
      <c r="D1232" s="6">
        <f t="shared" si="38"/>
        <v>-5.0919487671560095E-3</v>
      </c>
    </row>
    <row r="1233" spans="1:4" x14ac:dyDescent="0.25">
      <c r="A1233" t="s">
        <v>1280</v>
      </c>
      <c r="B1233">
        <v>35.44</v>
      </c>
      <c r="C1233" s="6">
        <f t="shared" si="39"/>
        <v>-3.8524145415084199E-2</v>
      </c>
      <c r="D1233" s="6">
        <f t="shared" si="38"/>
        <v>-3.9285826504797124E-2</v>
      </c>
    </row>
    <row r="1234" spans="1:4" x14ac:dyDescent="0.25">
      <c r="A1234" t="s">
        <v>1281</v>
      </c>
      <c r="B1234">
        <v>36.86</v>
      </c>
      <c r="C1234" s="6">
        <f t="shared" si="39"/>
        <v>9.0336709553791028E-3</v>
      </c>
      <c r="D1234" s="6">
        <f t="shared" si="38"/>
        <v>8.9931114344860529E-3</v>
      </c>
    </row>
    <row r="1235" spans="1:4" x14ac:dyDescent="0.25">
      <c r="A1235" t="s">
        <v>1282</v>
      </c>
      <c r="B1235">
        <v>36.53</v>
      </c>
      <c r="C1235" s="6">
        <f t="shared" si="39"/>
        <v>3.4258210645526699E-2</v>
      </c>
      <c r="D1235" s="6">
        <f t="shared" si="38"/>
        <v>3.3684465071431954E-2</v>
      </c>
    </row>
    <row r="1236" spans="1:4" x14ac:dyDescent="0.25">
      <c r="A1236" t="s">
        <v>1283</v>
      </c>
      <c r="B1236">
        <v>35.32</v>
      </c>
      <c r="C1236" s="6">
        <f t="shared" si="39"/>
        <v>-3.3123460169723562E-2</v>
      </c>
      <c r="D1236" s="6">
        <f t="shared" si="38"/>
        <v>-3.368446507143192E-2</v>
      </c>
    </row>
    <row r="1237" spans="1:4" x14ac:dyDescent="0.25">
      <c r="A1237" t="s">
        <v>1284</v>
      </c>
      <c r="B1237">
        <v>36.53</v>
      </c>
      <c r="C1237" s="6">
        <f t="shared" si="39"/>
        <v>3.9851978366068908E-2</v>
      </c>
      <c r="D1237" s="6">
        <f t="shared" si="38"/>
        <v>3.9078374529455485E-2</v>
      </c>
    </row>
    <row r="1238" spans="1:4" x14ac:dyDescent="0.25">
      <c r="A1238" t="s">
        <v>1285</v>
      </c>
      <c r="B1238">
        <v>35.130000000000003</v>
      </c>
      <c r="C1238" s="6">
        <f t="shared" si="39"/>
        <v>3.6588964296252691E-2</v>
      </c>
      <c r="D1238" s="6">
        <f t="shared" si="38"/>
        <v>3.5935480658775804E-2</v>
      </c>
    </row>
    <row r="1239" spans="1:4" x14ac:dyDescent="0.25">
      <c r="A1239" t="s">
        <v>1286</v>
      </c>
      <c r="B1239">
        <v>33.89</v>
      </c>
      <c r="C1239" s="6">
        <f t="shared" si="39"/>
        <v>-1.5398024404416066E-2</v>
      </c>
      <c r="D1239" s="6">
        <f t="shared" si="38"/>
        <v>-1.5517805164433421E-2</v>
      </c>
    </row>
    <row r="1240" spans="1:4" x14ac:dyDescent="0.25">
      <c r="A1240" t="s">
        <v>1287</v>
      </c>
      <c r="B1240">
        <v>34.42</v>
      </c>
      <c r="C1240" s="6">
        <f t="shared" si="39"/>
        <v>-3.341757933164835E-2</v>
      </c>
      <c r="D1240" s="6">
        <f t="shared" si="38"/>
        <v>-3.3988706506292939E-2</v>
      </c>
    </row>
    <row r="1241" spans="1:4" x14ac:dyDescent="0.25">
      <c r="A1241" t="s">
        <v>1288</v>
      </c>
      <c r="B1241">
        <v>35.61</v>
      </c>
      <c r="C1241" s="6">
        <f t="shared" si="39"/>
        <v>1.5977175463623539E-2</v>
      </c>
      <c r="D1241" s="6">
        <f t="shared" si="38"/>
        <v>1.5850883809087404E-2</v>
      </c>
    </row>
    <row r="1242" spans="1:4" x14ac:dyDescent="0.25">
      <c r="A1242" t="s">
        <v>1289</v>
      </c>
      <c r="B1242">
        <v>35.049999999999997</v>
      </c>
      <c r="C1242" s="6">
        <f t="shared" si="39"/>
        <v>4.098604098604075E-2</v>
      </c>
      <c r="D1242" s="6">
        <f t="shared" si="38"/>
        <v>4.0168380307615756E-2</v>
      </c>
    </row>
    <row r="1243" spans="1:4" x14ac:dyDescent="0.25">
      <c r="A1243" t="s">
        <v>1290</v>
      </c>
      <c r="B1243">
        <v>33.67</v>
      </c>
      <c r="C1243" s="6">
        <f t="shared" si="39"/>
        <v>2.0303030303030267E-2</v>
      </c>
      <c r="D1243" s="6">
        <f t="shared" si="38"/>
        <v>2.0099671706502845E-2</v>
      </c>
    </row>
    <row r="1244" spans="1:4" x14ac:dyDescent="0.25">
      <c r="A1244" t="s">
        <v>1291</v>
      </c>
      <c r="B1244">
        <v>33</v>
      </c>
      <c r="C1244" s="6">
        <f t="shared" si="39"/>
        <v>-5.4249547920434127E-3</v>
      </c>
      <c r="D1244" s="6">
        <f t="shared" si="38"/>
        <v>-5.4397232958182098E-3</v>
      </c>
    </row>
    <row r="1245" spans="1:4" x14ac:dyDescent="0.25">
      <c r="A1245" t="s">
        <v>1292</v>
      </c>
      <c r="B1245">
        <v>33.18</v>
      </c>
      <c r="C1245" s="6">
        <f t="shared" si="39"/>
        <v>-2.0661157024793431E-2</v>
      </c>
      <c r="D1245" s="6">
        <f t="shared" si="38"/>
        <v>-2.0877585021555255E-2</v>
      </c>
    </row>
    <row r="1246" spans="1:4" x14ac:dyDescent="0.25">
      <c r="A1246" t="s">
        <v>1293</v>
      </c>
      <c r="B1246">
        <v>33.880000000000003</v>
      </c>
      <c r="C1246" s="6">
        <f t="shared" si="39"/>
        <v>-2.0242914979756943E-2</v>
      </c>
      <c r="D1246" s="6">
        <f t="shared" si="38"/>
        <v>-2.0450610471290653E-2</v>
      </c>
    </row>
    <row r="1247" spans="1:4" x14ac:dyDescent="0.25">
      <c r="A1247" t="s">
        <v>1294</v>
      </c>
      <c r="B1247">
        <v>34.58</v>
      </c>
      <c r="C1247" s="6">
        <f t="shared" si="39"/>
        <v>1.288810779144689E-2</v>
      </c>
      <c r="D1247" s="6">
        <f t="shared" si="38"/>
        <v>1.2805762888849798E-2</v>
      </c>
    </row>
    <row r="1248" spans="1:4" x14ac:dyDescent="0.25">
      <c r="A1248" t="s">
        <v>1295</v>
      </c>
      <c r="B1248">
        <v>34.14</v>
      </c>
      <c r="C1248" s="6">
        <f t="shared" si="39"/>
        <v>-4.128053917438923E-2</v>
      </c>
      <c r="D1248" s="6">
        <f t="shared" si="38"/>
        <v>-4.215677992339182E-2</v>
      </c>
    </row>
    <row r="1249" spans="1:4" x14ac:dyDescent="0.25">
      <c r="A1249" t="s">
        <v>1296</v>
      </c>
      <c r="B1249">
        <v>35.61</v>
      </c>
      <c r="C1249" s="6">
        <f t="shared" si="39"/>
        <v>1.1935208866155289E-2</v>
      </c>
      <c r="D1249" s="6">
        <f t="shared" si="38"/>
        <v>1.1864545956192704E-2</v>
      </c>
    </row>
    <row r="1250" spans="1:4" x14ac:dyDescent="0.25">
      <c r="A1250" t="s">
        <v>1297</v>
      </c>
      <c r="B1250">
        <v>35.19</v>
      </c>
      <c r="C1250" s="6">
        <f t="shared" si="39"/>
        <v>1.1206896551724244E-2</v>
      </c>
      <c r="D1250" s="6">
        <f t="shared" si="38"/>
        <v>1.1144564553065237E-2</v>
      </c>
    </row>
    <row r="1251" spans="1:4" x14ac:dyDescent="0.25">
      <c r="A1251" t="s">
        <v>1298</v>
      </c>
      <c r="B1251">
        <v>34.799999999999997</v>
      </c>
      <c r="C1251" s="6">
        <f t="shared" si="39"/>
        <v>1.7271157167528806E-3</v>
      </c>
      <c r="D1251" s="6">
        <f t="shared" si="38"/>
        <v>1.7256259674696358E-3</v>
      </c>
    </row>
    <row r="1252" spans="1:4" x14ac:dyDescent="0.25">
      <c r="A1252" t="s">
        <v>1299</v>
      </c>
      <c r="B1252">
        <v>34.74</v>
      </c>
      <c r="C1252" s="6">
        <f t="shared" si="39"/>
        <v>1.4413375612569723E-3</v>
      </c>
      <c r="D1252" s="6">
        <f t="shared" si="38"/>
        <v>1.4402998313006602E-3</v>
      </c>
    </row>
    <row r="1253" spans="1:4" x14ac:dyDescent="0.25">
      <c r="A1253" t="s">
        <v>1300</v>
      </c>
      <c r="B1253">
        <v>34.69</v>
      </c>
      <c r="C1253" s="6">
        <f t="shared" si="39"/>
        <v>5.5072463768115476E-3</v>
      </c>
      <c r="D1253" s="6">
        <f t="shared" si="38"/>
        <v>5.4921369443442225E-3</v>
      </c>
    </row>
    <row r="1254" spans="1:4" x14ac:dyDescent="0.25">
      <c r="A1254" t="s">
        <v>1301</v>
      </c>
      <c r="B1254">
        <v>34.5</v>
      </c>
      <c r="C1254" s="6">
        <f t="shared" si="39"/>
        <v>-2.897710808460463E-4</v>
      </c>
      <c r="D1254" s="6">
        <f t="shared" si="38"/>
        <v>-2.8981307259788645E-4</v>
      </c>
    </row>
    <row r="1255" spans="1:4" x14ac:dyDescent="0.25">
      <c r="A1255" t="s">
        <v>1302</v>
      </c>
      <c r="B1255">
        <v>34.51</v>
      </c>
      <c r="C1255" s="6">
        <f t="shared" si="39"/>
        <v>8.700696055685686E-4</v>
      </c>
      <c r="D1255" s="6">
        <f t="shared" si="38"/>
        <v>8.6969131441981952E-4</v>
      </c>
    </row>
    <row r="1256" spans="1:4" x14ac:dyDescent="0.25">
      <c r="A1256" t="s">
        <v>1303</v>
      </c>
      <c r="B1256">
        <v>34.479999999999997</v>
      </c>
      <c r="C1256" s="6">
        <f>(B1256/B1257)-1</f>
        <v>-3.4682080924857139E-3</v>
      </c>
      <c r="D1256" s="6">
        <f t="shared" si="38"/>
        <v>-3.4742362681863897E-3</v>
      </c>
    </row>
    <row r="1257" spans="1:4" x14ac:dyDescent="0.25">
      <c r="A1257" t="s">
        <v>1304</v>
      </c>
      <c r="B1257">
        <v>34.6</v>
      </c>
      <c r="C1257" s="6">
        <f t="shared" si="39"/>
        <v>-4.60299194476399E-3</v>
      </c>
      <c r="D1257" s="6">
        <f t="shared" si="38"/>
        <v>-4.6136183335126098E-3</v>
      </c>
    </row>
    <row r="1258" spans="1:4" x14ac:dyDescent="0.25">
      <c r="A1258" t="s">
        <v>1305</v>
      </c>
      <c r="B1258">
        <v>34.76</v>
      </c>
      <c r="C1258" s="6">
        <f t="shared" si="39"/>
        <v>1.0171461784365121E-2</v>
      </c>
      <c r="D1258" s="6">
        <f t="shared" si="38"/>
        <v>1.0120080587802385E-2</v>
      </c>
    </row>
    <row r="1259" spans="1:4" x14ac:dyDescent="0.25">
      <c r="A1259" t="s">
        <v>1306</v>
      </c>
      <c r="B1259">
        <v>34.409999999999997</v>
      </c>
      <c r="C1259" s="6">
        <f t="shared" si="39"/>
        <v>1.0869565217391131E-2</v>
      </c>
      <c r="D1259" s="6">
        <f t="shared" si="38"/>
        <v>1.0810916104215456E-2</v>
      </c>
    </row>
    <row r="1260" spans="1:4" x14ac:dyDescent="0.25">
      <c r="A1260" t="s">
        <v>1307</v>
      </c>
      <c r="B1260">
        <v>34.04</v>
      </c>
      <c r="C1260" s="6" t="e">
        <f t="shared" si="39"/>
        <v>#DIV/0!</v>
      </c>
      <c r="D1260" s="6" t="e">
        <f t="shared" si="38"/>
        <v>#DIV/0!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C67"/>
  <sheetViews>
    <sheetView tabSelected="1" topLeftCell="I1" zoomScale="65" zoomScaleNormal="67" workbookViewId="0">
      <selection activeCell="AC60" sqref="AC60"/>
    </sheetView>
  </sheetViews>
  <sheetFormatPr baseColWidth="10" defaultRowHeight="15" x14ac:dyDescent="0.25"/>
  <cols>
    <col min="1" max="1" width="11.5703125" bestFit="1" customWidth="1"/>
    <col min="2" max="2" width="13.7109375" customWidth="1"/>
    <col min="3" max="5" width="14.5703125" bestFit="1" customWidth="1"/>
    <col min="6" max="7" width="14.42578125" bestFit="1" customWidth="1"/>
    <col min="8" max="8" width="11.5703125" bestFit="1" customWidth="1"/>
    <col min="9" max="9" width="20.140625" customWidth="1"/>
    <col min="12" max="12" width="15.7109375" customWidth="1"/>
    <col min="13" max="16" width="11.5703125" bestFit="1" customWidth="1"/>
    <col min="17" max="17" width="12.28515625" bestFit="1" customWidth="1"/>
    <col min="18" max="18" width="11.5703125" bestFit="1" customWidth="1"/>
    <col min="21" max="21" width="13" bestFit="1" customWidth="1"/>
    <col min="23" max="23" width="17.5703125" customWidth="1"/>
    <col min="24" max="24" width="11.5703125" bestFit="1" customWidth="1"/>
  </cols>
  <sheetData>
    <row r="2" spans="2:24" x14ac:dyDescent="0.25">
      <c r="B2" t="s">
        <v>17</v>
      </c>
      <c r="K2" t="s">
        <v>21</v>
      </c>
      <c r="V2" t="s">
        <v>22</v>
      </c>
    </row>
    <row r="4" spans="2:24" x14ac:dyDescent="0.25">
      <c r="C4" s="2" t="s">
        <v>1309</v>
      </c>
      <c r="D4" s="2" t="s">
        <v>1310</v>
      </c>
      <c r="E4" s="2" t="s">
        <v>1311</v>
      </c>
      <c r="F4" s="2" t="s">
        <v>1312</v>
      </c>
      <c r="G4" s="2" t="s">
        <v>1313</v>
      </c>
      <c r="I4" s="2" t="s">
        <v>18</v>
      </c>
      <c r="L4" s="2" t="s">
        <v>1309</v>
      </c>
      <c r="M4" s="2" t="s">
        <v>1310</v>
      </c>
      <c r="N4" s="2" t="s">
        <v>1311</v>
      </c>
      <c r="O4" s="2" t="s">
        <v>1312</v>
      </c>
      <c r="P4" s="2" t="s">
        <v>1313</v>
      </c>
      <c r="S4" s="2" t="s">
        <v>15</v>
      </c>
      <c r="V4" t="s">
        <v>1314</v>
      </c>
      <c r="W4" cm="1">
        <f t="array" ref="W4:W9">MMULT(MINVERSE(L5:Q10),S5:S10)</f>
        <v>7.9043522552076084E-2</v>
      </c>
      <c r="X4">
        <f>SUM(W4:W8)</f>
        <v>0.99999999999999989</v>
      </c>
    </row>
    <row r="5" spans="2:24" x14ac:dyDescent="0.25">
      <c r="B5" s="2" t="s">
        <v>1309</v>
      </c>
      <c r="C5" s="17">
        <f>+_xlfn.VAR.S(GFNORTEO!C2:C1259)</f>
        <v>4.8130730917064112E-4</v>
      </c>
      <c r="D5" s="17">
        <f>+C6</f>
        <v>6.2103730267803841E-5</v>
      </c>
      <c r="E5" s="17">
        <f>+C7</f>
        <v>1.5183541838001825E-4</v>
      </c>
      <c r="F5" s="17">
        <f>+C8</f>
        <v>9.9748216900757725E-5</v>
      </c>
      <c r="G5" s="17">
        <f>+C9</f>
        <v>7.8803206130250209E-5</v>
      </c>
      <c r="I5">
        <f>+AVERAGE(GFNORTEO!C2:C1259)</f>
        <v>9.8655288159288325E-4</v>
      </c>
      <c r="K5" s="2" t="s">
        <v>1309</v>
      </c>
      <c r="L5" s="17">
        <f>C5</f>
        <v>4.8130730917064112E-4</v>
      </c>
      <c r="M5" s="17">
        <f t="shared" ref="M5:P9" si="0">D5</f>
        <v>6.2103730267803841E-5</v>
      </c>
      <c r="N5" s="17">
        <f t="shared" si="0"/>
        <v>1.5183541838001825E-4</v>
      </c>
      <c r="O5" s="30">
        <f t="shared" si="0"/>
        <v>9.9748216900757725E-5</v>
      </c>
      <c r="P5" s="17">
        <f t="shared" si="0"/>
        <v>7.8803206130250209E-5</v>
      </c>
      <c r="Q5" s="4">
        <v>1</v>
      </c>
      <c r="S5">
        <v>0</v>
      </c>
      <c r="V5" t="s">
        <v>1315</v>
      </c>
      <c r="W5">
        <v>0.37308022490366638</v>
      </c>
    </row>
    <row r="6" spans="2:24" x14ac:dyDescent="0.25">
      <c r="B6" s="2" t="s">
        <v>1310</v>
      </c>
      <c r="C6" s="17">
        <f>+_xlfn.COVARIANCE.S(GFNORTEO!C2:C1259,KOFUBL!C2:C1259)</f>
        <v>6.2103730267803841E-5</v>
      </c>
      <c r="D6" s="17">
        <f>+_xlfn.VAR.S(KOFUBL!C2:C1259)</f>
        <v>2.1789708134586626E-4</v>
      </c>
      <c r="E6" s="17">
        <f>+D7</f>
        <v>8.479945411672022E-5</v>
      </c>
      <c r="F6" s="17">
        <f>+D8</f>
        <v>4.0451060687337645E-5</v>
      </c>
      <c r="G6" s="17">
        <f>+D9</f>
        <v>4.878238476021341E-5</v>
      </c>
      <c r="I6">
        <f>+AVERAGE(KOFUBL!C2:C1259)</f>
        <v>6.1998579404112797E-4</v>
      </c>
      <c r="K6" s="2" t="s">
        <v>1310</v>
      </c>
      <c r="L6" s="17">
        <f t="shared" ref="L6:L9" si="1">C6</f>
        <v>6.2103730267803841E-5</v>
      </c>
      <c r="M6" s="17">
        <f t="shared" si="0"/>
        <v>2.1789708134586626E-4</v>
      </c>
      <c r="N6" s="17">
        <f t="shared" si="0"/>
        <v>8.479945411672022E-5</v>
      </c>
      <c r="O6" s="17">
        <f t="shared" si="0"/>
        <v>4.0451060687337645E-5</v>
      </c>
      <c r="P6" s="17">
        <f t="shared" si="0"/>
        <v>4.878238476021341E-5</v>
      </c>
      <c r="Q6" s="4">
        <v>1</v>
      </c>
      <c r="S6">
        <v>0</v>
      </c>
      <c r="V6" t="s">
        <v>1316</v>
      </c>
      <c r="W6">
        <v>2.0507431869373319E-2</v>
      </c>
    </row>
    <row r="7" spans="2:24" x14ac:dyDescent="0.25">
      <c r="B7" s="2" t="s">
        <v>1311</v>
      </c>
      <c r="C7" s="17">
        <f>+_xlfn.COVARIANCE.S(GFNORTEO!C2:C1259,TLEVISACPO!C2:C1259)</f>
        <v>1.5183541838001825E-4</v>
      </c>
      <c r="D7" s="17">
        <f>+_xlfn.COVARIANCE.S(KOFUBL!C2:C1259,TLEVISACPO!C2:C1259)</f>
        <v>8.479945411672022E-5</v>
      </c>
      <c r="E7" s="17">
        <f>+_xlfn.VAR.S(TLEVISACPO!C2:C1259)</f>
        <v>7.7822241173019331E-4</v>
      </c>
      <c r="F7" s="17">
        <f>+E8</f>
        <v>9.795912271339377E-5</v>
      </c>
      <c r="G7" s="17">
        <f>+E9</f>
        <v>9.8702344665256992E-5</v>
      </c>
      <c r="I7">
        <f>+AVERAGE(TLEVISACPO!C2:C1259)</f>
        <v>-6.3173612568370426E-4</v>
      </c>
      <c r="K7" s="2" t="s">
        <v>1311</v>
      </c>
      <c r="L7" s="17">
        <f t="shared" si="1"/>
        <v>1.5183541838001825E-4</v>
      </c>
      <c r="M7" s="17">
        <f t="shared" si="0"/>
        <v>8.479945411672022E-5</v>
      </c>
      <c r="N7" s="17">
        <f t="shared" si="0"/>
        <v>7.7822241173019331E-4</v>
      </c>
      <c r="O7" s="17">
        <f t="shared" si="0"/>
        <v>9.795912271339377E-5</v>
      </c>
      <c r="P7" s="17">
        <f t="shared" si="0"/>
        <v>9.8702344665256992E-5</v>
      </c>
      <c r="Q7" s="4">
        <v>1</v>
      </c>
      <c r="S7">
        <v>0</v>
      </c>
      <c r="V7" t="s">
        <v>1317</v>
      </c>
      <c r="W7">
        <v>0.26578840301813161</v>
      </c>
    </row>
    <row r="8" spans="2:24" x14ac:dyDescent="0.25">
      <c r="B8" s="2" t="s">
        <v>1312</v>
      </c>
      <c r="C8" s="17">
        <f>+_xlfn.COVARIANCE.S(GFNORTEO!C2:C1259,WALMEX!C2:C1259)</f>
        <v>9.9748216900757725E-5</v>
      </c>
      <c r="D8" s="17">
        <f>+_xlfn.COVARIANCE.S(KOFUBL!C2:C1259,WALMEX!C2:C1259)</f>
        <v>4.0451060687337645E-5</v>
      </c>
      <c r="E8" s="17">
        <f>+_xlfn.COVARIANCE.S(TLEVISACPO!C2:C1259,WALMEX!C2:C1259)</f>
        <v>9.795912271339377E-5</v>
      </c>
      <c r="F8" s="17">
        <f>+_xlfn.VAR.S(WALMEX!C2:C1259)</f>
        <v>2.743917050458312E-4</v>
      </c>
      <c r="G8" s="17">
        <f>+F9</f>
        <v>5.1754576647241025E-5</v>
      </c>
      <c r="I8">
        <f>+AVERAGE(WALMEX!C2:C1259)</f>
        <v>1.9221533129192543E-4</v>
      </c>
      <c r="K8" s="2" t="s">
        <v>1312</v>
      </c>
      <c r="L8" s="17">
        <f t="shared" si="1"/>
        <v>9.9748216900757725E-5</v>
      </c>
      <c r="M8" s="17">
        <f t="shared" si="0"/>
        <v>4.0451060687337645E-5</v>
      </c>
      <c r="N8" s="17">
        <f t="shared" si="0"/>
        <v>9.795912271339377E-5</v>
      </c>
      <c r="O8" s="17">
        <f t="shared" si="0"/>
        <v>2.743917050458312E-4</v>
      </c>
      <c r="P8" s="17">
        <f t="shared" si="0"/>
        <v>5.1754576647241025E-5</v>
      </c>
      <c r="Q8" s="4">
        <v>1</v>
      </c>
      <c r="S8">
        <v>0</v>
      </c>
      <c r="V8" t="s">
        <v>1318</v>
      </c>
      <c r="W8">
        <v>0.26158041765675255</v>
      </c>
    </row>
    <row r="9" spans="2:24" x14ac:dyDescent="0.25">
      <c r="B9" s="2" t="s">
        <v>1313</v>
      </c>
      <c r="C9" s="17">
        <f>+_xlfn.COVARIANCE.S(GFNORTEO!C2:C1259,KIMBERA!C2:C1259)</f>
        <v>7.8803206130250209E-5</v>
      </c>
      <c r="D9" s="17">
        <f>+_xlfn.COVARIANCE.S(KOFUBL!C2:C1259,KIMBERA!C2:C1259)</f>
        <v>4.878238476021341E-5</v>
      </c>
      <c r="E9" s="17">
        <f>+_xlfn.COVARIANCE.S(TLEVISACPO!C2:C1259,KIMBERA!C2:C1259)</f>
        <v>9.8702344665256992E-5</v>
      </c>
      <c r="F9" s="17">
        <f>+_xlfn.COVARIANCE.S(WALMEX!C2:C1259,KIMBERA!C2:C1259)</f>
        <v>5.1754576647241025E-5</v>
      </c>
      <c r="G9" s="17">
        <f>+_xlfn.VAR.S(KIMBERA!C2:C1259)</f>
        <v>2.7236145894117233E-4</v>
      </c>
      <c r="I9">
        <f>+AVERAGE(KIMBERA!C2:C1259)</f>
        <v>1.4808837001938638E-4</v>
      </c>
      <c r="K9" s="2" t="s">
        <v>1313</v>
      </c>
      <c r="L9" s="17">
        <f t="shared" si="1"/>
        <v>7.8803206130250209E-5</v>
      </c>
      <c r="M9" s="17">
        <f t="shared" si="0"/>
        <v>4.878238476021341E-5</v>
      </c>
      <c r="N9" s="17">
        <f t="shared" si="0"/>
        <v>9.8702344665256992E-5</v>
      </c>
      <c r="O9" s="17">
        <f t="shared" si="0"/>
        <v>5.1754576647241025E-5</v>
      </c>
      <c r="P9" s="17">
        <f t="shared" si="0"/>
        <v>2.7236145894117233E-4</v>
      </c>
      <c r="Q9" s="4">
        <v>1</v>
      </c>
      <c r="S9">
        <v>0</v>
      </c>
      <c r="W9">
        <v>-1.1145294814656411E-4</v>
      </c>
    </row>
    <row r="10" spans="2:24" x14ac:dyDescent="0.25"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0</v>
      </c>
      <c r="S10" s="4">
        <v>1</v>
      </c>
    </row>
    <row r="11" spans="2:24" x14ac:dyDescent="0.25">
      <c r="B11" s="3" t="s">
        <v>19</v>
      </c>
    </row>
    <row r="12" spans="2:24" x14ac:dyDescent="0.25">
      <c r="V12" t="s">
        <v>33</v>
      </c>
      <c r="W12" cm="1">
        <f t="array" ref="W12">MMULT(TRANSPOSE(W4:W8),I5:I9)</f>
        <v>3.8615539248552526E-4</v>
      </c>
    </row>
    <row r="13" spans="2:24" x14ac:dyDescent="0.25">
      <c r="B13" s="3"/>
      <c r="C13" s="2" t="s">
        <v>1309</v>
      </c>
      <c r="D13" s="2" t="s">
        <v>1310</v>
      </c>
      <c r="E13" s="2" t="s">
        <v>1311</v>
      </c>
      <c r="F13" s="2" t="s">
        <v>1312</v>
      </c>
      <c r="G13" s="2" t="s">
        <v>1313</v>
      </c>
      <c r="V13" t="s">
        <v>14</v>
      </c>
      <c r="W13" cm="1">
        <f t="array" ref="W13">MMULT(MMULT(TRANSPOSE(W4:W8),C5:G9),W4:W8)</f>
        <v>1.1145294814656414E-4</v>
      </c>
    </row>
    <row r="14" spans="2:24" x14ac:dyDescent="0.25">
      <c r="B14" s="2" t="s">
        <v>1309</v>
      </c>
      <c r="C14">
        <f>+CORREL(GFNORTEO!C2:C1259,GFNORTEO!C2:C1259)</f>
        <v>1</v>
      </c>
      <c r="D14">
        <f>+C15</f>
        <v>0.19177003693640904</v>
      </c>
      <c r="E14">
        <f>+C16</f>
        <v>0.24809042046058905</v>
      </c>
      <c r="F14">
        <f>+C17</f>
        <v>0.27447855791990844</v>
      </c>
      <c r="G14">
        <f>+C18</f>
        <v>0.21765058201169349</v>
      </c>
      <c r="V14" t="s">
        <v>34</v>
      </c>
      <c r="W14">
        <f>SQRT(W13)</f>
        <v>1.0557127836043482E-2</v>
      </c>
    </row>
    <row r="15" spans="2:24" x14ac:dyDescent="0.25">
      <c r="B15" s="2" t="s">
        <v>1310</v>
      </c>
      <c r="C15">
        <f>+CORREL(GFNORTEO!C2:C1259,KOFUBL!C2:C1259)</f>
        <v>0.19177003693640904</v>
      </c>
      <c r="D15">
        <f>+CORREL(KOFUBL!C2:C1259,KOFUBL!C2:C1259)</f>
        <v>1</v>
      </c>
      <c r="E15">
        <f>+D16</f>
        <v>0.20592803868054055</v>
      </c>
      <c r="F15">
        <f>+D17</f>
        <v>0.16543169451236023</v>
      </c>
      <c r="G15">
        <f>+D18</f>
        <v>0.20024629748577175</v>
      </c>
      <c r="K15" t="s">
        <v>28</v>
      </c>
    </row>
    <row r="16" spans="2:24" x14ac:dyDescent="0.25">
      <c r="B16" s="2" t="s">
        <v>1311</v>
      </c>
      <c r="C16">
        <f>+CORREL(GFNORTEO!C2:C1259,TLEVISACPO!C2:C1259)</f>
        <v>0.24809042046058905</v>
      </c>
      <c r="D16">
        <f>+CORREL(KOFUBL!C2:C1259,TLEVISACPO!C2:C1259)</f>
        <v>0.20592803868054055</v>
      </c>
      <c r="E16">
        <f>+CORREL(TLEVISACPO!C2:C1256,TLEVISACPO!C2:C1256)</f>
        <v>0.99999999999999989</v>
      </c>
      <c r="F16">
        <f>+E17</f>
        <v>0.21198617127081415</v>
      </c>
      <c r="G16">
        <f>+E18</f>
        <v>0.21438913726873393</v>
      </c>
      <c r="W16" t="s">
        <v>29</v>
      </c>
    </row>
    <row r="17" spans="2:29" x14ac:dyDescent="0.25">
      <c r="B17" s="2" t="s">
        <v>1312</v>
      </c>
      <c r="C17">
        <f>+CORREL(GFNORTEO!C2:C1259,WALMEX!C2:C1259)</f>
        <v>0.27447855791990844</v>
      </c>
      <c r="D17">
        <f>+CORREL(KOFUBL!C2:C1259,WALMEX!C2:C1259)</f>
        <v>0.16543169451236023</v>
      </c>
      <c r="E17">
        <f>+CORREL(TLEVISACPO!C2:C1259,WALMEX!C2:C1259)</f>
        <v>0.21198617127081415</v>
      </c>
      <c r="F17">
        <f>+CORREL(WALMEX!C2:C1256,WALMEX!C2:C1256)</f>
        <v>1</v>
      </c>
      <c r="G17">
        <f>+F18</f>
        <v>0.18931736244801381</v>
      </c>
      <c r="L17" s="2" t="s">
        <v>1309</v>
      </c>
      <c r="M17" s="2" t="s">
        <v>1310</v>
      </c>
      <c r="N17" s="2" t="s">
        <v>1311</v>
      </c>
      <c r="O17" s="2" t="s">
        <v>1312</v>
      </c>
      <c r="P17" s="2" t="s">
        <v>1313</v>
      </c>
      <c r="U17" s="2" t="s">
        <v>35</v>
      </c>
      <c r="W17" t="s">
        <v>30</v>
      </c>
    </row>
    <row r="18" spans="2:29" x14ac:dyDescent="0.25">
      <c r="B18" s="2" t="s">
        <v>1313</v>
      </c>
      <c r="C18">
        <f>+CORREL(GFNORTEO!C2:C1259,KIMBERA!C2:C1259)</f>
        <v>0.21765058201169349</v>
      </c>
      <c r="D18">
        <f>+CORREL(KOFUBL!C2:C1259,KIMBERA!C2:C1259)</f>
        <v>0.20024629748577175</v>
      </c>
      <c r="E18">
        <f>+CORREL(TLEVISACPO!C2:C1259,KIMBERA!C2:C1259)</f>
        <v>0.21438913726873393</v>
      </c>
      <c r="F18">
        <f>+CORREL(WALMEX!C2:C1259,KIMBERA!C2:C1259)</f>
        <v>0.18931736244801381</v>
      </c>
      <c r="G18">
        <f>+CORREL(KIMBERA!C2:C1256,KIMBERA!C2:C1256)</f>
        <v>1</v>
      </c>
      <c r="K18" s="2" t="s">
        <v>1309</v>
      </c>
      <c r="L18">
        <f t="array" ref="L18:Q23">MINVERSE(L5:Q10)</f>
        <v>2362.3876137252555</v>
      </c>
      <c r="M18">
        <v>-627.37168673350993</v>
      </c>
      <c r="N18">
        <v>-314.7871669042359</v>
      </c>
      <c r="O18">
        <v>-830.81385784377653</v>
      </c>
      <c r="P18">
        <v>-589.41490224373365</v>
      </c>
      <c r="Q18" s="4">
        <v>7.9043522552076084E-2</v>
      </c>
      <c r="U18">
        <f t="array" ref="U18:U23">MMULT(L18:Q23,S5:S10)</f>
        <v>7.9043522552076084E-2</v>
      </c>
      <c r="W18" t="s">
        <v>31</v>
      </c>
      <c r="X18" s="1">
        <v>9.0200000000000002E-2</v>
      </c>
    </row>
    <row r="19" spans="2:29" x14ac:dyDescent="0.25">
      <c r="K19" s="2" t="s">
        <v>1310</v>
      </c>
      <c r="L19">
        <v>-627.37168673350982</v>
      </c>
      <c r="M19">
        <v>3784.681335671984</v>
      </c>
      <c r="N19">
        <v>-423.92383938392214</v>
      </c>
      <c r="O19">
        <v>-1260.3601269806968</v>
      </c>
      <c r="P19">
        <v>-1473.0256825738572</v>
      </c>
      <c r="Q19" s="4">
        <v>0.37308022490366638</v>
      </c>
      <c r="U19">
        <v>0.37308022490366638</v>
      </c>
      <c r="W19" t="s">
        <v>32</v>
      </c>
      <c r="X19">
        <f>X18/360</f>
        <v>2.5055555555555557E-4</v>
      </c>
      <c r="Y19" s="23">
        <f>X19</f>
        <v>2.5055555555555557E-4</v>
      </c>
    </row>
    <row r="20" spans="2:29" x14ac:dyDescent="0.25">
      <c r="B20" s="3" t="s">
        <v>20</v>
      </c>
      <c r="K20" s="2" t="s">
        <v>1311</v>
      </c>
      <c r="L20">
        <v>-314.78716690423573</v>
      </c>
      <c r="M20">
        <v>-423.92383938392197</v>
      </c>
      <c r="N20">
        <v>1457.0072378872549</v>
      </c>
      <c r="O20">
        <v>-348.1532406927052</v>
      </c>
      <c r="P20">
        <v>-370.14299090639179</v>
      </c>
      <c r="Q20" s="4">
        <v>2.0507431869373319E-2</v>
      </c>
      <c r="U20">
        <v>2.0507431869373319E-2</v>
      </c>
      <c r="W20" t="s">
        <v>34</v>
      </c>
      <c r="X20">
        <v>0</v>
      </c>
    </row>
    <row r="21" spans="2:29" x14ac:dyDescent="0.25">
      <c r="K21" s="2" t="s">
        <v>1312</v>
      </c>
      <c r="L21">
        <v>-830.81385784377676</v>
      </c>
      <c r="M21">
        <v>-1260.3601269806957</v>
      </c>
      <c r="N21">
        <v>-348.15324069270514</v>
      </c>
      <c r="O21">
        <v>3485.1560726242583</v>
      </c>
      <c r="P21">
        <v>-1045.82884710708</v>
      </c>
      <c r="Q21" s="4">
        <v>0.26578840301813161</v>
      </c>
      <c r="U21">
        <v>0.26578840301813161</v>
      </c>
    </row>
    <row r="22" spans="2:29" x14ac:dyDescent="0.25">
      <c r="C22" s="2" t="s">
        <v>1309</v>
      </c>
      <c r="D22" s="2" t="s">
        <v>1310</v>
      </c>
      <c r="E22" s="2" t="s">
        <v>1311</v>
      </c>
      <c r="F22" s="2" t="s">
        <v>1312</v>
      </c>
      <c r="G22" s="2" t="s">
        <v>1313</v>
      </c>
      <c r="K22" s="2" t="s">
        <v>1313</v>
      </c>
      <c r="L22">
        <v>-589.41490224373331</v>
      </c>
      <c r="M22">
        <v>-1473.0256825738568</v>
      </c>
      <c r="N22">
        <v>-370.14299090639173</v>
      </c>
      <c r="O22">
        <v>-1045.8288471070798</v>
      </c>
      <c r="P22">
        <v>3478.4124228310625</v>
      </c>
      <c r="Q22" s="4">
        <v>0.26158041765675255</v>
      </c>
      <c r="U22">
        <v>0.26158041765675255</v>
      </c>
    </row>
    <row r="23" spans="2:29" x14ac:dyDescent="0.25">
      <c r="B23" s="2" t="s">
        <v>1309</v>
      </c>
      <c r="C23">
        <f t="array" ref="C23:G27">MINVERSE(C5:G9)</f>
        <v>2418.4460541823387</v>
      </c>
      <c r="D23">
        <v>-362.77953676070854</v>
      </c>
      <c r="E23">
        <v>-300.24309534391824</v>
      </c>
      <c r="F23">
        <v>-642.31411891882101</v>
      </c>
      <c r="G23">
        <v>-403.89950775597981</v>
      </c>
      <c r="L23" s="4">
        <v>7.9043522552076015E-2</v>
      </c>
      <c r="M23" s="4">
        <v>0.37308022490366605</v>
      </c>
      <c r="N23" s="4">
        <v>2.0507431869373354E-2</v>
      </c>
      <c r="O23" s="4">
        <v>0.26578840301813172</v>
      </c>
      <c r="P23" s="4">
        <v>0.26158041765675272</v>
      </c>
      <c r="Q23" s="4">
        <v>-1.1145294814656411E-4</v>
      </c>
      <c r="U23">
        <v>-1.1145294814656411E-4</v>
      </c>
    </row>
    <row r="24" spans="2:29" x14ac:dyDescent="0.25">
      <c r="B24" s="2" t="s">
        <v>1310</v>
      </c>
      <c r="C24">
        <v>-362.77953676070848</v>
      </c>
      <c r="D24">
        <v>5033.5388717789019</v>
      </c>
      <c r="E24">
        <v>-355.27677870714905</v>
      </c>
      <c r="F24">
        <v>-370.65376367847256</v>
      </c>
      <c r="G24">
        <v>-597.40522862730347</v>
      </c>
      <c r="Y24" t="s">
        <v>36</v>
      </c>
    </row>
    <row r="25" spans="2:29" x14ac:dyDescent="0.25">
      <c r="B25" s="2" t="s">
        <v>1311</v>
      </c>
      <c r="C25">
        <v>-300.24309534391836</v>
      </c>
      <c r="D25">
        <v>-355.27677870714905</v>
      </c>
      <c r="E25">
        <v>1460.7806218028056</v>
      </c>
      <c r="F25">
        <v>-299.24796131511403</v>
      </c>
      <c r="G25">
        <v>-322.01198421104789</v>
      </c>
    </row>
    <row r="26" spans="2:29" x14ac:dyDescent="0.25">
      <c r="B26" s="2" t="s">
        <v>1312</v>
      </c>
      <c r="C26">
        <v>-642.31411891882112</v>
      </c>
      <c r="D26">
        <v>-370.6537636784725</v>
      </c>
      <c r="E26">
        <v>-299.24796131511414</v>
      </c>
      <c r="F26">
        <v>4118.9973155318057</v>
      </c>
      <c r="G26">
        <v>-422.02263447664694</v>
      </c>
      <c r="U26" s="2" t="s">
        <v>37</v>
      </c>
      <c r="W26" s="2" t="s">
        <v>38</v>
      </c>
      <c r="Y26" t="s">
        <v>23</v>
      </c>
      <c r="Z26">
        <f>W27/SUM($W$27:$W$31)</f>
        <v>1.6353925649138983</v>
      </c>
    </row>
    <row r="27" spans="2:29" x14ac:dyDescent="0.25">
      <c r="B27" s="2" t="s">
        <v>1313</v>
      </c>
      <c r="C27">
        <v>-403.89950775597976</v>
      </c>
      <c r="D27">
        <v>-597.40522862730347</v>
      </c>
      <c r="E27">
        <v>-322.01198421104789</v>
      </c>
      <c r="F27">
        <v>-422.02263447664694</v>
      </c>
      <c r="G27">
        <v>4092.3424806658813</v>
      </c>
      <c r="U27">
        <f>I5-$X$19</f>
        <v>7.3599732603732773E-4</v>
      </c>
      <c r="W27">
        <f t="array" ref="W27:W31">MMULT(MINVERSE(C5:G9),U27:U31)</f>
        <v>1.9897092791766178</v>
      </c>
      <c r="Y27" t="s">
        <v>24</v>
      </c>
      <c r="Z27">
        <f t="shared" ref="Z27:Z30" si="2">W28/SUM($W$27:$W$31)</f>
        <v>1.6346722460636209</v>
      </c>
    </row>
    <row r="28" spans="2:29" x14ac:dyDescent="0.25">
      <c r="U28">
        <f>I6-$X$19</f>
        <v>3.694302384855724E-4</v>
      </c>
      <c r="W28">
        <v>1.988832899320728</v>
      </c>
      <c r="Y28" t="s">
        <v>25</v>
      </c>
      <c r="Z28">
        <f t="shared" si="2"/>
        <v>-1.3073617797886543</v>
      </c>
    </row>
    <row r="29" spans="2:29" x14ac:dyDescent="0.25">
      <c r="B29" s="3" t="s">
        <v>40</v>
      </c>
      <c r="K29" t="s">
        <v>41</v>
      </c>
      <c r="U29">
        <f>I7-$X$19</f>
        <v>-8.8229168123925977E-4</v>
      </c>
      <c r="W29">
        <v>-1.5906088362480097</v>
      </c>
      <c r="Y29" t="s">
        <v>26</v>
      </c>
      <c r="Z29">
        <f t="shared" si="2"/>
        <v>-0.44606544142107868</v>
      </c>
      <c r="AA29">
        <f>SUM(Z26:Z30)</f>
        <v>1.0000000000000002</v>
      </c>
    </row>
    <row r="30" spans="2:29" x14ac:dyDescent="0.25">
      <c r="U30">
        <f>I8-$X$19</f>
        <v>-5.8340224263630141E-5</v>
      </c>
      <c r="W30">
        <v>-0.54270795095748914</v>
      </c>
      <c r="Y30" t="s">
        <v>27</v>
      </c>
      <c r="Z30">
        <f t="shared" si="2"/>
        <v>-0.51663758976778618</v>
      </c>
    </row>
    <row r="31" spans="2:29" x14ac:dyDescent="0.25">
      <c r="C31" s="2" t="s">
        <v>1309</v>
      </c>
      <c r="D31" s="2" t="s">
        <v>1310</v>
      </c>
      <c r="E31" s="2" t="s">
        <v>1311</v>
      </c>
      <c r="F31" s="2" t="s">
        <v>1312</v>
      </c>
      <c r="G31" s="2" t="s">
        <v>1313</v>
      </c>
      <c r="L31" s="2" t="s">
        <v>1309</v>
      </c>
      <c r="M31" s="2" t="s">
        <v>1310</v>
      </c>
      <c r="N31" s="2" t="s">
        <v>1311</v>
      </c>
      <c r="O31" s="2" t="s">
        <v>1312</v>
      </c>
      <c r="P31" s="2" t="s">
        <v>1313</v>
      </c>
      <c r="U31">
        <f>I9-$X$19</f>
        <v>-1.0246718553616919E-4</v>
      </c>
      <c r="W31">
        <v>-0.62856993995599331</v>
      </c>
      <c r="Y31" t="s">
        <v>39</v>
      </c>
      <c r="AA31">
        <f>AC31</f>
        <v>3.2905338483946796E-3</v>
      </c>
      <c r="AC31" cm="1">
        <f t="array" ref="AC31">MMULT(TRANSPOSE(Z26:Z30),I5:I9)</f>
        <v>3.2905338483946796E-3</v>
      </c>
    </row>
    <row r="32" spans="2:29" x14ac:dyDescent="0.25">
      <c r="B32" s="2" t="s">
        <v>1309</v>
      </c>
      <c r="C32" s="17">
        <f>C5</f>
        <v>4.8130730917064112E-4</v>
      </c>
      <c r="D32" s="17">
        <f t="shared" ref="D32:G32" si="3">D5</f>
        <v>6.2103730267803841E-5</v>
      </c>
      <c r="E32" s="17">
        <f t="shared" si="3"/>
        <v>1.5183541838001825E-4</v>
      </c>
      <c r="F32" s="17">
        <f t="shared" si="3"/>
        <v>9.9748216900757725E-5</v>
      </c>
      <c r="G32" s="17">
        <f t="shared" si="3"/>
        <v>7.8803206130250209E-5</v>
      </c>
      <c r="H32" s="4">
        <v>1</v>
      </c>
      <c r="I32" s="5">
        <f>I5</f>
        <v>9.8655288159288325E-4</v>
      </c>
      <c r="K32" s="2" t="s">
        <v>1309</v>
      </c>
      <c r="L32">
        <f t="array" ref="L32:R38">MINVERSE(C32:I38)</f>
        <v>1347.7092372440757</v>
      </c>
      <c r="M32">
        <v>-1449.8800758989462</v>
      </c>
      <c r="N32">
        <v>550.93134429800648</v>
      </c>
      <c r="O32">
        <v>-366.7131429608603</v>
      </c>
      <c r="P32">
        <v>-82.047362682274979</v>
      </c>
      <c r="Q32" s="4">
        <v>-0.12788287647658375</v>
      </c>
      <c r="R32" s="5">
        <v>535.8630309336321</v>
      </c>
      <c r="Y32" t="s">
        <v>14</v>
      </c>
      <c r="Z32" cm="1">
        <f t="array" ref="Z32">MMULT(MMULT(TRANSPOSE(Z26:Z30),C5:G9),Z26:Z30)</f>
        <v>2.4986353281048579E-3</v>
      </c>
    </row>
    <row r="33" spans="1:26" x14ac:dyDescent="0.25">
      <c r="B33" s="2" t="s">
        <v>1310</v>
      </c>
      <c r="C33" s="17">
        <f t="shared" ref="C33:G36" si="4">C6</f>
        <v>6.2103730267803841E-5</v>
      </c>
      <c r="D33" s="17">
        <f t="shared" si="4"/>
        <v>2.1789708134586626E-4</v>
      </c>
      <c r="E33" s="17">
        <f t="shared" si="4"/>
        <v>8.479945411672022E-5</v>
      </c>
      <c r="F33" s="17">
        <f t="shared" si="4"/>
        <v>4.0451060687337645E-5</v>
      </c>
      <c r="G33" s="17">
        <f t="shared" si="4"/>
        <v>4.878238476021341E-5</v>
      </c>
      <c r="H33" s="4">
        <v>1</v>
      </c>
      <c r="I33" s="5">
        <f t="shared" ref="I33:I36" si="5">I6</f>
        <v>6.1998579404112797E-4</v>
      </c>
      <c r="K33" s="2" t="s">
        <v>1310</v>
      </c>
      <c r="L33">
        <v>-1449.8800758989466</v>
      </c>
      <c r="M33">
        <v>3117.9478505319566</v>
      </c>
      <c r="N33">
        <v>277.83620066839876</v>
      </c>
      <c r="O33">
        <v>-884.15546917309382</v>
      </c>
      <c r="P33">
        <v>-1061.7485061283153</v>
      </c>
      <c r="Q33" s="4">
        <v>0.20534362670089132</v>
      </c>
      <c r="R33" s="5">
        <v>434.37590531397876</v>
      </c>
      <c r="U33" s="2" t="s">
        <v>15</v>
      </c>
      <c r="X33" s="2" t="s">
        <v>44</v>
      </c>
      <c r="Y33" t="s">
        <v>34</v>
      </c>
      <c r="Z33">
        <f>SQRT(Z32)</f>
        <v>4.9986351418210728E-2</v>
      </c>
    </row>
    <row r="34" spans="1:26" x14ac:dyDescent="0.25">
      <c r="B34" s="2" t="s">
        <v>1311</v>
      </c>
      <c r="C34" s="17">
        <f t="shared" si="4"/>
        <v>1.5183541838001825E-4</v>
      </c>
      <c r="D34" s="17">
        <f t="shared" si="4"/>
        <v>8.479945411672022E-5</v>
      </c>
      <c r="E34" s="17">
        <f t="shared" si="4"/>
        <v>7.7822241173019331E-4</v>
      </c>
      <c r="F34" s="17">
        <f t="shared" si="4"/>
        <v>9.795912271339377E-5</v>
      </c>
      <c r="G34" s="17">
        <f t="shared" si="4"/>
        <v>9.8702344665256992E-5</v>
      </c>
      <c r="H34" s="4">
        <v>1</v>
      </c>
      <c r="I34" s="5">
        <f t="shared" si="5"/>
        <v>-6.3173612568370426E-4</v>
      </c>
      <c r="K34" s="2" t="s">
        <v>1311</v>
      </c>
      <c r="L34">
        <v>550.93134429800625</v>
      </c>
      <c r="M34">
        <v>277.83620066839887</v>
      </c>
      <c r="N34">
        <v>718.38053802860497</v>
      </c>
      <c r="O34">
        <v>-744.12164728246273</v>
      </c>
      <c r="P34">
        <v>-803.02643571254714</v>
      </c>
      <c r="Q34" s="4">
        <v>0.19705599962024545</v>
      </c>
      <c r="R34" s="5">
        <v>-457.19565539276994</v>
      </c>
      <c r="U34">
        <v>0</v>
      </c>
      <c r="W34" cm="1">
        <f t="array" ref="W34:W40">MMULT(L32:R38,U34:U40)</f>
        <v>1.4797062163243124</v>
      </c>
      <c r="X34">
        <f t="array" ref="X34:X40">MMULT(L32:R38,U34:U40)</f>
        <v>1.4797062163243124</v>
      </c>
    </row>
    <row r="35" spans="1:26" x14ac:dyDescent="0.25">
      <c r="B35" s="2" t="s">
        <v>1312</v>
      </c>
      <c r="C35" s="17">
        <f t="shared" si="4"/>
        <v>9.9748216900757725E-5</v>
      </c>
      <c r="D35" s="17">
        <f t="shared" si="4"/>
        <v>4.0451060687337645E-5</v>
      </c>
      <c r="E35" s="17">
        <f t="shared" si="4"/>
        <v>9.795912271339377E-5</v>
      </c>
      <c r="F35" s="17">
        <f t="shared" si="4"/>
        <v>2.743917050458312E-4</v>
      </c>
      <c r="G35" s="17">
        <f t="shared" si="4"/>
        <v>5.1754576647241025E-5</v>
      </c>
      <c r="H35" s="4">
        <v>1</v>
      </c>
      <c r="I35" s="5">
        <f t="shared" si="5"/>
        <v>1.9221533129192543E-4</v>
      </c>
      <c r="K35" s="2" t="s">
        <v>1312</v>
      </c>
      <c r="L35">
        <v>-366.71314296086064</v>
      </c>
      <c r="M35">
        <v>-884.15546917309382</v>
      </c>
      <c r="N35">
        <v>-744.12164728246239</v>
      </c>
      <c r="O35">
        <v>3272.8824314910084</v>
      </c>
      <c r="P35">
        <v>-1277.8921720745916</v>
      </c>
      <c r="Q35" s="4">
        <v>0.36043385121462229</v>
      </c>
      <c r="R35" s="5">
        <v>-245.09679273749472</v>
      </c>
      <c r="U35">
        <v>0</v>
      </c>
      <c r="W35">
        <v>1.5084713426428276</v>
      </c>
      <c r="X35">
        <v>1.5084713426428276</v>
      </c>
      <c r="Y35">
        <f>SUM(X34:X38)</f>
        <v>0.99999999999999978</v>
      </c>
    </row>
    <row r="36" spans="1:26" x14ac:dyDescent="0.25">
      <c r="B36" s="2" t="s">
        <v>1313</v>
      </c>
      <c r="C36" s="17">
        <f t="shared" si="4"/>
        <v>7.8803206130250209E-5</v>
      </c>
      <c r="D36" s="17">
        <f t="shared" si="4"/>
        <v>4.878238476021341E-5</v>
      </c>
      <c r="E36" s="17">
        <f t="shared" si="4"/>
        <v>9.8702344665256992E-5</v>
      </c>
      <c r="F36" s="17">
        <f t="shared" si="4"/>
        <v>5.1754576647241025E-5</v>
      </c>
      <c r="G36" s="17">
        <f t="shared" si="4"/>
        <v>2.7236145894117233E-4</v>
      </c>
      <c r="H36" s="4">
        <v>1</v>
      </c>
      <c r="I36" s="5">
        <f t="shared" si="5"/>
        <v>1.4808837001938638E-4</v>
      </c>
      <c r="K36" s="2" t="s">
        <v>1313</v>
      </c>
      <c r="L36">
        <v>-82.047362682274567</v>
      </c>
      <c r="M36">
        <v>-1061.7485061283153</v>
      </c>
      <c r="N36">
        <v>-803.02643571254782</v>
      </c>
      <c r="O36">
        <v>-1277.8921720745916</v>
      </c>
      <c r="P36">
        <v>3224.7144765977291</v>
      </c>
      <c r="Q36" s="4">
        <v>0.36504939894082467</v>
      </c>
      <c r="R36" s="5">
        <v>-267.94648811734623</v>
      </c>
      <c r="U36">
        <v>0</v>
      </c>
      <c r="W36">
        <v>-1.1745309665580643</v>
      </c>
      <c r="X36">
        <v>-1.1745309665580643</v>
      </c>
    </row>
    <row r="37" spans="1:26" x14ac:dyDescent="0.25"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5">
        <v>0</v>
      </c>
      <c r="L37" s="4">
        <v>-0.1278828764765837</v>
      </c>
      <c r="M37" s="4">
        <v>0.2053436267008914</v>
      </c>
      <c r="N37" s="4">
        <v>0.19705599962024539</v>
      </c>
      <c r="O37" s="4">
        <v>0.36043385121462229</v>
      </c>
      <c r="P37" s="4">
        <v>0.36504939894082461</v>
      </c>
      <c r="Q37" s="4">
        <v>-1.53652068190355E-4</v>
      </c>
      <c r="R37" s="5">
        <v>0.10928015214852313</v>
      </c>
      <c r="U37">
        <v>0</v>
      </c>
      <c r="W37">
        <v>-0.37485652699786193</v>
      </c>
      <c r="X37">
        <v>-0.37485652699786193</v>
      </c>
    </row>
    <row r="38" spans="1:26" x14ac:dyDescent="0.25">
      <c r="C38" s="5">
        <f>I32</f>
        <v>9.8655288159288325E-4</v>
      </c>
      <c r="D38" s="5">
        <f>I33</f>
        <v>6.1998579404112797E-4</v>
      </c>
      <c r="E38" s="5">
        <f>I34</f>
        <v>-6.3173612568370426E-4</v>
      </c>
      <c r="F38" s="5">
        <f>I35</f>
        <v>1.9221533129192543E-4</v>
      </c>
      <c r="G38" s="5">
        <f>I36</f>
        <v>1.4808837001938638E-4</v>
      </c>
      <c r="H38" s="5">
        <v>0</v>
      </c>
      <c r="I38" s="5">
        <v>0</v>
      </c>
      <c r="L38" s="5">
        <v>535.8630309336321</v>
      </c>
      <c r="M38" s="5">
        <v>434.37590531397865</v>
      </c>
      <c r="N38" s="5">
        <v>-457.19565539277011</v>
      </c>
      <c r="O38" s="5">
        <v>-245.09679273749447</v>
      </c>
      <c r="P38" s="5">
        <v>-267.94648811734623</v>
      </c>
      <c r="Q38" s="5">
        <v>0.10928015214852316</v>
      </c>
      <c r="R38" s="5">
        <v>-282.99527670747079</v>
      </c>
      <c r="U38">
        <v>0</v>
      </c>
      <c r="W38">
        <v>-0.43879006541121401</v>
      </c>
      <c r="X38">
        <v>-0.43879006541121401</v>
      </c>
    </row>
    <row r="39" spans="1:26" x14ac:dyDescent="0.25">
      <c r="U39">
        <v>1</v>
      </c>
      <c r="W39">
        <v>1.7418838825521442E-4</v>
      </c>
      <c r="X39" s="7">
        <v>1.7418838825521442E-4</v>
      </c>
    </row>
    <row r="40" spans="1:26" x14ac:dyDescent="0.25">
      <c r="B40" t="s">
        <v>42</v>
      </c>
      <c r="T40" t="s">
        <v>45</v>
      </c>
      <c r="U40" s="35">
        <v>3.0000000000000001E-3</v>
      </c>
      <c r="W40">
        <v>-0.7397056779738892</v>
      </c>
      <c r="X40" s="7">
        <v>-0.7397056779738892</v>
      </c>
    </row>
    <row r="42" spans="1:26" x14ac:dyDescent="0.25">
      <c r="B42" s="25" t="s">
        <v>1314</v>
      </c>
      <c r="C42" s="25" t="s">
        <v>1315</v>
      </c>
      <c r="D42" s="25" t="s">
        <v>1316</v>
      </c>
      <c r="E42" s="25" t="s">
        <v>1317</v>
      </c>
      <c r="F42" s="25" t="s">
        <v>1318</v>
      </c>
      <c r="G42" s="25" t="s">
        <v>16</v>
      </c>
      <c r="H42" s="25" t="s">
        <v>43</v>
      </c>
      <c r="I42" s="25" t="s">
        <v>39</v>
      </c>
      <c r="L42" t="s">
        <v>1335</v>
      </c>
    </row>
    <row r="43" spans="1:26" x14ac:dyDescent="0.25">
      <c r="A43">
        <v>1</v>
      </c>
      <c r="B43">
        <v>7.9043522552076112E-2</v>
      </c>
      <c r="C43">
        <v>0.37308022490366616</v>
      </c>
      <c r="D43">
        <v>2.0507431869373427E-2</v>
      </c>
      <c r="E43">
        <v>0.26578840301813156</v>
      </c>
      <c r="F43">
        <v>0.26158041765675272</v>
      </c>
      <c r="G43" cm="1">
        <f t="array" ref="G43">MMULT(MMULT(B43:F43,$C$5:$G$9),TRANSPOSE(B43:F43))</f>
        <v>1.1145294814656414E-4</v>
      </c>
      <c r="H43">
        <f>SQRT(G43)</f>
        <v>1.0557127836043482E-2</v>
      </c>
      <c r="I43" s="3" cm="1">
        <f t="array" ref="I43">MMULT(B43:F43,$I$5:$I$9)</f>
        <v>3.861553924855251E-4</v>
      </c>
      <c r="J43" t="s">
        <v>1339</v>
      </c>
      <c r="P43" s="38" t="s">
        <v>1334</v>
      </c>
      <c r="Q43" s="38"/>
    </row>
    <row r="44" spans="1:26" x14ac:dyDescent="0.25">
      <c r="A44">
        <v>2</v>
      </c>
      <c r="B44">
        <v>8.6462335896869108E-2</v>
      </c>
      <c r="C44">
        <v>0.37909398882648282</v>
      </c>
      <c r="D44">
        <v>1.4177737463137469E-2</v>
      </c>
      <c r="E44">
        <v>0.2623951341196244</v>
      </c>
      <c r="F44">
        <v>0.25787080369388615</v>
      </c>
      <c r="G44" cm="1">
        <f t="array" ref="G44">MMULT(MMULT(B44:F44,$C$5:$G$9),TRANSPOSE(B44:F44))</f>
        <v>1.1150719074473181E-4</v>
      </c>
      <c r="H44">
        <f t="shared" ref="H44:H67" si="6">SQRT(G44)</f>
        <v>1.0559696527113447E-2</v>
      </c>
      <c r="I44" s="3" cm="1">
        <f t="array" ref="I44">MMULT(B44:F44,$I$5:$I$9)</f>
        <v>3.9999999999999986E-4</v>
      </c>
      <c r="L44" t="s">
        <v>31</v>
      </c>
      <c r="N44" s="31">
        <v>0.2</v>
      </c>
      <c r="P44" s="29"/>
      <c r="Q44" s="22"/>
    </row>
    <row r="45" spans="1:26" x14ac:dyDescent="0.25">
      <c r="A45">
        <v>3</v>
      </c>
      <c r="B45">
        <v>0.11325548744355068</v>
      </c>
      <c r="C45">
        <v>0.4008127840921818</v>
      </c>
      <c r="D45">
        <v>-8.6820453065010184E-3</v>
      </c>
      <c r="E45">
        <v>0.25014029448274966</v>
      </c>
      <c r="F45">
        <v>0.24447347928801888</v>
      </c>
      <c r="G45" cm="1">
        <f t="array" ref="G45">MMULT(MMULT(B45:F45,$C$5:$G$9),TRANSPOSE(B45:F45))</f>
        <v>1.1260647478994698E-4</v>
      </c>
      <c r="H45">
        <f t="shared" si="6"/>
        <v>1.0611619800480367E-2</v>
      </c>
      <c r="I45" s="3" cm="1">
        <f t="array" ref="I45">MMULT(B45:F45,$I$5:$I$9)</f>
        <v>4.4999999999999988E-4</v>
      </c>
      <c r="L45" t="s">
        <v>32</v>
      </c>
      <c r="N45">
        <f>N44/360</f>
        <v>5.5555555555555556E-4</v>
      </c>
    </row>
    <row r="46" spans="1:26" x14ac:dyDescent="0.25">
      <c r="A46">
        <v>4</v>
      </c>
      <c r="B46">
        <v>0.14004863899023229</v>
      </c>
      <c r="C46">
        <v>0.42253157935788072</v>
      </c>
      <c r="D46">
        <v>-3.1541828076139533E-2</v>
      </c>
      <c r="E46">
        <v>0.23788545484587492</v>
      </c>
      <c r="F46">
        <v>0.23107615488215155</v>
      </c>
      <c r="G46" cm="1">
        <f t="array" ref="G46">MMULT(MMULT(B46:F46,$C$5:$G$9),TRANSPOSE(B46:F46))</f>
        <v>1.1512073521869953E-4</v>
      </c>
      <c r="H46">
        <f t="shared" si="6"/>
        <v>1.0729433126624143E-2</v>
      </c>
      <c r="I46" s="3" cm="1">
        <f t="array" ref="I46">MMULT(B46:F46,$I$5:$I$9)</f>
        <v>4.9999999999999979E-4</v>
      </c>
    </row>
    <row r="47" spans="1:26" x14ac:dyDescent="0.25">
      <c r="A47">
        <v>5</v>
      </c>
      <c r="B47">
        <v>0.16684179053691395</v>
      </c>
      <c r="C47">
        <v>0.44425037462357964</v>
      </c>
      <c r="D47">
        <v>-5.4401610845778048E-2</v>
      </c>
      <c r="E47">
        <v>0.22563061520900018</v>
      </c>
      <c r="F47">
        <v>0.21767883047628422</v>
      </c>
      <c r="G47" cm="1">
        <f t="array" ref="G47">MMULT(MMULT(B47:F47,$C$5:$G$9),TRANSPOSE(B47:F47))</f>
        <v>1.1904997203098942E-4</v>
      </c>
      <c r="H47">
        <f t="shared" si="6"/>
        <v>1.0911002338510858E-2</v>
      </c>
      <c r="I47" s="3" cm="1">
        <f t="array" ref="I47">MMULT(B47:F47,$I$5:$I$9)</f>
        <v>5.4999999999999992E-4</v>
      </c>
      <c r="L47" t="s">
        <v>1336</v>
      </c>
    </row>
    <row r="48" spans="1:26" x14ac:dyDescent="0.25">
      <c r="A48">
        <v>6</v>
      </c>
      <c r="B48">
        <v>0.1936349420835955</v>
      </c>
      <c r="C48">
        <v>0.4659691698892785</v>
      </c>
      <c r="D48">
        <v>-7.7261393615416507E-2</v>
      </c>
      <c r="E48">
        <v>0.21337577557212548</v>
      </c>
      <c r="F48">
        <v>0.20428150607041695</v>
      </c>
      <c r="G48" cm="1">
        <f t="array" ref="G48">MMULT(MMULT(B48:F48,$C$5:$G$9),TRANSPOSE(B48:F48))</f>
        <v>1.2439418522681666E-4</v>
      </c>
      <c r="H48">
        <f t="shared" si="6"/>
        <v>1.1153214120907778E-2</v>
      </c>
      <c r="I48" s="24" cm="1">
        <f t="array" ref="I48">MMULT(B48:F48,$I$5:$I$9)</f>
        <v>5.9999999999999973E-4</v>
      </c>
      <c r="R48" s="37"/>
      <c r="S48" s="37"/>
    </row>
    <row r="49" spans="1:14" x14ac:dyDescent="0.25">
      <c r="A49">
        <v>7</v>
      </c>
      <c r="B49">
        <v>0.2204280936302771</v>
      </c>
      <c r="C49">
        <v>0.48768796515497748</v>
      </c>
      <c r="D49">
        <v>-0.10012117638505502</v>
      </c>
      <c r="E49">
        <v>0.20112093593525074</v>
      </c>
      <c r="F49">
        <v>0.19088418166454962</v>
      </c>
      <c r="G49" cm="1">
        <f t="array" ref="G49">MMULT(MMULT(B49:F49,$C$5:$G$9),TRANSPOSE(B49:F49))</f>
        <v>1.3115337480618127E-4</v>
      </c>
      <c r="H49">
        <f t="shared" si="6"/>
        <v>1.145222139177292E-2</v>
      </c>
      <c r="I49" s="24" cm="1">
        <f t="array" ref="I49">MMULT(B49:F49,$I$5:$I$9)</f>
        <v>6.4999999999999975E-4</v>
      </c>
      <c r="L49" t="s">
        <v>1337</v>
      </c>
      <c r="N49" t="s">
        <v>1338</v>
      </c>
    </row>
    <row r="50" spans="1:14" x14ac:dyDescent="0.25">
      <c r="A50">
        <v>8</v>
      </c>
      <c r="B50">
        <v>0.2472212451769587</v>
      </c>
      <c r="C50">
        <v>0.50940676042067645</v>
      </c>
      <c r="D50">
        <v>-0.12298095915469348</v>
      </c>
      <c r="E50">
        <v>0.18886609629837597</v>
      </c>
      <c r="F50">
        <v>0.1774868572586823</v>
      </c>
      <c r="G50" cm="1">
        <f t="array" ref="G50">MMULT(MMULT(B50:F50,$C$5:$G$9),TRANSPOSE(B50:F50))</f>
        <v>1.393275407690832E-4</v>
      </c>
      <c r="H50">
        <f t="shared" si="6"/>
        <v>1.1803708771783689E-2</v>
      </c>
      <c r="I50" s="24" cm="1">
        <f t="array" ref="I50">MMULT(B50:F50,$I$5:$I$9)</f>
        <v>6.9999999999999978E-4</v>
      </c>
      <c r="L50">
        <f>(AA31-X19)/(Z33-X20)</f>
        <v>6.0816166945355757E-2</v>
      </c>
      <c r="N50">
        <f>(AA31-N45)/Z33</f>
        <v>5.471450136372092E-2</v>
      </c>
    </row>
    <row r="51" spans="1:14" x14ac:dyDescent="0.25">
      <c r="A51">
        <v>9</v>
      </c>
      <c r="B51">
        <v>0.27401439672364031</v>
      </c>
      <c r="C51">
        <v>0.53112555568637543</v>
      </c>
      <c r="D51">
        <v>-0.145840741924332</v>
      </c>
      <c r="E51">
        <v>0.17661125666150124</v>
      </c>
      <c r="F51">
        <v>0.164089532852815</v>
      </c>
      <c r="G51" cm="1">
        <f t="array" ref="G51">MMULT(MMULT(B51:F51,$C$5:$G$9),TRANSPOSE(B51:F51))</f>
        <v>1.4891668311552253E-4</v>
      </c>
      <c r="H51">
        <f t="shared" si="6"/>
        <v>1.2203142345950184E-2</v>
      </c>
      <c r="I51" s="3" cm="1">
        <f t="array" ref="I51">MMULT(B51:F51,$I$5:$I$9)</f>
        <v>7.4999999999999969E-4</v>
      </c>
      <c r="L51" t="s">
        <v>34</v>
      </c>
      <c r="M51" t="s">
        <v>39</v>
      </c>
    </row>
    <row r="52" spans="1:14" x14ac:dyDescent="0.25">
      <c r="A52">
        <v>10</v>
      </c>
      <c r="B52">
        <v>0.30080754827032197</v>
      </c>
      <c r="C52">
        <v>0.55284435095207429</v>
      </c>
      <c r="D52">
        <v>-0.16870052469397051</v>
      </c>
      <c r="E52">
        <v>0.1643564170246265</v>
      </c>
      <c r="F52">
        <v>0.15069220844694767</v>
      </c>
      <c r="G52" cm="1">
        <f t="array" ref="G52">MMULT(MMULT(B52:F52,$C$5:$G$9),TRANSPOSE(B52:F52))</f>
        <v>1.5992080184549921E-4</v>
      </c>
      <c r="H52">
        <f t="shared" si="6"/>
        <v>1.2645979671243316E-2</v>
      </c>
      <c r="I52" s="3" cm="1">
        <f t="array" ref="I52">MMULT(B52:F52,$I$5:$I$9)</f>
        <v>7.9999999999999971E-4</v>
      </c>
      <c r="L52" s="22">
        <v>0</v>
      </c>
      <c r="M52">
        <f>$X$19+($L$50*L52)</f>
        <v>2.5055555555555557E-4</v>
      </c>
    </row>
    <row r="53" spans="1:14" x14ac:dyDescent="0.25">
      <c r="A53">
        <v>11</v>
      </c>
      <c r="B53">
        <v>0.32760069981700352</v>
      </c>
      <c r="C53">
        <v>0.57456314621777327</v>
      </c>
      <c r="D53">
        <v>-0.19156030746360897</v>
      </c>
      <c r="E53">
        <v>0.15210157738775179</v>
      </c>
      <c r="F53">
        <v>0.13729488404108037</v>
      </c>
      <c r="G53" cm="1">
        <f t="array" ref="G53">MMULT(MMULT(B53:F53,$C$5:$G$9),TRANSPOSE(B53:F53))</f>
        <v>1.7233989695901323E-4</v>
      </c>
      <c r="H53">
        <f t="shared" si="6"/>
        <v>1.3127829103054824E-2</v>
      </c>
      <c r="I53" s="3" cm="1">
        <f t="array" ref="I53">MMULT(B53:F53,$I$5:$I$9)</f>
        <v>8.4999999999999974E-4</v>
      </c>
      <c r="L53" s="33">
        <v>5.0000000000000001E-3</v>
      </c>
      <c r="M53">
        <f t="shared" ref="M53:M64" si="7">$X$19+($L$50*L53)</f>
        <v>5.5463639028233429E-4</v>
      </c>
    </row>
    <row r="54" spans="1:14" x14ac:dyDescent="0.25">
      <c r="A54">
        <v>12</v>
      </c>
      <c r="B54">
        <v>0.35439385136368512</v>
      </c>
      <c r="C54">
        <v>0.59628194148347224</v>
      </c>
      <c r="D54">
        <v>-0.21442009023324748</v>
      </c>
      <c r="E54">
        <v>0.13984673775087705</v>
      </c>
      <c r="F54">
        <v>0.12389755963521307</v>
      </c>
      <c r="G54" cm="1">
        <f t="array" ref="G54">MMULT(MMULT(B54:F54,$C$5:$G$9),TRANSPOSE(B54:F54))</f>
        <v>1.8617396845606459E-4</v>
      </c>
      <c r="H54">
        <f t="shared" si="6"/>
        <v>1.3644558199372547E-2</v>
      </c>
      <c r="I54" s="3" cm="1">
        <f t="array" ref="I54">MMULT(B54:F54,$I$5:$I$9)</f>
        <v>8.9999999999999976E-4</v>
      </c>
      <c r="L54" s="22">
        <v>0.01</v>
      </c>
      <c r="M54">
        <f t="shared" si="7"/>
        <v>8.5871722500911307E-4</v>
      </c>
    </row>
    <row r="55" spans="1:14" x14ac:dyDescent="0.25">
      <c r="A55">
        <v>13</v>
      </c>
      <c r="B55" s="3">
        <v>0.38118700291036672</v>
      </c>
      <c r="C55" s="3">
        <v>0.61800073674917111</v>
      </c>
      <c r="D55" s="3">
        <v>-0.237279873002886</v>
      </c>
      <c r="E55" s="3">
        <v>0.12759189811400232</v>
      </c>
      <c r="F55" s="3">
        <v>0.11050023522934577</v>
      </c>
      <c r="G55" s="3" cm="1">
        <f t="array" ref="G55">MMULT(MMULT(B55:F55,$C$5:$G$9),TRANSPOSE(B55:F55))</f>
        <v>2.014230163366533E-4</v>
      </c>
      <c r="H55" s="3">
        <f t="shared" si="6"/>
        <v>1.4192357673644407E-2</v>
      </c>
      <c r="I55" s="3" cm="1">
        <f t="array" ref="I55">MMULT(B55:F55,$I$5:$I$9)</f>
        <v>9.4999999999999978E-4</v>
      </c>
      <c r="L55" s="33">
        <v>1.4999999999999999E-2</v>
      </c>
      <c r="M55">
        <f t="shared" si="7"/>
        <v>1.1627980597358918E-3</v>
      </c>
    </row>
    <row r="56" spans="1:14" x14ac:dyDescent="0.25">
      <c r="A56">
        <v>14</v>
      </c>
      <c r="B56" s="3">
        <v>0.40798015445704833</v>
      </c>
      <c r="C56" s="3">
        <v>0.63971953201487008</v>
      </c>
      <c r="D56" s="3">
        <v>-0.26013965577252451</v>
      </c>
      <c r="E56" s="3">
        <v>0.11533705847712755</v>
      </c>
      <c r="F56" s="3">
        <v>9.7102910823478439E-2</v>
      </c>
      <c r="G56" s="3" cm="1">
        <f t="array" ref="G56">MMULT(MMULT(B56:F56,$C$5:$G$9),TRANSPOSE(B56:F56))</f>
        <v>2.1808704060077939E-4</v>
      </c>
      <c r="H56" s="3">
        <f t="shared" si="6"/>
        <v>1.4767770332747574E-2</v>
      </c>
      <c r="I56" s="3" cm="1">
        <f t="array" ref="I56">MMULT(B56:F56,$I$5:$I$9)</f>
        <v>9.999999999999998E-4</v>
      </c>
      <c r="L56" s="33">
        <v>0.02</v>
      </c>
      <c r="M56">
        <f t="shared" si="7"/>
        <v>1.4668788944626706E-3</v>
      </c>
    </row>
    <row r="57" spans="1:14" x14ac:dyDescent="0.25">
      <c r="A57">
        <v>15</v>
      </c>
      <c r="B57">
        <v>0.46156645755041165</v>
      </c>
      <c r="C57">
        <v>0.68315712254626804</v>
      </c>
      <c r="D57">
        <v>-0.30585922131180154</v>
      </c>
      <c r="E57">
        <v>9.0827379203378078E-2</v>
      </c>
      <c r="F57">
        <v>7.0308262011743783E-2</v>
      </c>
      <c r="G57" cm="1">
        <f t="array" ref="G57">MMULT(MMULT(B57:F57,$C$5:$G$9),TRANSPOSE(B57:F57))</f>
        <v>2.556600182796437E-4</v>
      </c>
      <c r="H57">
        <f t="shared" si="6"/>
        <v>1.5989372041441893E-2</v>
      </c>
      <c r="I57" s="3" cm="1">
        <f t="array" ref="I57">MMULT(B57:F57,$I$5:$I$9)</f>
        <v>1.1000000000000001E-3</v>
      </c>
      <c r="L57" s="33">
        <v>2.5000000000000001E-2</v>
      </c>
      <c r="M57">
        <f t="shared" si="7"/>
        <v>1.7709597291894496E-3</v>
      </c>
    </row>
    <row r="58" spans="1:14" x14ac:dyDescent="0.25">
      <c r="A58">
        <v>16</v>
      </c>
      <c r="B58">
        <v>0.51515276064377469</v>
      </c>
      <c r="C58">
        <v>0.72659471307766577</v>
      </c>
      <c r="D58">
        <v>-0.35157878685107846</v>
      </c>
      <c r="E58">
        <v>6.631769992962866E-2</v>
      </c>
      <c r="F58">
        <v>4.3513613200009238E-2</v>
      </c>
      <c r="G58" cm="1">
        <f t="array" ref="G58">MMULT(MMULT(B58:F58,$C$5:$G$9),TRANSPOSE(B58:F58))</f>
        <v>2.988929014926572E-4</v>
      </c>
      <c r="H58">
        <f t="shared" si="6"/>
        <v>1.7288519355128627E-2</v>
      </c>
      <c r="I58" s="3" cm="1">
        <f t="array" ref="I58">MMULT(B58:F58,$I$5:$I$9)</f>
        <v>1.1999999999999995E-3</v>
      </c>
      <c r="L58" s="22">
        <v>0.03</v>
      </c>
      <c r="M58">
        <f t="shared" si="7"/>
        <v>2.0750405639162282E-3</v>
      </c>
    </row>
    <row r="59" spans="1:14" x14ac:dyDescent="0.25">
      <c r="A59">
        <v>17</v>
      </c>
      <c r="B59">
        <v>0.5687390637371379</v>
      </c>
      <c r="C59">
        <v>0.77003230360906372</v>
      </c>
      <c r="D59">
        <v>-0.39729835239035549</v>
      </c>
      <c r="E59">
        <v>4.1808020655879186E-2</v>
      </c>
      <c r="F59">
        <v>1.6718964388274582E-2</v>
      </c>
      <c r="G59" cm="1">
        <f t="array" ref="G59">MMULT(MMULT(B59:F59,$C$5:$G$9),TRANSPOSE(B59:F59))</f>
        <v>3.477856902398203E-4</v>
      </c>
      <c r="H59">
        <f t="shared" si="6"/>
        <v>1.8649013117047784E-2</v>
      </c>
      <c r="I59" s="3" cm="1">
        <f t="array" ref="I59">MMULT(B59:F59,$I$5:$I$9)</f>
        <v>1.2999999999999997E-3</v>
      </c>
      <c r="L59" s="32">
        <v>3.5000000000000003E-2</v>
      </c>
      <c r="M59">
        <f t="shared" si="7"/>
        <v>2.3791213986430072E-3</v>
      </c>
    </row>
    <row r="60" spans="1:14" x14ac:dyDescent="0.25">
      <c r="A60">
        <v>18</v>
      </c>
      <c r="B60">
        <v>0.6223253668305011</v>
      </c>
      <c r="C60">
        <v>0.81346989414046156</v>
      </c>
      <c r="D60">
        <v>-0.44301791792963241</v>
      </c>
      <c r="E60">
        <v>1.7298341382129656E-2</v>
      </c>
      <c r="F60">
        <v>-1.0075684423460074E-2</v>
      </c>
      <c r="G60" cm="1">
        <f t="array" ref="G60">MMULT(MMULT(B60:F60,$C$5:$G$9),TRANSPOSE(B60:F60))</f>
        <v>4.0233838452113273E-4</v>
      </c>
      <c r="H60">
        <f t="shared" si="6"/>
        <v>2.0058374423694778E-2</v>
      </c>
      <c r="I60" s="3" cm="1">
        <f t="array" ref="I60">MMULT(B60:F60,$I$5:$I$9)</f>
        <v>1.3999999999999993E-3</v>
      </c>
      <c r="L60" s="33">
        <v>0.04</v>
      </c>
      <c r="M60">
        <f t="shared" si="7"/>
        <v>2.6832022333697857E-3</v>
      </c>
    </row>
    <row r="61" spans="1:14" x14ac:dyDescent="0.25">
      <c r="A61">
        <v>19</v>
      </c>
      <c r="B61">
        <v>0.67591166992386431</v>
      </c>
      <c r="C61">
        <v>0.85690748467185951</v>
      </c>
      <c r="D61">
        <v>-0.48873748346890944</v>
      </c>
      <c r="E61">
        <v>-7.2113378916198179E-3</v>
      </c>
      <c r="F61">
        <v>-3.6870333235194674E-2</v>
      </c>
      <c r="G61" cm="1">
        <f t="array" ref="G61">MMULT(MMULT(B61:F61,$C$5:$G$9),TRANSPOSE(B61:F61))</f>
        <v>4.625509843365946E-4</v>
      </c>
      <c r="H61">
        <f t="shared" si="6"/>
        <v>2.1506998496689272E-2</v>
      </c>
      <c r="I61" s="3" cm="1">
        <f t="array" ref="I61">MMULT(B61:F61,$I$5:$I$9)</f>
        <v>1.4999999999999996E-3</v>
      </c>
      <c r="L61" s="33">
        <v>4.4999999999999998E-2</v>
      </c>
      <c r="M61">
        <f t="shared" si="7"/>
        <v>2.9872830680965643E-3</v>
      </c>
    </row>
    <row r="62" spans="1:14" x14ac:dyDescent="0.25">
      <c r="A62">
        <v>20</v>
      </c>
      <c r="B62">
        <v>0.72949797301722774</v>
      </c>
      <c r="C62">
        <v>0.90034507520325735</v>
      </c>
      <c r="D62">
        <v>-0.53445704900818647</v>
      </c>
      <c r="E62">
        <v>-3.1721017165369292E-2</v>
      </c>
      <c r="F62">
        <v>-6.366498204692933E-2</v>
      </c>
      <c r="G62" cm="1">
        <f t="array" ref="G62">MMULT(MMULT(B62:F62,$C$5:$G$9),TRANSPOSE(B62:F62))</f>
        <v>5.2842348968620606E-4</v>
      </c>
      <c r="H62">
        <f t="shared" si="6"/>
        <v>2.298746375062299E-2</v>
      </c>
      <c r="I62" s="3" cm="1">
        <f t="array" ref="I62">MMULT(B62:F62,$I$5:$I$9)</f>
        <v>1.5999999999999996E-3</v>
      </c>
      <c r="L62" s="34">
        <f>Z33</f>
        <v>4.9986351418210728E-2</v>
      </c>
      <c r="M62">
        <f t="shared" si="7"/>
        <v>3.2905338483946796E-3</v>
      </c>
    </row>
    <row r="63" spans="1:14" x14ac:dyDescent="0.25">
      <c r="A63">
        <v>21</v>
      </c>
      <c r="B63">
        <v>0.83667057920395393</v>
      </c>
      <c r="C63">
        <v>0.98722025626605314</v>
      </c>
      <c r="D63">
        <v>-0.62589618008674042</v>
      </c>
      <c r="E63">
        <v>-8.0740375712868184E-2</v>
      </c>
      <c r="F63">
        <v>-0.11725427967039853</v>
      </c>
      <c r="G63" cm="1">
        <f t="array" ref="G63">MMULT(MMULT(B63:F63,$C$5:$G$9),TRANSPOSE(B63:F63))</f>
        <v>6.771482169878767E-4</v>
      </c>
      <c r="H63">
        <f t="shared" si="6"/>
        <v>2.6022071727437011E-2</v>
      </c>
      <c r="I63" s="3" cm="1">
        <f t="array" ref="I63">MMULT(B63:F63,$I$5:$I$9)</f>
        <v>1.7999999999999997E-3</v>
      </c>
      <c r="L63" s="33">
        <v>5.5E-2</v>
      </c>
      <c r="M63">
        <f>$X$19+($L$50*L63)</f>
        <v>3.5954447375501223E-3</v>
      </c>
    </row>
    <row r="64" spans="1:14" x14ac:dyDescent="0.25">
      <c r="A64">
        <v>22</v>
      </c>
      <c r="B64">
        <v>0.94384318539068035</v>
      </c>
      <c r="C64">
        <v>1.0740954373288489</v>
      </c>
      <c r="D64">
        <v>-0.71733531116529448</v>
      </c>
      <c r="E64">
        <v>-0.12975973426036719</v>
      </c>
      <c r="F64">
        <v>-0.17084357729386779</v>
      </c>
      <c r="G64" cm="1">
        <f t="array" ref="G64">MMULT(MMULT(B64:F64,$C$5:$G$9),TRANSPOSE(B64:F64))</f>
        <v>8.4851256642614519E-4</v>
      </c>
      <c r="H64">
        <f t="shared" si="6"/>
        <v>2.9129239029300872E-2</v>
      </c>
      <c r="I64" s="3" cm="1">
        <f t="array" ref="I64">MMULT(B64:F64,$I$5:$I$9)</f>
        <v>1.9999999999999992E-3</v>
      </c>
      <c r="L64" s="22">
        <v>0.06</v>
      </c>
      <c r="M64">
        <f t="shared" si="7"/>
        <v>3.8995255722769008E-3</v>
      </c>
    </row>
    <row r="65" spans="1:10" x14ac:dyDescent="0.25">
      <c r="A65">
        <v>23</v>
      </c>
      <c r="B65">
        <v>1.2117747008574964</v>
      </c>
      <c r="C65">
        <v>1.2912833899858382</v>
      </c>
      <c r="D65">
        <v>-0.9459331388616794</v>
      </c>
      <c r="E65">
        <v>-0.25230813062911456</v>
      </c>
      <c r="F65">
        <v>-0.30481682135254096</v>
      </c>
      <c r="G65" cm="1">
        <f t="array" ref="G65">MMULT(MMULT(B65:F65,$C$5:$G$9),TRANSPOSE(B65:F65))</f>
        <v>1.3759717868694309E-3</v>
      </c>
      <c r="H65">
        <f t="shared" si="6"/>
        <v>3.7094093692519717E-2</v>
      </c>
      <c r="I65" s="3" cm="1">
        <f t="array" ref="I65">MMULT(B65:F65,$I$5:$I$9)</f>
        <v>2.5000000000000001E-3</v>
      </c>
    </row>
    <row r="66" spans="1:10" x14ac:dyDescent="0.25">
      <c r="A66">
        <v>24</v>
      </c>
      <c r="B66">
        <v>1.4797062163243124</v>
      </c>
      <c r="C66">
        <v>1.5084713426428276</v>
      </c>
      <c r="D66">
        <v>-1.1745309665580643</v>
      </c>
      <c r="E66">
        <v>-0.37485652699786193</v>
      </c>
      <c r="F66">
        <v>-0.43879006541121401</v>
      </c>
      <c r="G66" cm="1">
        <f t="array" ref="G66">MMULT(MMULT(B66:F66,$C$5:$G$9),TRANSPOSE(B66:F66))</f>
        <v>2.0449286456664523E-3</v>
      </c>
      <c r="H66">
        <f t="shared" si="6"/>
        <v>4.5220887271994699E-2</v>
      </c>
      <c r="I66" s="3" cm="1">
        <f t="array" ref="I66">MMULT(B66:F66,$I$5:$I$9)</f>
        <v>2.9999999999999996E-3</v>
      </c>
    </row>
    <row r="67" spans="1:10" x14ac:dyDescent="0.25">
      <c r="A67">
        <v>25</v>
      </c>
      <c r="B67" s="36">
        <v>1.6353925649139001</v>
      </c>
      <c r="C67" s="36">
        <v>1.6346722460636207</v>
      </c>
      <c r="D67" s="36">
        <v>-1.3073617797886536</v>
      </c>
      <c r="E67" s="36">
        <v>-0.44606544142107935</v>
      </c>
      <c r="F67" s="36">
        <v>-0.51663758976778595</v>
      </c>
      <c r="G67" s="36" cm="1">
        <f t="array" ref="G67">MMULT(MMULT(B67:F67,$C$5:$G$9),TRANSPOSE(B67:F67))</f>
        <v>2.4986353281048592E-3</v>
      </c>
      <c r="H67" s="36">
        <f t="shared" si="6"/>
        <v>4.9986351418210742E-2</v>
      </c>
      <c r="I67" s="36" cm="1">
        <f t="array" ref="I67">MMULT(B67:F67,$I$5:$I$9)</f>
        <v>3.2905338483946813E-3</v>
      </c>
      <c r="J67" t="s">
        <v>46</v>
      </c>
    </row>
  </sheetData>
  <mergeCells count="2">
    <mergeCell ref="R48:S48"/>
    <mergeCell ref="P43:Q4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49A8-2058-4572-9CB4-77A95C1B9185}">
  <dimension ref="B2:M12"/>
  <sheetViews>
    <sheetView topLeftCell="B1" zoomScale="86" workbookViewId="0">
      <selection activeCell="I22" sqref="I22"/>
    </sheetView>
  </sheetViews>
  <sheetFormatPr baseColWidth="10" defaultRowHeight="15" x14ac:dyDescent="0.25"/>
  <cols>
    <col min="3" max="3" width="15.7109375" customWidth="1"/>
    <col min="4" max="4" width="11.5703125" bestFit="1" customWidth="1"/>
    <col min="5" max="5" width="13.42578125" customWidth="1"/>
    <col min="6" max="6" width="14.140625" customWidth="1"/>
    <col min="7" max="7" width="20.7109375" customWidth="1"/>
    <col min="8" max="8" width="19.7109375" customWidth="1"/>
    <col min="9" max="9" width="21" customWidth="1"/>
    <col min="10" max="10" width="21.42578125" customWidth="1"/>
    <col min="11" max="11" width="21.28515625" customWidth="1"/>
    <col min="12" max="12" width="13.85546875" customWidth="1"/>
    <col min="13" max="13" width="17.140625" customWidth="1"/>
    <col min="14" max="14" width="16.42578125" bestFit="1" customWidth="1"/>
    <col min="15" max="15" width="16" bestFit="1" customWidth="1"/>
    <col min="16" max="18" width="17.7109375" bestFit="1" customWidth="1"/>
  </cols>
  <sheetData>
    <row r="2" spans="2:13" x14ac:dyDescent="0.25">
      <c r="D2" s="39" t="s">
        <v>1319</v>
      </c>
      <c r="E2" s="39"/>
      <c r="F2" s="39"/>
    </row>
    <row r="3" spans="2:13" x14ac:dyDescent="0.25">
      <c r="B3" s="26"/>
      <c r="C3" s="26" t="s">
        <v>1320</v>
      </c>
      <c r="D3" s="26" t="s">
        <v>1321</v>
      </c>
      <c r="E3" s="26" t="s">
        <v>1322</v>
      </c>
      <c r="F3" s="26" t="s">
        <v>1323</v>
      </c>
      <c r="G3" s="26" t="s">
        <v>1329</v>
      </c>
      <c r="H3" s="26" t="s">
        <v>1330</v>
      </c>
      <c r="I3" s="26" t="s">
        <v>1331</v>
      </c>
      <c r="J3" s="26" t="s">
        <v>1332</v>
      </c>
      <c r="K3" s="26" t="s">
        <v>1333</v>
      </c>
      <c r="L3" s="26" t="s">
        <v>33</v>
      </c>
      <c r="M3" s="26" t="s">
        <v>1324</v>
      </c>
    </row>
    <row r="4" spans="2:13" x14ac:dyDescent="0.25">
      <c r="B4" s="26" t="s">
        <v>1325</v>
      </c>
      <c r="C4" s="27">
        <v>100000000</v>
      </c>
      <c r="D4">
        <v>0.25</v>
      </c>
      <c r="E4" s="27">
        <f>(1-D4)*C4</f>
        <v>75000000</v>
      </c>
      <c r="F4" s="27">
        <f>D4*C4</f>
        <v>25000000</v>
      </c>
      <c r="G4" s="28">
        <f>F4*Inversa!$B$43</f>
        <v>1976088.0638019028</v>
      </c>
      <c r="H4" s="28">
        <f>F4*Inversa!$C$43</f>
        <v>9327005.6225916538</v>
      </c>
      <c r="I4" s="28">
        <f>F4*Inversa!$D$43</f>
        <v>512685.79673433566</v>
      </c>
      <c r="J4" s="28">
        <f>F4*Inversa!$E$43</f>
        <v>6644710.0754532889</v>
      </c>
      <c r="K4" s="28">
        <f>F4*Inversa!$F$43</f>
        <v>6539510.4414188182</v>
      </c>
      <c r="L4" s="29">
        <f>(D4*Inversa!$I$43)+(1-D4)*Inversa!$X$19</f>
        <v>2.8445551478804799E-4</v>
      </c>
      <c r="M4" s="29">
        <f>L4-Inversa!$X$19</f>
        <v>3.3899959232492423E-5</v>
      </c>
    </row>
    <row r="5" spans="2:13" x14ac:dyDescent="0.25">
      <c r="B5" s="26" t="s">
        <v>1326</v>
      </c>
      <c r="C5" s="27">
        <v>500000</v>
      </c>
      <c r="D5">
        <v>0.85</v>
      </c>
      <c r="E5" s="27">
        <f>(1-D5)*C5</f>
        <v>75000.000000000015</v>
      </c>
      <c r="F5" s="27">
        <f>D5*C5</f>
        <v>425000</v>
      </c>
      <c r="G5" s="28">
        <f>F5*Inversa!$B$43</f>
        <v>33593.497084632349</v>
      </c>
      <c r="H5" s="28">
        <f>F5*Inversa!$C$43</f>
        <v>158559.09558405812</v>
      </c>
      <c r="I5" s="28">
        <f>F5*Inversa!$D$43</f>
        <v>8715.6585444837074</v>
      </c>
      <c r="J5" s="28">
        <f>F5*Inversa!$E$43</f>
        <v>112960.07128270592</v>
      </c>
      <c r="K5" s="28">
        <f>F5*Inversa!$F$43</f>
        <v>111171.6775041199</v>
      </c>
      <c r="L5" s="29">
        <f>(D5*Inversa!$I$43)+(1-D5)*Inversa!$X$19</f>
        <v>3.658154169460297E-4</v>
      </c>
      <c r="M5" s="29">
        <f>L5-Inversa!$X$19</f>
        <v>1.1525986139047413E-4</v>
      </c>
    </row>
    <row r="6" spans="2:13" x14ac:dyDescent="0.25">
      <c r="B6" s="26" t="s">
        <v>1327</v>
      </c>
      <c r="C6" s="27">
        <v>1500000</v>
      </c>
      <c r="D6">
        <v>1.3</v>
      </c>
      <c r="E6" s="27">
        <f>(1-D6)*C6</f>
        <v>-450000.00000000006</v>
      </c>
      <c r="F6" s="27">
        <f>D6*C6</f>
        <v>1950000</v>
      </c>
      <c r="G6" s="28">
        <f>F6*Inversa!$B$43</f>
        <v>154134.86897654843</v>
      </c>
      <c r="H6" s="28">
        <f>F6*Inversa!$C$43</f>
        <v>727506.43856214907</v>
      </c>
      <c r="I6" s="28">
        <f>F6*Inversa!$D$43</f>
        <v>39989.492145278185</v>
      </c>
      <c r="J6" s="28">
        <f>F6*Inversa!$E$43</f>
        <v>518287.38588535652</v>
      </c>
      <c r="K6" s="28">
        <f>F6*Inversa!$F$43</f>
        <v>510081.81443066779</v>
      </c>
      <c r="L6" s="29">
        <f>(D6*Inversa!$I$43)+(1-D6)*Inversa!$X$19</f>
        <v>4.2683534356451595E-4</v>
      </c>
      <c r="M6" s="29">
        <f>L6-Inversa!$X$19</f>
        <v>1.7627978800896038E-4</v>
      </c>
    </row>
    <row r="7" spans="2:13" x14ac:dyDescent="0.25">
      <c r="J7" s="28"/>
    </row>
    <row r="8" spans="2:13" x14ac:dyDescent="0.25">
      <c r="D8" s="39" t="s">
        <v>1328</v>
      </c>
      <c r="E8" s="39"/>
    </row>
    <row r="9" spans="2:13" x14ac:dyDescent="0.25">
      <c r="B9" s="26"/>
      <c r="C9" s="26" t="s">
        <v>1320</v>
      </c>
      <c r="D9" s="26" t="s">
        <v>1321</v>
      </c>
      <c r="E9" s="26" t="s">
        <v>1322</v>
      </c>
      <c r="F9" s="26" t="s">
        <v>1323</v>
      </c>
      <c r="G9" s="26" t="s">
        <v>1329</v>
      </c>
      <c r="H9" s="26" t="s">
        <v>1330</v>
      </c>
      <c r="I9" s="26" t="s">
        <v>1331</v>
      </c>
      <c r="J9" s="26" t="s">
        <v>1332</v>
      </c>
      <c r="K9" s="26" t="s">
        <v>1333</v>
      </c>
      <c r="L9" s="26" t="s">
        <v>33</v>
      </c>
      <c r="M9" s="26" t="s">
        <v>1324</v>
      </c>
    </row>
    <row r="10" spans="2:13" x14ac:dyDescent="0.25">
      <c r="B10" s="26" t="s">
        <v>1325</v>
      </c>
      <c r="C10" s="27">
        <f>C4</f>
        <v>100000000</v>
      </c>
      <c r="D10">
        <v>0.25</v>
      </c>
      <c r="E10" s="27">
        <f>(1-D10)*C10</f>
        <v>75000000</v>
      </c>
      <c r="F10" s="27">
        <f>D10*C10</f>
        <v>25000000</v>
      </c>
      <c r="G10" s="28">
        <f>F10*Inversa!$B$67</f>
        <v>40884814.122847505</v>
      </c>
      <c r="H10" s="28">
        <f>F10*Inversa!$C$67</f>
        <v>40866806.151590519</v>
      </c>
      <c r="I10" s="28">
        <f>F10*Inversa!$D$67</f>
        <v>-32684044.494716343</v>
      </c>
      <c r="J10" s="28">
        <f>F10*Inversa!$E$67</f>
        <v>-11151636.035526983</v>
      </c>
      <c r="K10" s="28">
        <f>F10*Inversa!$F$67</f>
        <v>-12915939.744194649</v>
      </c>
      <c r="L10" s="29">
        <f>(D10*Inversa!$I$67)+(1-D10)*Inversa!$X$19</f>
        <v>1.010550128765337E-3</v>
      </c>
      <c r="M10" s="29">
        <f>L10-Inversa!$X$19</f>
        <v>7.5999457320978145E-4</v>
      </c>
    </row>
    <row r="11" spans="2:13" x14ac:dyDescent="0.25">
      <c r="B11" s="26" t="s">
        <v>1326</v>
      </c>
      <c r="C11" s="27">
        <f t="shared" ref="C11:C12" si="0">C5</f>
        <v>500000</v>
      </c>
      <c r="D11">
        <v>0.85</v>
      </c>
      <c r="E11" s="27">
        <f>(1-D11)*C11</f>
        <v>75000.000000000015</v>
      </c>
      <c r="F11" s="27">
        <f>D11*C11</f>
        <v>425000</v>
      </c>
      <c r="G11" s="28">
        <f>F11*Inversa!$B$67</f>
        <v>695041.84008840751</v>
      </c>
      <c r="H11" s="28">
        <f>F11*Inversa!$C$67</f>
        <v>694735.70457703876</v>
      </c>
      <c r="I11" s="28">
        <f>F11*Inversa!$D$67</f>
        <v>-555628.7564101778</v>
      </c>
      <c r="J11" s="28">
        <f>F11*Inversa!$E$67</f>
        <v>-189577.81260395871</v>
      </c>
      <c r="K11" s="28">
        <f>F11*Inversa!$F$67</f>
        <v>-219570.97565130904</v>
      </c>
      <c r="L11" s="29">
        <f>(D11*Inversa!$I$67)+(1-D11)*Inversa!$X$19</f>
        <v>2.8345371044688123E-3</v>
      </c>
      <c r="M11" s="29">
        <f>L11-Inversa!$X$19</f>
        <v>2.5839815489132568E-3</v>
      </c>
    </row>
    <row r="12" spans="2:13" x14ac:dyDescent="0.25">
      <c r="B12" s="26" t="s">
        <v>1327</v>
      </c>
      <c r="C12" s="27">
        <f t="shared" si="0"/>
        <v>1500000</v>
      </c>
      <c r="D12">
        <v>1.3</v>
      </c>
      <c r="E12" s="27">
        <f>(1-D12)*C12</f>
        <v>-450000.00000000006</v>
      </c>
      <c r="F12" s="27">
        <f>D12*C12</f>
        <v>1950000</v>
      </c>
      <c r="G12" s="28">
        <f>F12*Inversa!$B$67</f>
        <v>3189015.5015821052</v>
      </c>
      <c r="H12" s="28">
        <f>F12*Inversa!$C$67</f>
        <v>3187610.8798240605</v>
      </c>
      <c r="I12" s="28">
        <f>F12*Inversa!$D$67</f>
        <v>-2549355.4705878748</v>
      </c>
      <c r="J12" s="28">
        <f>F12*Inversa!$E$67</f>
        <v>-869827.61077110469</v>
      </c>
      <c r="K12" s="28">
        <f>F12*Inversa!$F$67</f>
        <v>-1007443.3000471826</v>
      </c>
      <c r="L12" s="29">
        <f>(D12*Inversa!$I$67)+(1-D12)*Inversa!$X$19</f>
        <v>4.2025273362464189E-3</v>
      </c>
      <c r="M12" s="29">
        <f>L12-Inversa!$X$19</f>
        <v>3.951971780690863E-3</v>
      </c>
    </row>
  </sheetData>
  <mergeCells count="2">
    <mergeCell ref="D2:F2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GFNORTEO</vt:lpstr>
      <vt:lpstr>KOFUBL</vt:lpstr>
      <vt:lpstr>TLEVISACPO</vt:lpstr>
      <vt:lpstr>WALMEX</vt:lpstr>
      <vt:lpstr>KIMBERA</vt:lpstr>
      <vt:lpstr>Inversa</vt:lpstr>
      <vt:lpstr>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BAEZA TEPALCAPA</dc:creator>
  <cp:lastModifiedBy>BELEN BAEZA TEPALCAPA</cp:lastModifiedBy>
  <dcterms:created xsi:type="dcterms:W3CDTF">2025-04-02T13:20:25Z</dcterms:created>
  <dcterms:modified xsi:type="dcterms:W3CDTF">2025-05-14T04:31:50Z</dcterms:modified>
</cp:coreProperties>
</file>