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Users\Descargas\Downloads\"/>
    </mc:Choice>
  </mc:AlternateContent>
  <xr:revisionPtr revIDLastSave="0" documentId="8_{C17E5DF5-E655-40E6-9F31-57DA96EF5D3A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Prima Tarifa" sheetId="4" r:id="rId1"/>
    <sheet name="Prima Riesgo" sheetId="1" r:id="rId2"/>
    <sheet name="Mensual" sheetId="2" r:id="rId3"/>
    <sheet name="Anual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/NqIiBFgGW9suQZKASn0xkoyFoBtLS6e4swzmAdVLwA="/>
    </ext>
  </extLst>
</workbook>
</file>

<file path=xl/calcChain.xml><?xml version="1.0" encoding="utf-8"?>
<calcChain xmlns="http://schemas.openxmlformats.org/spreadsheetml/2006/main">
  <c r="D6" i="4" l="1"/>
  <c r="F8" i="1" l="1"/>
  <c r="L8" i="4" l="1"/>
  <c r="C6" i="1"/>
  <c r="H4" i="3" s="1"/>
  <c r="G14" i="3" s="1"/>
  <c r="H14" i="3" s="1"/>
  <c r="I14" i="3" s="1"/>
  <c r="L6" i="1"/>
  <c r="I6" i="1"/>
  <c r="N4" i="3" s="1"/>
  <c r="F10" i="4"/>
  <c r="L8" i="1"/>
  <c r="Q4" i="3" s="1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O14" i="3"/>
  <c r="J14" i="3"/>
  <c r="D14" i="3"/>
  <c r="D13" i="3"/>
  <c r="D12" i="3"/>
  <c r="D11" i="3"/>
  <c r="D10" i="3"/>
  <c r="D9" i="3"/>
  <c r="D8" i="3"/>
  <c r="D7" i="3"/>
  <c r="K6" i="3"/>
  <c r="K14" i="3" s="1"/>
  <c r="D6" i="3"/>
  <c r="D5" i="3"/>
  <c r="D4" i="3"/>
  <c r="D1060" i="2"/>
  <c r="D1057" i="2"/>
  <c r="G1057" i="2" s="1"/>
  <c r="D1051" i="2"/>
  <c r="G1051" i="2" s="1"/>
  <c r="B1050" i="2"/>
  <c r="B1051" i="2" s="1"/>
  <c r="B1052" i="2" s="1"/>
  <c r="B1053" i="2" s="1"/>
  <c r="B1054" i="2" s="1"/>
  <c r="B1055" i="2" s="1"/>
  <c r="B1056" i="2" s="1"/>
  <c r="B1057" i="2" s="1"/>
  <c r="B1058" i="2" s="1"/>
  <c r="B1059" i="2" s="1"/>
  <c r="B1049" i="2"/>
  <c r="D1048" i="2"/>
  <c r="D1041" i="2"/>
  <c r="G1041" i="2" s="1"/>
  <c r="D1040" i="2"/>
  <c r="G1040" i="2" s="1"/>
  <c r="B1040" i="2"/>
  <c r="B1041" i="2" s="1"/>
  <c r="B1042" i="2" s="1"/>
  <c r="B1043" i="2" s="1"/>
  <c r="B1044" i="2" s="1"/>
  <c r="B1045" i="2" s="1"/>
  <c r="B1046" i="2" s="1"/>
  <c r="B1047" i="2" s="1"/>
  <c r="B1039" i="2"/>
  <c r="D1038" i="2"/>
  <c r="G1038" i="2" s="1"/>
  <c r="B1037" i="2"/>
  <c r="B1038" i="2" s="1"/>
  <c r="G1036" i="2"/>
  <c r="D1036" i="2"/>
  <c r="D1035" i="2"/>
  <c r="G1035" i="2" s="1"/>
  <c r="G1034" i="2"/>
  <c r="D1034" i="2"/>
  <c r="G1033" i="2"/>
  <c r="D1033" i="2"/>
  <c r="D1031" i="2"/>
  <c r="G1031" i="2" s="1"/>
  <c r="D1030" i="2"/>
  <c r="G1030" i="2" s="1"/>
  <c r="G1029" i="2"/>
  <c r="D1029" i="2"/>
  <c r="D1027" i="2"/>
  <c r="G1027" i="2" s="1"/>
  <c r="D1026" i="2"/>
  <c r="G1026" i="2" s="1"/>
  <c r="D1025" i="2"/>
  <c r="G1025" i="2" s="1"/>
  <c r="B1025" i="2"/>
  <c r="B1026" i="2" s="1"/>
  <c r="B1027" i="2" s="1"/>
  <c r="B1028" i="2" s="1"/>
  <c r="B1029" i="2" s="1"/>
  <c r="B1030" i="2" s="1"/>
  <c r="B1031" i="2" s="1"/>
  <c r="B1032" i="2" s="1"/>
  <c r="B1033" i="2" s="1"/>
  <c r="B1034" i="2" s="1"/>
  <c r="B1035" i="2" s="1"/>
  <c r="G1024" i="2"/>
  <c r="D1024" i="2"/>
  <c r="D1032" i="2" s="1"/>
  <c r="G1032" i="2" s="1"/>
  <c r="D1023" i="2"/>
  <c r="G1023" i="2" s="1"/>
  <c r="D1019" i="2"/>
  <c r="G1019" i="2" s="1"/>
  <c r="D1014" i="2"/>
  <c r="G1014" i="2" s="1"/>
  <c r="D1013" i="2"/>
  <c r="G1013" i="2" s="1"/>
  <c r="B1013" i="2"/>
  <c r="B1014" i="2" s="1"/>
  <c r="B1015" i="2" s="1"/>
  <c r="B1016" i="2" s="1"/>
  <c r="B1017" i="2" s="1"/>
  <c r="B1018" i="2" s="1"/>
  <c r="B1019" i="2" s="1"/>
  <c r="B1020" i="2" s="1"/>
  <c r="B1021" i="2" s="1"/>
  <c r="B1022" i="2" s="1"/>
  <c r="B1023" i="2" s="1"/>
  <c r="G1012" i="2"/>
  <c r="D1012" i="2"/>
  <c r="D1011" i="2"/>
  <c r="G1011" i="2" s="1"/>
  <c r="D1010" i="2"/>
  <c r="G1010" i="2" s="1"/>
  <c r="D1009" i="2"/>
  <c r="G1009" i="2" s="1"/>
  <c r="G1008" i="2"/>
  <c r="D1007" i="2"/>
  <c r="G1007" i="2" s="1"/>
  <c r="G1006" i="2"/>
  <c r="D1006" i="2"/>
  <c r="D1005" i="2"/>
  <c r="G1005" i="2" s="1"/>
  <c r="D1003" i="2"/>
  <c r="G1003" i="2" s="1"/>
  <c r="G1002" i="2"/>
  <c r="D1002" i="2"/>
  <c r="B1002" i="2"/>
  <c r="B1003" i="2" s="1"/>
  <c r="B1004" i="2" s="1"/>
  <c r="B1005" i="2" s="1"/>
  <c r="B1006" i="2" s="1"/>
  <c r="B1007" i="2" s="1"/>
  <c r="B1008" i="2" s="1"/>
  <c r="B1009" i="2" s="1"/>
  <c r="B1010" i="2" s="1"/>
  <c r="B1011" i="2" s="1"/>
  <c r="G1001" i="2"/>
  <c r="D1001" i="2"/>
  <c r="B1001" i="2"/>
  <c r="G1000" i="2"/>
  <c r="D1000" i="2"/>
  <c r="D1008" i="2" s="1"/>
  <c r="D999" i="2"/>
  <c r="G999" i="2" s="1"/>
  <c r="B997" i="2"/>
  <c r="B998" i="2" s="1"/>
  <c r="B999" i="2" s="1"/>
  <c r="D992" i="2"/>
  <c r="G992" i="2" s="1"/>
  <c r="B991" i="2"/>
  <c r="B992" i="2" s="1"/>
  <c r="B993" i="2" s="1"/>
  <c r="B994" i="2" s="1"/>
  <c r="B995" i="2" s="1"/>
  <c r="B996" i="2" s="1"/>
  <c r="B990" i="2"/>
  <c r="B989" i="2"/>
  <c r="D988" i="2"/>
  <c r="B983" i="2"/>
  <c r="B984" i="2" s="1"/>
  <c r="B985" i="2" s="1"/>
  <c r="B986" i="2" s="1"/>
  <c r="B987" i="2" s="1"/>
  <c r="B978" i="2"/>
  <c r="B979" i="2" s="1"/>
  <c r="B980" i="2" s="1"/>
  <c r="B981" i="2" s="1"/>
  <c r="B982" i="2" s="1"/>
  <c r="B977" i="2"/>
  <c r="D976" i="2"/>
  <c r="D973" i="2"/>
  <c r="G973" i="2" s="1"/>
  <c r="D972" i="2"/>
  <c r="G972" i="2" s="1"/>
  <c r="D970" i="2"/>
  <c r="G970" i="2" s="1"/>
  <c r="D968" i="2"/>
  <c r="G968" i="2" s="1"/>
  <c r="D966" i="2"/>
  <c r="G966" i="2" s="1"/>
  <c r="G965" i="2"/>
  <c r="D965" i="2"/>
  <c r="B965" i="2"/>
  <c r="B966" i="2" s="1"/>
  <c r="B967" i="2" s="1"/>
  <c r="B968" i="2" s="1"/>
  <c r="B969" i="2" s="1"/>
  <c r="B970" i="2" s="1"/>
  <c r="B971" i="2" s="1"/>
  <c r="B972" i="2" s="1"/>
  <c r="B973" i="2" s="1"/>
  <c r="B974" i="2" s="1"/>
  <c r="B975" i="2" s="1"/>
  <c r="G964" i="2"/>
  <c r="D964" i="2"/>
  <c r="D963" i="2"/>
  <c r="G963" i="2" s="1"/>
  <c r="D962" i="2"/>
  <c r="G962" i="2" s="1"/>
  <c r="D961" i="2"/>
  <c r="G961" i="2" s="1"/>
  <c r="G960" i="2"/>
  <c r="D959" i="2"/>
  <c r="G959" i="2" s="1"/>
  <c r="D958" i="2"/>
  <c r="G958" i="2" s="1"/>
  <c r="D957" i="2"/>
  <c r="G957" i="2" s="1"/>
  <c r="B956" i="2"/>
  <c r="B957" i="2" s="1"/>
  <c r="B958" i="2" s="1"/>
  <c r="B959" i="2" s="1"/>
  <c r="B960" i="2" s="1"/>
  <c r="B961" i="2" s="1"/>
  <c r="B962" i="2" s="1"/>
  <c r="B963" i="2" s="1"/>
  <c r="D955" i="2"/>
  <c r="G955" i="2" s="1"/>
  <c r="G954" i="2"/>
  <c r="D954" i="2"/>
  <c r="B954" i="2"/>
  <c r="B955" i="2" s="1"/>
  <c r="G953" i="2"/>
  <c r="D953" i="2"/>
  <c r="B953" i="2"/>
  <c r="G952" i="2"/>
  <c r="D952" i="2"/>
  <c r="D960" i="2" s="1"/>
  <c r="D951" i="2"/>
  <c r="G951" i="2" s="1"/>
  <c r="G950" i="2"/>
  <c r="D950" i="2"/>
  <c r="D947" i="2"/>
  <c r="G947" i="2" s="1"/>
  <c r="D946" i="2"/>
  <c r="G946" i="2" s="1"/>
  <c r="B945" i="2"/>
  <c r="B946" i="2" s="1"/>
  <c r="B947" i="2" s="1"/>
  <c r="B948" i="2" s="1"/>
  <c r="B949" i="2" s="1"/>
  <c r="B950" i="2" s="1"/>
  <c r="B951" i="2" s="1"/>
  <c r="D944" i="2"/>
  <c r="G944" i="2" s="1"/>
  <c r="B943" i="2"/>
  <c r="B944" i="2" s="1"/>
  <c r="G942" i="2"/>
  <c r="D942" i="2"/>
  <c r="B941" i="2"/>
  <c r="B942" i="2" s="1"/>
  <c r="D940" i="2"/>
  <c r="B930" i="2"/>
  <c r="B931" i="2" s="1"/>
  <c r="B932" i="2" s="1"/>
  <c r="B933" i="2" s="1"/>
  <c r="B934" i="2" s="1"/>
  <c r="B935" i="2" s="1"/>
  <c r="B936" i="2" s="1"/>
  <c r="B937" i="2" s="1"/>
  <c r="B938" i="2" s="1"/>
  <c r="B939" i="2" s="1"/>
  <c r="B929" i="2"/>
  <c r="D928" i="2"/>
  <c r="D937" i="2" s="1"/>
  <c r="G937" i="2" s="1"/>
  <c r="B917" i="2"/>
  <c r="B918" i="2" s="1"/>
  <c r="B919" i="2" s="1"/>
  <c r="B920" i="2" s="1"/>
  <c r="B921" i="2" s="1"/>
  <c r="B922" i="2" s="1"/>
  <c r="B923" i="2" s="1"/>
  <c r="B924" i="2" s="1"/>
  <c r="B925" i="2" s="1"/>
  <c r="B926" i="2" s="1"/>
  <c r="B927" i="2" s="1"/>
  <c r="D916" i="2"/>
  <c r="D915" i="2"/>
  <c r="G915" i="2" s="1"/>
  <c r="D914" i="2"/>
  <c r="G914" i="2" s="1"/>
  <c r="G913" i="2"/>
  <c r="D913" i="2"/>
  <c r="D911" i="2"/>
  <c r="G911" i="2" s="1"/>
  <c r="D910" i="2"/>
  <c r="G910" i="2" s="1"/>
  <c r="D909" i="2"/>
  <c r="G909" i="2" s="1"/>
  <c r="D907" i="2"/>
  <c r="G907" i="2" s="1"/>
  <c r="G906" i="2"/>
  <c r="D906" i="2"/>
  <c r="D905" i="2"/>
  <c r="G905" i="2" s="1"/>
  <c r="B905" i="2"/>
  <c r="B906" i="2" s="1"/>
  <c r="B907" i="2" s="1"/>
  <c r="B908" i="2" s="1"/>
  <c r="B909" i="2" s="1"/>
  <c r="B910" i="2" s="1"/>
  <c r="B911" i="2" s="1"/>
  <c r="B912" i="2" s="1"/>
  <c r="B913" i="2" s="1"/>
  <c r="B914" i="2" s="1"/>
  <c r="B915" i="2" s="1"/>
  <c r="G904" i="2"/>
  <c r="D904" i="2"/>
  <c r="D912" i="2" s="1"/>
  <c r="G912" i="2" s="1"/>
  <c r="D903" i="2"/>
  <c r="G903" i="2" s="1"/>
  <c r="B893" i="2"/>
  <c r="B894" i="2" s="1"/>
  <c r="B895" i="2" s="1"/>
  <c r="B896" i="2" s="1"/>
  <c r="B897" i="2" s="1"/>
  <c r="B898" i="2" s="1"/>
  <c r="B899" i="2" s="1"/>
  <c r="B900" i="2" s="1"/>
  <c r="B901" i="2" s="1"/>
  <c r="B902" i="2" s="1"/>
  <c r="B903" i="2" s="1"/>
  <c r="D892" i="2"/>
  <c r="D891" i="2"/>
  <c r="G891" i="2" s="1"/>
  <c r="D889" i="2"/>
  <c r="G889" i="2" s="1"/>
  <c r="G888" i="2"/>
  <c r="D888" i="2"/>
  <c r="D885" i="2"/>
  <c r="G885" i="2" s="1"/>
  <c r="D884" i="2"/>
  <c r="G884" i="2" s="1"/>
  <c r="D883" i="2"/>
  <c r="G883" i="2" s="1"/>
  <c r="B882" i="2"/>
  <c r="B883" i="2" s="1"/>
  <c r="B884" i="2" s="1"/>
  <c r="B885" i="2" s="1"/>
  <c r="B886" i="2" s="1"/>
  <c r="B887" i="2" s="1"/>
  <c r="B888" i="2" s="1"/>
  <c r="B889" i="2" s="1"/>
  <c r="B890" i="2" s="1"/>
  <c r="B891" i="2" s="1"/>
  <c r="B881" i="2"/>
  <c r="G880" i="2"/>
  <c r="D880" i="2"/>
  <c r="D878" i="2"/>
  <c r="G878" i="2" s="1"/>
  <c r="D877" i="2"/>
  <c r="G877" i="2" s="1"/>
  <c r="B875" i="2"/>
  <c r="B876" i="2" s="1"/>
  <c r="B877" i="2" s="1"/>
  <c r="B878" i="2" s="1"/>
  <c r="B879" i="2" s="1"/>
  <c r="D872" i="2"/>
  <c r="G872" i="2" s="1"/>
  <c r="B871" i="2"/>
  <c r="B872" i="2" s="1"/>
  <c r="B873" i="2" s="1"/>
  <c r="B874" i="2" s="1"/>
  <c r="D870" i="2"/>
  <c r="G870" i="2" s="1"/>
  <c r="B869" i="2"/>
  <c r="B870" i="2" s="1"/>
  <c r="G868" i="2"/>
  <c r="D868" i="2"/>
  <c r="D874" i="2" s="1"/>
  <c r="G874" i="2" s="1"/>
  <c r="D866" i="2"/>
  <c r="G866" i="2" s="1"/>
  <c r="G865" i="2"/>
  <c r="D865" i="2"/>
  <c r="D862" i="2"/>
  <c r="G862" i="2" s="1"/>
  <c r="D861" i="2"/>
  <c r="G861" i="2" s="1"/>
  <c r="B861" i="2"/>
  <c r="B862" i="2" s="1"/>
  <c r="B863" i="2" s="1"/>
  <c r="B864" i="2" s="1"/>
  <c r="B865" i="2" s="1"/>
  <c r="B866" i="2" s="1"/>
  <c r="B867" i="2" s="1"/>
  <c r="B860" i="2"/>
  <c r="D858" i="2"/>
  <c r="G858" i="2" s="1"/>
  <c r="G857" i="2"/>
  <c r="D857" i="2"/>
  <c r="B857" i="2"/>
  <c r="B858" i="2" s="1"/>
  <c r="B859" i="2" s="1"/>
  <c r="G856" i="2"/>
  <c r="D856" i="2"/>
  <c r="D867" i="2" s="1"/>
  <c r="G867" i="2" s="1"/>
  <c r="D854" i="2"/>
  <c r="G854" i="2" s="1"/>
  <c r="D853" i="2"/>
  <c r="G853" i="2" s="1"/>
  <c r="D850" i="2"/>
  <c r="G850" i="2" s="1"/>
  <c r="G849" i="2"/>
  <c r="D849" i="2"/>
  <c r="D846" i="2"/>
  <c r="G846" i="2" s="1"/>
  <c r="G845" i="2"/>
  <c r="D845" i="2"/>
  <c r="B845" i="2"/>
  <c r="B846" i="2" s="1"/>
  <c r="B847" i="2" s="1"/>
  <c r="B848" i="2" s="1"/>
  <c r="B849" i="2" s="1"/>
  <c r="B850" i="2" s="1"/>
  <c r="B851" i="2" s="1"/>
  <c r="B852" i="2" s="1"/>
  <c r="B853" i="2" s="1"/>
  <c r="B854" i="2" s="1"/>
  <c r="B855" i="2" s="1"/>
  <c r="G844" i="2"/>
  <c r="D844" i="2"/>
  <c r="D855" i="2" s="1"/>
  <c r="G855" i="2" s="1"/>
  <c r="D843" i="2"/>
  <c r="G843" i="2" s="1"/>
  <c r="G842" i="2"/>
  <c r="D842" i="2"/>
  <c r="D839" i="2"/>
  <c r="G839" i="2" s="1"/>
  <c r="G838" i="2"/>
  <c r="D838" i="2"/>
  <c r="B838" i="2"/>
  <c r="B839" i="2" s="1"/>
  <c r="B840" i="2" s="1"/>
  <c r="B841" i="2" s="1"/>
  <c r="B842" i="2" s="1"/>
  <c r="B843" i="2" s="1"/>
  <c r="G837" i="2"/>
  <c r="D837" i="2"/>
  <c r="D835" i="2"/>
  <c r="G835" i="2" s="1"/>
  <c r="G834" i="2"/>
  <c r="D834" i="2"/>
  <c r="B834" i="2"/>
  <c r="B835" i="2" s="1"/>
  <c r="B836" i="2" s="1"/>
  <c r="B837" i="2" s="1"/>
  <c r="G833" i="2"/>
  <c r="D833" i="2"/>
  <c r="B833" i="2"/>
  <c r="G832" i="2"/>
  <c r="D832" i="2"/>
  <c r="D840" i="2" s="1"/>
  <c r="G840" i="2" s="1"/>
  <c r="D824" i="2"/>
  <c r="G824" i="2" s="1"/>
  <c r="B823" i="2"/>
  <c r="B824" i="2" s="1"/>
  <c r="B825" i="2" s="1"/>
  <c r="B826" i="2" s="1"/>
  <c r="B827" i="2" s="1"/>
  <c r="B828" i="2" s="1"/>
  <c r="B829" i="2" s="1"/>
  <c r="B830" i="2" s="1"/>
  <c r="B831" i="2" s="1"/>
  <c r="B822" i="2"/>
  <c r="B821" i="2"/>
  <c r="D820" i="2"/>
  <c r="D817" i="2"/>
  <c r="G817" i="2" s="1"/>
  <c r="B816" i="2"/>
  <c r="B817" i="2" s="1"/>
  <c r="B818" i="2" s="1"/>
  <c r="B819" i="2" s="1"/>
  <c r="D813" i="2"/>
  <c r="G813" i="2" s="1"/>
  <c r="B812" i="2"/>
  <c r="B813" i="2" s="1"/>
  <c r="B814" i="2" s="1"/>
  <c r="B815" i="2" s="1"/>
  <c r="B811" i="2"/>
  <c r="B810" i="2"/>
  <c r="D809" i="2"/>
  <c r="G809" i="2" s="1"/>
  <c r="B809" i="2"/>
  <c r="G808" i="2"/>
  <c r="D808" i="2"/>
  <c r="D818" i="2" s="1"/>
  <c r="G818" i="2" s="1"/>
  <c r="D806" i="2"/>
  <c r="G806" i="2" s="1"/>
  <c r="G805" i="2"/>
  <c r="D805" i="2"/>
  <c r="D802" i="2"/>
  <c r="G802" i="2" s="1"/>
  <c r="G801" i="2"/>
  <c r="D801" i="2"/>
  <c r="D798" i="2"/>
  <c r="G798" i="2" s="1"/>
  <c r="D797" i="2"/>
  <c r="G797" i="2" s="1"/>
  <c r="B797" i="2"/>
  <c r="B798" i="2" s="1"/>
  <c r="B799" i="2" s="1"/>
  <c r="B800" i="2" s="1"/>
  <c r="B801" i="2" s="1"/>
  <c r="B802" i="2" s="1"/>
  <c r="B803" i="2" s="1"/>
  <c r="B804" i="2" s="1"/>
  <c r="B805" i="2" s="1"/>
  <c r="B806" i="2" s="1"/>
  <c r="B807" i="2" s="1"/>
  <c r="G796" i="2"/>
  <c r="D796" i="2"/>
  <c r="D807" i="2" s="1"/>
  <c r="G807" i="2" s="1"/>
  <c r="D795" i="2"/>
  <c r="G795" i="2" s="1"/>
  <c r="D794" i="2"/>
  <c r="G794" i="2" s="1"/>
  <c r="G793" i="2"/>
  <c r="D793" i="2"/>
  <c r="D791" i="2"/>
  <c r="G791" i="2" s="1"/>
  <c r="G790" i="2"/>
  <c r="D790" i="2"/>
  <c r="G789" i="2"/>
  <c r="D789" i="2"/>
  <c r="D787" i="2"/>
  <c r="G787" i="2" s="1"/>
  <c r="G786" i="2"/>
  <c r="D786" i="2"/>
  <c r="G785" i="2"/>
  <c r="D785" i="2"/>
  <c r="B785" i="2"/>
  <c r="B786" i="2" s="1"/>
  <c r="B787" i="2" s="1"/>
  <c r="B788" i="2" s="1"/>
  <c r="B789" i="2" s="1"/>
  <c r="B790" i="2" s="1"/>
  <c r="B791" i="2" s="1"/>
  <c r="B792" i="2" s="1"/>
  <c r="B793" i="2" s="1"/>
  <c r="B794" i="2" s="1"/>
  <c r="B795" i="2" s="1"/>
  <c r="G784" i="2"/>
  <c r="D784" i="2"/>
  <c r="D792" i="2" s="1"/>
  <c r="G792" i="2" s="1"/>
  <c r="D780" i="2"/>
  <c r="G780" i="2" s="1"/>
  <c r="D779" i="2"/>
  <c r="G779" i="2" s="1"/>
  <c r="B779" i="2"/>
  <c r="B780" i="2" s="1"/>
  <c r="B781" i="2" s="1"/>
  <c r="B782" i="2" s="1"/>
  <c r="B783" i="2" s="1"/>
  <c r="B778" i="2"/>
  <c r="D776" i="2"/>
  <c r="G776" i="2" s="1"/>
  <c r="B775" i="2"/>
  <c r="B776" i="2" s="1"/>
  <c r="B777" i="2" s="1"/>
  <c r="B774" i="2"/>
  <c r="B773" i="2"/>
  <c r="D772" i="2"/>
  <c r="B771" i="2"/>
  <c r="B768" i="2"/>
  <c r="B769" i="2" s="1"/>
  <c r="B770" i="2" s="1"/>
  <c r="B763" i="2"/>
  <c r="B764" i="2" s="1"/>
  <c r="B765" i="2" s="1"/>
  <c r="B766" i="2" s="1"/>
  <c r="B767" i="2" s="1"/>
  <c r="B762" i="2"/>
  <c r="B761" i="2"/>
  <c r="D760" i="2"/>
  <c r="D758" i="2"/>
  <c r="G758" i="2" s="1"/>
  <c r="D757" i="2"/>
  <c r="G757" i="2" s="1"/>
  <c r="D754" i="2"/>
  <c r="G754" i="2" s="1"/>
  <c r="D753" i="2"/>
  <c r="G753" i="2" s="1"/>
  <c r="D750" i="2"/>
  <c r="G750" i="2" s="1"/>
  <c r="D749" i="2"/>
  <c r="G749" i="2" s="1"/>
  <c r="B749" i="2"/>
  <c r="B750" i="2" s="1"/>
  <c r="B751" i="2" s="1"/>
  <c r="B752" i="2" s="1"/>
  <c r="B753" i="2" s="1"/>
  <c r="B754" i="2" s="1"/>
  <c r="B755" i="2" s="1"/>
  <c r="B756" i="2" s="1"/>
  <c r="B757" i="2" s="1"/>
  <c r="B758" i="2" s="1"/>
  <c r="B759" i="2" s="1"/>
  <c r="G748" i="2"/>
  <c r="D748" i="2"/>
  <c r="D759" i="2" s="1"/>
  <c r="G759" i="2" s="1"/>
  <c r="D747" i="2"/>
  <c r="G747" i="2" s="1"/>
  <c r="G746" i="2"/>
  <c r="D746" i="2"/>
  <c r="D743" i="2"/>
  <c r="G743" i="2" s="1"/>
  <c r="D742" i="2"/>
  <c r="G742" i="2" s="1"/>
  <c r="B742" i="2"/>
  <c r="B743" i="2" s="1"/>
  <c r="B744" i="2" s="1"/>
  <c r="B745" i="2" s="1"/>
  <c r="B746" i="2" s="1"/>
  <c r="B747" i="2" s="1"/>
  <c r="B741" i="2"/>
  <c r="D739" i="2"/>
  <c r="G739" i="2" s="1"/>
  <c r="G738" i="2"/>
  <c r="D738" i="2"/>
  <c r="G737" i="2"/>
  <c r="D737" i="2"/>
  <c r="B737" i="2"/>
  <c r="B738" i="2" s="1"/>
  <c r="B739" i="2" s="1"/>
  <c r="B740" i="2" s="1"/>
  <c r="G736" i="2"/>
  <c r="D736" i="2"/>
  <c r="D744" i="2" s="1"/>
  <c r="G744" i="2" s="1"/>
  <c r="B735" i="2"/>
  <c r="D731" i="2"/>
  <c r="G731" i="2" s="1"/>
  <c r="B730" i="2"/>
  <c r="B731" i="2" s="1"/>
  <c r="B732" i="2" s="1"/>
  <c r="B733" i="2" s="1"/>
  <c r="B734" i="2" s="1"/>
  <c r="D728" i="2"/>
  <c r="G728" i="2" s="1"/>
  <c r="B727" i="2"/>
  <c r="B728" i="2" s="1"/>
  <c r="B729" i="2" s="1"/>
  <c r="B726" i="2"/>
  <c r="B725" i="2"/>
  <c r="D724" i="2"/>
  <c r="D721" i="2"/>
  <c r="G721" i="2" s="1"/>
  <c r="D720" i="2"/>
  <c r="G720" i="2" s="1"/>
  <c r="D717" i="2"/>
  <c r="G717" i="2" s="1"/>
  <c r="B716" i="2"/>
  <c r="B717" i="2" s="1"/>
  <c r="B718" i="2" s="1"/>
  <c r="B719" i="2" s="1"/>
  <c r="B720" i="2" s="1"/>
  <c r="B721" i="2" s="1"/>
  <c r="B722" i="2" s="1"/>
  <c r="B723" i="2" s="1"/>
  <c r="D714" i="2"/>
  <c r="G714" i="2" s="1"/>
  <c r="D713" i="2"/>
  <c r="G713" i="2" s="1"/>
  <c r="B713" i="2"/>
  <c r="B714" i="2" s="1"/>
  <c r="B715" i="2" s="1"/>
  <c r="G712" i="2"/>
  <c r="D712" i="2"/>
  <c r="D711" i="2"/>
  <c r="G711" i="2" s="1"/>
  <c r="D710" i="2"/>
  <c r="G710" i="2" s="1"/>
  <c r="G709" i="2"/>
  <c r="D709" i="2"/>
  <c r="B709" i="2"/>
  <c r="B710" i="2" s="1"/>
  <c r="B711" i="2" s="1"/>
  <c r="D707" i="2"/>
  <c r="G707" i="2" s="1"/>
  <c r="D706" i="2"/>
  <c r="G706" i="2" s="1"/>
  <c r="G705" i="2"/>
  <c r="D705" i="2"/>
  <c r="D703" i="2"/>
  <c r="G703" i="2" s="1"/>
  <c r="G702" i="2"/>
  <c r="D702" i="2"/>
  <c r="G701" i="2"/>
  <c r="D701" i="2"/>
  <c r="B701" i="2"/>
  <c r="B702" i="2" s="1"/>
  <c r="B703" i="2" s="1"/>
  <c r="B704" i="2" s="1"/>
  <c r="B705" i="2" s="1"/>
  <c r="B706" i="2" s="1"/>
  <c r="B707" i="2" s="1"/>
  <c r="B708" i="2" s="1"/>
  <c r="G700" i="2"/>
  <c r="D700" i="2"/>
  <c r="D708" i="2" s="1"/>
  <c r="G708" i="2" s="1"/>
  <c r="D695" i="2"/>
  <c r="G695" i="2" s="1"/>
  <c r="B694" i="2"/>
  <c r="B695" i="2" s="1"/>
  <c r="B696" i="2" s="1"/>
  <c r="B697" i="2" s="1"/>
  <c r="B698" i="2" s="1"/>
  <c r="B699" i="2" s="1"/>
  <c r="D692" i="2"/>
  <c r="G692" i="2" s="1"/>
  <c r="B691" i="2"/>
  <c r="B692" i="2" s="1"/>
  <c r="B693" i="2" s="1"/>
  <c r="B690" i="2"/>
  <c r="B689" i="2"/>
  <c r="D688" i="2"/>
  <c r="D685" i="2"/>
  <c r="G685" i="2" s="1"/>
  <c r="D684" i="2"/>
  <c r="G684" i="2" s="1"/>
  <c r="B684" i="2"/>
  <c r="B685" i="2" s="1"/>
  <c r="B686" i="2" s="1"/>
  <c r="B687" i="2" s="1"/>
  <c r="B683" i="2"/>
  <c r="D681" i="2"/>
  <c r="G681" i="2" s="1"/>
  <c r="B680" i="2"/>
  <c r="B681" i="2" s="1"/>
  <c r="B682" i="2" s="1"/>
  <c r="B679" i="2"/>
  <c r="B678" i="2"/>
  <c r="B677" i="2"/>
  <c r="G676" i="2"/>
  <c r="D676" i="2"/>
  <c r="D674" i="2"/>
  <c r="G674" i="2" s="1"/>
  <c r="D673" i="2"/>
  <c r="G673" i="2" s="1"/>
  <c r="B673" i="2"/>
  <c r="B674" i="2" s="1"/>
  <c r="B675" i="2" s="1"/>
  <c r="D670" i="2"/>
  <c r="G670" i="2" s="1"/>
  <c r="G669" i="2"/>
  <c r="D669" i="2"/>
  <c r="D666" i="2"/>
  <c r="G666" i="2" s="1"/>
  <c r="D665" i="2"/>
  <c r="G665" i="2" s="1"/>
  <c r="B665" i="2"/>
  <c r="B666" i="2" s="1"/>
  <c r="B667" i="2" s="1"/>
  <c r="B668" i="2" s="1"/>
  <c r="B669" i="2" s="1"/>
  <c r="B670" i="2" s="1"/>
  <c r="B671" i="2" s="1"/>
  <c r="B672" i="2" s="1"/>
  <c r="G664" i="2"/>
  <c r="D664" i="2"/>
  <c r="D675" i="2" s="1"/>
  <c r="G675" i="2" s="1"/>
  <c r="D663" i="2"/>
  <c r="G663" i="2" s="1"/>
  <c r="D662" i="2"/>
  <c r="G662" i="2" s="1"/>
  <c r="D659" i="2"/>
  <c r="G659" i="2" s="1"/>
  <c r="D658" i="2"/>
  <c r="G658" i="2" s="1"/>
  <c r="B657" i="2"/>
  <c r="B658" i="2" s="1"/>
  <c r="B659" i="2" s="1"/>
  <c r="B660" i="2" s="1"/>
  <c r="B661" i="2" s="1"/>
  <c r="B662" i="2" s="1"/>
  <c r="B663" i="2" s="1"/>
  <c r="D655" i="2"/>
  <c r="G655" i="2" s="1"/>
  <c r="D654" i="2"/>
  <c r="G654" i="2" s="1"/>
  <c r="B654" i="2"/>
  <c r="B655" i="2" s="1"/>
  <c r="B656" i="2" s="1"/>
  <c r="B653" i="2"/>
  <c r="G652" i="2"/>
  <c r="D652" i="2"/>
  <c r="D660" i="2" s="1"/>
  <c r="G660" i="2" s="1"/>
  <c r="D647" i="2"/>
  <c r="G647" i="2" s="1"/>
  <c r="B646" i="2"/>
  <c r="B647" i="2" s="1"/>
  <c r="B648" i="2" s="1"/>
  <c r="B649" i="2" s="1"/>
  <c r="B650" i="2" s="1"/>
  <c r="B651" i="2" s="1"/>
  <c r="D644" i="2"/>
  <c r="G644" i="2" s="1"/>
  <c r="B643" i="2"/>
  <c r="B644" i="2" s="1"/>
  <c r="B645" i="2" s="1"/>
  <c r="B642" i="2"/>
  <c r="B641" i="2"/>
  <c r="D640" i="2"/>
  <c r="B636" i="2"/>
  <c r="B637" i="2" s="1"/>
  <c r="B638" i="2" s="1"/>
  <c r="B639" i="2" s="1"/>
  <c r="D629" i="2"/>
  <c r="G629" i="2" s="1"/>
  <c r="B629" i="2"/>
  <c r="B630" i="2" s="1"/>
  <c r="B631" i="2" s="1"/>
  <c r="B632" i="2" s="1"/>
  <c r="B633" i="2" s="1"/>
  <c r="B634" i="2" s="1"/>
  <c r="B635" i="2" s="1"/>
  <c r="D628" i="2"/>
  <c r="D626" i="2"/>
  <c r="G626" i="2" s="1"/>
  <c r="D625" i="2"/>
  <c r="G625" i="2" s="1"/>
  <c r="D622" i="2"/>
  <c r="G622" i="2" s="1"/>
  <c r="D621" i="2"/>
  <c r="G621" i="2" s="1"/>
  <c r="B620" i="2"/>
  <c r="B621" i="2" s="1"/>
  <c r="B622" i="2" s="1"/>
  <c r="B623" i="2" s="1"/>
  <c r="B624" i="2" s="1"/>
  <c r="B625" i="2" s="1"/>
  <c r="B626" i="2" s="1"/>
  <c r="B627" i="2" s="1"/>
  <c r="D618" i="2"/>
  <c r="G618" i="2" s="1"/>
  <c r="D617" i="2"/>
  <c r="G617" i="2" s="1"/>
  <c r="B617" i="2"/>
  <c r="B618" i="2" s="1"/>
  <c r="B619" i="2" s="1"/>
  <c r="G616" i="2"/>
  <c r="D616" i="2"/>
  <c r="D627" i="2" s="1"/>
  <c r="G627" i="2" s="1"/>
  <c r="D615" i="2"/>
  <c r="G615" i="2" s="1"/>
  <c r="G614" i="2"/>
  <c r="D614" i="2"/>
  <c r="D611" i="2"/>
  <c r="G611" i="2" s="1"/>
  <c r="D610" i="2"/>
  <c r="G610" i="2" s="1"/>
  <c r="B610" i="2"/>
  <c r="B611" i="2" s="1"/>
  <c r="B612" i="2" s="1"/>
  <c r="B613" i="2" s="1"/>
  <c r="B614" i="2" s="1"/>
  <c r="B615" i="2" s="1"/>
  <c r="B609" i="2"/>
  <c r="D607" i="2"/>
  <c r="G607" i="2" s="1"/>
  <c r="G606" i="2"/>
  <c r="D606" i="2"/>
  <c r="B606" i="2"/>
  <c r="B607" i="2" s="1"/>
  <c r="B608" i="2" s="1"/>
  <c r="B605" i="2"/>
  <c r="D604" i="2"/>
  <c r="D612" i="2" s="1"/>
  <c r="G612" i="2" s="1"/>
  <c r="D603" i="2"/>
  <c r="G603" i="2" s="1"/>
  <c r="B602" i="2"/>
  <c r="B603" i="2" s="1"/>
  <c r="D600" i="2"/>
  <c r="G600" i="2" s="1"/>
  <c r="D599" i="2"/>
  <c r="G599" i="2" s="1"/>
  <c r="D595" i="2"/>
  <c r="G595" i="2" s="1"/>
  <c r="G593" i="2"/>
  <c r="D593" i="2"/>
  <c r="B593" i="2"/>
  <c r="B594" i="2" s="1"/>
  <c r="B595" i="2" s="1"/>
  <c r="B596" i="2" s="1"/>
  <c r="B597" i="2" s="1"/>
  <c r="B598" i="2" s="1"/>
  <c r="B599" i="2" s="1"/>
  <c r="B600" i="2" s="1"/>
  <c r="B601" i="2" s="1"/>
  <c r="G592" i="2"/>
  <c r="D592" i="2"/>
  <c r="D588" i="2"/>
  <c r="G588" i="2" s="1"/>
  <c r="B587" i="2"/>
  <c r="B588" i="2" s="1"/>
  <c r="B589" i="2" s="1"/>
  <c r="B590" i="2" s="1"/>
  <c r="B591" i="2" s="1"/>
  <c r="B583" i="2"/>
  <c r="B584" i="2" s="1"/>
  <c r="B585" i="2" s="1"/>
  <c r="B586" i="2" s="1"/>
  <c r="B582" i="2"/>
  <c r="B581" i="2"/>
  <c r="D580" i="2"/>
  <c r="D577" i="2"/>
  <c r="G577" i="2" s="1"/>
  <c r="B576" i="2"/>
  <c r="B577" i="2" s="1"/>
  <c r="B578" i="2" s="1"/>
  <c r="B579" i="2" s="1"/>
  <c r="D573" i="2"/>
  <c r="G573" i="2" s="1"/>
  <c r="B572" i="2"/>
  <c r="B573" i="2" s="1"/>
  <c r="B574" i="2" s="1"/>
  <c r="B575" i="2" s="1"/>
  <c r="B571" i="2"/>
  <c r="B570" i="2"/>
  <c r="D569" i="2"/>
  <c r="G569" i="2" s="1"/>
  <c r="B569" i="2"/>
  <c r="G568" i="2"/>
  <c r="D568" i="2"/>
  <c r="D578" i="2" s="1"/>
  <c r="G578" i="2" s="1"/>
  <c r="D566" i="2"/>
  <c r="G566" i="2" s="1"/>
  <c r="G565" i="2"/>
  <c r="D565" i="2"/>
  <c r="D562" i="2"/>
  <c r="G562" i="2" s="1"/>
  <c r="G561" i="2"/>
  <c r="D561" i="2"/>
  <c r="D558" i="2"/>
  <c r="G558" i="2" s="1"/>
  <c r="G557" i="2"/>
  <c r="D557" i="2"/>
  <c r="B557" i="2"/>
  <c r="B558" i="2" s="1"/>
  <c r="B559" i="2" s="1"/>
  <c r="B560" i="2" s="1"/>
  <c r="B561" i="2" s="1"/>
  <c r="B562" i="2" s="1"/>
  <c r="B563" i="2" s="1"/>
  <c r="B564" i="2" s="1"/>
  <c r="B565" i="2" s="1"/>
  <c r="B566" i="2" s="1"/>
  <c r="B567" i="2" s="1"/>
  <c r="G556" i="2"/>
  <c r="D556" i="2"/>
  <c r="D567" i="2" s="1"/>
  <c r="G567" i="2" s="1"/>
  <c r="D555" i="2"/>
  <c r="G555" i="2" s="1"/>
  <c r="G554" i="2"/>
  <c r="D554" i="2"/>
  <c r="G553" i="2"/>
  <c r="D553" i="2"/>
  <c r="D551" i="2"/>
  <c r="G551" i="2" s="1"/>
  <c r="G550" i="2"/>
  <c r="D550" i="2"/>
  <c r="G549" i="2"/>
  <c r="D549" i="2"/>
  <c r="D547" i="2"/>
  <c r="G547" i="2" s="1"/>
  <c r="G546" i="2"/>
  <c r="D546" i="2"/>
  <c r="B546" i="2"/>
  <c r="B547" i="2" s="1"/>
  <c r="B548" i="2" s="1"/>
  <c r="B549" i="2" s="1"/>
  <c r="B550" i="2" s="1"/>
  <c r="B551" i="2" s="1"/>
  <c r="B552" i="2" s="1"/>
  <c r="B553" i="2" s="1"/>
  <c r="B554" i="2" s="1"/>
  <c r="B555" i="2" s="1"/>
  <c r="G545" i="2"/>
  <c r="D545" i="2"/>
  <c r="B545" i="2"/>
  <c r="G544" i="2"/>
  <c r="D544" i="2"/>
  <c r="D552" i="2" s="1"/>
  <c r="G552" i="2" s="1"/>
  <c r="B543" i="2"/>
  <c r="B539" i="2"/>
  <c r="B540" i="2" s="1"/>
  <c r="B541" i="2" s="1"/>
  <c r="B542" i="2" s="1"/>
  <c r="B535" i="2"/>
  <c r="B536" i="2" s="1"/>
  <c r="B537" i="2" s="1"/>
  <c r="B538" i="2" s="1"/>
  <c r="B534" i="2"/>
  <c r="B533" i="2"/>
  <c r="D532" i="2"/>
  <c r="D529" i="2"/>
  <c r="G529" i="2" s="1"/>
  <c r="D525" i="2"/>
  <c r="G525" i="2" s="1"/>
  <c r="B524" i="2"/>
  <c r="B525" i="2" s="1"/>
  <c r="B526" i="2" s="1"/>
  <c r="B527" i="2" s="1"/>
  <c r="B528" i="2" s="1"/>
  <c r="B529" i="2" s="1"/>
  <c r="B530" i="2" s="1"/>
  <c r="B531" i="2" s="1"/>
  <c r="B523" i="2"/>
  <c r="B522" i="2"/>
  <c r="D521" i="2"/>
  <c r="G521" i="2" s="1"/>
  <c r="B521" i="2"/>
  <c r="G520" i="2"/>
  <c r="D520" i="2"/>
  <c r="D530" i="2" s="1"/>
  <c r="G530" i="2" s="1"/>
  <c r="D518" i="2"/>
  <c r="G518" i="2" s="1"/>
  <c r="G517" i="2"/>
  <c r="D517" i="2"/>
  <c r="D514" i="2"/>
  <c r="G514" i="2" s="1"/>
  <c r="G513" i="2"/>
  <c r="D513" i="2"/>
  <c r="D510" i="2"/>
  <c r="G510" i="2" s="1"/>
  <c r="G509" i="2"/>
  <c r="D509" i="2"/>
  <c r="B509" i="2"/>
  <c r="B510" i="2" s="1"/>
  <c r="B511" i="2" s="1"/>
  <c r="B512" i="2" s="1"/>
  <c r="B513" i="2" s="1"/>
  <c r="B514" i="2" s="1"/>
  <c r="B515" i="2" s="1"/>
  <c r="B516" i="2" s="1"/>
  <c r="B517" i="2" s="1"/>
  <c r="B518" i="2" s="1"/>
  <c r="B519" i="2" s="1"/>
  <c r="G508" i="2"/>
  <c r="D508" i="2"/>
  <c r="D519" i="2" s="1"/>
  <c r="G519" i="2" s="1"/>
  <c r="D507" i="2"/>
  <c r="G507" i="2" s="1"/>
  <c r="G506" i="2"/>
  <c r="D506" i="2"/>
  <c r="G505" i="2"/>
  <c r="D505" i="2"/>
  <c r="D503" i="2"/>
  <c r="G503" i="2" s="1"/>
  <c r="G502" i="2"/>
  <c r="D502" i="2"/>
  <c r="B502" i="2"/>
  <c r="B503" i="2" s="1"/>
  <c r="B504" i="2" s="1"/>
  <c r="B505" i="2" s="1"/>
  <c r="B506" i="2" s="1"/>
  <c r="B507" i="2" s="1"/>
  <c r="G501" i="2"/>
  <c r="D501" i="2"/>
  <c r="D499" i="2"/>
  <c r="G499" i="2" s="1"/>
  <c r="G498" i="2"/>
  <c r="D498" i="2"/>
  <c r="B498" i="2"/>
  <c r="B499" i="2" s="1"/>
  <c r="B500" i="2" s="1"/>
  <c r="B501" i="2" s="1"/>
  <c r="G497" i="2"/>
  <c r="D497" i="2"/>
  <c r="B497" i="2"/>
  <c r="G496" i="2"/>
  <c r="D496" i="2"/>
  <c r="D504" i="2" s="1"/>
  <c r="G504" i="2" s="1"/>
  <c r="B486" i="2"/>
  <c r="B487" i="2" s="1"/>
  <c r="B488" i="2" s="1"/>
  <c r="B489" i="2" s="1"/>
  <c r="B490" i="2" s="1"/>
  <c r="B491" i="2" s="1"/>
  <c r="B492" i="2" s="1"/>
  <c r="B493" i="2" s="1"/>
  <c r="B494" i="2" s="1"/>
  <c r="B495" i="2" s="1"/>
  <c r="B485" i="2"/>
  <c r="D484" i="2"/>
  <c r="B475" i="2"/>
  <c r="B476" i="2" s="1"/>
  <c r="B477" i="2" s="1"/>
  <c r="B478" i="2" s="1"/>
  <c r="B479" i="2" s="1"/>
  <c r="B480" i="2" s="1"/>
  <c r="B481" i="2" s="1"/>
  <c r="B482" i="2" s="1"/>
  <c r="B483" i="2" s="1"/>
  <c r="B474" i="2"/>
  <c r="B473" i="2"/>
  <c r="D472" i="2"/>
  <c r="D477" i="2" s="1"/>
  <c r="G477" i="2" s="1"/>
  <c r="D470" i="2"/>
  <c r="G470" i="2" s="1"/>
  <c r="G469" i="2"/>
  <c r="D469" i="2"/>
  <c r="D466" i="2"/>
  <c r="G466" i="2" s="1"/>
  <c r="D465" i="2"/>
  <c r="G465" i="2" s="1"/>
  <c r="B464" i="2"/>
  <c r="B465" i="2" s="1"/>
  <c r="B466" i="2" s="1"/>
  <c r="B467" i="2" s="1"/>
  <c r="B468" i="2" s="1"/>
  <c r="B469" i="2" s="1"/>
  <c r="B470" i="2" s="1"/>
  <c r="B471" i="2" s="1"/>
  <c r="D462" i="2"/>
  <c r="G462" i="2" s="1"/>
  <c r="G461" i="2"/>
  <c r="D461" i="2"/>
  <c r="B461" i="2"/>
  <c r="B462" i="2" s="1"/>
  <c r="B463" i="2" s="1"/>
  <c r="G460" i="2"/>
  <c r="D460" i="2"/>
  <c r="D471" i="2" s="1"/>
  <c r="G471" i="2" s="1"/>
  <c r="D459" i="2"/>
  <c r="G459" i="2" s="1"/>
  <c r="G458" i="2"/>
  <c r="D458" i="2"/>
  <c r="D455" i="2"/>
  <c r="G455" i="2" s="1"/>
  <c r="D454" i="2"/>
  <c r="G454" i="2" s="1"/>
  <c r="G453" i="2"/>
  <c r="D453" i="2"/>
  <c r="D451" i="2"/>
  <c r="G451" i="2" s="1"/>
  <c r="G450" i="2"/>
  <c r="D450" i="2"/>
  <c r="G449" i="2"/>
  <c r="D449" i="2"/>
  <c r="B449" i="2"/>
  <c r="B450" i="2" s="1"/>
  <c r="B451" i="2" s="1"/>
  <c r="B452" i="2" s="1"/>
  <c r="B453" i="2" s="1"/>
  <c r="B454" i="2" s="1"/>
  <c r="B455" i="2" s="1"/>
  <c r="B456" i="2" s="1"/>
  <c r="B457" i="2" s="1"/>
  <c r="B458" i="2" s="1"/>
  <c r="B459" i="2" s="1"/>
  <c r="G448" i="2"/>
  <c r="D448" i="2"/>
  <c r="D456" i="2" s="1"/>
  <c r="G456" i="2" s="1"/>
  <c r="G443" i="2"/>
  <c r="D443" i="2"/>
  <c r="D440" i="2"/>
  <c r="G440" i="2" s="1"/>
  <c r="B439" i="2"/>
  <c r="B440" i="2" s="1"/>
  <c r="B441" i="2" s="1"/>
  <c r="B442" i="2" s="1"/>
  <c r="B443" i="2" s="1"/>
  <c r="B444" i="2" s="1"/>
  <c r="B445" i="2" s="1"/>
  <c r="B446" i="2" s="1"/>
  <c r="B447" i="2" s="1"/>
  <c r="B438" i="2"/>
  <c r="B437" i="2"/>
  <c r="D436" i="2"/>
  <c r="D425" i="2"/>
  <c r="G425" i="2" s="1"/>
  <c r="B425" i="2"/>
  <c r="B426" i="2" s="1"/>
  <c r="B427" i="2" s="1"/>
  <c r="B428" i="2" s="1"/>
  <c r="B429" i="2" s="1"/>
  <c r="B430" i="2" s="1"/>
  <c r="B431" i="2" s="1"/>
  <c r="B432" i="2" s="1"/>
  <c r="B433" i="2" s="1"/>
  <c r="B434" i="2" s="1"/>
  <c r="B435" i="2" s="1"/>
  <c r="G424" i="2"/>
  <c r="D424" i="2"/>
  <c r="D433" i="2" s="1"/>
  <c r="G433" i="2" s="1"/>
  <c r="D422" i="2"/>
  <c r="G422" i="2" s="1"/>
  <c r="D421" i="2"/>
  <c r="G421" i="2" s="1"/>
  <c r="D418" i="2"/>
  <c r="G418" i="2" s="1"/>
  <c r="G417" i="2"/>
  <c r="D417" i="2"/>
  <c r="D415" i="2"/>
  <c r="G415" i="2" s="1"/>
  <c r="D414" i="2"/>
  <c r="G414" i="2" s="1"/>
  <c r="D413" i="2"/>
  <c r="G413" i="2" s="1"/>
  <c r="B413" i="2"/>
  <c r="B414" i="2" s="1"/>
  <c r="B415" i="2" s="1"/>
  <c r="B416" i="2" s="1"/>
  <c r="B417" i="2" s="1"/>
  <c r="B418" i="2" s="1"/>
  <c r="B419" i="2" s="1"/>
  <c r="B420" i="2" s="1"/>
  <c r="B421" i="2" s="1"/>
  <c r="B422" i="2" s="1"/>
  <c r="B423" i="2" s="1"/>
  <c r="G412" i="2"/>
  <c r="D412" i="2"/>
  <c r="D423" i="2" s="1"/>
  <c r="G423" i="2" s="1"/>
  <c r="D411" i="2"/>
  <c r="G411" i="2" s="1"/>
  <c r="D410" i="2"/>
  <c r="G410" i="2" s="1"/>
  <c r="D407" i="2"/>
  <c r="G407" i="2" s="1"/>
  <c r="G406" i="2"/>
  <c r="D406" i="2"/>
  <c r="D403" i="2"/>
  <c r="G403" i="2" s="1"/>
  <c r="D402" i="2"/>
  <c r="G402" i="2" s="1"/>
  <c r="B402" i="2"/>
  <c r="B403" i="2" s="1"/>
  <c r="B404" i="2" s="1"/>
  <c r="B405" i="2" s="1"/>
  <c r="B406" i="2" s="1"/>
  <c r="B407" i="2" s="1"/>
  <c r="B408" i="2" s="1"/>
  <c r="B409" i="2" s="1"/>
  <c r="B410" i="2" s="1"/>
  <c r="B411" i="2" s="1"/>
  <c r="B401" i="2"/>
  <c r="D400" i="2"/>
  <c r="D408" i="2" s="1"/>
  <c r="G408" i="2" s="1"/>
  <c r="D396" i="2"/>
  <c r="G396" i="2" s="1"/>
  <c r="D395" i="2"/>
  <c r="G395" i="2" s="1"/>
  <c r="D392" i="2"/>
  <c r="G392" i="2" s="1"/>
  <c r="D391" i="2"/>
  <c r="G391" i="2" s="1"/>
  <c r="D390" i="2"/>
  <c r="G390" i="2" s="1"/>
  <c r="G389" i="2"/>
  <c r="D389" i="2"/>
  <c r="B389" i="2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G388" i="2"/>
  <c r="D388" i="2"/>
  <c r="B378" i="2"/>
  <c r="B379" i="2" s="1"/>
  <c r="B380" i="2" s="1"/>
  <c r="B381" i="2" s="1"/>
  <c r="B382" i="2" s="1"/>
  <c r="B383" i="2" s="1"/>
  <c r="B384" i="2" s="1"/>
  <c r="B385" i="2" s="1"/>
  <c r="B386" i="2" s="1"/>
  <c r="B387" i="2" s="1"/>
  <c r="B377" i="2"/>
  <c r="D376" i="2"/>
  <c r="D369" i="2"/>
  <c r="G369" i="2" s="1"/>
  <c r="B368" i="2"/>
  <c r="B369" i="2" s="1"/>
  <c r="B370" i="2" s="1"/>
  <c r="B371" i="2" s="1"/>
  <c r="B372" i="2" s="1"/>
  <c r="B373" i="2" s="1"/>
  <c r="B374" i="2" s="1"/>
  <c r="B375" i="2" s="1"/>
  <c r="B367" i="2"/>
  <c r="B366" i="2"/>
  <c r="B365" i="2"/>
  <c r="D364" i="2"/>
  <c r="D362" i="2"/>
  <c r="G362" i="2" s="1"/>
  <c r="G361" i="2"/>
  <c r="D361" i="2"/>
  <c r="D358" i="2"/>
  <c r="G358" i="2" s="1"/>
  <c r="D357" i="2"/>
  <c r="G357" i="2" s="1"/>
  <c r="B357" i="2"/>
  <c r="B358" i="2" s="1"/>
  <c r="B359" i="2" s="1"/>
  <c r="B360" i="2" s="1"/>
  <c r="B361" i="2" s="1"/>
  <c r="B362" i="2" s="1"/>
  <c r="B363" i="2" s="1"/>
  <c r="B356" i="2"/>
  <c r="D354" i="2"/>
  <c r="G354" i="2" s="1"/>
  <c r="G353" i="2"/>
  <c r="D353" i="2"/>
  <c r="B353" i="2"/>
  <c r="B354" i="2" s="1"/>
  <c r="B355" i="2" s="1"/>
  <c r="G352" i="2"/>
  <c r="D352" i="2"/>
  <c r="D363" i="2" s="1"/>
  <c r="G363" i="2" s="1"/>
  <c r="D351" i="2"/>
  <c r="G351" i="2" s="1"/>
  <c r="D350" i="2"/>
  <c r="G350" i="2" s="1"/>
  <c r="G349" i="2"/>
  <c r="D349" i="2"/>
  <c r="D347" i="2"/>
  <c r="G347" i="2" s="1"/>
  <c r="D346" i="2"/>
  <c r="G346" i="2" s="1"/>
  <c r="G345" i="2"/>
  <c r="D345" i="2"/>
  <c r="D343" i="2"/>
  <c r="G343" i="2" s="1"/>
  <c r="G342" i="2"/>
  <c r="D342" i="2"/>
  <c r="G341" i="2"/>
  <c r="D341" i="2"/>
  <c r="B341" i="2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G340" i="2"/>
  <c r="D340" i="2"/>
  <c r="D348" i="2" s="1"/>
  <c r="G348" i="2" s="1"/>
  <c r="B339" i="2"/>
  <c r="D332" i="2"/>
  <c r="G332" i="2" s="1"/>
  <c r="B331" i="2"/>
  <c r="B332" i="2" s="1"/>
  <c r="B333" i="2" s="1"/>
  <c r="B334" i="2" s="1"/>
  <c r="B335" i="2" s="1"/>
  <c r="B336" i="2" s="1"/>
  <c r="B337" i="2" s="1"/>
  <c r="B338" i="2" s="1"/>
  <c r="B330" i="2"/>
  <c r="B329" i="2"/>
  <c r="D328" i="2"/>
  <c r="D336" i="2" s="1"/>
  <c r="G336" i="2" s="1"/>
  <c r="D325" i="2"/>
  <c r="G325" i="2" s="1"/>
  <c r="D324" i="2"/>
  <c r="G324" i="2" s="1"/>
  <c r="B323" i="2"/>
  <c r="B324" i="2" s="1"/>
  <c r="B325" i="2" s="1"/>
  <c r="B326" i="2" s="1"/>
  <c r="B327" i="2" s="1"/>
  <c r="D321" i="2"/>
  <c r="G321" i="2" s="1"/>
  <c r="B320" i="2"/>
  <c r="B321" i="2" s="1"/>
  <c r="B322" i="2" s="1"/>
  <c r="B319" i="2"/>
  <c r="B318" i="2"/>
  <c r="B317" i="2"/>
  <c r="G316" i="2"/>
  <c r="D316" i="2"/>
  <c r="D314" i="2"/>
  <c r="G314" i="2" s="1"/>
  <c r="D313" i="2"/>
  <c r="G313" i="2" s="1"/>
  <c r="D310" i="2"/>
  <c r="G310" i="2" s="1"/>
  <c r="G309" i="2"/>
  <c r="D309" i="2"/>
  <c r="D306" i="2"/>
  <c r="G306" i="2" s="1"/>
  <c r="D305" i="2"/>
  <c r="G305" i="2" s="1"/>
  <c r="B305" i="2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G304" i="2"/>
  <c r="D304" i="2"/>
  <c r="D315" i="2" s="1"/>
  <c r="G315" i="2" s="1"/>
  <c r="D303" i="2"/>
  <c r="G303" i="2" s="1"/>
  <c r="D302" i="2"/>
  <c r="G302" i="2" s="1"/>
  <c r="G301" i="2"/>
  <c r="D301" i="2"/>
  <c r="D299" i="2"/>
  <c r="G299" i="2" s="1"/>
  <c r="G298" i="2"/>
  <c r="D298" i="2"/>
  <c r="G297" i="2"/>
  <c r="D297" i="2"/>
  <c r="D295" i="2"/>
  <c r="G295" i="2" s="1"/>
  <c r="G294" i="2"/>
  <c r="D294" i="2"/>
  <c r="G293" i="2"/>
  <c r="D293" i="2"/>
  <c r="B293" i="2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G292" i="2"/>
  <c r="D292" i="2"/>
  <c r="D300" i="2" s="1"/>
  <c r="G300" i="2" s="1"/>
  <c r="D288" i="2"/>
  <c r="G288" i="2" s="1"/>
  <c r="D287" i="2"/>
  <c r="G287" i="2" s="1"/>
  <c r="B286" i="2"/>
  <c r="B287" i="2" s="1"/>
  <c r="B288" i="2" s="1"/>
  <c r="B289" i="2" s="1"/>
  <c r="B290" i="2" s="1"/>
  <c r="B291" i="2" s="1"/>
  <c r="D284" i="2"/>
  <c r="G284" i="2" s="1"/>
  <c r="B283" i="2"/>
  <c r="B284" i="2" s="1"/>
  <c r="B285" i="2" s="1"/>
  <c r="B282" i="2"/>
  <c r="B281" i="2"/>
  <c r="D280" i="2"/>
  <c r="B271" i="2"/>
  <c r="B272" i="2" s="1"/>
  <c r="B270" i="2"/>
  <c r="B269" i="2"/>
  <c r="G268" i="2"/>
  <c r="D268" i="2"/>
  <c r="B257" i="2"/>
  <c r="G256" i="2"/>
  <c r="D256" i="2"/>
  <c r="B249" i="2"/>
  <c r="B246" i="2"/>
  <c r="B247" i="2" s="1"/>
  <c r="B248" i="2" s="1"/>
  <c r="D248" i="2" s="1"/>
  <c r="G248" i="2" s="1"/>
  <c r="G245" i="2"/>
  <c r="B245" i="2"/>
  <c r="D245" i="2" s="1"/>
  <c r="G244" i="2"/>
  <c r="D244" i="2"/>
  <c r="B238" i="2"/>
  <c r="B235" i="2"/>
  <c r="B236" i="2" s="1"/>
  <c r="B237" i="2" s="1"/>
  <c r="D237" i="2" s="1"/>
  <c r="G237" i="2" s="1"/>
  <c r="B234" i="2"/>
  <c r="B233" i="2"/>
  <c r="D232" i="2"/>
  <c r="B223" i="2"/>
  <c r="B224" i="2" s="1"/>
  <c r="B222" i="2"/>
  <c r="B221" i="2"/>
  <c r="G220" i="2"/>
  <c r="D220" i="2"/>
  <c r="B209" i="2"/>
  <c r="G208" i="2"/>
  <c r="D208" i="2"/>
  <c r="B201" i="2"/>
  <c r="B198" i="2"/>
  <c r="B199" i="2" s="1"/>
  <c r="B200" i="2" s="1"/>
  <c r="D200" i="2" s="1"/>
  <c r="G200" i="2" s="1"/>
  <c r="G197" i="2"/>
  <c r="B197" i="2"/>
  <c r="D197" i="2" s="1"/>
  <c r="G196" i="2"/>
  <c r="D196" i="2"/>
  <c r="B190" i="2"/>
  <c r="B187" i="2"/>
  <c r="B188" i="2" s="1"/>
  <c r="B189" i="2" s="1"/>
  <c r="D189" i="2" s="1"/>
  <c r="G189" i="2" s="1"/>
  <c r="B186" i="2"/>
  <c r="B185" i="2"/>
  <c r="D184" i="2"/>
  <c r="B175" i="2"/>
  <c r="B176" i="2" s="1"/>
  <c r="B174" i="2"/>
  <c r="B173" i="2"/>
  <c r="G172" i="2"/>
  <c r="D172" i="2"/>
  <c r="B161" i="2"/>
  <c r="G160" i="2"/>
  <c r="D160" i="2"/>
  <c r="B153" i="2"/>
  <c r="B150" i="2"/>
  <c r="B151" i="2" s="1"/>
  <c r="B152" i="2" s="1"/>
  <c r="D152" i="2" s="1"/>
  <c r="G152" i="2" s="1"/>
  <c r="G149" i="2"/>
  <c r="B149" i="2"/>
  <c r="D149" i="2" s="1"/>
  <c r="G148" i="2"/>
  <c r="D148" i="2"/>
  <c r="B137" i="2"/>
  <c r="D137" i="2" s="1"/>
  <c r="G137" i="2" s="1"/>
  <c r="D136" i="2"/>
  <c r="G136" i="2" s="1"/>
  <c r="B128" i="2"/>
  <c r="B129" i="2" s="1"/>
  <c r="B130" i="2" s="1"/>
  <c r="G127" i="2"/>
  <c r="B127" i="2"/>
  <c r="D127" i="2" s="1"/>
  <c r="B126" i="2"/>
  <c r="B125" i="2"/>
  <c r="G124" i="2"/>
  <c r="D124" i="2"/>
  <c r="D113" i="2"/>
  <c r="G113" i="2" s="1"/>
  <c r="B113" i="2"/>
  <c r="B114" i="2" s="1"/>
  <c r="D114" i="2" s="1"/>
  <c r="G114" i="2" s="1"/>
  <c r="G112" i="2"/>
  <c r="D112" i="2"/>
  <c r="B105" i="2"/>
  <c r="D105" i="2" s="1"/>
  <c r="G105" i="2" s="1"/>
  <c r="B102" i="2"/>
  <c r="B103" i="2" s="1"/>
  <c r="B104" i="2" s="1"/>
  <c r="D104" i="2" s="1"/>
  <c r="G104" i="2" s="1"/>
  <c r="G101" i="2"/>
  <c r="B101" i="2"/>
  <c r="D101" i="2" s="1"/>
  <c r="D100" i="2"/>
  <c r="G100" i="2" s="1"/>
  <c r="B95" i="2"/>
  <c r="B96" i="2" s="1"/>
  <c r="B97" i="2" s="1"/>
  <c r="D97" i="2" s="1"/>
  <c r="G97" i="2" s="1"/>
  <c r="B94" i="2"/>
  <c r="D94" i="2" s="1"/>
  <c r="G94" i="2" s="1"/>
  <c r="B91" i="2"/>
  <c r="B92" i="2" s="1"/>
  <c r="B93" i="2" s="1"/>
  <c r="D93" i="2" s="1"/>
  <c r="G93" i="2" s="1"/>
  <c r="B90" i="2"/>
  <c r="B89" i="2"/>
  <c r="D88" i="2"/>
  <c r="B77" i="2"/>
  <c r="B78" i="2" s="1"/>
  <c r="D78" i="2" s="1"/>
  <c r="G78" i="2" s="1"/>
  <c r="D76" i="2"/>
  <c r="B69" i="2"/>
  <c r="B70" i="2" s="1"/>
  <c r="B71" i="2" s="1"/>
  <c r="D71" i="2" s="1"/>
  <c r="G71" i="2" s="1"/>
  <c r="B68" i="2"/>
  <c r="D68" i="2" s="1"/>
  <c r="G68" i="2" s="1"/>
  <c r="B65" i="2"/>
  <c r="B66" i="2" s="1"/>
  <c r="B67" i="2" s="1"/>
  <c r="D67" i="2" s="1"/>
  <c r="G67" i="2" s="1"/>
  <c r="G64" i="2"/>
  <c r="D64" i="2"/>
  <c r="B53" i="2"/>
  <c r="D53" i="2" s="1"/>
  <c r="G53" i="2" s="1"/>
  <c r="D52" i="2"/>
  <c r="G52" i="2" s="1"/>
  <c r="B43" i="2"/>
  <c r="B44" i="2" s="1"/>
  <c r="B45" i="2" s="1"/>
  <c r="D45" i="2" s="1"/>
  <c r="G45" i="2" s="1"/>
  <c r="B42" i="2"/>
  <c r="B41" i="2"/>
  <c r="D40" i="2"/>
  <c r="B29" i="2"/>
  <c r="B30" i="2" s="1"/>
  <c r="D30" i="2" s="1"/>
  <c r="G30" i="2" s="1"/>
  <c r="G28" i="2"/>
  <c r="D28" i="2"/>
  <c r="B17" i="2"/>
  <c r="B18" i="2" s="1"/>
  <c r="B19" i="2" s="1"/>
  <c r="D19" i="2" s="1"/>
  <c r="G19" i="2" s="1"/>
  <c r="R16" i="2"/>
  <c r="M16" i="2"/>
  <c r="D16" i="2"/>
  <c r="M8" i="2"/>
  <c r="M10" i="2" s="1"/>
  <c r="B7" i="2"/>
  <c r="S6" i="2"/>
  <c r="B6" i="2"/>
  <c r="D6" i="2" s="1"/>
  <c r="G6" i="2" s="1"/>
  <c r="B5" i="2"/>
  <c r="D4" i="2"/>
  <c r="G4" i="2" s="1"/>
  <c r="F10" i="1"/>
  <c r="S16" i="2" l="1"/>
  <c r="T16" i="2" s="1"/>
  <c r="P6" i="2"/>
  <c r="J6" i="2"/>
  <c r="J8" i="2" s="1"/>
  <c r="Q17" i="2" s="1"/>
  <c r="H6" i="3"/>
  <c r="C8" i="4" s="1"/>
  <c r="B8" i="2"/>
  <c r="D7" i="2"/>
  <c r="G7" i="2" s="1"/>
  <c r="D18" i="2"/>
  <c r="G18" i="2" s="1"/>
  <c r="D44" i="2"/>
  <c r="G44" i="2" s="1"/>
  <c r="D70" i="2"/>
  <c r="G70" i="2" s="1"/>
  <c r="B79" i="2"/>
  <c r="D96" i="2"/>
  <c r="G96" i="2" s="1"/>
  <c r="D130" i="2"/>
  <c r="G130" i="2" s="1"/>
  <c r="B131" i="2"/>
  <c r="D153" i="2"/>
  <c r="G153" i="2" s="1"/>
  <c r="B154" i="2"/>
  <c r="D190" i="2"/>
  <c r="G190" i="2" s="1"/>
  <c r="B191" i="2"/>
  <c r="D201" i="2"/>
  <c r="G201" i="2" s="1"/>
  <c r="B202" i="2"/>
  <c r="D238" i="2"/>
  <c r="G238" i="2" s="1"/>
  <c r="B239" i="2"/>
  <c r="D249" i="2"/>
  <c r="G249" i="2" s="1"/>
  <c r="B250" i="2"/>
  <c r="D385" i="2"/>
  <c r="G385" i="2" s="1"/>
  <c r="D381" i="2"/>
  <c r="G381" i="2" s="1"/>
  <c r="D377" i="2"/>
  <c r="G377" i="2" s="1"/>
  <c r="G376" i="2"/>
  <c r="D386" i="2"/>
  <c r="G386" i="2" s="1"/>
  <c r="D382" i="2"/>
  <c r="G382" i="2" s="1"/>
  <c r="D378" i="2"/>
  <c r="G378" i="2" s="1"/>
  <c r="D380" i="2"/>
  <c r="G380" i="2" s="1"/>
  <c r="D383" i="2"/>
  <c r="G383" i="2" s="1"/>
  <c r="D384" i="2"/>
  <c r="G384" i="2" s="1"/>
  <c r="G16" i="2"/>
  <c r="D41" i="2"/>
  <c r="G41" i="2" s="1"/>
  <c r="G40" i="2"/>
  <c r="D42" i="2"/>
  <c r="G42" i="2" s="1"/>
  <c r="D43" i="2"/>
  <c r="G43" i="2" s="1"/>
  <c r="D69" i="2"/>
  <c r="G69" i="2" s="1"/>
  <c r="D77" i="2"/>
  <c r="G77" i="2" s="1"/>
  <c r="D95" i="2"/>
  <c r="G95" i="2" s="1"/>
  <c r="D103" i="2"/>
  <c r="G103" i="2" s="1"/>
  <c r="D128" i="2"/>
  <c r="G128" i="2" s="1"/>
  <c r="B138" i="2"/>
  <c r="B162" i="2"/>
  <c r="D161" i="2"/>
  <c r="G161" i="2" s="1"/>
  <c r="B210" i="2"/>
  <c r="D209" i="2"/>
  <c r="G209" i="2" s="1"/>
  <c r="B258" i="2"/>
  <c r="D257" i="2"/>
  <c r="G257" i="2" s="1"/>
  <c r="D387" i="2"/>
  <c r="G387" i="2" s="1"/>
  <c r="F4" i="2"/>
  <c r="N16" i="2"/>
  <c r="B31" i="2"/>
  <c r="D66" i="2"/>
  <c r="G66" i="2" s="1"/>
  <c r="G76" i="2"/>
  <c r="D92" i="2"/>
  <c r="G92" i="2" s="1"/>
  <c r="D102" i="2"/>
  <c r="G102" i="2" s="1"/>
  <c r="D129" i="2"/>
  <c r="G129" i="2" s="1"/>
  <c r="D379" i="2"/>
  <c r="G379" i="2" s="1"/>
  <c r="D493" i="2"/>
  <c r="G493" i="2" s="1"/>
  <c r="D489" i="2"/>
  <c r="G489" i="2" s="1"/>
  <c r="D485" i="2"/>
  <c r="G485" i="2" s="1"/>
  <c r="G484" i="2"/>
  <c r="D494" i="2"/>
  <c r="G494" i="2" s="1"/>
  <c r="D490" i="2"/>
  <c r="G490" i="2" s="1"/>
  <c r="D486" i="2"/>
  <c r="G486" i="2" s="1"/>
  <c r="D495" i="2"/>
  <c r="G495" i="2" s="1"/>
  <c r="D491" i="2"/>
  <c r="G491" i="2" s="1"/>
  <c r="D487" i="2"/>
  <c r="G487" i="2" s="1"/>
  <c r="D488" i="2"/>
  <c r="G488" i="2" s="1"/>
  <c r="J16" i="2"/>
  <c r="B20" i="2"/>
  <c r="D29" i="2"/>
  <c r="G29" i="2" s="1"/>
  <c r="B46" i="2"/>
  <c r="B54" i="2"/>
  <c r="D65" i="2"/>
  <c r="G65" i="2" s="1"/>
  <c r="B72" i="2"/>
  <c r="G88" i="2"/>
  <c r="D89" i="2"/>
  <c r="G89" i="2" s="1"/>
  <c r="D90" i="2"/>
  <c r="G90" i="2" s="1"/>
  <c r="D91" i="2"/>
  <c r="G91" i="2" s="1"/>
  <c r="B98" i="2"/>
  <c r="B106" i="2"/>
  <c r="B177" i="2"/>
  <c r="D176" i="2"/>
  <c r="G176" i="2" s="1"/>
  <c r="B225" i="2"/>
  <c r="D224" i="2"/>
  <c r="G224" i="2" s="1"/>
  <c r="B273" i="2"/>
  <c r="D272" i="2"/>
  <c r="G272" i="2" s="1"/>
  <c r="D492" i="2"/>
  <c r="G492" i="2" s="1"/>
  <c r="D188" i="2"/>
  <c r="G188" i="2" s="1"/>
  <c r="D247" i="2"/>
  <c r="G247" i="2" s="1"/>
  <c r="D374" i="2"/>
  <c r="G374" i="2" s="1"/>
  <c r="D370" i="2"/>
  <c r="G370" i="2" s="1"/>
  <c r="D366" i="2"/>
  <c r="G366" i="2" s="1"/>
  <c r="D375" i="2"/>
  <c r="G375" i="2" s="1"/>
  <c r="D371" i="2"/>
  <c r="G371" i="2" s="1"/>
  <c r="D367" i="2"/>
  <c r="G367" i="2" s="1"/>
  <c r="D365" i="2"/>
  <c r="G365" i="2" s="1"/>
  <c r="B115" i="2"/>
  <c r="D126" i="2"/>
  <c r="G126" i="2" s="1"/>
  <c r="D150" i="2"/>
  <c r="G150" i="2" s="1"/>
  <c r="G184" i="2"/>
  <c r="D185" i="2"/>
  <c r="G185" i="2" s="1"/>
  <c r="D186" i="2"/>
  <c r="G186" i="2" s="1"/>
  <c r="D187" i="2"/>
  <c r="G187" i="2" s="1"/>
  <c r="D198" i="2"/>
  <c r="G198" i="2" s="1"/>
  <c r="G232" i="2"/>
  <c r="D233" i="2"/>
  <c r="G233" i="2" s="1"/>
  <c r="D234" i="2"/>
  <c r="G234" i="2" s="1"/>
  <c r="D235" i="2"/>
  <c r="G235" i="2" s="1"/>
  <c r="D246" i="2"/>
  <c r="G246" i="2" s="1"/>
  <c r="D289" i="2"/>
  <c r="G289" i="2" s="1"/>
  <c r="D285" i="2"/>
  <c r="G285" i="2" s="1"/>
  <c r="D281" i="2"/>
  <c r="G281" i="2" s="1"/>
  <c r="G280" i="2"/>
  <c r="D290" i="2"/>
  <c r="G290" i="2" s="1"/>
  <c r="D286" i="2"/>
  <c r="G286" i="2" s="1"/>
  <c r="D282" i="2"/>
  <c r="G282" i="2" s="1"/>
  <c r="D283" i="2"/>
  <c r="G283" i="2" s="1"/>
  <c r="D291" i="2"/>
  <c r="G291" i="2" s="1"/>
  <c r="D326" i="2"/>
  <c r="G326" i="2" s="1"/>
  <c r="D322" i="2"/>
  <c r="G322" i="2" s="1"/>
  <c r="D318" i="2"/>
  <c r="G318" i="2" s="1"/>
  <c r="D327" i="2"/>
  <c r="G327" i="2" s="1"/>
  <c r="D323" i="2"/>
  <c r="G323" i="2" s="1"/>
  <c r="D319" i="2"/>
  <c r="G319" i="2" s="1"/>
  <c r="D317" i="2"/>
  <c r="G317" i="2" s="1"/>
  <c r="D320" i="2"/>
  <c r="G320" i="2" s="1"/>
  <c r="G364" i="2"/>
  <c r="D373" i="2"/>
  <c r="G373" i="2" s="1"/>
  <c r="D589" i="2"/>
  <c r="G589" i="2" s="1"/>
  <c r="D585" i="2"/>
  <c r="G585" i="2" s="1"/>
  <c r="D581" i="2"/>
  <c r="G581" i="2" s="1"/>
  <c r="G580" i="2"/>
  <c r="D590" i="2"/>
  <c r="G590" i="2" s="1"/>
  <c r="D586" i="2"/>
  <c r="G586" i="2" s="1"/>
  <c r="D582" i="2"/>
  <c r="G582" i="2" s="1"/>
  <c r="D591" i="2"/>
  <c r="G591" i="2" s="1"/>
  <c r="D587" i="2"/>
  <c r="G587" i="2" s="1"/>
  <c r="D583" i="2"/>
  <c r="G583" i="2" s="1"/>
  <c r="D584" i="2"/>
  <c r="G584" i="2" s="1"/>
  <c r="D151" i="2"/>
  <c r="G151" i="2" s="1"/>
  <c r="D199" i="2"/>
  <c r="G199" i="2" s="1"/>
  <c r="D236" i="2"/>
  <c r="G236" i="2" s="1"/>
  <c r="D337" i="2"/>
  <c r="G337" i="2" s="1"/>
  <c r="D333" i="2"/>
  <c r="G333" i="2" s="1"/>
  <c r="D329" i="2"/>
  <c r="G329" i="2" s="1"/>
  <c r="G328" i="2"/>
  <c r="D338" i="2"/>
  <c r="G338" i="2" s="1"/>
  <c r="D334" i="2"/>
  <c r="G334" i="2" s="1"/>
  <c r="D330" i="2"/>
  <c r="G330" i="2" s="1"/>
  <c r="D331" i="2"/>
  <c r="G331" i="2" s="1"/>
  <c r="D339" i="2"/>
  <c r="G339" i="2" s="1"/>
  <c r="D368" i="2"/>
  <c r="G368" i="2" s="1"/>
  <c r="D125" i="2"/>
  <c r="G125" i="2" s="1"/>
  <c r="D173" i="2"/>
  <c r="G173" i="2" s="1"/>
  <c r="D174" i="2"/>
  <c r="G174" i="2" s="1"/>
  <c r="D175" i="2"/>
  <c r="G175" i="2" s="1"/>
  <c r="D221" i="2"/>
  <c r="G221" i="2" s="1"/>
  <c r="D222" i="2"/>
  <c r="G222" i="2" s="1"/>
  <c r="D223" i="2"/>
  <c r="G223" i="2" s="1"/>
  <c r="D269" i="2"/>
  <c r="G269" i="2" s="1"/>
  <c r="D270" i="2"/>
  <c r="G270" i="2" s="1"/>
  <c r="D271" i="2"/>
  <c r="G271" i="2" s="1"/>
  <c r="D335" i="2"/>
  <c r="G335" i="2" s="1"/>
  <c r="D372" i="2"/>
  <c r="G372" i="2" s="1"/>
  <c r="D434" i="2"/>
  <c r="G434" i="2" s="1"/>
  <c r="D430" i="2"/>
  <c r="G430" i="2" s="1"/>
  <c r="D426" i="2"/>
  <c r="G426" i="2" s="1"/>
  <c r="D435" i="2"/>
  <c r="G435" i="2" s="1"/>
  <c r="D431" i="2"/>
  <c r="G431" i="2" s="1"/>
  <c r="D427" i="2"/>
  <c r="G427" i="2" s="1"/>
  <c r="D428" i="2"/>
  <c r="G428" i="2" s="1"/>
  <c r="D429" i="2"/>
  <c r="G429" i="2" s="1"/>
  <c r="D432" i="2"/>
  <c r="G432" i="2" s="1"/>
  <c r="D482" i="2"/>
  <c r="G482" i="2" s="1"/>
  <c r="D478" i="2"/>
  <c r="G478" i="2" s="1"/>
  <c r="D474" i="2"/>
  <c r="G474" i="2" s="1"/>
  <c r="D483" i="2"/>
  <c r="G483" i="2" s="1"/>
  <c r="D479" i="2"/>
  <c r="G479" i="2" s="1"/>
  <c r="D475" i="2"/>
  <c r="G475" i="2" s="1"/>
  <c r="D480" i="2"/>
  <c r="G480" i="2" s="1"/>
  <c r="D481" i="2"/>
  <c r="G481" i="2" s="1"/>
  <c r="G472" i="2"/>
  <c r="D473" i="2"/>
  <c r="G473" i="2" s="1"/>
  <c r="D476" i="2"/>
  <c r="G476" i="2" s="1"/>
  <c r="D638" i="2"/>
  <c r="G638" i="2" s="1"/>
  <c r="D634" i="2"/>
  <c r="G634" i="2" s="1"/>
  <c r="D630" i="2"/>
  <c r="G630" i="2" s="1"/>
  <c r="D639" i="2"/>
  <c r="G639" i="2" s="1"/>
  <c r="D635" i="2"/>
  <c r="G635" i="2" s="1"/>
  <c r="D631" i="2"/>
  <c r="G631" i="2" s="1"/>
  <c r="D632" i="2"/>
  <c r="G632" i="2" s="1"/>
  <c r="D633" i="2"/>
  <c r="G633" i="2" s="1"/>
  <c r="D636" i="2"/>
  <c r="G636" i="2" s="1"/>
  <c r="G628" i="2"/>
  <c r="D308" i="2"/>
  <c r="G308" i="2" s="1"/>
  <c r="D312" i="2"/>
  <c r="G312" i="2" s="1"/>
  <c r="D356" i="2"/>
  <c r="G356" i="2" s="1"/>
  <c r="D360" i="2"/>
  <c r="G360" i="2" s="1"/>
  <c r="D445" i="2"/>
  <c r="G445" i="2" s="1"/>
  <c r="D441" i="2"/>
  <c r="G441" i="2" s="1"/>
  <c r="D437" i="2"/>
  <c r="G437" i="2" s="1"/>
  <c r="G436" i="2"/>
  <c r="D446" i="2"/>
  <c r="G446" i="2" s="1"/>
  <c r="D442" i="2"/>
  <c r="G442" i="2" s="1"/>
  <c r="D438" i="2"/>
  <c r="G438" i="2" s="1"/>
  <c r="D439" i="2"/>
  <c r="G439" i="2" s="1"/>
  <c r="D447" i="2"/>
  <c r="G447" i="2" s="1"/>
  <c r="D541" i="2"/>
  <c r="G541" i="2" s="1"/>
  <c r="D537" i="2"/>
  <c r="G537" i="2" s="1"/>
  <c r="D533" i="2"/>
  <c r="G533" i="2" s="1"/>
  <c r="G532" i="2"/>
  <c r="D542" i="2"/>
  <c r="G542" i="2" s="1"/>
  <c r="D538" i="2"/>
  <c r="G538" i="2" s="1"/>
  <c r="D534" i="2"/>
  <c r="G534" i="2" s="1"/>
  <c r="D543" i="2"/>
  <c r="G543" i="2" s="1"/>
  <c r="D539" i="2"/>
  <c r="G539" i="2" s="1"/>
  <c r="D535" i="2"/>
  <c r="G535" i="2" s="1"/>
  <c r="D540" i="2"/>
  <c r="G540" i="2" s="1"/>
  <c r="D296" i="2"/>
  <c r="G296" i="2" s="1"/>
  <c r="D307" i="2"/>
  <c r="G307" i="2" s="1"/>
  <c r="D311" i="2"/>
  <c r="G311" i="2" s="1"/>
  <c r="D344" i="2"/>
  <c r="G344" i="2" s="1"/>
  <c r="D355" i="2"/>
  <c r="G355" i="2" s="1"/>
  <c r="D359" i="2"/>
  <c r="G359" i="2" s="1"/>
  <c r="D397" i="2"/>
  <c r="G397" i="2" s="1"/>
  <c r="D393" i="2"/>
  <c r="G393" i="2" s="1"/>
  <c r="D398" i="2"/>
  <c r="G398" i="2" s="1"/>
  <c r="D394" i="2"/>
  <c r="G394" i="2" s="1"/>
  <c r="D399" i="2"/>
  <c r="G399" i="2" s="1"/>
  <c r="D444" i="2"/>
  <c r="G444" i="2" s="1"/>
  <c r="D536" i="2"/>
  <c r="G536" i="2" s="1"/>
  <c r="D637" i="2"/>
  <c r="G637" i="2" s="1"/>
  <c r="D524" i="2"/>
  <c r="G524" i="2" s="1"/>
  <c r="D528" i="2"/>
  <c r="G528" i="2" s="1"/>
  <c r="D572" i="2"/>
  <c r="G572" i="2" s="1"/>
  <c r="D576" i="2"/>
  <c r="G576" i="2" s="1"/>
  <c r="G400" i="2"/>
  <c r="D401" i="2"/>
  <c r="G401" i="2" s="1"/>
  <c r="D405" i="2"/>
  <c r="G405" i="2" s="1"/>
  <c r="D409" i="2"/>
  <c r="G409" i="2" s="1"/>
  <c r="D416" i="2"/>
  <c r="G416" i="2" s="1"/>
  <c r="D420" i="2"/>
  <c r="G420" i="2" s="1"/>
  <c r="D457" i="2"/>
  <c r="G457" i="2" s="1"/>
  <c r="D464" i="2"/>
  <c r="G464" i="2" s="1"/>
  <c r="D468" i="2"/>
  <c r="G468" i="2" s="1"/>
  <c r="D512" i="2"/>
  <c r="G512" i="2" s="1"/>
  <c r="D516" i="2"/>
  <c r="G516" i="2" s="1"/>
  <c r="D523" i="2"/>
  <c r="G523" i="2" s="1"/>
  <c r="D527" i="2"/>
  <c r="G527" i="2" s="1"/>
  <c r="D531" i="2"/>
  <c r="G531" i="2" s="1"/>
  <c r="D560" i="2"/>
  <c r="G560" i="2" s="1"/>
  <c r="D564" i="2"/>
  <c r="G564" i="2" s="1"/>
  <c r="D571" i="2"/>
  <c r="G571" i="2" s="1"/>
  <c r="D575" i="2"/>
  <c r="G575" i="2" s="1"/>
  <c r="D579" i="2"/>
  <c r="G579" i="2" s="1"/>
  <c r="D649" i="2"/>
  <c r="G649" i="2" s="1"/>
  <c r="D645" i="2"/>
  <c r="G645" i="2" s="1"/>
  <c r="D641" i="2"/>
  <c r="G641" i="2" s="1"/>
  <c r="G640" i="2"/>
  <c r="D650" i="2"/>
  <c r="G650" i="2" s="1"/>
  <c r="D646" i="2"/>
  <c r="G646" i="2" s="1"/>
  <c r="D642" i="2"/>
  <c r="G642" i="2" s="1"/>
  <c r="D643" i="2"/>
  <c r="G643" i="2" s="1"/>
  <c r="D651" i="2"/>
  <c r="G651" i="2" s="1"/>
  <c r="D697" i="2"/>
  <c r="G697" i="2" s="1"/>
  <c r="D693" i="2"/>
  <c r="G693" i="2" s="1"/>
  <c r="D689" i="2"/>
  <c r="G689" i="2" s="1"/>
  <c r="G688" i="2"/>
  <c r="D698" i="2"/>
  <c r="G698" i="2" s="1"/>
  <c r="D694" i="2"/>
  <c r="G694" i="2" s="1"/>
  <c r="D690" i="2"/>
  <c r="G690" i="2" s="1"/>
  <c r="D691" i="2"/>
  <c r="G691" i="2" s="1"/>
  <c r="D699" i="2"/>
  <c r="G699" i="2" s="1"/>
  <c r="D770" i="2"/>
  <c r="G770" i="2" s="1"/>
  <c r="D766" i="2"/>
  <c r="G766" i="2" s="1"/>
  <c r="D762" i="2"/>
  <c r="G762" i="2" s="1"/>
  <c r="D771" i="2"/>
  <c r="G771" i="2" s="1"/>
  <c r="D767" i="2"/>
  <c r="G767" i="2" s="1"/>
  <c r="D763" i="2"/>
  <c r="G763" i="2" s="1"/>
  <c r="D765" i="2"/>
  <c r="G765" i="2" s="1"/>
  <c r="D768" i="2"/>
  <c r="G768" i="2" s="1"/>
  <c r="D769" i="2"/>
  <c r="G769" i="2" s="1"/>
  <c r="D404" i="2"/>
  <c r="G404" i="2" s="1"/>
  <c r="D419" i="2"/>
  <c r="G419" i="2" s="1"/>
  <c r="D452" i="2"/>
  <c r="G452" i="2" s="1"/>
  <c r="D463" i="2"/>
  <c r="G463" i="2" s="1"/>
  <c r="D467" i="2"/>
  <c r="G467" i="2" s="1"/>
  <c r="D500" i="2"/>
  <c r="G500" i="2" s="1"/>
  <c r="D511" i="2"/>
  <c r="G511" i="2" s="1"/>
  <c r="D515" i="2"/>
  <c r="G515" i="2" s="1"/>
  <c r="D522" i="2"/>
  <c r="G522" i="2" s="1"/>
  <c r="D526" i="2"/>
  <c r="G526" i="2" s="1"/>
  <c r="D548" i="2"/>
  <c r="G548" i="2" s="1"/>
  <c r="D559" i="2"/>
  <c r="G559" i="2" s="1"/>
  <c r="D563" i="2"/>
  <c r="G563" i="2" s="1"/>
  <c r="D570" i="2"/>
  <c r="G570" i="2" s="1"/>
  <c r="D574" i="2"/>
  <c r="G574" i="2" s="1"/>
  <c r="D601" i="2"/>
  <c r="G601" i="2" s="1"/>
  <c r="D597" i="2"/>
  <c r="G597" i="2" s="1"/>
  <c r="D602" i="2"/>
  <c r="G602" i="2" s="1"/>
  <c r="D598" i="2"/>
  <c r="G598" i="2" s="1"/>
  <c r="D594" i="2"/>
  <c r="G594" i="2" s="1"/>
  <c r="D596" i="2"/>
  <c r="G596" i="2" s="1"/>
  <c r="D648" i="2"/>
  <c r="G648" i="2" s="1"/>
  <c r="D686" i="2"/>
  <c r="G686" i="2" s="1"/>
  <c r="D682" i="2"/>
  <c r="G682" i="2" s="1"/>
  <c r="D678" i="2"/>
  <c r="G678" i="2" s="1"/>
  <c r="D687" i="2"/>
  <c r="G687" i="2" s="1"/>
  <c r="D683" i="2"/>
  <c r="G683" i="2" s="1"/>
  <c r="D679" i="2"/>
  <c r="G679" i="2" s="1"/>
  <c r="D677" i="2"/>
  <c r="G677" i="2" s="1"/>
  <c r="D680" i="2"/>
  <c r="G680" i="2" s="1"/>
  <c r="D696" i="2"/>
  <c r="G696" i="2" s="1"/>
  <c r="G760" i="2"/>
  <c r="D761" i="2"/>
  <c r="G761" i="2" s="1"/>
  <c r="D764" i="2"/>
  <c r="G764" i="2" s="1"/>
  <c r="G604" i="2"/>
  <c r="D605" i="2"/>
  <c r="G605" i="2" s="1"/>
  <c r="D609" i="2"/>
  <c r="G609" i="2" s="1"/>
  <c r="D613" i="2"/>
  <c r="G613" i="2" s="1"/>
  <c r="D620" i="2"/>
  <c r="G620" i="2" s="1"/>
  <c r="D624" i="2"/>
  <c r="G624" i="2" s="1"/>
  <c r="D653" i="2"/>
  <c r="G653" i="2" s="1"/>
  <c r="D657" i="2"/>
  <c r="G657" i="2" s="1"/>
  <c r="D661" i="2"/>
  <c r="G661" i="2" s="1"/>
  <c r="D668" i="2"/>
  <c r="G668" i="2" s="1"/>
  <c r="D672" i="2"/>
  <c r="G672" i="2" s="1"/>
  <c r="D722" i="2"/>
  <c r="G722" i="2" s="1"/>
  <c r="D718" i="2"/>
  <c r="G718" i="2" s="1"/>
  <c r="D723" i="2"/>
  <c r="G723" i="2" s="1"/>
  <c r="D719" i="2"/>
  <c r="G719" i="2" s="1"/>
  <c r="D716" i="2"/>
  <c r="G716" i="2" s="1"/>
  <c r="D733" i="2"/>
  <c r="G733" i="2" s="1"/>
  <c r="D729" i="2"/>
  <c r="G729" i="2" s="1"/>
  <c r="D725" i="2"/>
  <c r="G725" i="2" s="1"/>
  <c r="G724" i="2"/>
  <c r="D734" i="2"/>
  <c r="G734" i="2" s="1"/>
  <c r="D730" i="2"/>
  <c r="G730" i="2" s="1"/>
  <c r="D726" i="2"/>
  <c r="G726" i="2" s="1"/>
  <c r="D727" i="2"/>
  <c r="G727" i="2" s="1"/>
  <c r="D735" i="2"/>
  <c r="G735" i="2" s="1"/>
  <c r="D608" i="2"/>
  <c r="G608" i="2" s="1"/>
  <c r="D619" i="2"/>
  <c r="G619" i="2" s="1"/>
  <c r="D623" i="2"/>
  <c r="G623" i="2" s="1"/>
  <c r="D656" i="2"/>
  <c r="G656" i="2" s="1"/>
  <c r="D667" i="2"/>
  <c r="G667" i="2" s="1"/>
  <c r="D671" i="2"/>
  <c r="G671" i="2" s="1"/>
  <c r="D704" i="2"/>
  <c r="G704" i="2" s="1"/>
  <c r="D715" i="2"/>
  <c r="G715" i="2" s="1"/>
  <c r="D732" i="2"/>
  <c r="G732" i="2" s="1"/>
  <c r="D781" i="2"/>
  <c r="G781" i="2" s="1"/>
  <c r="D777" i="2"/>
  <c r="G777" i="2" s="1"/>
  <c r="D773" i="2"/>
  <c r="G773" i="2" s="1"/>
  <c r="G772" i="2"/>
  <c r="D782" i="2"/>
  <c r="G782" i="2" s="1"/>
  <c r="D778" i="2"/>
  <c r="G778" i="2" s="1"/>
  <c r="D774" i="2"/>
  <c r="G774" i="2" s="1"/>
  <c r="D775" i="2"/>
  <c r="G775" i="2" s="1"/>
  <c r="D783" i="2"/>
  <c r="G783" i="2" s="1"/>
  <c r="D829" i="2"/>
  <c r="G829" i="2" s="1"/>
  <c r="D825" i="2"/>
  <c r="G825" i="2" s="1"/>
  <c r="D821" i="2"/>
  <c r="G821" i="2" s="1"/>
  <c r="G820" i="2"/>
  <c r="D830" i="2"/>
  <c r="G830" i="2" s="1"/>
  <c r="D826" i="2"/>
  <c r="G826" i="2" s="1"/>
  <c r="D822" i="2"/>
  <c r="G822" i="2" s="1"/>
  <c r="D831" i="2"/>
  <c r="G831" i="2" s="1"/>
  <c r="D827" i="2"/>
  <c r="G827" i="2" s="1"/>
  <c r="D823" i="2"/>
  <c r="G823" i="2" s="1"/>
  <c r="D828" i="2"/>
  <c r="G828" i="2" s="1"/>
  <c r="D927" i="2"/>
  <c r="G927" i="2" s="1"/>
  <c r="D923" i="2"/>
  <c r="G923" i="2" s="1"/>
  <c r="D919" i="2"/>
  <c r="G919" i="2" s="1"/>
  <c r="D922" i="2"/>
  <c r="G922" i="2" s="1"/>
  <c r="D917" i="2"/>
  <c r="G917" i="2" s="1"/>
  <c r="D921" i="2"/>
  <c r="G921" i="2" s="1"/>
  <c r="D920" i="2"/>
  <c r="G920" i="2" s="1"/>
  <c r="G916" i="2"/>
  <c r="D926" i="2"/>
  <c r="G926" i="2" s="1"/>
  <c r="D925" i="2"/>
  <c r="G925" i="2" s="1"/>
  <c r="D924" i="2"/>
  <c r="G924" i="2" s="1"/>
  <c r="D918" i="2"/>
  <c r="G918" i="2" s="1"/>
  <c r="D812" i="2"/>
  <c r="G812" i="2" s="1"/>
  <c r="D816" i="2"/>
  <c r="G816" i="2" s="1"/>
  <c r="D901" i="2"/>
  <c r="G901" i="2" s="1"/>
  <c r="D897" i="2"/>
  <c r="G897" i="2" s="1"/>
  <c r="D893" i="2"/>
  <c r="G893" i="2" s="1"/>
  <c r="G892" i="2"/>
  <c r="D902" i="2"/>
  <c r="G902" i="2" s="1"/>
  <c r="D896" i="2"/>
  <c r="G896" i="2" s="1"/>
  <c r="D900" i="2"/>
  <c r="G900" i="2" s="1"/>
  <c r="D899" i="2"/>
  <c r="G899" i="2" s="1"/>
  <c r="D898" i="2"/>
  <c r="G898" i="2" s="1"/>
  <c r="D986" i="2"/>
  <c r="G986" i="2" s="1"/>
  <c r="D982" i="2"/>
  <c r="G982" i="2" s="1"/>
  <c r="D978" i="2"/>
  <c r="G978" i="2" s="1"/>
  <c r="D985" i="2"/>
  <c r="G985" i="2" s="1"/>
  <c r="D980" i="2"/>
  <c r="G980" i="2" s="1"/>
  <c r="G976" i="2"/>
  <c r="D987" i="2"/>
  <c r="G987" i="2" s="1"/>
  <c r="D981" i="2"/>
  <c r="G981" i="2" s="1"/>
  <c r="D977" i="2"/>
  <c r="G977" i="2" s="1"/>
  <c r="D984" i="2"/>
  <c r="G984" i="2" s="1"/>
  <c r="D979" i="2"/>
  <c r="G979" i="2" s="1"/>
  <c r="G1060" i="2"/>
  <c r="D741" i="2"/>
  <c r="G741" i="2" s="1"/>
  <c r="D745" i="2"/>
  <c r="G745" i="2" s="1"/>
  <c r="D752" i="2"/>
  <c r="G752" i="2" s="1"/>
  <c r="D756" i="2"/>
  <c r="G756" i="2" s="1"/>
  <c r="D800" i="2"/>
  <c r="G800" i="2" s="1"/>
  <c r="D804" i="2"/>
  <c r="G804" i="2" s="1"/>
  <c r="D811" i="2"/>
  <c r="G811" i="2" s="1"/>
  <c r="D815" i="2"/>
  <c r="G815" i="2" s="1"/>
  <c r="D819" i="2"/>
  <c r="G819" i="2" s="1"/>
  <c r="D841" i="2"/>
  <c r="G841" i="2" s="1"/>
  <c r="D848" i="2"/>
  <c r="G848" i="2" s="1"/>
  <c r="D852" i="2"/>
  <c r="G852" i="2" s="1"/>
  <c r="D894" i="2"/>
  <c r="G894" i="2" s="1"/>
  <c r="D895" i="2"/>
  <c r="G895" i="2" s="1"/>
  <c r="D935" i="2"/>
  <c r="G935" i="2" s="1"/>
  <c r="D936" i="2"/>
  <c r="G936" i="2" s="1"/>
  <c r="D983" i="2"/>
  <c r="G983" i="2" s="1"/>
  <c r="D740" i="2"/>
  <c r="G740" i="2" s="1"/>
  <c r="D751" i="2"/>
  <c r="G751" i="2" s="1"/>
  <c r="D755" i="2"/>
  <c r="G755" i="2" s="1"/>
  <c r="D788" i="2"/>
  <c r="G788" i="2" s="1"/>
  <c r="D799" i="2"/>
  <c r="G799" i="2" s="1"/>
  <c r="D803" i="2"/>
  <c r="G803" i="2" s="1"/>
  <c r="D810" i="2"/>
  <c r="G810" i="2" s="1"/>
  <c r="D814" i="2"/>
  <c r="G814" i="2" s="1"/>
  <c r="D836" i="2"/>
  <c r="G836" i="2" s="1"/>
  <c r="D847" i="2"/>
  <c r="G847" i="2" s="1"/>
  <c r="D851" i="2"/>
  <c r="G851" i="2" s="1"/>
  <c r="D938" i="2"/>
  <c r="G938" i="2" s="1"/>
  <c r="D934" i="2"/>
  <c r="G934" i="2" s="1"/>
  <c r="D930" i="2"/>
  <c r="G930" i="2" s="1"/>
  <c r="D939" i="2"/>
  <c r="G939" i="2" s="1"/>
  <c r="D933" i="2"/>
  <c r="G933" i="2" s="1"/>
  <c r="D932" i="2"/>
  <c r="G932" i="2" s="1"/>
  <c r="D931" i="2"/>
  <c r="G931" i="2" s="1"/>
  <c r="D929" i="2"/>
  <c r="G929" i="2" s="1"/>
  <c r="G928" i="2"/>
  <c r="D997" i="2"/>
  <c r="G997" i="2" s="1"/>
  <c r="D993" i="2"/>
  <c r="G993" i="2" s="1"/>
  <c r="D989" i="2"/>
  <c r="G989" i="2" s="1"/>
  <c r="G988" i="2"/>
  <c r="D995" i="2"/>
  <c r="G995" i="2" s="1"/>
  <c r="D990" i="2"/>
  <c r="G990" i="2" s="1"/>
  <c r="D996" i="2"/>
  <c r="G996" i="2" s="1"/>
  <c r="D991" i="2"/>
  <c r="G991" i="2" s="1"/>
  <c r="D998" i="2"/>
  <c r="G998" i="2" s="1"/>
  <c r="D994" i="2"/>
  <c r="G994" i="2" s="1"/>
  <c r="D860" i="2"/>
  <c r="G860" i="2" s="1"/>
  <c r="D864" i="2"/>
  <c r="G864" i="2" s="1"/>
  <c r="D869" i="2"/>
  <c r="G869" i="2" s="1"/>
  <c r="D949" i="2"/>
  <c r="G949" i="2" s="1"/>
  <c r="D945" i="2"/>
  <c r="G945" i="2" s="1"/>
  <c r="D941" i="2"/>
  <c r="G941" i="2" s="1"/>
  <c r="G940" i="2"/>
  <c r="D948" i="2"/>
  <c r="G948" i="2" s="1"/>
  <c r="D943" i="2"/>
  <c r="G943" i="2" s="1"/>
  <c r="D859" i="2"/>
  <c r="G859" i="2" s="1"/>
  <c r="D863" i="2"/>
  <c r="G863" i="2" s="1"/>
  <c r="D879" i="2"/>
  <c r="G879" i="2" s="1"/>
  <c r="D875" i="2"/>
  <c r="G875" i="2" s="1"/>
  <c r="D871" i="2"/>
  <c r="G871" i="2" s="1"/>
  <c r="D876" i="2"/>
  <c r="G876" i="2" s="1"/>
  <c r="D873" i="2"/>
  <c r="G873" i="2" s="1"/>
  <c r="D1021" i="2"/>
  <c r="G1021" i="2" s="1"/>
  <c r="D1017" i="2"/>
  <c r="G1017" i="2" s="1"/>
  <c r="D1022" i="2"/>
  <c r="G1022" i="2" s="1"/>
  <c r="D1016" i="2"/>
  <c r="G1016" i="2" s="1"/>
  <c r="D1020" i="2"/>
  <c r="G1020" i="2" s="1"/>
  <c r="D1018" i="2"/>
  <c r="G1018" i="2" s="1"/>
  <c r="D1015" i="2"/>
  <c r="G1015" i="2" s="1"/>
  <c r="D1058" i="2"/>
  <c r="G1058" i="2" s="1"/>
  <c r="D1054" i="2"/>
  <c r="G1054" i="2" s="1"/>
  <c r="D1050" i="2"/>
  <c r="G1050" i="2" s="1"/>
  <c r="D1059" i="2"/>
  <c r="G1059" i="2" s="1"/>
  <c r="D1053" i="2"/>
  <c r="G1053" i="2" s="1"/>
  <c r="D1052" i="2"/>
  <c r="G1052" i="2" s="1"/>
  <c r="D1056" i="2"/>
  <c r="G1056" i="2" s="1"/>
  <c r="D1049" i="2"/>
  <c r="G1049" i="2" s="1"/>
  <c r="D1055" i="2"/>
  <c r="G1055" i="2" s="1"/>
  <c r="D890" i="2"/>
  <c r="G890" i="2" s="1"/>
  <c r="D886" i="2"/>
  <c r="G886" i="2" s="1"/>
  <c r="D882" i="2"/>
  <c r="G882" i="2" s="1"/>
  <c r="D881" i="2"/>
  <c r="G881" i="2" s="1"/>
  <c r="D887" i="2"/>
  <c r="G887" i="2" s="1"/>
  <c r="D975" i="2"/>
  <c r="G975" i="2" s="1"/>
  <c r="D971" i="2"/>
  <c r="G971" i="2" s="1"/>
  <c r="D967" i="2"/>
  <c r="G967" i="2" s="1"/>
  <c r="D969" i="2"/>
  <c r="G969" i="2" s="1"/>
  <c r="D974" i="2"/>
  <c r="G974" i="2" s="1"/>
  <c r="G1048" i="2"/>
  <c r="D908" i="2"/>
  <c r="G908" i="2" s="1"/>
  <c r="D956" i="2"/>
  <c r="G956" i="2" s="1"/>
  <c r="D1004" i="2"/>
  <c r="G1004" i="2" s="1"/>
  <c r="D1047" i="2"/>
  <c r="G1047" i="2" s="1"/>
  <c r="D1043" i="2"/>
  <c r="G1043" i="2" s="1"/>
  <c r="D1039" i="2"/>
  <c r="G1039" i="2" s="1"/>
  <c r="D1042" i="2"/>
  <c r="G1042" i="2" s="1"/>
  <c r="D1037" i="2"/>
  <c r="G1037" i="2" s="1"/>
  <c r="D1044" i="2"/>
  <c r="G1044" i="2" s="1"/>
  <c r="D1045" i="2"/>
  <c r="G1045" i="2" s="1"/>
  <c r="D1046" i="2"/>
  <c r="G1046" i="2" s="1"/>
  <c r="P14" i="3"/>
  <c r="Q14" i="3" s="1"/>
  <c r="D1028" i="2"/>
  <c r="G1028" i="2" s="1"/>
  <c r="I17" i="2" l="1"/>
  <c r="J17" i="2" s="1"/>
  <c r="Q18" i="2"/>
  <c r="S17" i="2"/>
  <c r="T17" i="2" s="1"/>
  <c r="F15" i="3"/>
  <c r="C8" i="1"/>
  <c r="N15" i="3"/>
  <c r="B107" i="2"/>
  <c r="D106" i="2"/>
  <c r="G106" i="2" s="1"/>
  <c r="B274" i="2"/>
  <c r="D273" i="2"/>
  <c r="G273" i="2" s="1"/>
  <c r="B178" i="2"/>
  <c r="D177" i="2"/>
  <c r="G177" i="2" s="1"/>
  <c r="D72" i="2"/>
  <c r="G72" i="2" s="1"/>
  <c r="B73" i="2"/>
  <c r="B259" i="2"/>
  <c r="D258" i="2"/>
  <c r="G258" i="2" s="1"/>
  <c r="B163" i="2"/>
  <c r="D162" i="2"/>
  <c r="G162" i="2" s="1"/>
  <c r="B251" i="2"/>
  <c r="D250" i="2"/>
  <c r="G250" i="2" s="1"/>
  <c r="B203" i="2"/>
  <c r="D202" i="2"/>
  <c r="G202" i="2" s="1"/>
  <c r="B155" i="2"/>
  <c r="D154" i="2"/>
  <c r="G154" i="2" s="1"/>
  <c r="D31" i="2"/>
  <c r="G31" i="2" s="1"/>
  <c r="B32" i="2"/>
  <c r="E14" i="2"/>
  <c r="E7" i="2"/>
  <c r="E13" i="2"/>
  <c r="F13" i="2" s="1"/>
  <c r="E10" i="2"/>
  <c r="E6" i="2"/>
  <c r="E8" i="2"/>
  <c r="E16" i="2"/>
  <c r="E11" i="2"/>
  <c r="F11" i="2" s="1"/>
  <c r="E5" i="2"/>
  <c r="F5" i="2" s="1"/>
  <c r="D5" i="2" s="1"/>
  <c r="G5" i="2" s="1"/>
  <c r="E15" i="2"/>
  <c r="E12" i="2"/>
  <c r="F12" i="2" s="1"/>
  <c r="E9" i="2"/>
  <c r="F9" i="2" s="1"/>
  <c r="B139" i="2"/>
  <c r="D138" i="2"/>
  <c r="G138" i="2" s="1"/>
  <c r="D79" i="2"/>
  <c r="G79" i="2" s="1"/>
  <c r="B80" i="2"/>
  <c r="B226" i="2"/>
  <c r="D225" i="2"/>
  <c r="G225" i="2" s="1"/>
  <c r="D98" i="2"/>
  <c r="G98" i="2" s="1"/>
  <c r="B99" i="2"/>
  <c r="D99" i="2" s="1"/>
  <c r="G99" i="2" s="1"/>
  <c r="B55" i="2"/>
  <c r="D54" i="2"/>
  <c r="G54" i="2" s="1"/>
  <c r="D20" i="2"/>
  <c r="G20" i="2" s="1"/>
  <c r="B21" i="2"/>
  <c r="B211" i="2"/>
  <c r="D210" i="2"/>
  <c r="G210" i="2" s="1"/>
  <c r="B240" i="2"/>
  <c r="D239" i="2"/>
  <c r="G239" i="2" s="1"/>
  <c r="B192" i="2"/>
  <c r="D191" i="2"/>
  <c r="G191" i="2" s="1"/>
  <c r="D131" i="2"/>
  <c r="G131" i="2" s="1"/>
  <c r="B132" i="2"/>
  <c r="D115" i="2"/>
  <c r="G115" i="2" s="1"/>
  <c r="B116" i="2"/>
  <c r="D46" i="2"/>
  <c r="G46" i="2" s="1"/>
  <c r="B47" i="2"/>
  <c r="B9" i="2"/>
  <c r="D8" i="2"/>
  <c r="G8" i="2" s="1"/>
  <c r="I18" i="2" l="1"/>
  <c r="N17" i="2"/>
  <c r="S18" i="2"/>
  <c r="T18" i="2" s="1"/>
  <c r="Q19" i="2"/>
  <c r="O15" i="3"/>
  <c r="N16" i="3"/>
  <c r="P15" i="3"/>
  <c r="J15" i="3"/>
  <c r="K15" i="3"/>
  <c r="F16" i="3"/>
  <c r="G15" i="3"/>
  <c r="H15" i="3" s="1"/>
  <c r="I15" i="3" s="1"/>
  <c r="B193" i="2"/>
  <c r="D192" i="2"/>
  <c r="G192" i="2" s="1"/>
  <c r="B133" i="2"/>
  <c r="D132" i="2"/>
  <c r="G132" i="2" s="1"/>
  <c r="B56" i="2"/>
  <c r="D55" i="2"/>
  <c r="G55" i="2" s="1"/>
  <c r="D226" i="2"/>
  <c r="G226" i="2" s="1"/>
  <c r="B227" i="2"/>
  <c r="B81" i="2"/>
  <c r="D80" i="2"/>
  <c r="G80" i="2" s="1"/>
  <c r="D178" i="2"/>
  <c r="G178" i="2" s="1"/>
  <c r="B179" i="2"/>
  <c r="D116" i="2"/>
  <c r="G116" i="2" s="1"/>
  <c r="B117" i="2"/>
  <c r="F15" i="2"/>
  <c r="F8" i="2"/>
  <c r="F7" i="2"/>
  <c r="B204" i="2"/>
  <c r="D203" i="2"/>
  <c r="G203" i="2" s="1"/>
  <c r="D163" i="2"/>
  <c r="G163" i="2" s="1"/>
  <c r="B164" i="2"/>
  <c r="B74" i="2"/>
  <c r="D73" i="2"/>
  <c r="G73" i="2" s="1"/>
  <c r="B108" i="2"/>
  <c r="D107" i="2"/>
  <c r="G107" i="2" s="1"/>
  <c r="B48" i="2"/>
  <c r="D47" i="2"/>
  <c r="G47" i="2" s="1"/>
  <c r="D211" i="2"/>
  <c r="G211" i="2" s="1"/>
  <c r="B212" i="2"/>
  <c r="F10" i="2"/>
  <c r="B33" i="2"/>
  <c r="D32" i="2"/>
  <c r="G32" i="2" s="1"/>
  <c r="B156" i="2"/>
  <c r="D155" i="2"/>
  <c r="G155" i="2" s="1"/>
  <c r="B252" i="2"/>
  <c r="D251" i="2"/>
  <c r="G251" i="2" s="1"/>
  <c r="D259" i="2"/>
  <c r="G259" i="2" s="1"/>
  <c r="B260" i="2"/>
  <c r="E20" i="2"/>
  <c r="E28" i="2"/>
  <c r="E17" i="2"/>
  <c r="E22" i="2"/>
  <c r="F22" i="2" s="1"/>
  <c r="E23" i="2"/>
  <c r="E18" i="2"/>
  <c r="F18" i="2" s="1"/>
  <c r="E27" i="2"/>
  <c r="F27" i="2" s="1"/>
  <c r="E19" i="2"/>
  <c r="F16" i="2"/>
  <c r="E25" i="2" s="1"/>
  <c r="D9" i="2"/>
  <c r="G9" i="2" s="1"/>
  <c r="B10" i="2"/>
  <c r="B241" i="2"/>
  <c r="D240" i="2"/>
  <c r="G240" i="2" s="1"/>
  <c r="B22" i="2"/>
  <c r="D21" i="2"/>
  <c r="G21" i="2" s="1"/>
  <c r="B140" i="2"/>
  <c r="D139" i="2"/>
  <c r="G139" i="2" s="1"/>
  <c r="F6" i="2"/>
  <c r="F14" i="2"/>
  <c r="I19" i="2"/>
  <c r="J18" i="2"/>
  <c r="N18" i="2"/>
  <c r="D274" i="2"/>
  <c r="G274" i="2" s="1"/>
  <c r="B275" i="2"/>
  <c r="S19" i="2" l="1"/>
  <c r="T19" i="2" s="1"/>
  <c r="Q20" i="2"/>
  <c r="Q15" i="3"/>
  <c r="K16" i="3"/>
  <c r="G16" i="3"/>
  <c r="H16" i="3" s="1"/>
  <c r="I16" i="3" s="1"/>
  <c r="F17" i="3"/>
  <c r="J16" i="3"/>
  <c r="P16" i="3"/>
  <c r="N17" i="3"/>
  <c r="O16" i="3"/>
  <c r="B11" i="2"/>
  <c r="D10" i="2"/>
  <c r="G10" i="2" s="1"/>
  <c r="E35" i="2"/>
  <c r="E31" i="2"/>
  <c r="E36" i="2"/>
  <c r="F36" i="2" s="1"/>
  <c r="E38" i="2"/>
  <c r="E30" i="2"/>
  <c r="F30" i="2" s="1"/>
  <c r="E40" i="2"/>
  <c r="E34" i="2"/>
  <c r="F34" i="2" s="1"/>
  <c r="E37" i="2"/>
  <c r="F37" i="2" s="1"/>
  <c r="E29" i="2"/>
  <c r="F29" i="2" s="1"/>
  <c r="F28" i="2"/>
  <c r="E39" i="2" s="1"/>
  <c r="F39" i="2" s="1"/>
  <c r="D260" i="2"/>
  <c r="G260" i="2" s="1"/>
  <c r="B261" i="2"/>
  <c r="D275" i="2"/>
  <c r="G275" i="2" s="1"/>
  <c r="B276" i="2"/>
  <c r="B23" i="2"/>
  <c r="D22" i="2"/>
  <c r="G22" i="2" s="1"/>
  <c r="F17" i="2"/>
  <c r="D17" i="2" s="1"/>
  <c r="G17" i="2" s="1"/>
  <c r="F20" i="2"/>
  <c r="D156" i="2"/>
  <c r="G156" i="2" s="1"/>
  <c r="B157" i="2"/>
  <c r="D108" i="2"/>
  <c r="G108" i="2" s="1"/>
  <c r="B109" i="2"/>
  <c r="D179" i="2"/>
  <c r="G179" i="2" s="1"/>
  <c r="B180" i="2"/>
  <c r="D227" i="2"/>
  <c r="G227" i="2" s="1"/>
  <c r="B228" i="2"/>
  <c r="D193" i="2"/>
  <c r="G193" i="2" s="1"/>
  <c r="B194" i="2"/>
  <c r="E26" i="2"/>
  <c r="F26" i="2" s="1"/>
  <c r="E21" i="2"/>
  <c r="F21" i="2" s="1"/>
  <c r="E24" i="2"/>
  <c r="F24" i="2" s="1"/>
  <c r="B134" i="2"/>
  <c r="D133" i="2"/>
  <c r="G133" i="2" s="1"/>
  <c r="D212" i="2"/>
  <c r="G212" i="2" s="1"/>
  <c r="B213" i="2"/>
  <c r="D164" i="2"/>
  <c r="G164" i="2" s="1"/>
  <c r="B165" i="2"/>
  <c r="B82" i="2"/>
  <c r="D81" i="2"/>
  <c r="G81" i="2" s="1"/>
  <c r="D56" i="2"/>
  <c r="G56" i="2" s="1"/>
  <c r="B57" i="2"/>
  <c r="I20" i="2"/>
  <c r="J19" i="2"/>
  <c r="N19" i="2"/>
  <c r="D140" i="2"/>
  <c r="G140" i="2" s="1"/>
  <c r="B141" i="2"/>
  <c r="D241" i="2"/>
  <c r="G241" i="2" s="1"/>
  <c r="B242" i="2"/>
  <c r="F19" i="2"/>
  <c r="D252" i="2"/>
  <c r="G252" i="2" s="1"/>
  <c r="B253" i="2"/>
  <c r="B34" i="2"/>
  <c r="D33" i="2"/>
  <c r="G33" i="2" s="1"/>
  <c r="B49" i="2"/>
  <c r="D48" i="2"/>
  <c r="G48" i="2" s="1"/>
  <c r="B75" i="2"/>
  <c r="D75" i="2" s="1"/>
  <c r="G75" i="2" s="1"/>
  <c r="D74" i="2"/>
  <c r="G74" i="2" s="1"/>
  <c r="D204" i="2"/>
  <c r="G204" i="2" s="1"/>
  <c r="B205" i="2"/>
  <c r="B118" i="2"/>
  <c r="D117" i="2"/>
  <c r="G117" i="2" s="1"/>
  <c r="S20" i="2" l="1"/>
  <c r="T20" i="2" s="1"/>
  <c r="Q21" i="2"/>
  <c r="K17" i="3"/>
  <c r="J17" i="3"/>
  <c r="G17" i="3"/>
  <c r="H17" i="3" s="1"/>
  <c r="I17" i="3" s="1"/>
  <c r="F18" i="3"/>
  <c r="Q16" i="3"/>
  <c r="N18" i="3"/>
  <c r="P17" i="3"/>
  <c r="O17" i="3"/>
  <c r="B119" i="2"/>
  <c r="D118" i="2"/>
  <c r="G118" i="2" s="1"/>
  <c r="D34" i="2"/>
  <c r="G34" i="2" s="1"/>
  <c r="B35" i="2"/>
  <c r="N20" i="2"/>
  <c r="J20" i="2"/>
  <c r="I21" i="2"/>
  <c r="B214" i="2"/>
  <c r="D213" i="2"/>
  <c r="G213" i="2" s="1"/>
  <c r="D23" i="2"/>
  <c r="G23" i="2" s="1"/>
  <c r="B24" i="2"/>
  <c r="E46" i="2"/>
  <c r="E42" i="2"/>
  <c r="F42" i="2" s="1"/>
  <c r="E51" i="2"/>
  <c r="F51" i="2" s="1"/>
  <c r="E43" i="2"/>
  <c r="E48" i="2"/>
  <c r="E49" i="2"/>
  <c r="E52" i="2"/>
  <c r="E44" i="2"/>
  <c r="E45" i="2"/>
  <c r="F45" i="2" s="1"/>
  <c r="F40" i="2"/>
  <c r="E50" i="2" s="1"/>
  <c r="F50" i="2" s="1"/>
  <c r="D205" i="2"/>
  <c r="G205" i="2" s="1"/>
  <c r="B206" i="2"/>
  <c r="D253" i="2"/>
  <c r="G253" i="2" s="1"/>
  <c r="B254" i="2"/>
  <c r="D242" i="2"/>
  <c r="G242" i="2" s="1"/>
  <c r="B243" i="2"/>
  <c r="D243" i="2" s="1"/>
  <c r="G243" i="2" s="1"/>
  <c r="D82" i="2"/>
  <c r="G82" i="2" s="1"/>
  <c r="B83" i="2"/>
  <c r="B229" i="2"/>
  <c r="D228" i="2"/>
  <c r="G228" i="2" s="1"/>
  <c r="D109" i="2"/>
  <c r="G109" i="2" s="1"/>
  <c r="B110" i="2"/>
  <c r="B262" i="2"/>
  <c r="D261" i="2"/>
  <c r="G261" i="2" s="1"/>
  <c r="B12" i="2"/>
  <c r="D11" i="2"/>
  <c r="G11" i="2" s="1"/>
  <c r="D49" i="2"/>
  <c r="G49" i="2" s="1"/>
  <c r="B50" i="2"/>
  <c r="D57" i="2"/>
  <c r="G57" i="2" s="1"/>
  <c r="B58" i="2"/>
  <c r="B166" i="2"/>
  <c r="D165" i="2"/>
  <c r="G165" i="2" s="1"/>
  <c r="B277" i="2"/>
  <c r="D276" i="2"/>
  <c r="G276" i="2" s="1"/>
  <c r="F38" i="2"/>
  <c r="F35" i="2"/>
  <c r="F23" i="2"/>
  <c r="D141" i="2"/>
  <c r="G141" i="2" s="1"/>
  <c r="B142" i="2"/>
  <c r="D134" i="2"/>
  <c r="G134" i="2" s="1"/>
  <c r="B135" i="2"/>
  <c r="D135" i="2" s="1"/>
  <c r="G135" i="2" s="1"/>
  <c r="D194" i="2"/>
  <c r="G194" i="2" s="1"/>
  <c r="B195" i="2"/>
  <c r="D195" i="2" s="1"/>
  <c r="G195" i="2" s="1"/>
  <c r="B181" i="2"/>
  <c r="D180" i="2"/>
  <c r="G180" i="2" s="1"/>
  <c r="D157" i="2"/>
  <c r="G157" i="2" s="1"/>
  <c r="B158" i="2"/>
  <c r="E33" i="2"/>
  <c r="F33" i="2" s="1"/>
  <c r="E32" i="2"/>
  <c r="F25" i="2"/>
  <c r="S21" i="2" l="1"/>
  <c r="T21" i="2" s="1"/>
  <c r="Q22" i="2"/>
  <c r="Q17" i="3"/>
  <c r="N19" i="3"/>
  <c r="O18" i="3"/>
  <c r="P18" i="3"/>
  <c r="K18" i="3"/>
  <c r="J18" i="3"/>
  <c r="G18" i="3"/>
  <c r="H18" i="3" s="1"/>
  <c r="I18" i="3" s="1"/>
  <c r="F19" i="3"/>
  <c r="F49" i="2"/>
  <c r="D35" i="2"/>
  <c r="G35" i="2" s="1"/>
  <c r="B36" i="2"/>
  <c r="B182" i="2"/>
  <c r="D181" i="2"/>
  <c r="G181" i="2" s="1"/>
  <c r="B263" i="2"/>
  <c r="D262" i="2"/>
  <c r="G262" i="2" s="1"/>
  <c r="B230" i="2"/>
  <c r="D229" i="2"/>
  <c r="G229" i="2" s="1"/>
  <c r="B207" i="2"/>
  <c r="D207" i="2" s="1"/>
  <c r="G207" i="2" s="1"/>
  <c r="D206" i="2"/>
  <c r="G206" i="2" s="1"/>
  <c r="F48" i="2"/>
  <c r="D50" i="2"/>
  <c r="G50" i="2" s="1"/>
  <c r="B51" i="2"/>
  <c r="D51" i="2" s="1"/>
  <c r="G51" i="2" s="1"/>
  <c r="F52" i="2"/>
  <c r="E57" i="2" s="1"/>
  <c r="D24" i="2"/>
  <c r="G24" i="2" s="1"/>
  <c r="B25" i="2"/>
  <c r="B278" i="2"/>
  <c r="D277" i="2"/>
  <c r="G277" i="2" s="1"/>
  <c r="F44" i="2"/>
  <c r="B159" i="2"/>
  <c r="D159" i="2" s="1"/>
  <c r="G159" i="2" s="1"/>
  <c r="D158" i="2"/>
  <c r="G158" i="2" s="1"/>
  <c r="B167" i="2"/>
  <c r="D166" i="2"/>
  <c r="G166" i="2" s="1"/>
  <c r="D12" i="2"/>
  <c r="G12" i="2" s="1"/>
  <c r="B13" i="2"/>
  <c r="B111" i="2"/>
  <c r="D111" i="2" s="1"/>
  <c r="G111" i="2" s="1"/>
  <c r="D110" i="2"/>
  <c r="G110" i="2" s="1"/>
  <c r="F43" i="2"/>
  <c r="F32" i="2"/>
  <c r="D142" i="2"/>
  <c r="G142" i="2" s="1"/>
  <c r="B143" i="2"/>
  <c r="B59" i="2"/>
  <c r="D58" i="2"/>
  <c r="G58" i="2" s="1"/>
  <c r="F31" i="2"/>
  <c r="D83" i="2"/>
  <c r="G83" i="2" s="1"/>
  <c r="B84" i="2"/>
  <c r="B255" i="2"/>
  <c r="D255" i="2" s="1"/>
  <c r="G255" i="2" s="1"/>
  <c r="D254" i="2"/>
  <c r="G254" i="2" s="1"/>
  <c r="E41" i="2"/>
  <c r="F41" i="2" s="1"/>
  <c r="E47" i="2"/>
  <c r="F47" i="2" s="1"/>
  <c r="B215" i="2"/>
  <c r="D214" i="2"/>
  <c r="G214" i="2" s="1"/>
  <c r="N21" i="2"/>
  <c r="J21" i="2"/>
  <c r="I22" i="2"/>
  <c r="D119" i="2"/>
  <c r="G119" i="2" s="1"/>
  <c r="B120" i="2"/>
  <c r="S22" i="2" l="1"/>
  <c r="T22" i="2" s="1"/>
  <c r="Q23" i="2"/>
  <c r="Q18" i="3"/>
  <c r="J19" i="3"/>
  <c r="K19" i="3"/>
  <c r="F20" i="3"/>
  <c r="G19" i="3"/>
  <c r="H19" i="3" s="1"/>
  <c r="I19" i="3" s="1"/>
  <c r="P19" i="3"/>
  <c r="O19" i="3"/>
  <c r="N20" i="3"/>
  <c r="E55" i="2"/>
  <c r="E59" i="2"/>
  <c r="E62" i="2"/>
  <c r="F62" i="2" s="1"/>
  <c r="E64" i="2"/>
  <c r="B37" i="2"/>
  <c r="D36" i="2"/>
  <c r="G36" i="2" s="1"/>
  <c r="D167" i="2"/>
  <c r="G167" i="2" s="1"/>
  <c r="B168" i="2"/>
  <c r="B26" i="2"/>
  <c r="D25" i="2"/>
  <c r="G25" i="2" s="1"/>
  <c r="E63" i="2"/>
  <c r="F63" i="2" s="1"/>
  <c r="E56" i="2"/>
  <c r="F56" i="2" s="1"/>
  <c r="E53" i="2"/>
  <c r="D263" i="2"/>
  <c r="G263" i="2" s="1"/>
  <c r="B264" i="2"/>
  <c r="B85" i="2"/>
  <c r="D84" i="2"/>
  <c r="G84" i="2" s="1"/>
  <c r="B60" i="2"/>
  <c r="D59" i="2"/>
  <c r="G59" i="2" s="1"/>
  <c r="B144" i="2"/>
  <c r="D143" i="2"/>
  <c r="G143" i="2" s="1"/>
  <c r="D278" i="2"/>
  <c r="G278" i="2" s="1"/>
  <c r="B279" i="2"/>
  <c r="D279" i="2" s="1"/>
  <c r="G279" i="2" s="1"/>
  <c r="F46" i="2"/>
  <c r="E58" i="2"/>
  <c r="E61" i="2"/>
  <c r="D230" i="2"/>
  <c r="G230" i="2" s="1"/>
  <c r="B231" i="2"/>
  <c r="D231" i="2" s="1"/>
  <c r="G231" i="2" s="1"/>
  <c r="D182" i="2"/>
  <c r="G182" i="2" s="1"/>
  <c r="B183" i="2"/>
  <c r="D183" i="2" s="1"/>
  <c r="G183" i="2" s="1"/>
  <c r="I23" i="2"/>
  <c r="N22" i="2"/>
  <c r="J22" i="2"/>
  <c r="D120" i="2"/>
  <c r="G120" i="2" s="1"/>
  <c r="B121" i="2"/>
  <c r="D215" i="2"/>
  <c r="G215" i="2" s="1"/>
  <c r="B216" i="2"/>
  <c r="D13" i="2"/>
  <c r="G13" i="2" s="1"/>
  <c r="B14" i="2"/>
  <c r="E60" i="2"/>
  <c r="F60" i="2" s="1"/>
  <c r="E54" i="2"/>
  <c r="F54" i="2" s="1"/>
  <c r="S23" i="2" l="1"/>
  <c r="T23" i="2" s="1"/>
  <c r="Q24" i="2"/>
  <c r="N21" i="3"/>
  <c r="O20" i="3"/>
  <c r="P20" i="3"/>
  <c r="Q19" i="3"/>
  <c r="J20" i="3"/>
  <c r="G20" i="3"/>
  <c r="H20" i="3" s="1"/>
  <c r="I20" i="3" s="1"/>
  <c r="F21" i="3"/>
  <c r="K20" i="3"/>
  <c r="B15" i="2"/>
  <c r="D14" i="2"/>
  <c r="G14" i="2" s="1"/>
  <c r="B122" i="2"/>
  <c r="D121" i="2"/>
  <c r="G121" i="2" s="1"/>
  <c r="I24" i="2"/>
  <c r="N23" i="2"/>
  <c r="J23" i="2"/>
  <c r="B145" i="2"/>
  <c r="D144" i="2"/>
  <c r="G144" i="2" s="1"/>
  <c r="B86" i="2"/>
  <c r="D85" i="2"/>
  <c r="G85" i="2" s="1"/>
  <c r="F53" i="2"/>
  <c r="F59" i="2"/>
  <c r="F61" i="2"/>
  <c r="B27" i="2"/>
  <c r="D27" i="2" s="1"/>
  <c r="G27" i="2" s="1"/>
  <c r="D26" i="2"/>
  <c r="G26" i="2" s="1"/>
  <c r="B38" i="2"/>
  <c r="D37" i="2"/>
  <c r="G37" i="2" s="1"/>
  <c r="F55" i="2"/>
  <c r="D216" i="2"/>
  <c r="G216" i="2" s="1"/>
  <c r="B217" i="2"/>
  <c r="F58" i="2"/>
  <c r="D60" i="2"/>
  <c r="G60" i="2" s="1"/>
  <c r="B61" i="2"/>
  <c r="D264" i="2"/>
  <c r="G264" i="2" s="1"/>
  <c r="B265" i="2"/>
  <c r="D168" i="2"/>
  <c r="G168" i="2" s="1"/>
  <c r="B169" i="2"/>
  <c r="F64" i="2"/>
  <c r="E68" i="2" s="1"/>
  <c r="F57" i="2"/>
  <c r="S24" i="2" l="1"/>
  <c r="T24" i="2" s="1"/>
  <c r="Q25" i="2"/>
  <c r="Q20" i="3"/>
  <c r="F22" i="3"/>
  <c r="K21" i="3"/>
  <c r="G21" i="3"/>
  <c r="H21" i="3" s="1"/>
  <c r="I21" i="3" s="1"/>
  <c r="J21" i="3"/>
  <c r="P21" i="3"/>
  <c r="N22" i="3"/>
  <c r="O21" i="3"/>
  <c r="D38" i="2"/>
  <c r="G38" i="2" s="1"/>
  <c r="B39" i="2"/>
  <c r="D39" i="2" s="1"/>
  <c r="G39" i="2" s="1"/>
  <c r="D86" i="2"/>
  <c r="G86" i="2" s="1"/>
  <c r="B87" i="2"/>
  <c r="D87" i="2" s="1"/>
  <c r="G87" i="2" s="1"/>
  <c r="E73" i="2"/>
  <c r="F73" i="2" s="1"/>
  <c r="D61" i="2"/>
  <c r="G61" i="2" s="1"/>
  <c r="B62" i="2"/>
  <c r="E75" i="2"/>
  <c r="E69" i="2"/>
  <c r="F69" i="2" s="1"/>
  <c r="E72" i="2"/>
  <c r="F72" i="2" s="1"/>
  <c r="B218" i="2"/>
  <c r="D217" i="2"/>
  <c r="G217" i="2" s="1"/>
  <c r="B123" i="2"/>
  <c r="D123" i="2" s="1"/>
  <c r="G123" i="2" s="1"/>
  <c r="D122" i="2"/>
  <c r="G122" i="2" s="1"/>
  <c r="E71" i="2"/>
  <c r="E66" i="2"/>
  <c r="F66" i="2" s="1"/>
  <c r="B170" i="2"/>
  <c r="D169" i="2"/>
  <c r="G169" i="2" s="1"/>
  <c r="E70" i="2"/>
  <c r="E74" i="2"/>
  <c r="F74" i="2" s="1"/>
  <c r="E76" i="2"/>
  <c r="D145" i="2"/>
  <c r="G145" i="2" s="1"/>
  <c r="B146" i="2"/>
  <c r="E67" i="2"/>
  <c r="F67" i="2" s="1"/>
  <c r="E65" i="2"/>
  <c r="F65" i="2" s="1"/>
  <c r="B266" i="2"/>
  <c r="D265" i="2"/>
  <c r="G265" i="2" s="1"/>
  <c r="N24" i="2"/>
  <c r="J24" i="2"/>
  <c r="I25" i="2"/>
  <c r="D15" i="2"/>
  <c r="G15" i="2" s="1"/>
  <c r="S25" i="2" l="1"/>
  <c r="T25" i="2" s="1"/>
  <c r="Q26" i="2"/>
  <c r="O22" i="3"/>
  <c r="P22" i="3"/>
  <c r="N23" i="3"/>
  <c r="Q21" i="3"/>
  <c r="G22" i="3"/>
  <c r="H22" i="3" s="1"/>
  <c r="I22" i="3" s="1"/>
  <c r="F23" i="3"/>
  <c r="J22" i="3"/>
  <c r="K22" i="3"/>
  <c r="F75" i="2"/>
  <c r="F76" i="2"/>
  <c r="E83" i="2" s="1"/>
  <c r="F71" i="2"/>
  <c r="N25" i="2"/>
  <c r="J25" i="2"/>
  <c r="I26" i="2"/>
  <c r="B267" i="2"/>
  <c r="D267" i="2" s="1"/>
  <c r="G267" i="2" s="1"/>
  <c r="D266" i="2"/>
  <c r="G266" i="2" s="1"/>
  <c r="K1072" i="2"/>
  <c r="D146" i="2"/>
  <c r="G146" i="2" s="1"/>
  <c r="B147" i="2"/>
  <c r="D147" i="2" s="1"/>
  <c r="G147" i="2" s="1"/>
  <c r="F70" i="2"/>
  <c r="B171" i="2"/>
  <c r="D171" i="2" s="1"/>
  <c r="G171" i="2" s="1"/>
  <c r="D170" i="2"/>
  <c r="G170" i="2" s="1"/>
  <c r="B219" i="2"/>
  <c r="D219" i="2" s="1"/>
  <c r="G219" i="2" s="1"/>
  <c r="D218" i="2"/>
  <c r="G218" i="2" s="1"/>
  <c r="B63" i="2"/>
  <c r="D62" i="2"/>
  <c r="G62" i="2" s="1"/>
  <c r="F68" i="2"/>
  <c r="S26" i="2" l="1"/>
  <c r="T26" i="2" s="1"/>
  <c r="Q27" i="2"/>
  <c r="Q22" i="3"/>
  <c r="P23" i="3"/>
  <c r="N24" i="3"/>
  <c r="O23" i="3"/>
  <c r="K23" i="3"/>
  <c r="G23" i="3"/>
  <c r="H23" i="3" s="1"/>
  <c r="I23" i="3" s="1"/>
  <c r="J23" i="3"/>
  <c r="F24" i="3"/>
  <c r="E86" i="2"/>
  <c r="E80" i="2"/>
  <c r="E87" i="2"/>
  <c r="I27" i="2"/>
  <c r="J26" i="2"/>
  <c r="K26" i="2" s="1"/>
  <c r="L26" i="2" s="1"/>
  <c r="N26" i="2"/>
  <c r="E81" i="2"/>
  <c r="E77" i="2"/>
  <c r="F77" i="2" s="1"/>
  <c r="E84" i="2"/>
  <c r="D63" i="2"/>
  <c r="G63" i="2" s="1"/>
  <c r="K23" i="2"/>
  <c r="L23" i="2" s="1"/>
  <c r="K20" i="2"/>
  <c r="L20" i="2" s="1"/>
  <c r="K22" i="2"/>
  <c r="L22" i="2" s="1"/>
  <c r="K19" i="2"/>
  <c r="L19" i="2" s="1"/>
  <c r="K25" i="2"/>
  <c r="L25" i="2" s="1"/>
  <c r="E88" i="2"/>
  <c r="E85" i="2"/>
  <c r="F85" i="2" s="1"/>
  <c r="E79" i="2"/>
  <c r="E78" i="2"/>
  <c r="F78" i="2" s="1"/>
  <c r="E82" i="2"/>
  <c r="F82" i="2" s="1"/>
  <c r="K24" i="2"/>
  <c r="L24" i="2" s="1"/>
  <c r="S27" i="2" l="1"/>
  <c r="T27" i="2" s="1"/>
  <c r="Q28" i="2"/>
  <c r="O24" i="3"/>
  <c r="N25" i="3"/>
  <c r="P24" i="3"/>
  <c r="K24" i="3"/>
  <c r="F25" i="3"/>
  <c r="J24" i="3"/>
  <c r="G24" i="3"/>
  <c r="H24" i="3" s="1"/>
  <c r="I24" i="3" s="1"/>
  <c r="Q23" i="3"/>
  <c r="F88" i="2"/>
  <c r="E98" i="2" s="1"/>
  <c r="F87" i="2"/>
  <c r="F80" i="2"/>
  <c r="F79" i="2"/>
  <c r="F86" i="2"/>
  <c r="F81" i="2"/>
  <c r="F84" i="2"/>
  <c r="J27" i="2"/>
  <c r="K27" i="2" s="1"/>
  <c r="L27" i="2" s="1"/>
  <c r="I28" i="2"/>
  <c r="N27" i="2"/>
  <c r="F83" i="2"/>
  <c r="S28" i="2" l="1"/>
  <c r="T28" i="2" s="1"/>
  <c r="Q29" i="2"/>
  <c r="Q24" i="3"/>
  <c r="N26" i="3"/>
  <c r="O25" i="3"/>
  <c r="P25" i="3"/>
  <c r="J25" i="3"/>
  <c r="K25" i="3"/>
  <c r="F26" i="3"/>
  <c r="G25" i="3"/>
  <c r="H25" i="3" s="1"/>
  <c r="I25" i="3" s="1"/>
  <c r="E97" i="2"/>
  <c r="F97" i="2" s="1"/>
  <c r="E100" i="2"/>
  <c r="E90" i="2"/>
  <c r="F90" i="2" s="1"/>
  <c r="N28" i="2"/>
  <c r="J28" i="2"/>
  <c r="K28" i="2" s="1"/>
  <c r="L28" i="2" s="1"/>
  <c r="I29" i="2"/>
  <c r="E89" i="2"/>
  <c r="E92" i="2"/>
  <c r="E99" i="2"/>
  <c r="F99" i="2" s="1"/>
  <c r="E96" i="2"/>
  <c r="F96" i="2" s="1"/>
  <c r="E91" i="2"/>
  <c r="E94" i="2"/>
  <c r="F94" i="2" s="1"/>
  <c r="E93" i="2"/>
  <c r="F93" i="2" s="1"/>
  <c r="E95" i="2"/>
  <c r="F95" i="2" s="1"/>
  <c r="S29" i="2" l="1"/>
  <c r="T29" i="2" s="1"/>
  <c r="Q30" i="2"/>
  <c r="Q25" i="3"/>
  <c r="K26" i="3"/>
  <c r="J26" i="3"/>
  <c r="G26" i="3"/>
  <c r="H26" i="3" s="1"/>
  <c r="I26" i="3" s="1"/>
  <c r="F27" i="3"/>
  <c r="N27" i="3"/>
  <c r="P26" i="3"/>
  <c r="O26" i="3"/>
  <c r="E109" i="2"/>
  <c r="E101" i="2"/>
  <c r="F101" i="2" s="1"/>
  <c r="E106" i="2"/>
  <c r="E102" i="2"/>
  <c r="E108" i="2"/>
  <c r="F108" i="2" s="1"/>
  <c r="E103" i="2"/>
  <c r="F103" i="2" s="1"/>
  <c r="E104" i="2"/>
  <c r="E107" i="2"/>
  <c r="F107" i="2" s="1"/>
  <c r="F100" i="2"/>
  <c r="E112" i="2" s="1"/>
  <c r="F92" i="2"/>
  <c r="F91" i="2"/>
  <c r="I30" i="2"/>
  <c r="J29" i="2"/>
  <c r="K29" i="2" s="1"/>
  <c r="L29" i="2" s="1"/>
  <c r="N29" i="2"/>
  <c r="F89" i="2"/>
  <c r="F98" i="2"/>
  <c r="S30" i="2" l="1"/>
  <c r="T30" i="2" s="1"/>
  <c r="Q31" i="2"/>
  <c r="Q26" i="3"/>
  <c r="P27" i="3"/>
  <c r="N28" i="3"/>
  <c r="O27" i="3"/>
  <c r="G27" i="3"/>
  <c r="H27" i="3" s="1"/>
  <c r="I27" i="3" s="1"/>
  <c r="F28" i="3"/>
  <c r="K27" i="3"/>
  <c r="J27" i="3"/>
  <c r="F112" i="2"/>
  <c r="E120" i="2" s="1"/>
  <c r="F102" i="2"/>
  <c r="E105" i="2"/>
  <c r="F105" i="2" s="1"/>
  <c r="F106" i="2"/>
  <c r="I31" i="2"/>
  <c r="N30" i="2"/>
  <c r="J30" i="2"/>
  <c r="K30" i="2" s="1"/>
  <c r="L30" i="2" s="1"/>
  <c r="E111" i="2"/>
  <c r="F111" i="2" s="1"/>
  <c r="E110" i="2"/>
  <c r="F110" i="2" s="1"/>
  <c r="S31" i="2" l="1"/>
  <c r="T31" i="2" s="1"/>
  <c r="Q32" i="2"/>
  <c r="P28" i="3"/>
  <c r="N29" i="3"/>
  <c r="O28" i="3"/>
  <c r="G28" i="3"/>
  <c r="H28" i="3" s="1"/>
  <c r="I28" i="3" s="1"/>
  <c r="K28" i="3"/>
  <c r="F29" i="3"/>
  <c r="J28" i="3"/>
  <c r="Q27" i="3"/>
  <c r="F109" i="2"/>
  <c r="E114" i="2"/>
  <c r="E115" i="2"/>
  <c r="F115" i="2" s="1"/>
  <c r="E113" i="2"/>
  <c r="E119" i="2"/>
  <c r="F119" i="2" s="1"/>
  <c r="E121" i="2"/>
  <c r="F121" i="2" s="1"/>
  <c r="N31" i="2"/>
  <c r="J31" i="2"/>
  <c r="K31" i="2" s="1"/>
  <c r="L31" i="2" s="1"/>
  <c r="I32" i="2"/>
  <c r="F104" i="2"/>
  <c r="E118" i="2"/>
  <c r="E117" i="2"/>
  <c r="F117" i="2" s="1"/>
  <c r="E116" i="2"/>
  <c r="F116" i="2" s="1"/>
  <c r="E124" i="2"/>
  <c r="E123" i="2"/>
  <c r="F123" i="2" s="1"/>
  <c r="E122" i="2"/>
  <c r="F122" i="2" s="1"/>
  <c r="S32" i="2" l="1"/>
  <c r="T32" i="2" s="1"/>
  <c r="Q33" i="2"/>
  <c r="F30" i="3"/>
  <c r="G29" i="3"/>
  <c r="H29" i="3" s="1"/>
  <c r="I29" i="3" s="1"/>
  <c r="J29" i="3"/>
  <c r="K29" i="3"/>
  <c r="O29" i="3"/>
  <c r="P29" i="3"/>
  <c r="N30" i="3"/>
  <c r="Q28" i="3"/>
  <c r="N32" i="2"/>
  <c r="J32" i="2"/>
  <c r="K32" i="2" s="1"/>
  <c r="L32" i="2" s="1"/>
  <c r="I33" i="2"/>
  <c r="F114" i="2"/>
  <c r="F113" i="2"/>
  <c r="E127" i="2"/>
  <c r="E136" i="2"/>
  <c r="E133" i="2"/>
  <c r="E128" i="2"/>
  <c r="E125" i="2"/>
  <c r="E130" i="2"/>
  <c r="F124" i="2"/>
  <c r="E135" i="2" s="1"/>
  <c r="F135" i="2" s="1"/>
  <c r="F118" i="2"/>
  <c r="F120" i="2"/>
  <c r="S33" i="2" l="1"/>
  <c r="T33" i="2" s="1"/>
  <c r="Q34" i="2"/>
  <c r="Q29" i="3"/>
  <c r="F31" i="3"/>
  <c r="G30" i="3"/>
  <c r="H30" i="3" s="1"/>
  <c r="I30" i="3" s="1"/>
  <c r="J30" i="3"/>
  <c r="K30" i="3"/>
  <c r="O30" i="3"/>
  <c r="N31" i="3"/>
  <c r="P30" i="3"/>
  <c r="E142" i="2"/>
  <c r="F142" i="2" s="1"/>
  <c r="E138" i="2"/>
  <c r="F138" i="2" s="1"/>
  <c r="E148" i="2"/>
  <c r="E143" i="2"/>
  <c r="F136" i="2"/>
  <c r="E147" i="2" s="1"/>
  <c r="F147" i="2" s="1"/>
  <c r="E145" i="2"/>
  <c r="E140" i="2"/>
  <c r="E139" i="2"/>
  <c r="F125" i="2"/>
  <c r="E129" i="2"/>
  <c r="F129" i="2" s="1"/>
  <c r="E126" i="2"/>
  <c r="F126" i="2" s="1"/>
  <c r="E131" i="2"/>
  <c r="F131" i="2" s="1"/>
  <c r="F127" i="2"/>
  <c r="E134" i="2"/>
  <c r="F134" i="2" s="1"/>
  <c r="E132" i="2"/>
  <c r="F132" i="2" s="1"/>
  <c r="I34" i="2"/>
  <c r="N33" i="2"/>
  <c r="J33" i="2"/>
  <c r="K33" i="2" s="1"/>
  <c r="L33" i="2" s="1"/>
  <c r="S34" i="2" l="1"/>
  <c r="T34" i="2" s="1"/>
  <c r="Q35" i="2"/>
  <c r="O31" i="3"/>
  <c r="N32" i="3"/>
  <c r="P31" i="3"/>
  <c r="Q30" i="3"/>
  <c r="K31" i="3"/>
  <c r="G31" i="3"/>
  <c r="H31" i="3" s="1"/>
  <c r="I31" i="3" s="1"/>
  <c r="F32" i="3"/>
  <c r="J31" i="3"/>
  <c r="I35" i="2"/>
  <c r="J34" i="2"/>
  <c r="K34" i="2" s="1"/>
  <c r="L34" i="2" s="1"/>
  <c r="N34" i="2"/>
  <c r="F139" i="2"/>
  <c r="E141" i="2"/>
  <c r="F141" i="2" s="1"/>
  <c r="E146" i="2"/>
  <c r="F146" i="2" s="1"/>
  <c r="E157" i="2"/>
  <c r="E153" i="2"/>
  <c r="F153" i="2" s="1"/>
  <c r="E149" i="2"/>
  <c r="F149" i="2" s="1"/>
  <c r="E154" i="2"/>
  <c r="F154" i="2" s="1"/>
  <c r="E150" i="2"/>
  <c r="E156" i="2"/>
  <c r="F156" i="2" s="1"/>
  <c r="F148" i="2"/>
  <c r="E160" i="2" s="1"/>
  <c r="E152" i="2"/>
  <c r="E159" i="2"/>
  <c r="E151" i="2"/>
  <c r="F151" i="2" s="1"/>
  <c r="E155" i="2"/>
  <c r="E144" i="2"/>
  <c r="F144" i="2" s="1"/>
  <c r="E137" i="2"/>
  <c r="F137" i="2" s="1"/>
  <c r="F128" i="2"/>
  <c r="F133" i="2"/>
  <c r="F140" i="2"/>
  <c r="F130" i="2"/>
  <c r="S35" i="2" l="1"/>
  <c r="T35" i="2" s="1"/>
  <c r="Q36" i="2"/>
  <c r="Q31" i="3"/>
  <c r="J32" i="3"/>
  <c r="K32" i="3"/>
  <c r="F33" i="3"/>
  <c r="G32" i="3"/>
  <c r="H32" i="3" s="1"/>
  <c r="I32" i="3" s="1"/>
  <c r="P32" i="3"/>
  <c r="N33" i="3"/>
  <c r="O32" i="3"/>
  <c r="E169" i="2"/>
  <c r="E170" i="2"/>
  <c r="F160" i="2"/>
  <c r="E168" i="2" s="1"/>
  <c r="F168" i="2" s="1"/>
  <c r="E163" i="2"/>
  <c r="F152" i="2"/>
  <c r="F145" i="2"/>
  <c r="N35" i="2"/>
  <c r="J35" i="2"/>
  <c r="K35" i="2" s="1"/>
  <c r="L35" i="2" s="1"/>
  <c r="I36" i="2"/>
  <c r="F159" i="2"/>
  <c r="F150" i="2"/>
  <c r="F143" i="2"/>
  <c r="F155" i="2"/>
  <c r="E158" i="2"/>
  <c r="F158" i="2" s="1"/>
  <c r="S36" i="2" l="1"/>
  <c r="T36" i="2" s="1"/>
  <c r="Q37" i="2"/>
  <c r="N34" i="3"/>
  <c r="O33" i="3"/>
  <c r="P33" i="3"/>
  <c r="F34" i="3"/>
  <c r="J33" i="3"/>
  <c r="K33" i="3"/>
  <c r="G33" i="3"/>
  <c r="H33" i="3" s="1"/>
  <c r="I33" i="3" s="1"/>
  <c r="Q32" i="3"/>
  <c r="N36" i="2"/>
  <c r="J36" i="2"/>
  <c r="K36" i="2" s="1"/>
  <c r="L36" i="2" s="1"/>
  <c r="I37" i="2"/>
  <c r="E166" i="2"/>
  <c r="F166" i="2" s="1"/>
  <c r="E172" i="2"/>
  <c r="F163" i="2"/>
  <c r="F170" i="2"/>
  <c r="F169" i="2"/>
  <c r="F157" i="2"/>
  <c r="E167" i="2"/>
  <c r="F167" i="2" s="1"/>
  <c r="E161" i="2"/>
  <c r="F161" i="2" s="1"/>
  <c r="E164" i="2"/>
  <c r="E171" i="2"/>
  <c r="F171" i="2" s="1"/>
  <c r="E162" i="2"/>
  <c r="F162" i="2" s="1"/>
  <c r="E165" i="2"/>
  <c r="F165" i="2" s="1"/>
  <c r="S37" i="2" l="1"/>
  <c r="T37" i="2" s="1"/>
  <c r="Q38" i="2"/>
  <c r="Q33" i="3"/>
  <c r="G34" i="3"/>
  <c r="H34" i="3" s="1"/>
  <c r="I34" i="3" s="1"/>
  <c r="F35" i="3"/>
  <c r="J34" i="3"/>
  <c r="K34" i="3"/>
  <c r="N35" i="3"/>
  <c r="P34" i="3"/>
  <c r="O34" i="3"/>
  <c r="I38" i="2"/>
  <c r="J37" i="2"/>
  <c r="K37" i="2" s="1"/>
  <c r="L37" i="2" s="1"/>
  <c r="N37" i="2"/>
  <c r="F164" i="2"/>
  <c r="E175" i="2"/>
  <c r="E177" i="2"/>
  <c r="E182" i="2"/>
  <c r="F172" i="2"/>
  <c r="E179" i="2" s="1"/>
  <c r="S38" i="2" l="1"/>
  <c r="T38" i="2" s="1"/>
  <c r="Q39" i="2"/>
  <c r="Q34" i="3"/>
  <c r="O35" i="3"/>
  <c r="N36" i="3"/>
  <c r="P35" i="3"/>
  <c r="K35" i="3"/>
  <c r="F36" i="3"/>
  <c r="G35" i="3"/>
  <c r="H35" i="3" s="1"/>
  <c r="I35" i="3" s="1"/>
  <c r="J35" i="3"/>
  <c r="E178" i="2"/>
  <c r="F178" i="2" s="1"/>
  <c r="E176" i="2"/>
  <c r="F176" i="2" s="1"/>
  <c r="E183" i="2"/>
  <c r="F182" i="2" s="1"/>
  <c r="E174" i="2"/>
  <c r="F174" i="2" s="1"/>
  <c r="E181" i="2"/>
  <c r="F181" i="2" s="1"/>
  <c r="E180" i="2"/>
  <c r="I39" i="2"/>
  <c r="N38" i="2"/>
  <c r="J38" i="2"/>
  <c r="K38" i="2" s="1"/>
  <c r="L38" i="2" s="1"/>
  <c r="F175" i="2"/>
  <c r="E173" i="2"/>
  <c r="F173" i="2" s="1"/>
  <c r="E184" i="2"/>
  <c r="S39" i="2" l="1"/>
  <c r="T39" i="2" s="1"/>
  <c r="Q40" i="2"/>
  <c r="O36" i="3"/>
  <c r="N37" i="3"/>
  <c r="P36" i="3"/>
  <c r="J36" i="3"/>
  <c r="G36" i="3"/>
  <c r="H36" i="3" s="1"/>
  <c r="I36" i="3" s="1"/>
  <c r="F37" i="3"/>
  <c r="K36" i="3"/>
  <c r="Q35" i="3"/>
  <c r="N39" i="2"/>
  <c r="J39" i="2"/>
  <c r="K39" i="2" s="1"/>
  <c r="L39" i="2" s="1"/>
  <c r="I40" i="2"/>
  <c r="F177" i="2"/>
  <c r="E190" i="2"/>
  <c r="E195" i="2"/>
  <c r="E187" i="2"/>
  <c r="E185" i="2"/>
  <c r="E196" i="2"/>
  <c r="E192" i="2"/>
  <c r="F184" i="2"/>
  <c r="E186" i="2" s="1"/>
  <c r="F186" i="2" s="1"/>
  <c r="F180" i="2"/>
  <c r="F183" i="2"/>
  <c r="F179" i="2"/>
  <c r="S40" i="2" l="1"/>
  <c r="T40" i="2" s="1"/>
  <c r="Q41" i="2"/>
  <c r="Q36" i="3"/>
  <c r="J37" i="3"/>
  <c r="F38" i="3"/>
  <c r="G37" i="3"/>
  <c r="H37" i="3" s="1"/>
  <c r="I37" i="3" s="1"/>
  <c r="K37" i="3"/>
  <c r="O37" i="3"/>
  <c r="P37" i="3"/>
  <c r="N38" i="3"/>
  <c r="I41" i="2"/>
  <c r="N40" i="2"/>
  <c r="J40" i="2"/>
  <c r="K40" i="2" s="1"/>
  <c r="L40" i="2" s="1"/>
  <c r="E189" i="2"/>
  <c r="F189" i="2" s="1"/>
  <c r="E191" i="2"/>
  <c r="F191" i="2" s="1"/>
  <c r="E194" i="2"/>
  <c r="F194" i="2" s="1"/>
  <c r="F196" i="2"/>
  <c r="E205" i="2" s="1"/>
  <c r="E203" i="2"/>
  <c r="F190" i="2"/>
  <c r="F185" i="2"/>
  <c r="F195" i="2"/>
  <c r="E188" i="2"/>
  <c r="F188" i="2" s="1"/>
  <c r="E193" i="2"/>
  <c r="F193" i="2" s="1"/>
  <c r="S41" i="2" l="1"/>
  <c r="T41" i="2" s="1"/>
  <c r="Q42" i="2"/>
  <c r="Q37" i="3"/>
  <c r="G38" i="3"/>
  <c r="H38" i="3" s="1"/>
  <c r="I38" i="3" s="1"/>
  <c r="F39" i="3"/>
  <c r="J38" i="3"/>
  <c r="K38" i="3"/>
  <c r="N39" i="3"/>
  <c r="P38" i="3"/>
  <c r="O38" i="3"/>
  <c r="E206" i="2"/>
  <c r="F192" i="2"/>
  <c r="E199" i="2"/>
  <c r="E204" i="2"/>
  <c r="F204" i="2" s="1"/>
  <c r="E197" i="2"/>
  <c r="E207" i="2"/>
  <c r="F207" i="2" s="1"/>
  <c r="E198" i="2"/>
  <c r="F198" i="2" s="1"/>
  <c r="E201" i="2"/>
  <c r="F201" i="2" s="1"/>
  <c r="E208" i="2"/>
  <c r="F187" i="2"/>
  <c r="E200" i="2"/>
  <c r="E202" i="2"/>
  <c r="F202" i="2" s="1"/>
  <c r="I42" i="2"/>
  <c r="N41" i="2"/>
  <c r="J41" i="2"/>
  <c r="K41" i="2" s="1"/>
  <c r="L41" i="2" s="1"/>
  <c r="S42" i="2" l="1"/>
  <c r="T42" i="2" s="1"/>
  <c r="Q43" i="2"/>
  <c r="Q38" i="3"/>
  <c r="P39" i="3"/>
  <c r="N40" i="3"/>
  <c r="O39" i="3"/>
  <c r="G39" i="3"/>
  <c r="H39" i="3" s="1"/>
  <c r="I39" i="3" s="1"/>
  <c r="K39" i="3"/>
  <c r="F40" i="3"/>
  <c r="J39" i="3"/>
  <c r="N42" i="2"/>
  <c r="J42" i="2"/>
  <c r="K42" i="2" s="1"/>
  <c r="L42" i="2" s="1"/>
  <c r="I43" i="2"/>
  <c r="F197" i="2"/>
  <c r="F206" i="2"/>
  <c r="F203" i="2"/>
  <c r="F200" i="2"/>
  <c r="E212" i="2"/>
  <c r="E220" i="2"/>
  <c r="E217" i="2"/>
  <c r="F217" i="2" s="1"/>
  <c r="E209" i="2"/>
  <c r="E214" i="2"/>
  <c r="E215" i="2"/>
  <c r="F208" i="2"/>
  <c r="E216" i="2" s="1"/>
  <c r="F216" i="2" s="1"/>
  <c r="E218" i="2"/>
  <c r="F218" i="2" s="1"/>
  <c r="E210" i="2"/>
  <c r="E211" i="2"/>
  <c r="F211" i="2" s="1"/>
  <c r="E219" i="2"/>
  <c r="F199" i="2"/>
  <c r="F205" i="2"/>
  <c r="S43" i="2" l="1"/>
  <c r="T43" i="2" s="1"/>
  <c r="Q44" i="2"/>
  <c r="F41" i="3"/>
  <c r="K40" i="3"/>
  <c r="J40" i="3"/>
  <c r="G40" i="3"/>
  <c r="H40" i="3" s="1"/>
  <c r="I40" i="3" s="1"/>
  <c r="P40" i="3"/>
  <c r="O40" i="3"/>
  <c r="N41" i="3"/>
  <c r="Q39" i="3"/>
  <c r="F215" i="2"/>
  <c r="N43" i="2"/>
  <c r="J43" i="2"/>
  <c r="K43" i="2" s="1"/>
  <c r="L43" i="2" s="1"/>
  <c r="I44" i="2"/>
  <c r="F210" i="2"/>
  <c r="F214" i="2"/>
  <c r="F220" i="2"/>
  <c r="E227" i="2" s="1"/>
  <c r="F209" i="2"/>
  <c r="F212" i="2"/>
  <c r="F219" i="2"/>
  <c r="E213" i="2"/>
  <c r="F213" i="2" s="1"/>
  <c r="S44" i="2" l="1"/>
  <c r="T44" i="2" s="1"/>
  <c r="Q45" i="2"/>
  <c r="Q40" i="3"/>
  <c r="K41" i="3"/>
  <c r="J41" i="3"/>
  <c r="F42" i="3"/>
  <c r="G41" i="3"/>
  <c r="H41" i="3" s="1"/>
  <c r="I41" i="3" s="1"/>
  <c r="N42" i="3"/>
  <c r="P41" i="3"/>
  <c r="O41" i="3"/>
  <c r="E229" i="2"/>
  <c r="E231" i="2"/>
  <c r="E222" i="2"/>
  <c r="E226" i="2"/>
  <c r="F226" i="2" s="1"/>
  <c r="E228" i="2"/>
  <c r="F228" i="2" s="1"/>
  <c r="I45" i="2"/>
  <c r="J44" i="2"/>
  <c r="K44" i="2" s="1"/>
  <c r="L44" i="2" s="1"/>
  <c r="N44" i="2"/>
  <c r="E224" i="2"/>
  <c r="F224" i="2" s="1"/>
  <c r="E230" i="2"/>
  <c r="F230" i="2" s="1"/>
  <c r="E225" i="2"/>
  <c r="E223" i="2"/>
  <c r="F223" i="2" s="1"/>
  <c r="E221" i="2"/>
  <c r="F221" i="2" s="1"/>
  <c r="E232" i="2"/>
  <c r="S45" i="2" l="1"/>
  <c r="T45" i="2" s="1"/>
  <c r="Q46" i="2"/>
  <c r="Q41" i="3"/>
  <c r="P42" i="3"/>
  <c r="N43" i="3"/>
  <c r="O42" i="3"/>
  <c r="J42" i="3"/>
  <c r="G42" i="3"/>
  <c r="H42" i="3" s="1"/>
  <c r="I42" i="3" s="1"/>
  <c r="K42" i="3"/>
  <c r="F43" i="3"/>
  <c r="F222" i="2"/>
  <c r="F231" i="2"/>
  <c r="I46" i="2"/>
  <c r="J45" i="2"/>
  <c r="K45" i="2" s="1"/>
  <c r="L45" i="2" s="1"/>
  <c r="N45" i="2"/>
  <c r="F229" i="2"/>
  <c r="F225" i="2"/>
  <c r="E238" i="2"/>
  <c r="E234" i="2"/>
  <c r="F234" i="2" s="1"/>
  <c r="E243" i="2"/>
  <c r="E235" i="2"/>
  <c r="E241" i="2"/>
  <c r="E233" i="2"/>
  <c r="F233" i="2" s="1"/>
  <c r="E236" i="2"/>
  <c r="E237" i="2"/>
  <c r="F237" i="2" s="1"/>
  <c r="E240" i="2"/>
  <c r="F240" i="2" s="1"/>
  <c r="F232" i="2"/>
  <c r="E242" i="2" s="1"/>
  <c r="F242" i="2" s="1"/>
  <c r="F227" i="2"/>
  <c r="S46" i="2" l="1"/>
  <c r="T46" i="2" s="1"/>
  <c r="Q47" i="2"/>
  <c r="K43" i="3"/>
  <c r="G43" i="3"/>
  <c r="H43" i="3" s="1"/>
  <c r="I43" i="3" s="1"/>
  <c r="J43" i="3"/>
  <c r="F44" i="3"/>
  <c r="P43" i="3"/>
  <c r="N44" i="3"/>
  <c r="O43" i="3"/>
  <c r="Q42" i="3"/>
  <c r="F241" i="2"/>
  <c r="N46" i="2"/>
  <c r="J46" i="2"/>
  <c r="K46" i="2" s="1"/>
  <c r="L46" i="2" s="1"/>
  <c r="I47" i="2"/>
  <c r="F236" i="2"/>
  <c r="F235" i="2"/>
  <c r="F238" i="2"/>
  <c r="E244" i="2"/>
  <c r="F243" i="2" s="1"/>
  <c r="E239" i="2"/>
  <c r="F239" i="2" s="1"/>
  <c r="S47" i="2" l="1"/>
  <c r="T47" i="2" s="1"/>
  <c r="Q48" i="2"/>
  <c r="P44" i="3"/>
  <c r="O44" i="3"/>
  <c r="N45" i="3"/>
  <c r="Q43" i="3"/>
  <c r="F45" i="3"/>
  <c r="J44" i="3"/>
  <c r="K44" i="3"/>
  <c r="G44" i="3"/>
  <c r="H44" i="3" s="1"/>
  <c r="I44" i="3" s="1"/>
  <c r="N47" i="2"/>
  <c r="J47" i="2"/>
  <c r="K47" i="2" s="1"/>
  <c r="L47" i="2" s="1"/>
  <c r="I48" i="2"/>
  <c r="E253" i="2"/>
  <c r="E249" i="2"/>
  <c r="F249" i="2" s="1"/>
  <c r="E245" i="2"/>
  <c r="F245" i="2" s="1"/>
  <c r="E250" i="2"/>
  <c r="F250" i="2" s="1"/>
  <c r="E246" i="2"/>
  <c r="F246" i="2" s="1"/>
  <c r="E252" i="2"/>
  <c r="F252" i="2" s="1"/>
  <c r="F244" i="2"/>
  <c r="E256" i="2" s="1"/>
  <c r="E255" i="2"/>
  <c r="E247" i="2"/>
  <c r="E248" i="2"/>
  <c r="F248" i="2" s="1"/>
  <c r="E251" i="2"/>
  <c r="S48" i="2" l="1"/>
  <c r="T48" i="2" s="1"/>
  <c r="Q49" i="2"/>
  <c r="O45" i="3"/>
  <c r="P45" i="3"/>
  <c r="N46" i="3"/>
  <c r="G45" i="3"/>
  <c r="H45" i="3" s="1"/>
  <c r="I45" i="3" s="1"/>
  <c r="F46" i="3"/>
  <c r="K45" i="3"/>
  <c r="J45" i="3"/>
  <c r="Q44" i="3"/>
  <c r="E265" i="2"/>
  <c r="E266" i="2"/>
  <c r="F256" i="2"/>
  <c r="E264" i="2" s="1"/>
  <c r="F264" i="2" s="1"/>
  <c r="E259" i="2"/>
  <c r="F255" i="2"/>
  <c r="F247" i="2"/>
  <c r="I49" i="2"/>
  <c r="N48" i="2"/>
  <c r="J48" i="2"/>
  <c r="K48" i="2" s="1"/>
  <c r="L48" i="2" s="1"/>
  <c r="F251" i="2"/>
  <c r="E254" i="2"/>
  <c r="F254" i="2" s="1"/>
  <c r="S49" i="2" l="1"/>
  <c r="T49" i="2" s="1"/>
  <c r="Q50" i="2"/>
  <c r="Q45" i="3"/>
  <c r="N47" i="3"/>
  <c r="P46" i="3"/>
  <c r="O46" i="3"/>
  <c r="J46" i="3"/>
  <c r="G46" i="3"/>
  <c r="H46" i="3" s="1"/>
  <c r="I46" i="3" s="1"/>
  <c r="F47" i="3"/>
  <c r="K46" i="3"/>
  <c r="F253" i="2"/>
  <c r="F265" i="2"/>
  <c r="E258" i="2"/>
  <c r="F258" i="2" s="1"/>
  <c r="E262" i="2"/>
  <c r="E268" i="2"/>
  <c r="E257" i="2"/>
  <c r="F257" i="2" s="1"/>
  <c r="E260" i="2"/>
  <c r="I50" i="2"/>
  <c r="N49" i="2"/>
  <c r="J49" i="2"/>
  <c r="K49" i="2" s="1"/>
  <c r="L49" i="2" s="1"/>
  <c r="E267" i="2"/>
  <c r="E263" i="2"/>
  <c r="F263" i="2" s="1"/>
  <c r="E261" i="2"/>
  <c r="F261" i="2" s="1"/>
  <c r="S50" i="2" l="1"/>
  <c r="T50" i="2" s="1"/>
  <c r="Q51" i="2"/>
  <c r="K47" i="3"/>
  <c r="F48" i="3"/>
  <c r="G47" i="3"/>
  <c r="H47" i="3" s="1"/>
  <c r="I47" i="3" s="1"/>
  <c r="J47" i="3"/>
  <c r="Q46" i="3"/>
  <c r="N48" i="3"/>
  <c r="O47" i="3"/>
  <c r="P47" i="3"/>
  <c r="F260" i="2"/>
  <c r="E275" i="2"/>
  <c r="F275" i="2" s="1"/>
  <c r="E271" i="2"/>
  <c r="E276" i="2"/>
  <c r="E280" i="2"/>
  <c r="E273" i="2"/>
  <c r="F273" i="2" s="1"/>
  <c r="E274" i="2"/>
  <c r="E269" i="2"/>
  <c r="F269" i="2" s="1"/>
  <c r="E278" i="2"/>
  <c r="E270" i="2"/>
  <c r="F268" i="2"/>
  <c r="E279" i="2" s="1"/>
  <c r="F279" i="2" s="1"/>
  <c r="F267" i="2"/>
  <c r="F262" i="2"/>
  <c r="F266" i="2"/>
  <c r="N50" i="2"/>
  <c r="J50" i="2"/>
  <c r="K50" i="2" s="1"/>
  <c r="L50" i="2" s="1"/>
  <c r="I51" i="2"/>
  <c r="F259" i="2"/>
  <c r="S51" i="2" l="1"/>
  <c r="T51" i="2" s="1"/>
  <c r="Q52" i="2"/>
  <c r="Q47" i="3"/>
  <c r="N49" i="3"/>
  <c r="P48" i="3"/>
  <c r="O48" i="3"/>
  <c r="G48" i="3"/>
  <c r="H48" i="3" s="1"/>
  <c r="I48" i="3" s="1"/>
  <c r="K48" i="3"/>
  <c r="J48" i="3"/>
  <c r="F49" i="3"/>
  <c r="E286" i="2"/>
  <c r="E282" i="2"/>
  <c r="F282" i="2" s="1"/>
  <c r="E291" i="2"/>
  <c r="F291" i="2" s="1"/>
  <c r="E283" i="2"/>
  <c r="E289" i="2"/>
  <c r="E281" i="2"/>
  <c r="F281" i="2" s="1"/>
  <c r="E292" i="2"/>
  <c r="E284" i="2"/>
  <c r="E288" i="2"/>
  <c r="F288" i="2" s="1"/>
  <c r="F280" i="2"/>
  <c r="E290" i="2" s="1"/>
  <c r="F290" i="2" s="1"/>
  <c r="E277" i="2"/>
  <c r="F277" i="2" s="1"/>
  <c r="E272" i="2"/>
  <c r="F272" i="2" s="1"/>
  <c r="F278" i="2"/>
  <c r="F271" i="2"/>
  <c r="I52" i="2"/>
  <c r="N51" i="2"/>
  <c r="J51" i="2"/>
  <c r="K51" i="2" s="1"/>
  <c r="L51" i="2" s="1"/>
  <c r="F270" i="2"/>
  <c r="F274" i="2"/>
  <c r="F276" i="2"/>
  <c r="S52" i="2" l="1"/>
  <c r="T52" i="2" s="1"/>
  <c r="Q53" i="2"/>
  <c r="Q48" i="3"/>
  <c r="G49" i="3"/>
  <c r="H49" i="3" s="1"/>
  <c r="I49" i="3" s="1"/>
  <c r="K49" i="3"/>
  <c r="F50" i="3"/>
  <c r="J49" i="3"/>
  <c r="N50" i="3"/>
  <c r="O49" i="3"/>
  <c r="P49" i="3"/>
  <c r="E293" i="2"/>
  <c r="E295" i="2"/>
  <c r="F292" i="2"/>
  <c r="E304" i="2" s="1"/>
  <c r="E303" i="2"/>
  <c r="E300" i="2"/>
  <c r="F283" i="2"/>
  <c r="I53" i="2"/>
  <c r="J52" i="2"/>
  <c r="K52" i="2" s="1"/>
  <c r="L52" i="2" s="1"/>
  <c r="N52" i="2"/>
  <c r="F289" i="2"/>
  <c r="E285" i="2"/>
  <c r="F285" i="2" s="1"/>
  <c r="E287" i="2"/>
  <c r="F287" i="2" s="1"/>
  <c r="S53" i="2" l="1"/>
  <c r="T53" i="2" s="1"/>
  <c r="Q54" i="2"/>
  <c r="N51" i="3"/>
  <c r="P50" i="3"/>
  <c r="O50" i="3"/>
  <c r="Q49" i="3"/>
  <c r="G50" i="3"/>
  <c r="H50" i="3" s="1"/>
  <c r="I50" i="3" s="1"/>
  <c r="J50" i="3"/>
  <c r="F51" i="3"/>
  <c r="K50" i="3"/>
  <c r="E313" i="2"/>
  <c r="E307" i="2"/>
  <c r="F304" i="2"/>
  <c r="E312" i="2" s="1"/>
  <c r="F312" i="2" s="1"/>
  <c r="E306" i="2"/>
  <c r="F306" i="2" s="1"/>
  <c r="F303" i="2"/>
  <c r="F286" i="2"/>
  <c r="E296" i="2"/>
  <c r="E294" i="2"/>
  <c r="F294" i="2" s="1"/>
  <c r="E297" i="2"/>
  <c r="F284" i="2"/>
  <c r="E299" i="2"/>
  <c r="F299" i="2" s="1"/>
  <c r="E298" i="2"/>
  <c r="F298" i="2" s="1"/>
  <c r="E301" i="2"/>
  <c r="F301" i="2" s="1"/>
  <c r="F295" i="2"/>
  <c r="N53" i="2"/>
  <c r="J53" i="2"/>
  <c r="K53" i="2" s="1"/>
  <c r="L53" i="2" s="1"/>
  <c r="I54" i="2"/>
  <c r="E302" i="2"/>
  <c r="F302" i="2" s="1"/>
  <c r="S54" i="2" l="1"/>
  <c r="T54" i="2" s="1"/>
  <c r="Q55" i="2"/>
  <c r="J51" i="3"/>
  <c r="K51" i="3"/>
  <c r="F52" i="3"/>
  <c r="G51" i="3"/>
  <c r="H51" i="3" s="1"/>
  <c r="I51" i="3" s="1"/>
  <c r="Q50" i="3"/>
  <c r="O51" i="3"/>
  <c r="N52" i="3"/>
  <c r="P51" i="3"/>
  <c r="N54" i="2"/>
  <c r="J54" i="2"/>
  <c r="K54" i="2" s="1"/>
  <c r="L54" i="2" s="1"/>
  <c r="I55" i="2"/>
  <c r="F297" i="2"/>
  <c r="E315" i="2"/>
  <c r="F315" i="2" s="1"/>
  <c r="E316" i="2"/>
  <c r="F300" i="2"/>
  <c r="E310" i="2"/>
  <c r="F310" i="2" s="1"/>
  <c r="E305" i="2"/>
  <c r="F305" i="2" s="1"/>
  <c r="E308" i="2"/>
  <c r="F293" i="2"/>
  <c r="F296" i="2"/>
  <c r="E314" i="2"/>
  <c r="F314" i="2" s="1"/>
  <c r="E311" i="2"/>
  <c r="F311" i="2" s="1"/>
  <c r="E309" i="2"/>
  <c r="S55" i="2" l="1"/>
  <c r="T55" i="2" s="1"/>
  <c r="Q56" i="2"/>
  <c r="J52" i="3"/>
  <c r="G52" i="3"/>
  <c r="H52" i="3" s="1"/>
  <c r="I52" i="3" s="1"/>
  <c r="F53" i="3"/>
  <c r="K52" i="3"/>
  <c r="Q51" i="3"/>
  <c r="O52" i="3"/>
  <c r="N53" i="3"/>
  <c r="P52" i="3"/>
  <c r="I56" i="2"/>
  <c r="J55" i="2"/>
  <c r="K55" i="2" s="1"/>
  <c r="L55" i="2" s="1"/>
  <c r="N55" i="2"/>
  <c r="F309" i="2"/>
  <c r="F313" i="2"/>
  <c r="F308" i="2"/>
  <c r="E323" i="2"/>
  <c r="E326" i="2"/>
  <c r="E321" i="2"/>
  <c r="F316" i="2"/>
  <c r="E319" i="2" s="1"/>
  <c r="F307" i="2"/>
  <c r="S56" i="2" l="1"/>
  <c r="T56" i="2" s="1"/>
  <c r="Q57" i="2"/>
  <c r="K53" i="3"/>
  <c r="G53" i="3"/>
  <c r="H53" i="3" s="1"/>
  <c r="I53" i="3" s="1"/>
  <c r="J53" i="3"/>
  <c r="F54" i="3"/>
  <c r="O53" i="3"/>
  <c r="P53" i="3"/>
  <c r="N54" i="3"/>
  <c r="Q52" i="3"/>
  <c r="F323" i="2"/>
  <c r="E328" i="2"/>
  <c r="E320" i="2"/>
  <c r="F320" i="2" s="1"/>
  <c r="E327" i="2"/>
  <c r="E325" i="2"/>
  <c r="F325" i="2" s="1"/>
  <c r="E317" i="2"/>
  <c r="E324" i="2"/>
  <c r="E322" i="2"/>
  <c r="F322" i="2" s="1"/>
  <c r="E318" i="2"/>
  <c r="F318" i="2" s="1"/>
  <c r="I57" i="2"/>
  <c r="N56" i="2"/>
  <c r="J56" i="2"/>
  <c r="K56" i="2" s="1"/>
  <c r="L56" i="2" s="1"/>
  <c r="S57" i="2" l="1"/>
  <c r="T57" i="2" s="1"/>
  <c r="Q58" i="2"/>
  <c r="Q53" i="3"/>
  <c r="O54" i="3"/>
  <c r="P54" i="3"/>
  <c r="N55" i="3"/>
  <c r="G54" i="3"/>
  <c r="H54" i="3" s="1"/>
  <c r="I54" i="3" s="1"/>
  <c r="J54" i="3"/>
  <c r="F55" i="3"/>
  <c r="K54" i="3"/>
  <c r="F327" i="2"/>
  <c r="F326" i="2"/>
  <c r="F317" i="2"/>
  <c r="E339" i="2"/>
  <c r="E340" i="2"/>
  <c r="E333" i="2"/>
  <c r="F328" i="2"/>
  <c r="E338" i="2" s="1"/>
  <c r="F338" i="2" s="1"/>
  <c r="N57" i="2"/>
  <c r="J57" i="2"/>
  <c r="K57" i="2" s="1"/>
  <c r="L57" i="2" s="1"/>
  <c r="I58" i="2"/>
  <c r="F324" i="2"/>
  <c r="F321" i="2"/>
  <c r="F319" i="2"/>
  <c r="S58" i="2" l="1"/>
  <c r="T58" i="2" s="1"/>
  <c r="Q59" i="2"/>
  <c r="Q54" i="3"/>
  <c r="J55" i="3"/>
  <c r="K55" i="3"/>
  <c r="G55" i="3"/>
  <c r="H55" i="3" s="1"/>
  <c r="I55" i="3" s="1"/>
  <c r="F56" i="3"/>
  <c r="O55" i="3"/>
  <c r="N56" i="3"/>
  <c r="P55" i="3"/>
  <c r="E349" i="2"/>
  <c r="E345" i="2"/>
  <c r="F345" i="2" s="1"/>
  <c r="E341" i="2"/>
  <c r="F341" i="2" s="1"/>
  <c r="E346" i="2"/>
  <c r="E342" i="2"/>
  <c r="E343" i="2"/>
  <c r="F343" i="2" s="1"/>
  <c r="F340" i="2"/>
  <c r="E352" i="2" s="1"/>
  <c r="E347" i="2"/>
  <c r="F347" i="2" s="1"/>
  <c r="E344" i="2"/>
  <c r="F344" i="2" s="1"/>
  <c r="E351" i="2"/>
  <c r="E348" i="2"/>
  <c r="F339" i="2"/>
  <c r="E332" i="2"/>
  <c r="F332" i="2" s="1"/>
  <c r="E336" i="2"/>
  <c r="F336" i="2" s="1"/>
  <c r="E330" i="2"/>
  <c r="N58" i="2"/>
  <c r="J58" i="2"/>
  <c r="K58" i="2" s="1"/>
  <c r="L58" i="2" s="1"/>
  <c r="I59" i="2"/>
  <c r="E329" i="2"/>
  <c r="F329" i="2" s="1"/>
  <c r="E331" i="2"/>
  <c r="F331" i="2" s="1"/>
  <c r="E334" i="2"/>
  <c r="E337" i="2"/>
  <c r="F337" i="2" s="1"/>
  <c r="E335" i="2"/>
  <c r="F335" i="2" s="1"/>
  <c r="S59" i="2" l="1"/>
  <c r="T59" i="2" s="1"/>
  <c r="Q60" i="2"/>
  <c r="Q55" i="3"/>
  <c r="N57" i="3"/>
  <c r="O56" i="3"/>
  <c r="P56" i="3"/>
  <c r="K56" i="3"/>
  <c r="F57" i="3"/>
  <c r="J56" i="3"/>
  <c r="G56" i="3"/>
  <c r="H56" i="3" s="1"/>
  <c r="I56" i="3" s="1"/>
  <c r="E356" i="2"/>
  <c r="E364" i="2"/>
  <c r="E361" i="2"/>
  <c r="F361" i="2" s="1"/>
  <c r="E353" i="2"/>
  <c r="E362" i="2"/>
  <c r="F362" i="2" s="1"/>
  <c r="E354" i="2"/>
  <c r="F354" i="2" s="1"/>
  <c r="E363" i="2"/>
  <c r="E355" i="2"/>
  <c r="F355" i="2" s="1"/>
  <c r="E359" i="2"/>
  <c r="F352" i="2"/>
  <c r="E360" i="2" s="1"/>
  <c r="F360" i="2" s="1"/>
  <c r="F346" i="2"/>
  <c r="F334" i="2"/>
  <c r="F351" i="2"/>
  <c r="F333" i="2"/>
  <c r="I60" i="2"/>
  <c r="N59" i="2"/>
  <c r="J59" i="2"/>
  <c r="K59" i="2" s="1"/>
  <c r="L59" i="2" s="1"/>
  <c r="F342" i="2"/>
  <c r="F330" i="2"/>
  <c r="F348" i="2"/>
  <c r="E350" i="2"/>
  <c r="F350" i="2" s="1"/>
  <c r="S60" i="2" l="1"/>
  <c r="T60" i="2" s="1"/>
  <c r="Q61" i="2"/>
  <c r="Q56" i="3"/>
  <c r="K57" i="3"/>
  <c r="J57" i="3"/>
  <c r="F58" i="3"/>
  <c r="G57" i="3"/>
  <c r="H57" i="3" s="1"/>
  <c r="I57" i="3" s="1"/>
  <c r="P57" i="3"/>
  <c r="O57" i="3"/>
  <c r="N58" i="3"/>
  <c r="F349" i="2"/>
  <c r="E367" i="2"/>
  <c r="E372" i="2"/>
  <c r="E369" i="2"/>
  <c r="E374" i="2"/>
  <c r="E365" i="2"/>
  <c r="E376" i="2"/>
  <c r="E370" i="2"/>
  <c r="F364" i="2"/>
  <c r="E375" i="2" s="1"/>
  <c r="F375" i="2" s="1"/>
  <c r="F363" i="2"/>
  <c r="F353" i="2"/>
  <c r="F359" i="2"/>
  <c r="I61" i="2"/>
  <c r="J60" i="2"/>
  <c r="K60" i="2" s="1"/>
  <c r="L60" i="2" s="1"/>
  <c r="N60" i="2"/>
  <c r="E358" i="2"/>
  <c r="F358" i="2" s="1"/>
  <c r="E357" i="2"/>
  <c r="F356" i="2" s="1"/>
  <c r="S61" i="2" l="1"/>
  <c r="T61" i="2" s="1"/>
  <c r="Q62" i="2"/>
  <c r="Q57" i="3"/>
  <c r="P58" i="3"/>
  <c r="O58" i="3"/>
  <c r="N59" i="3"/>
  <c r="F59" i="3"/>
  <c r="K58" i="3"/>
  <c r="J58" i="3"/>
  <c r="G58" i="3"/>
  <c r="H58" i="3" s="1"/>
  <c r="I58" i="3" s="1"/>
  <c r="F374" i="2"/>
  <c r="F372" i="2"/>
  <c r="N61" i="2"/>
  <c r="J61" i="2"/>
  <c r="K61" i="2" s="1"/>
  <c r="L61" i="2" s="1"/>
  <c r="I62" i="2"/>
  <c r="E382" i="2"/>
  <c r="E378" i="2"/>
  <c r="F378" i="2" s="1"/>
  <c r="E387" i="2"/>
  <c r="F387" i="2" s="1"/>
  <c r="E379" i="2"/>
  <c r="E381" i="2"/>
  <c r="F381" i="2" s="1"/>
  <c r="E385" i="2"/>
  <c r="E377" i="2"/>
  <c r="E388" i="2"/>
  <c r="E380" i="2"/>
  <c r="F380" i="2" s="1"/>
  <c r="F376" i="2"/>
  <c r="E386" i="2" s="1"/>
  <c r="F386" i="2" s="1"/>
  <c r="F369" i="2"/>
  <c r="F365" i="2"/>
  <c r="E373" i="2"/>
  <c r="F373" i="2" s="1"/>
  <c r="E371" i="2"/>
  <c r="F371" i="2" s="1"/>
  <c r="F357" i="2"/>
  <c r="E366" i="2"/>
  <c r="F366" i="2" s="1"/>
  <c r="E368" i="2"/>
  <c r="F368" i="2" s="1"/>
  <c r="S62" i="2" l="1"/>
  <c r="T62" i="2" s="1"/>
  <c r="Q63" i="2"/>
  <c r="O59" i="3"/>
  <c r="N60" i="3"/>
  <c r="P59" i="3"/>
  <c r="Q58" i="3"/>
  <c r="J59" i="3"/>
  <c r="G59" i="3"/>
  <c r="H59" i="3" s="1"/>
  <c r="I59" i="3" s="1"/>
  <c r="F60" i="3"/>
  <c r="K59" i="3"/>
  <c r="F370" i="2"/>
  <c r="F385" i="2"/>
  <c r="N62" i="2"/>
  <c r="J62" i="2"/>
  <c r="K62" i="2" s="1"/>
  <c r="L62" i="2" s="1"/>
  <c r="I63" i="2"/>
  <c r="F367" i="2"/>
  <c r="E398" i="2"/>
  <c r="E394" i="2"/>
  <c r="E395" i="2"/>
  <c r="E400" i="2"/>
  <c r="E392" i="2"/>
  <c r="E393" i="2"/>
  <c r="F393" i="2" s="1"/>
  <c r="E390" i="2"/>
  <c r="F390" i="2" s="1"/>
  <c r="E391" i="2"/>
  <c r="F391" i="2" s="1"/>
  <c r="F388" i="2"/>
  <c r="E399" i="2" s="1"/>
  <c r="F399" i="2" s="1"/>
  <c r="E396" i="2"/>
  <c r="E397" i="2"/>
  <c r="F397" i="2" s="1"/>
  <c r="F377" i="2"/>
  <c r="F379" i="2"/>
  <c r="E384" i="2"/>
  <c r="F384" i="2" s="1"/>
  <c r="E383" i="2"/>
  <c r="F382" i="2" s="1"/>
  <c r="S63" i="2" l="1"/>
  <c r="T63" i="2" s="1"/>
  <c r="Q64" i="2"/>
  <c r="Q59" i="3"/>
  <c r="J60" i="3"/>
  <c r="F61" i="3"/>
  <c r="G60" i="3"/>
  <c r="H60" i="3" s="1"/>
  <c r="I60" i="3" s="1"/>
  <c r="K60" i="3"/>
  <c r="N61" i="3"/>
  <c r="O60" i="3"/>
  <c r="P60" i="3"/>
  <c r="E409" i="2"/>
  <c r="E405" i="2"/>
  <c r="F405" i="2" s="1"/>
  <c r="E401" i="2"/>
  <c r="F401" i="2" s="1"/>
  <c r="E406" i="2"/>
  <c r="E402" i="2"/>
  <c r="F402" i="2" s="1"/>
  <c r="E408" i="2"/>
  <c r="F408" i="2" s="1"/>
  <c r="E403" i="2"/>
  <c r="E407" i="2"/>
  <c r="E404" i="2"/>
  <c r="F404" i="2" s="1"/>
  <c r="F400" i="2"/>
  <c r="E412" i="2" s="1"/>
  <c r="F396" i="2"/>
  <c r="E389" i="2"/>
  <c r="F389" i="2" s="1"/>
  <c r="F398" i="2"/>
  <c r="F395" i="2"/>
  <c r="F383" i="2"/>
  <c r="F392" i="2"/>
  <c r="F394" i="2"/>
  <c r="I64" i="2"/>
  <c r="J63" i="2"/>
  <c r="K63" i="2" s="1"/>
  <c r="L63" i="2" s="1"/>
  <c r="N63" i="2"/>
  <c r="S64" i="2" l="1"/>
  <c r="T64" i="2" s="1"/>
  <c r="Q65" i="2"/>
  <c r="Q60" i="3"/>
  <c r="J61" i="3"/>
  <c r="G61" i="3"/>
  <c r="H61" i="3" s="1"/>
  <c r="I61" i="3" s="1"/>
  <c r="F62" i="3"/>
  <c r="K61" i="3"/>
  <c r="P61" i="3"/>
  <c r="N62" i="3"/>
  <c r="O61" i="3"/>
  <c r="E416" i="2"/>
  <c r="E424" i="2"/>
  <c r="E421" i="2"/>
  <c r="E413" i="2"/>
  <c r="E419" i="2"/>
  <c r="E422" i="2"/>
  <c r="F422" i="2" s="1"/>
  <c r="F412" i="2"/>
  <c r="E420" i="2" s="1"/>
  <c r="F420" i="2" s="1"/>
  <c r="E423" i="2"/>
  <c r="E414" i="2"/>
  <c r="F414" i="2" s="1"/>
  <c r="E418" i="2"/>
  <c r="F418" i="2" s="1"/>
  <c r="E415" i="2"/>
  <c r="F403" i="2"/>
  <c r="F406" i="2"/>
  <c r="F409" i="2"/>
  <c r="N64" i="2"/>
  <c r="J64" i="2"/>
  <c r="K64" i="2" s="1"/>
  <c r="L64" i="2" s="1"/>
  <c r="I65" i="2"/>
  <c r="F407" i="2"/>
  <c r="E411" i="2"/>
  <c r="F411" i="2" s="1"/>
  <c r="E410" i="2"/>
  <c r="S65" i="2" l="1"/>
  <c r="T65" i="2" s="1"/>
  <c r="Q66" i="2"/>
  <c r="J62" i="3"/>
  <c r="G62" i="3"/>
  <c r="H62" i="3" s="1"/>
  <c r="I62" i="3" s="1"/>
  <c r="F63" i="3"/>
  <c r="K62" i="3"/>
  <c r="O62" i="3"/>
  <c r="P62" i="3"/>
  <c r="N63" i="3"/>
  <c r="Q61" i="3"/>
  <c r="F421" i="2"/>
  <c r="F419" i="2"/>
  <c r="E431" i="2"/>
  <c r="E436" i="2"/>
  <c r="E434" i="2"/>
  <c r="F424" i="2"/>
  <c r="E427" i="2" s="1"/>
  <c r="F413" i="2"/>
  <c r="F416" i="2"/>
  <c r="F423" i="2"/>
  <c r="F410" i="2"/>
  <c r="N65" i="2"/>
  <c r="J65" i="2"/>
  <c r="K65" i="2" s="1"/>
  <c r="L65" i="2" s="1"/>
  <c r="I66" i="2"/>
  <c r="F415" i="2"/>
  <c r="E417" i="2"/>
  <c r="F417" i="2" s="1"/>
  <c r="S66" i="2" l="1"/>
  <c r="T66" i="2" s="1"/>
  <c r="Q67" i="2"/>
  <c r="Q62" i="3"/>
  <c r="O63" i="3"/>
  <c r="N64" i="3"/>
  <c r="P63" i="3"/>
  <c r="K63" i="3"/>
  <c r="J63" i="3"/>
  <c r="G63" i="3"/>
  <c r="H63" i="3" s="1"/>
  <c r="I63" i="3" s="1"/>
  <c r="F64" i="3"/>
  <c r="I67" i="2"/>
  <c r="N66" i="2"/>
  <c r="J66" i="2"/>
  <c r="K66" i="2" s="1"/>
  <c r="L66" i="2" s="1"/>
  <c r="E442" i="2"/>
  <c r="E438" i="2"/>
  <c r="F438" i="2" s="1"/>
  <c r="E447" i="2"/>
  <c r="E439" i="2"/>
  <c r="E445" i="2"/>
  <c r="E437" i="2"/>
  <c r="F437" i="2" s="1"/>
  <c r="E440" i="2"/>
  <c r="E444" i="2"/>
  <c r="F444" i="2" s="1"/>
  <c r="E441" i="2"/>
  <c r="F441" i="2" s="1"/>
  <c r="F436" i="2"/>
  <c r="E446" i="2" s="1"/>
  <c r="F446" i="2" s="1"/>
  <c r="E433" i="2"/>
  <c r="F433" i="2" s="1"/>
  <c r="E428" i="2"/>
  <c r="F428" i="2" s="1"/>
  <c r="E435" i="2"/>
  <c r="F435" i="2" s="1"/>
  <c r="E426" i="2"/>
  <c r="F426" i="2" s="1"/>
  <c r="E430" i="2"/>
  <c r="F430" i="2" s="1"/>
  <c r="E432" i="2"/>
  <c r="F432" i="2" s="1"/>
  <c r="E425" i="2"/>
  <c r="F425" i="2" s="1"/>
  <c r="E429" i="2"/>
  <c r="F429" i="2" s="1"/>
  <c r="S67" i="2" l="1"/>
  <c r="T67" i="2" s="1"/>
  <c r="Q68" i="2"/>
  <c r="Q63" i="3"/>
  <c r="O64" i="3"/>
  <c r="N65" i="3"/>
  <c r="P64" i="3"/>
  <c r="F65" i="3"/>
  <c r="J64" i="3"/>
  <c r="K64" i="3"/>
  <c r="G64" i="3"/>
  <c r="H64" i="3" s="1"/>
  <c r="I64" i="3" s="1"/>
  <c r="F434" i="2"/>
  <c r="I68" i="2"/>
  <c r="N67" i="2"/>
  <c r="J67" i="2"/>
  <c r="K67" i="2" s="1"/>
  <c r="L67" i="2" s="1"/>
  <c r="F447" i="2"/>
  <c r="F445" i="2"/>
  <c r="F431" i="2"/>
  <c r="F440" i="2"/>
  <c r="F439" i="2"/>
  <c r="E448" i="2"/>
  <c r="E443" i="2"/>
  <c r="F443" i="2" s="1"/>
  <c r="F427" i="2"/>
  <c r="S68" i="2" l="1"/>
  <c r="T68" i="2" s="1"/>
  <c r="Q69" i="2"/>
  <c r="Q64" i="3"/>
  <c r="K65" i="3"/>
  <c r="G65" i="3"/>
  <c r="H65" i="3" s="1"/>
  <c r="I65" i="3" s="1"/>
  <c r="J65" i="3"/>
  <c r="F66" i="3"/>
  <c r="P65" i="3"/>
  <c r="O65" i="3"/>
  <c r="N66" i="3"/>
  <c r="N68" i="2"/>
  <c r="J68" i="2"/>
  <c r="K68" i="2" s="1"/>
  <c r="L68" i="2" s="1"/>
  <c r="I69" i="2"/>
  <c r="F448" i="2"/>
  <c r="E457" i="2" s="1"/>
  <c r="E456" i="2"/>
  <c r="F442" i="2"/>
  <c r="S69" i="2" l="1"/>
  <c r="T69" i="2" s="1"/>
  <c r="Q70" i="2"/>
  <c r="N67" i="3"/>
  <c r="O66" i="3"/>
  <c r="P66" i="3"/>
  <c r="Q65" i="3"/>
  <c r="G66" i="3"/>
  <c r="H66" i="3" s="1"/>
  <c r="I66" i="3" s="1"/>
  <c r="J66" i="3"/>
  <c r="F67" i="3"/>
  <c r="K66" i="3"/>
  <c r="F456" i="2"/>
  <c r="E458" i="2"/>
  <c r="F458" i="2" s="1"/>
  <c r="E460" i="2"/>
  <c r="E452" i="2"/>
  <c r="E450" i="2"/>
  <c r="E453" i="2"/>
  <c r="F453" i="2" s="1"/>
  <c r="N69" i="2"/>
  <c r="J69" i="2"/>
  <c r="K69" i="2" s="1"/>
  <c r="L69" i="2" s="1"/>
  <c r="I70" i="2"/>
  <c r="E459" i="2"/>
  <c r="E451" i="2"/>
  <c r="F451" i="2" s="1"/>
  <c r="E449" i="2"/>
  <c r="F449" i="2" s="1"/>
  <c r="E455" i="2"/>
  <c r="F455" i="2" s="1"/>
  <c r="E454" i="2"/>
  <c r="F454" i="2" s="1"/>
  <c r="S70" i="2" l="1"/>
  <c r="T70" i="2" s="1"/>
  <c r="Q71" i="2"/>
  <c r="Q66" i="3"/>
  <c r="J67" i="3"/>
  <c r="F68" i="3"/>
  <c r="K67" i="3"/>
  <c r="G67" i="3"/>
  <c r="H67" i="3" s="1"/>
  <c r="I67" i="3" s="1"/>
  <c r="O67" i="3"/>
  <c r="N68" i="3"/>
  <c r="P67" i="3"/>
  <c r="F460" i="2"/>
  <c r="E464" i="2" s="1"/>
  <c r="I71" i="2"/>
  <c r="J70" i="2"/>
  <c r="K70" i="2" s="1"/>
  <c r="L70" i="2" s="1"/>
  <c r="N70" i="2"/>
  <c r="F450" i="2"/>
  <c r="F459" i="2"/>
  <c r="F452" i="2"/>
  <c r="F457" i="2"/>
  <c r="S71" i="2" l="1"/>
  <c r="T71" i="2" s="1"/>
  <c r="Q72" i="2"/>
  <c r="Q67" i="3"/>
  <c r="O68" i="3"/>
  <c r="P68" i="3"/>
  <c r="N69" i="3"/>
  <c r="F69" i="3"/>
  <c r="G68" i="3"/>
  <c r="H68" i="3" s="1"/>
  <c r="I68" i="3" s="1"/>
  <c r="K68" i="3"/>
  <c r="J68" i="3"/>
  <c r="E471" i="2"/>
  <c r="E465" i="2"/>
  <c r="E468" i="2"/>
  <c r="E467" i="2"/>
  <c r="E462" i="2"/>
  <c r="F462" i="2" s="1"/>
  <c r="E466" i="2"/>
  <c r="F466" i="2" s="1"/>
  <c r="E470" i="2"/>
  <c r="F470" i="2" s="1"/>
  <c r="E472" i="2"/>
  <c r="E469" i="2"/>
  <c r="F469" i="2" s="1"/>
  <c r="I72" i="2"/>
  <c r="J71" i="2"/>
  <c r="K71" i="2" s="1"/>
  <c r="L71" i="2" s="1"/>
  <c r="N71" i="2"/>
  <c r="E463" i="2"/>
  <c r="F463" i="2" s="1"/>
  <c r="E461" i="2"/>
  <c r="F461" i="2" s="1"/>
  <c r="S72" i="2" l="1"/>
  <c r="T72" i="2" s="1"/>
  <c r="Q73" i="2"/>
  <c r="Q68" i="3"/>
  <c r="K69" i="3"/>
  <c r="G69" i="3"/>
  <c r="H69" i="3" s="1"/>
  <c r="I69" i="3" s="1"/>
  <c r="F70" i="3"/>
  <c r="J69" i="3"/>
  <c r="P69" i="3"/>
  <c r="N70" i="3"/>
  <c r="O69" i="3"/>
  <c r="F471" i="2"/>
  <c r="F468" i="2"/>
  <c r="N72" i="2"/>
  <c r="J72" i="2"/>
  <c r="K72" i="2" s="1"/>
  <c r="L72" i="2" s="1"/>
  <c r="I73" i="2"/>
  <c r="F465" i="2"/>
  <c r="E479" i="2"/>
  <c r="E481" i="2"/>
  <c r="E477" i="2"/>
  <c r="F472" i="2"/>
  <c r="E475" i="2" s="1"/>
  <c r="F467" i="2"/>
  <c r="F464" i="2"/>
  <c r="S73" i="2" l="1"/>
  <c r="T73" i="2" s="1"/>
  <c r="Q74" i="2"/>
  <c r="G70" i="3"/>
  <c r="H70" i="3" s="1"/>
  <c r="I70" i="3" s="1"/>
  <c r="K70" i="3"/>
  <c r="J70" i="3"/>
  <c r="F71" i="3"/>
  <c r="Q69" i="3"/>
  <c r="N71" i="3"/>
  <c r="O70" i="3"/>
  <c r="P70" i="3"/>
  <c r="F479" i="2"/>
  <c r="E473" i="2"/>
  <c r="E476" i="2"/>
  <c r="F476" i="2" s="1"/>
  <c r="E483" i="2"/>
  <c r="E484" i="2"/>
  <c r="E474" i="2"/>
  <c r="F474" i="2" s="1"/>
  <c r="E480" i="2"/>
  <c r="F480" i="2" s="1"/>
  <c r="E478" i="2"/>
  <c r="F478" i="2" s="1"/>
  <c r="E482" i="2"/>
  <c r="F482" i="2" s="1"/>
  <c r="N73" i="2"/>
  <c r="J73" i="2"/>
  <c r="K73" i="2" s="1"/>
  <c r="L73" i="2" s="1"/>
  <c r="I74" i="2"/>
  <c r="S74" i="2" l="1"/>
  <c r="T74" i="2" s="1"/>
  <c r="Q75" i="2"/>
  <c r="Q70" i="3"/>
  <c r="F72" i="3"/>
  <c r="G71" i="3"/>
  <c r="H71" i="3" s="1"/>
  <c r="I71" i="3" s="1"/>
  <c r="K71" i="3"/>
  <c r="J71" i="3"/>
  <c r="N72" i="3"/>
  <c r="O71" i="3"/>
  <c r="P71" i="3"/>
  <c r="F484" i="2"/>
  <c r="E490" i="2" s="1"/>
  <c r="F483" i="2"/>
  <c r="F481" i="2"/>
  <c r="F477" i="2"/>
  <c r="I75" i="2"/>
  <c r="N74" i="2"/>
  <c r="J74" i="2"/>
  <c r="K74" i="2" s="1"/>
  <c r="L74" i="2" s="1"/>
  <c r="F473" i="2"/>
  <c r="F475" i="2"/>
  <c r="S75" i="2" l="1"/>
  <c r="T75" i="2" s="1"/>
  <c r="Q76" i="2"/>
  <c r="Q71" i="3"/>
  <c r="N73" i="3"/>
  <c r="P72" i="3"/>
  <c r="O72" i="3"/>
  <c r="K72" i="3"/>
  <c r="J72" i="3"/>
  <c r="G72" i="3"/>
  <c r="H72" i="3" s="1"/>
  <c r="I72" i="3" s="1"/>
  <c r="F73" i="3"/>
  <c r="E488" i="2"/>
  <c r="E495" i="2"/>
  <c r="E486" i="2"/>
  <c r="F486" i="2" s="1"/>
  <c r="E489" i="2"/>
  <c r="F489" i="2" s="1"/>
  <c r="E491" i="2"/>
  <c r="E494" i="2"/>
  <c r="I76" i="2"/>
  <c r="N75" i="2"/>
  <c r="J75" i="2"/>
  <c r="K75" i="2" s="1"/>
  <c r="L75" i="2" s="1"/>
  <c r="E485" i="2"/>
  <c r="E496" i="2"/>
  <c r="E492" i="2"/>
  <c r="E493" i="2"/>
  <c r="F493" i="2" s="1"/>
  <c r="E487" i="2"/>
  <c r="F487" i="2" s="1"/>
  <c r="S76" i="2" l="1"/>
  <c r="Q77" i="2"/>
  <c r="J73" i="3"/>
  <c r="F74" i="3"/>
  <c r="K73" i="3"/>
  <c r="G73" i="3"/>
  <c r="H73" i="3" s="1"/>
  <c r="I73" i="3" s="1"/>
  <c r="Q72" i="3"/>
  <c r="O73" i="3"/>
  <c r="P73" i="3"/>
  <c r="N74" i="3"/>
  <c r="F492" i="2"/>
  <c r="F495" i="2"/>
  <c r="F494" i="2"/>
  <c r="F488" i="2"/>
  <c r="E508" i="2"/>
  <c r="E497" i="2"/>
  <c r="F497" i="2" s="1"/>
  <c r="E506" i="2"/>
  <c r="F506" i="2" s="1"/>
  <c r="E498" i="2"/>
  <c r="E507" i="2"/>
  <c r="E503" i="2"/>
  <c r="F503" i="2" s="1"/>
  <c r="F496" i="2"/>
  <c r="E505" i="2" s="1"/>
  <c r="F505" i="2" s="1"/>
  <c r="E504" i="2"/>
  <c r="E500" i="2"/>
  <c r="N76" i="2"/>
  <c r="J76" i="2"/>
  <c r="K76" i="2" s="1"/>
  <c r="L76" i="2" s="1"/>
  <c r="I77" i="2"/>
  <c r="F485" i="2"/>
  <c r="F491" i="2"/>
  <c r="F490" i="2"/>
  <c r="S77" i="2" l="1"/>
  <c r="Q78" i="2"/>
  <c r="O74" i="3"/>
  <c r="N75" i="3"/>
  <c r="P74" i="3"/>
  <c r="G74" i="3"/>
  <c r="H74" i="3" s="1"/>
  <c r="I74" i="3" s="1"/>
  <c r="F75" i="3"/>
  <c r="K74" i="3"/>
  <c r="J74" i="3"/>
  <c r="Q73" i="3"/>
  <c r="E512" i="2"/>
  <c r="E520" i="2"/>
  <c r="E509" i="2"/>
  <c r="E518" i="2"/>
  <c r="F518" i="2" s="1"/>
  <c r="E519" i="2"/>
  <c r="E515" i="2"/>
  <c r="F508" i="2"/>
  <c r="E517" i="2" s="1"/>
  <c r="F517" i="2" s="1"/>
  <c r="I78" i="2"/>
  <c r="N77" i="2"/>
  <c r="J77" i="2"/>
  <c r="K77" i="2" s="1"/>
  <c r="L77" i="2" s="1"/>
  <c r="F504" i="2"/>
  <c r="F507" i="2"/>
  <c r="F498" i="2"/>
  <c r="E501" i="2"/>
  <c r="E499" i="2"/>
  <c r="F499" i="2" s="1"/>
  <c r="E502" i="2"/>
  <c r="F502" i="2" s="1"/>
  <c r="S78" i="2" l="1"/>
  <c r="Q79" i="2"/>
  <c r="Q74" i="3"/>
  <c r="F76" i="3"/>
  <c r="K75" i="3"/>
  <c r="G75" i="3"/>
  <c r="H75" i="3" s="1"/>
  <c r="I75" i="3" s="1"/>
  <c r="J75" i="3"/>
  <c r="N76" i="3"/>
  <c r="P75" i="3"/>
  <c r="O75" i="3"/>
  <c r="E527" i="2"/>
  <c r="E523" i="2"/>
  <c r="E532" i="2"/>
  <c r="E529" i="2"/>
  <c r="F529" i="2" s="1"/>
  <c r="E530" i="2"/>
  <c r="E526" i="2"/>
  <c r="F526" i="2" s="1"/>
  <c r="F520" i="2"/>
  <c r="E528" i="2" s="1"/>
  <c r="F528" i="2" s="1"/>
  <c r="F501" i="2"/>
  <c r="F519" i="2"/>
  <c r="E510" i="2"/>
  <c r="E513" i="2"/>
  <c r="E516" i="2"/>
  <c r="F516" i="2" s="1"/>
  <c r="I79" i="2"/>
  <c r="J78" i="2"/>
  <c r="K78" i="2" s="1"/>
  <c r="L78" i="2" s="1"/>
  <c r="N78" i="2"/>
  <c r="E511" i="2"/>
  <c r="F511" i="2" s="1"/>
  <c r="E514" i="2"/>
  <c r="F514" i="2" s="1"/>
  <c r="F500" i="2"/>
  <c r="S79" i="2" l="1"/>
  <c r="Q80" i="2"/>
  <c r="P76" i="3"/>
  <c r="N77" i="3"/>
  <c r="O76" i="3"/>
  <c r="Q75" i="3"/>
  <c r="F77" i="3"/>
  <c r="J76" i="3"/>
  <c r="K76" i="3"/>
  <c r="G76" i="3"/>
  <c r="H76" i="3" s="1"/>
  <c r="I76" i="3" s="1"/>
  <c r="F513" i="2"/>
  <c r="N79" i="2"/>
  <c r="J79" i="2"/>
  <c r="K79" i="2" s="1"/>
  <c r="L79" i="2" s="1"/>
  <c r="I80" i="2"/>
  <c r="F510" i="2"/>
  <c r="F512" i="2"/>
  <c r="F530" i="2"/>
  <c r="E538" i="2"/>
  <c r="E534" i="2"/>
  <c r="F534" i="2" s="1"/>
  <c r="E543" i="2"/>
  <c r="F543" i="2" s="1"/>
  <c r="E535" i="2"/>
  <c r="E540" i="2"/>
  <c r="E536" i="2"/>
  <c r="E533" i="2"/>
  <c r="E544" i="2"/>
  <c r="E541" i="2"/>
  <c r="F532" i="2"/>
  <c r="E542" i="2" s="1"/>
  <c r="F542" i="2" s="1"/>
  <c r="F527" i="2"/>
  <c r="F509" i="2"/>
  <c r="E521" i="2"/>
  <c r="E524" i="2"/>
  <c r="E531" i="2"/>
  <c r="F531" i="2" s="1"/>
  <c r="E522" i="2"/>
  <c r="F522" i="2" s="1"/>
  <c r="E525" i="2"/>
  <c r="F525" i="2" s="1"/>
  <c r="F515" i="2"/>
  <c r="S80" i="2" l="1"/>
  <c r="Q81" i="2"/>
  <c r="J77" i="3"/>
  <c r="K77" i="3"/>
  <c r="F78" i="3"/>
  <c r="G77" i="3"/>
  <c r="H77" i="3" s="1"/>
  <c r="I77" i="3" s="1"/>
  <c r="Q76" i="3"/>
  <c r="N78" i="3"/>
  <c r="O77" i="3"/>
  <c r="P77" i="3"/>
  <c r="F533" i="2"/>
  <c r="F535" i="2"/>
  <c r="F538" i="2"/>
  <c r="F521" i="2"/>
  <c r="F541" i="2"/>
  <c r="F544" i="2"/>
  <c r="E545" i="2" s="1"/>
  <c r="F540" i="2"/>
  <c r="F524" i="2"/>
  <c r="E537" i="2"/>
  <c r="F537" i="2" s="1"/>
  <c r="E539" i="2"/>
  <c r="F539" i="2" s="1"/>
  <c r="N80" i="2"/>
  <c r="J80" i="2"/>
  <c r="K80" i="2" s="1"/>
  <c r="L80" i="2" s="1"/>
  <c r="I81" i="2"/>
  <c r="F523" i="2"/>
  <c r="S81" i="2" l="1"/>
  <c r="Q82" i="2"/>
  <c r="F79" i="3"/>
  <c r="J78" i="3"/>
  <c r="G78" i="3"/>
  <c r="H78" i="3" s="1"/>
  <c r="I78" i="3" s="1"/>
  <c r="K78" i="3"/>
  <c r="P78" i="3"/>
  <c r="O78" i="3"/>
  <c r="N79" i="3"/>
  <c r="Q77" i="3"/>
  <c r="E546" i="2"/>
  <c r="E549" i="2"/>
  <c r="I82" i="2"/>
  <c r="J81" i="2"/>
  <c r="K81" i="2" s="1"/>
  <c r="L81" i="2" s="1"/>
  <c r="N81" i="2"/>
  <c r="E547" i="2"/>
  <c r="E550" i="2"/>
  <c r="F550" i="2" s="1"/>
  <c r="E553" i="2"/>
  <c r="F553" i="2" s="1"/>
  <c r="E552" i="2"/>
  <c r="E551" i="2"/>
  <c r="F551" i="2" s="1"/>
  <c r="E554" i="2"/>
  <c r="E556" i="2"/>
  <c r="E548" i="2"/>
  <c r="F548" i="2" s="1"/>
  <c r="E555" i="2"/>
  <c r="F555" i="2" s="1"/>
  <c r="F536" i="2"/>
  <c r="S82" i="2" l="1"/>
  <c r="Q83" i="2"/>
  <c r="P79" i="3"/>
  <c r="N80" i="3"/>
  <c r="O79" i="3"/>
  <c r="Q78" i="3"/>
  <c r="F80" i="3"/>
  <c r="G79" i="3"/>
  <c r="H79" i="3" s="1"/>
  <c r="I79" i="3" s="1"/>
  <c r="J79" i="3"/>
  <c r="K79" i="3"/>
  <c r="E568" i="2"/>
  <c r="E565" i="2"/>
  <c r="F565" i="2" s="1"/>
  <c r="E566" i="2"/>
  <c r="E562" i="2"/>
  <c r="F556" i="2"/>
  <c r="E564" i="2" s="1"/>
  <c r="F564" i="2" s="1"/>
  <c r="E567" i="2"/>
  <c r="F567" i="2" s="1"/>
  <c r="E563" i="2"/>
  <c r="F554" i="2"/>
  <c r="F547" i="2"/>
  <c r="F549" i="2"/>
  <c r="F552" i="2"/>
  <c r="I83" i="2"/>
  <c r="N82" i="2"/>
  <c r="J82" i="2"/>
  <c r="K82" i="2" s="1"/>
  <c r="L82" i="2" s="1"/>
  <c r="F546" i="2"/>
  <c r="F545" i="2"/>
  <c r="S83" i="2" l="1"/>
  <c r="Q84" i="2"/>
  <c r="F81" i="3"/>
  <c r="K80" i="3"/>
  <c r="J80" i="3"/>
  <c r="G80" i="3"/>
  <c r="H80" i="3" s="1"/>
  <c r="I80" i="3" s="1"/>
  <c r="O80" i="3"/>
  <c r="P80" i="3"/>
  <c r="N81" i="3"/>
  <c r="Q79" i="3"/>
  <c r="F563" i="2"/>
  <c r="F562" i="2"/>
  <c r="F566" i="2"/>
  <c r="E575" i="2"/>
  <c r="E580" i="2"/>
  <c r="E574" i="2"/>
  <c r="F574" i="2" s="1"/>
  <c r="F568" i="2"/>
  <c r="E571" i="2" s="1"/>
  <c r="N83" i="2"/>
  <c r="J83" i="2"/>
  <c r="K83" i="2" s="1"/>
  <c r="L83" i="2" s="1"/>
  <c r="I84" i="2"/>
  <c r="E557" i="2"/>
  <c r="E560" i="2"/>
  <c r="F560" i="2" s="1"/>
  <c r="E559" i="2"/>
  <c r="F559" i="2" s="1"/>
  <c r="E558" i="2"/>
  <c r="F558" i="2" s="1"/>
  <c r="E561" i="2"/>
  <c r="F561" i="2" s="1"/>
  <c r="S84" i="2" l="1"/>
  <c r="Q85" i="2"/>
  <c r="Q80" i="3"/>
  <c r="O81" i="3"/>
  <c r="N82" i="3"/>
  <c r="P81" i="3"/>
  <c r="K81" i="3"/>
  <c r="F82" i="3"/>
  <c r="J81" i="3"/>
  <c r="G81" i="3"/>
  <c r="H81" i="3" s="1"/>
  <c r="I81" i="3" s="1"/>
  <c r="N84" i="2"/>
  <c r="J84" i="2"/>
  <c r="K84" i="2" s="1"/>
  <c r="L84" i="2" s="1"/>
  <c r="I85" i="2"/>
  <c r="E586" i="2"/>
  <c r="E583" i="2"/>
  <c r="E581" i="2"/>
  <c r="F580" i="2"/>
  <c r="E582" i="2" s="1"/>
  <c r="F582" i="2" s="1"/>
  <c r="F575" i="2"/>
  <c r="F557" i="2"/>
  <c r="E569" i="2"/>
  <c r="E572" i="2"/>
  <c r="F572" i="2" s="1"/>
  <c r="E579" i="2"/>
  <c r="F579" i="2" s="1"/>
  <c r="E578" i="2"/>
  <c r="F578" i="2" s="1"/>
  <c r="E573" i="2"/>
  <c r="F573" i="2" s="1"/>
  <c r="E576" i="2"/>
  <c r="F576" i="2" s="1"/>
  <c r="E570" i="2"/>
  <c r="F570" i="2" s="1"/>
  <c r="E577" i="2"/>
  <c r="S85" i="2" l="1"/>
  <c r="Q86" i="2"/>
  <c r="Q81" i="3"/>
  <c r="P82" i="3"/>
  <c r="O82" i="3"/>
  <c r="N83" i="3"/>
  <c r="J82" i="3"/>
  <c r="K82" i="3"/>
  <c r="G82" i="3"/>
  <c r="H82" i="3" s="1"/>
  <c r="I82" i="3" s="1"/>
  <c r="F83" i="3"/>
  <c r="F581" i="2"/>
  <c r="F583" i="2"/>
  <c r="F586" i="2"/>
  <c r="I86" i="2"/>
  <c r="N85" i="2"/>
  <c r="J85" i="2"/>
  <c r="K85" i="2" s="1"/>
  <c r="L85" i="2" s="1"/>
  <c r="E585" i="2"/>
  <c r="F585" i="2" s="1"/>
  <c r="E587" i="2"/>
  <c r="E590" i="2"/>
  <c r="F590" i="2" s="1"/>
  <c r="E589" i="2"/>
  <c r="F589" i="2" s="1"/>
  <c r="E584" i="2"/>
  <c r="F584" i="2" s="1"/>
  <c r="E591" i="2"/>
  <c r="F577" i="2"/>
  <c r="F569" i="2"/>
  <c r="E592" i="2"/>
  <c r="E588" i="2"/>
  <c r="F571" i="2"/>
  <c r="S86" i="2" l="1"/>
  <c r="Q87" i="2"/>
  <c r="Q82" i="3"/>
  <c r="N84" i="3"/>
  <c r="P83" i="3"/>
  <c r="O83" i="3"/>
  <c r="J83" i="3"/>
  <c r="G83" i="3"/>
  <c r="H83" i="3" s="1"/>
  <c r="I83" i="3" s="1"/>
  <c r="K83" i="3"/>
  <c r="F84" i="3"/>
  <c r="F588" i="2"/>
  <c r="F591" i="2"/>
  <c r="F587" i="2"/>
  <c r="I87" i="2"/>
  <c r="J86" i="2"/>
  <c r="K86" i="2" s="1"/>
  <c r="L86" i="2" s="1"/>
  <c r="N86" i="2"/>
  <c r="E602" i="2"/>
  <c r="F602" i="2" s="1"/>
  <c r="E603" i="2"/>
  <c r="E599" i="2"/>
  <c r="E595" i="2"/>
  <c r="F595" i="2" s="1"/>
  <c r="E593" i="2"/>
  <c r="E600" i="2"/>
  <c r="F600" i="2" s="1"/>
  <c r="E601" i="2"/>
  <c r="F601" i="2" s="1"/>
  <c r="F592" i="2"/>
  <c r="E598" i="2" s="1"/>
  <c r="F598" i="2" s="1"/>
  <c r="E596" i="2"/>
  <c r="E594" i="2"/>
  <c r="F594" i="2" s="1"/>
  <c r="E604" i="2"/>
  <c r="S87" i="2" l="1"/>
  <c r="Q88" i="2"/>
  <c r="K84" i="3"/>
  <c r="G84" i="3"/>
  <c r="H84" i="3" s="1"/>
  <c r="I84" i="3" s="1"/>
  <c r="F85" i="3"/>
  <c r="J84" i="3"/>
  <c r="Q83" i="3"/>
  <c r="O84" i="3"/>
  <c r="N85" i="3"/>
  <c r="P84" i="3"/>
  <c r="F593" i="2"/>
  <c r="F603" i="2"/>
  <c r="E597" i="2"/>
  <c r="F597" i="2" s="1"/>
  <c r="N87" i="2"/>
  <c r="J87" i="2"/>
  <c r="K87" i="2" s="1"/>
  <c r="L87" i="2" s="1"/>
  <c r="I88" i="2"/>
  <c r="F599" i="2"/>
  <c r="E616" i="2"/>
  <c r="E613" i="2"/>
  <c r="F613" i="2" s="1"/>
  <c r="E609" i="2"/>
  <c r="F609" i="2" s="1"/>
  <c r="E614" i="2"/>
  <c r="E610" i="2"/>
  <c r="E606" i="2"/>
  <c r="F606" i="2" s="1"/>
  <c r="E607" i="2"/>
  <c r="E608" i="2"/>
  <c r="E611" i="2"/>
  <c r="F611" i="2" s="1"/>
  <c r="F604" i="2"/>
  <c r="E605" i="2" s="1"/>
  <c r="F605" i="2" s="1"/>
  <c r="E612" i="2"/>
  <c r="S88" i="2" l="1"/>
  <c r="Q89" i="2"/>
  <c r="Q84" i="3"/>
  <c r="N86" i="3"/>
  <c r="P85" i="3"/>
  <c r="O85" i="3"/>
  <c r="G85" i="3"/>
  <c r="H85" i="3" s="1"/>
  <c r="I85" i="3" s="1"/>
  <c r="F86" i="3"/>
  <c r="K85" i="3"/>
  <c r="J85" i="3"/>
  <c r="I89" i="2"/>
  <c r="J88" i="2"/>
  <c r="K88" i="2" s="1"/>
  <c r="L88" i="2" s="1"/>
  <c r="N88" i="2"/>
  <c r="F608" i="2"/>
  <c r="F610" i="2"/>
  <c r="F612" i="2"/>
  <c r="F607" i="2"/>
  <c r="F614" i="2"/>
  <c r="E624" i="2"/>
  <c r="E621" i="2"/>
  <c r="F621" i="2" s="1"/>
  <c r="F616" i="2"/>
  <c r="E620" i="2" s="1"/>
  <c r="F620" i="2" s="1"/>
  <c r="E626" i="2"/>
  <c r="E619" i="2"/>
  <c r="E622" i="2"/>
  <c r="E615" i="2"/>
  <c r="F615" i="2" s="1"/>
  <c r="F596" i="2"/>
  <c r="S89" i="2" l="1"/>
  <c r="Q90" i="2"/>
  <c r="G86" i="3"/>
  <c r="H86" i="3" s="1"/>
  <c r="I86" i="3" s="1"/>
  <c r="J86" i="3"/>
  <c r="K86" i="3"/>
  <c r="F87" i="3"/>
  <c r="Q85" i="3"/>
  <c r="O86" i="3"/>
  <c r="N87" i="3"/>
  <c r="P86" i="3"/>
  <c r="F624" i="2"/>
  <c r="F619" i="2"/>
  <c r="E625" i="2"/>
  <c r="F625" i="2" s="1"/>
  <c r="E627" i="2"/>
  <c r="E623" i="2"/>
  <c r="F623" i="2" s="1"/>
  <c r="E628" i="2"/>
  <c r="E618" i="2"/>
  <c r="F618" i="2" s="1"/>
  <c r="E617" i="2"/>
  <c r="I90" i="2"/>
  <c r="J89" i="2"/>
  <c r="K89" i="2" s="1"/>
  <c r="L89" i="2" s="1"/>
  <c r="N89" i="2"/>
  <c r="S90" i="2" l="1"/>
  <c r="Q91" i="2"/>
  <c r="Q86" i="3"/>
  <c r="N88" i="3"/>
  <c r="P87" i="3"/>
  <c r="O87" i="3"/>
  <c r="J87" i="3"/>
  <c r="K87" i="3"/>
  <c r="F88" i="3"/>
  <c r="G87" i="3"/>
  <c r="H87" i="3" s="1"/>
  <c r="I87" i="3" s="1"/>
  <c r="E635" i="2"/>
  <c r="E631" i="2"/>
  <c r="E640" i="2"/>
  <c r="E633" i="2"/>
  <c r="E629" i="2"/>
  <c r="E630" i="2"/>
  <c r="F630" i="2" s="1"/>
  <c r="F628" i="2"/>
  <c r="E636" i="2" s="1"/>
  <c r="N90" i="2"/>
  <c r="J90" i="2"/>
  <c r="K90" i="2" s="1"/>
  <c r="L90" i="2" s="1"/>
  <c r="I91" i="2"/>
  <c r="F627" i="2"/>
  <c r="F626" i="2"/>
  <c r="F617" i="2"/>
  <c r="F622" i="2"/>
  <c r="S91" i="2" l="1"/>
  <c r="Q92" i="2"/>
  <c r="Q87" i="3"/>
  <c r="F89" i="3"/>
  <c r="K88" i="3"/>
  <c r="J88" i="3"/>
  <c r="G88" i="3"/>
  <c r="H88" i="3" s="1"/>
  <c r="I88" i="3" s="1"/>
  <c r="O88" i="3"/>
  <c r="P88" i="3"/>
  <c r="N89" i="3"/>
  <c r="N91" i="2"/>
  <c r="J91" i="2"/>
  <c r="K91" i="2" s="1"/>
  <c r="L91" i="2" s="1"/>
  <c r="I92" i="2"/>
  <c r="F629" i="2"/>
  <c r="F635" i="2"/>
  <c r="E637" i="2"/>
  <c r="E632" i="2"/>
  <c r="F632" i="2" s="1"/>
  <c r="E639" i="2"/>
  <c r="F639" i="2" s="1"/>
  <c r="E646" i="2"/>
  <c r="E643" i="2"/>
  <c r="E644" i="2"/>
  <c r="F640" i="2"/>
  <c r="E642" i="2" s="1"/>
  <c r="F642" i="2" s="1"/>
  <c r="E638" i="2"/>
  <c r="F638" i="2" s="1"/>
  <c r="E634" i="2"/>
  <c r="F634" i="2" s="1"/>
  <c r="S92" i="2" l="1"/>
  <c r="Q93" i="2"/>
  <c r="Q88" i="3"/>
  <c r="N90" i="3"/>
  <c r="P89" i="3"/>
  <c r="O89" i="3"/>
  <c r="F90" i="3"/>
  <c r="K89" i="3"/>
  <c r="G89" i="3"/>
  <c r="H89" i="3" s="1"/>
  <c r="I89" i="3" s="1"/>
  <c r="J89" i="3"/>
  <c r="F643" i="2"/>
  <c r="E652" i="2"/>
  <c r="E647" i="2"/>
  <c r="F647" i="2" s="1"/>
  <c r="E650" i="2"/>
  <c r="E648" i="2"/>
  <c r="E651" i="2"/>
  <c r="F637" i="2"/>
  <c r="I93" i="2"/>
  <c r="N92" i="2"/>
  <c r="J92" i="2"/>
  <c r="K92" i="2" s="1"/>
  <c r="L92" i="2" s="1"/>
  <c r="E641" i="2"/>
  <c r="F641" i="2" s="1"/>
  <c r="E645" i="2"/>
  <c r="F645" i="2" s="1"/>
  <c r="E649" i="2"/>
  <c r="F649" i="2" s="1"/>
  <c r="F633" i="2"/>
  <c r="F631" i="2"/>
  <c r="F636" i="2"/>
  <c r="S93" i="2" l="1"/>
  <c r="Q94" i="2"/>
  <c r="J90" i="3"/>
  <c r="G90" i="3"/>
  <c r="H90" i="3" s="1"/>
  <c r="I90" i="3" s="1"/>
  <c r="F91" i="3"/>
  <c r="K90" i="3"/>
  <c r="Q89" i="3"/>
  <c r="O90" i="3"/>
  <c r="N91" i="3"/>
  <c r="P90" i="3"/>
  <c r="E661" i="2"/>
  <c r="F661" i="2" s="1"/>
  <c r="E662" i="2"/>
  <c r="E658" i="2"/>
  <c r="F658" i="2" s="1"/>
  <c r="F652" i="2"/>
  <c r="E657" i="2" s="1"/>
  <c r="F657" i="2" s="1"/>
  <c r="E663" i="2"/>
  <c r="E659" i="2"/>
  <c r="F646" i="2"/>
  <c r="F651" i="2"/>
  <c r="I94" i="2"/>
  <c r="N93" i="2"/>
  <c r="J93" i="2"/>
  <c r="K93" i="2" s="1"/>
  <c r="L93" i="2" s="1"/>
  <c r="F648" i="2"/>
  <c r="F650" i="2"/>
  <c r="F644" i="2"/>
  <c r="S94" i="2" l="1"/>
  <c r="Q95" i="2"/>
  <c r="J91" i="3"/>
  <c r="K91" i="3"/>
  <c r="G91" i="3"/>
  <c r="H91" i="3" s="1"/>
  <c r="I91" i="3" s="1"/>
  <c r="F92" i="3"/>
  <c r="P91" i="3"/>
  <c r="N92" i="3"/>
  <c r="O91" i="3"/>
  <c r="Q90" i="3"/>
  <c r="N94" i="2"/>
  <c r="J94" i="2"/>
  <c r="K94" i="2" s="1"/>
  <c r="L94" i="2" s="1"/>
  <c r="I95" i="2"/>
  <c r="F662" i="2"/>
  <c r="E656" i="2"/>
  <c r="F656" i="2" s="1"/>
  <c r="E660" i="2"/>
  <c r="F660" i="2" s="1"/>
  <c r="E653" i="2"/>
  <c r="F653" i="2" s="1"/>
  <c r="F659" i="2"/>
  <c r="E664" i="2"/>
  <c r="E655" i="2"/>
  <c r="F655" i="2" s="1"/>
  <c r="E654" i="2"/>
  <c r="S95" i="2" l="1"/>
  <c r="Q96" i="2"/>
  <c r="N93" i="3"/>
  <c r="O92" i="3"/>
  <c r="P92" i="3"/>
  <c r="Q91" i="3"/>
  <c r="F93" i="3"/>
  <c r="J92" i="3"/>
  <c r="K92" i="3"/>
  <c r="G92" i="3"/>
  <c r="H92" i="3" s="1"/>
  <c r="I92" i="3" s="1"/>
  <c r="N95" i="2"/>
  <c r="J95" i="2"/>
  <c r="K95" i="2" s="1"/>
  <c r="L95" i="2" s="1"/>
  <c r="I96" i="2"/>
  <c r="F664" i="2"/>
  <c r="E668" i="2" s="1"/>
  <c r="F663" i="2"/>
  <c r="F654" i="2"/>
  <c r="S96" i="2" l="1"/>
  <c r="Q97" i="2"/>
  <c r="Q92" i="3"/>
  <c r="K93" i="3"/>
  <c r="F94" i="3"/>
  <c r="G93" i="3"/>
  <c r="H93" i="3" s="1"/>
  <c r="I93" i="3" s="1"/>
  <c r="J93" i="3"/>
  <c r="O93" i="3"/>
  <c r="N94" i="3"/>
  <c r="P93" i="3"/>
  <c r="E667" i="2"/>
  <c r="F667" i="2" s="1"/>
  <c r="E669" i="2"/>
  <c r="F669" i="2" s="1"/>
  <c r="E672" i="2"/>
  <c r="F672" i="2" s="1"/>
  <c r="E675" i="2"/>
  <c r="E671" i="2"/>
  <c r="E673" i="2"/>
  <c r="I97" i="2"/>
  <c r="J96" i="2"/>
  <c r="K96" i="2" s="1"/>
  <c r="L96" i="2" s="1"/>
  <c r="N96" i="2"/>
  <c r="E666" i="2"/>
  <c r="F666" i="2" s="1"/>
  <c r="E670" i="2"/>
  <c r="F670" i="2" s="1"/>
  <c r="E676" i="2"/>
  <c r="E674" i="2"/>
  <c r="F674" i="2" s="1"/>
  <c r="E665" i="2"/>
  <c r="F665" i="2" s="1"/>
  <c r="S97" i="2" l="1"/>
  <c r="Q98" i="2"/>
  <c r="Q93" i="3"/>
  <c r="J94" i="3"/>
  <c r="F95" i="3"/>
  <c r="K94" i="3"/>
  <c r="G94" i="3"/>
  <c r="H94" i="3" s="1"/>
  <c r="I94" i="3" s="1"/>
  <c r="N95" i="3"/>
  <c r="O94" i="3"/>
  <c r="P94" i="3"/>
  <c r="I98" i="2"/>
  <c r="J97" i="2"/>
  <c r="K97" i="2" s="1"/>
  <c r="L97" i="2" s="1"/>
  <c r="N97" i="2"/>
  <c r="E683" i="2"/>
  <c r="E679" i="2"/>
  <c r="E684" i="2"/>
  <c r="E688" i="2"/>
  <c r="E681" i="2"/>
  <c r="E682" i="2"/>
  <c r="F682" i="2" s="1"/>
  <c r="E686" i="2"/>
  <c r="E678" i="2"/>
  <c r="F678" i="2" s="1"/>
  <c r="E677" i="2"/>
  <c r="F677" i="2" s="1"/>
  <c r="F676" i="2"/>
  <c r="E687" i="2" s="1"/>
  <c r="F687" i="2" s="1"/>
  <c r="F673" i="2"/>
  <c r="F671" i="2"/>
  <c r="F675" i="2"/>
  <c r="F668" i="2"/>
  <c r="S98" i="2" l="1"/>
  <c r="Q99" i="2"/>
  <c r="Q94" i="3"/>
  <c r="P95" i="3"/>
  <c r="N96" i="3"/>
  <c r="O95" i="3"/>
  <c r="F96" i="3"/>
  <c r="K95" i="3"/>
  <c r="J95" i="3"/>
  <c r="G95" i="3"/>
  <c r="H95" i="3" s="1"/>
  <c r="I95" i="3" s="1"/>
  <c r="F681" i="2"/>
  <c r="F684" i="2"/>
  <c r="F686" i="2"/>
  <c r="E694" i="2"/>
  <c r="E690" i="2"/>
  <c r="F690" i="2" s="1"/>
  <c r="E699" i="2"/>
  <c r="E691" i="2"/>
  <c r="E697" i="2"/>
  <c r="E689" i="2"/>
  <c r="E692" i="2"/>
  <c r="E693" i="2"/>
  <c r="F693" i="2" s="1"/>
  <c r="E696" i="2"/>
  <c r="F688" i="2"/>
  <c r="E698" i="2" s="1"/>
  <c r="F698" i="2" s="1"/>
  <c r="F683" i="2"/>
  <c r="E685" i="2"/>
  <c r="F685" i="2" s="1"/>
  <c r="E680" i="2"/>
  <c r="F680" i="2" s="1"/>
  <c r="N98" i="2"/>
  <c r="J98" i="2"/>
  <c r="K98" i="2" s="1"/>
  <c r="L98" i="2" s="1"/>
  <c r="I99" i="2"/>
  <c r="S99" i="2" l="1"/>
  <c r="Q100" i="2"/>
  <c r="P96" i="3"/>
  <c r="N97" i="3"/>
  <c r="O96" i="3"/>
  <c r="Q95" i="3"/>
  <c r="G96" i="3"/>
  <c r="H96" i="3" s="1"/>
  <c r="I96" i="3" s="1"/>
  <c r="J96" i="3"/>
  <c r="K96" i="3"/>
  <c r="F97" i="3"/>
  <c r="I100" i="2"/>
  <c r="N99" i="2"/>
  <c r="J99" i="2"/>
  <c r="K99" i="2" s="1"/>
  <c r="L99" i="2" s="1"/>
  <c r="F697" i="2"/>
  <c r="F692" i="2"/>
  <c r="F691" i="2"/>
  <c r="E700" i="2"/>
  <c r="E695" i="2"/>
  <c r="F695" i="2" s="1"/>
  <c r="F679" i="2"/>
  <c r="F696" i="2"/>
  <c r="F689" i="2"/>
  <c r="F699" i="2"/>
  <c r="S100" i="2" l="1"/>
  <c r="Q101" i="2"/>
  <c r="O97" i="3"/>
  <c r="N98" i="3"/>
  <c r="P97" i="3"/>
  <c r="G97" i="3"/>
  <c r="H97" i="3" s="1"/>
  <c r="I97" i="3" s="1"/>
  <c r="K97" i="3"/>
  <c r="J97" i="3"/>
  <c r="F98" i="3"/>
  <c r="Q96" i="3"/>
  <c r="F694" i="2"/>
  <c r="E709" i="2"/>
  <c r="E705" i="2"/>
  <c r="F705" i="2" s="1"/>
  <c r="E701" i="2"/>
  <c r="F701" i="2" s="1"/>
  <c r="E706" i="2"/>
  <c r="F706" i="2" s="1"/>
  <c r="E702" i="2"/>
  <c r="E703" i="2"/>
  <c r="F703" i="2" s="1"/>
  <c r="F700" i="2"/>
  <c r="E712" i="2" s="1"/>
  <c r="E707" i="2"/>
  <c r="F707" i="2" s="1"/>
  <c r="E704" i="2"/>
  <c r="F704" i="2" s="1"/>
  <c r="E711" i="2"/>
  <c r="E708" i="2"/>
  <c r="I101" i="2"/>
  <c r="N100" i="2"/>
  <c r="J100" i="2"/>
  <c r="S101" i="2" l="1"/>
  <c r="Q102" i="2"/>
  <c r="Q97" i="3"/>
  <c r="J98" i="3"/>
  <c r="K98" i="3"/>
  <c r="F99" i="3"/>
  <c r="G98" i="3"/>
  <c r="H98" i="3" s="1"/>
  <c r="I98" i="3" s="1"/>
  <c r="O98" i="3"/>
  <c r="N99" i="3"/>
  <c r="P98" i="3"/>
  <c r="F712" i="2"/>
  <c r="E723" i="2" s="1"/>
  <c r="F711" i="2"/>
  <c r="N101" i="2"/>
  <c r="J101" i="2"/>
  <c r="K100" i="2" s="1"/>
  <c r="L100" i="2" s="1"/>
  <c r="I102" i="2"/>
  <c r="F702" i="2"/>
  <c r="F709" i="2"/>
  <c r="F708" i="2"/>
  <c r="E710" i="2"/>
  <c r="F710" i="2" s="1"/>
  <c r="S102" i="2" l="1"/>
  <c r="Q103" i="2"/>
  <c r="Q98" i="3"/>
  <c r="N100" i="3"/>
  <c r="P99" i="3"/>
  <c r="O99" i="3"/>
  <c r="J99" i="3"/>
  <c r="F100" i="3"/>
  <c r="G99" i="3"/>
  <c r="H99" i="3" s="1"/>
  <c r="I99" i="3" s="1"/>
  <c r="K99" i="3"/>
  <c r="E715" i="2"/>
  <c r="E724" i="2"/>
  <c r="N102" i="2"/>
  <c r="J102" i="2"/>
  <c r="K101" i="2" s="1"/>
  <c r="L101" i="2" s="1"/>
  <c r="I103" i="2"/>
  <c r="E722" i="2"/>
  <c r="F722" i="2" s="1"/>
  <c r="E713" i="2"/>
  <c r="E720" i="2"/>
  <c r="E717" i="2"/>
  <c r="F717" i="2" s="1"/>
  <c r="E718" i="2"/>
  <c r="E719" i="2"/>
  <c r="F719" i="2" s="1"/>
  <c r="E714" i="2"/>
  <c r="F714" i="2" s="1"/>
  <c r="E721" i="2"/>
  <c r="F721" i="2" s="1"/>
  <c r="E716" i="2"/>
  <c r="S103" i="2" l="1"/>
  <c r="Q104" i="2"/>
  <c r="Q99" i="3"/>
  <c r="K100" i="3"/>
  <c r="J100" i="3"/>
  <c r="G100" i="3"/>
  <c r="H100" i="3" s="1"/>
  <c r="I100" i="3" s="1"/>
  <c r="F101" i="3"/>
  <c r="O100" i="3"/>
  <c r="N101" i="3"/>
  <c r="P100" i="3"/>
  <c r="F720" i="2"/>
  <c r="E730" i="2"/>
  <c r="E726" i="2"/>
  <c r="F726" i="2" s="1"/>
  <c r="E735" i="2"/>
  <c r="E727" i="2"/>
  <c r="E733" i="2"/>
  <c r="E725" i="2"/>
  <c r="F725" i="2" s="1"/>
  <c r="E728" i="2"/>
  <c r="E729" i="2"/>
  <c r="F729" i="2" s="1"/>
  <c r="E732" i="2"/>
  <c r="F732" i="2" s="1"/>
  <c r="F724" i="2"/>
  <c r="E734" i="2" s="1"/>
  <c r="F734" i="2" s="1"/>
  <c r="I104" i="2"/>
  <c r="N103" i="2"/>
  <c r="J103" i="2"/>
  <c r="K102" i="2" s="1"/>
  <c r="L102" i="2" s="1"/>
  <c r="F715" i="2"/>
  <c r="F716" i="2"/>
  <c r="F713" i="2"/>
  <c r="F718" i="2"/>
  <c r="F723" i="2"/>
  <c r="S104" i="2" l="1"/>
  <c r="Q105" i="2"/>
  <c r="O101" i="3"/>
  <c r="P101" i="3"/>
  <c r="N102" i="3"/>
  <c r="K101" i="3"/>
  <c r="J101" i="3"/>
  <c r="F102" i="3"/>
  <c r="G101" i="3"/>
  <c r="H101" i="3" s="1"/>
  <c r="I101" i="3" s="1"/>
  <c r="Q100" i="3"/>
  <c r="F733" i="2"/>
  <c r="I105" i="2"/>
  <c r="J104" i="2"/>
  <c r="K103" i="2" s="1"/>
  <c r="L103" i="2" s="1"/>
  <c r="N104" i="2"/>
  <c r="F728" i="2"/>
  <c r="F727" i="2"/>
  <c r="E736" i="2"/>
  <c r="E731" i="2"/>
  <c r="F731" i="2" s="1"/>
  <c r="S105" i="2" l="1"/>
  <c r="Q106" i="2"/>
  <c r="Q101" i="3"/>
  <c r="O102" i="3"/>
  <c r="P102" i="3"/>
  <c r="N103" i="3"/>
  <c r="J102" i="3"/>
  <c r="F103" i="3"/>
  <c r="K102" i="3"/>
  <c r="G102" i="3"/>
  <c r="H102" i="3" s="1"/>
  <c r="I102" i="3" s="1"/>
  <c r="F730" i="2"/>
  <c r="E748" i="2"/>
  <c r="E741" i="2"/>
  <c r="E737" i="2"/>
  <c r="F737" i="2" s="1"/>
  <c r="E746" i="2"/>
  <c r="F746" i="2" s="1"/>
  <c r="E738" i="2"/>
  <c r="E747" i="2"/>
  <c r="E739" i="2"/>
  <c r="F739" i="2" s="1"/>
  <c r="F736" i="2"/>
  <c r="E745" i="2" s="1"/>
  <c r="F745" i="2" s="1"/>
  <c r="E740" i="2"/>
  <c r="F740" i="2" s="1"/>
  <c r="E743" i="2"/>
  <c r="E744" i="2"/>
  <c r="N105" i="2"/>
  <c r="J105" i="2"/>
  <c r="K104" i="2" s="1"/>
  <c r="L104" i="2" s="1"/>
  <c r="I106" i="2"/>
  <c r="F735" i="2"/>
  <c r="S106" i="2" l="1"/>
  <c r="Q107" i="2"/>
  <c r="Q102" i="3"/>
  <c r="P103" i="3"/>
  <c r="O103" i="3"/>
  <c r="N104" i="3"/>
  <c r="F104" i="3"/>
  <c r="K103" i="3"/>
  <c r="G103" i="3"/>
  <c r="H103" i="3" s="1"/>
  <c r="I103" i="3" s="1"/>
  <c r="J103" i="3"/>
  <c r="F744" i="2"/>
  <c r="E756" i="2"/>
  <c r="E752" i="2"/>
  <c r="F752" i="2" s="1"/>
  <c r="E760" i="2"/>
  <c r="E753" i="2"/>
  <c r="F753" i="2" s="1"/>
  <c r="E749" i="2"/>
  <c r="E755" i="2"/>
  <c r="F755" i="2" s="1"/>
  <c r="F748" i="2"/>
  <c r="E757" i="2" s="1"/>
  <c r="F757" i="2" s="1"/>
  <c r="E758" i="2"/>
  <c r="E750" i="2"/>
  <c r="F750" i="2" s="1"/>
  <c r="E759" i="2"/>
  <c r="F759" i="2" s="1"/>
  <c r="E754" i="2"/>
  <c r="E751" i="2"/>
  <c r="F743" i="2"/>
  <c r="F747" i="2"/>
  <c r="F738" i="2"/>
  <c r="F741" i="2"/>
  <c r="N106" i="2"/>
  <c r="J106" i="2"/>
  <c r="K105" i="2" s="1"/>
  <c r="L105" i="2" s="1"/>
  <c r="I107" i="2"/>
  <c r="E742" i="2"/>
  <c r="F742" i="2" s="1"/>
  <c r="S107" i="2" l="1"/>
  <c r="Q108" i="2"/>
  <c r="Q103" i="3"/>
  <c r="K104" i="3"/>
  <c r="J104" i="3"/>
  <c r="G104" i="3"/>
  <c r="H104" i="3" s="1"/>
  <c r="I104" i="3" s="1"/>
  <c r="O104" i="3"/>
  <c r="P104" i="3"/>
  <c r="E767" i="2"/>
  <c r="E763" i="2"/>
  <c r="E768" i="2"/>
  <c r="F768" i="2" s="1"/>
  <c r="E766" i="2"/>
  <c r="F766" i="2" s="1"/>
  <c r="E769" i="2"/>
  <c r="F769" i="2" s="1"/>
  <c r="E765" i="2"/>
  <c r="F765" i="2" s="1"/>
  <c r="E770" i="2"/>
  <c r="E761" i="2"/>
  <c r="E762" i="2"/>
  <c r="F762" i="2" s="1"/>
  <c r="F760" i="2"/>
  <c r="E771" i="2" s="1"/>
  <c r="F749" i="2"/>
  <c r="F751" i="2"/>
  <c r="F758" i="2"/>
  <c r="F756" i="2"/>
  <c r="I108" i="2"/>
  <c r="J107" i="2"/>
  <c r="K106" i="2" s="1"/>
  <c r="L106" i="2" s="1"/>
  <c r="N107" i="2"/>
  <c r="F754" i="2"/>
  <c r="S108" i="2" l="1"/>
  <c r="Q109" i="2"/>
  <c r="Q104" i="3"/>
  <c r="Q12" i="3" s="1"/>
  <c r="K4" i="3" s="1"/>
  <c r="I109" i="2"/>
  <c r="N108" i="2"/>
  <c r="J108" i="2"/>
  <c r="K107" i="2" s="1"/>
  <c r="L107" i="2" s="1"/>
  <c r="F761" i="2"/>
  <c r="F770" i="2"/>
  <c r="F767" i="2"/>
  <c r="E772" i="2"/>
  <c r="E764" i="2"/>
  <c r="F764" i="2" s="1"/>
  <c r="S109" i="2" l="1"/>
  <c r="Q110" i="2"/>
  <c r="J9" i="3"/>
  <c r="N6" i="3"/>
  <c r="Q6" i="3"/>
  <c r="F763" i="2"/>
  <c r="E778" i="2"/>
  <c r="E774" i="2"/>
  <c r="F774" i="2" s="1"/>
  <c r="E783" i="2"/>
  <c r="F783" i="2" s="1"/>
  <c r="E775" i="2"/>
  <c r="E784" i="2"/>
  <c r="E776" i="2"/>
  <c r="E773" i="2"/>
  <c r="E780" i="2"/>
  <c r="E781" i="2"/>
  <c r="F772" i="2"/>
  <c r="E782" i="2" s="1"/>
  <c r="F782" i="2" s="1"/>
  <c r="N109" i="2"/>
  <c r="J109" i="2"/>
  <c r="K108" i="2" s="1"/>
  <c r="L108" i="2" s="1"/>
  <c r="I110" i="2"/>
  <c r="F771" i="2"/>
  <c r="S110" i="2" l="1"/>
  <c r="Q111" i="2"/>
  <c r="F781" i="2"/>
  <c r="F780" i="2"/>
  <c r="E796" i="2"/>
  <c r="E794" i="2"/>
  <c r="E788" i="2"/>
  <c r="F784" i="2"/>
  <c r="E793" i="2" s="1"/>
  <c r="F793" i="2" s="1"/>
  <c r="E787" i="2"/>
  <c r="F787" i="2" s="1"/>
  <c r="N110" i="2"/>
  <c r="J110" i="2"/>
  <c r="K109" i="2" s="1"/>
  <c r="L109" i="2" s="1"/>
  <c r="I111" i="2"/>
  <c r="F773" i="2"/>
  <c r="F775" i="2"/>
  <c r="E777" i="2"/>
  <c r="F777" i="2" s="1"/>
  <c r="E779" i="2"/>
  <c r="F779" i="2" s="1"/>
  <c r="S111" i="2" l="1"/>
  <c r="Q112" i="2"/>
  <c r="E804" i="2"/>
  <c r="E800" i="2"/>
  <c r="F800" i="2" s="1"/>
  <c r="E801" i="2"/>
  <c r="E797" i="2"/>
  <c r="F797" i="2" s="1"/>
  <c r="E807" i="2"/>
  <c r="E803" i="2"/>
  <c r="F803" i="2" s="1"/>
  <c r="E802" i="2"/>
  <c r="F802" i="2" s="1"/>
  <c r="F796" i="2"/>
  <c r="E808" i="2" s="1"/>
  <c r="E798" i="2"/>
  <c r="E799" i="2"/>
  <c r="F778" i="2"/>
  <c r="E791" i="2"/>
  <c r="E785" i="2"/>
  <c r="I112" i="2"/>
  <c r="N111" i="2"/>
  <c r="J111" i="2"/>
  <c r="K110" i="2" s="1"/>
  <c r="L110" i="2" s="1"/>
  <c r="E792" i="2"/>
  <c r="F792" i="2" s="1"/>
  <c r="E786" i="2"/>
  <c r="F786" i="2" s="1"/>
  <c r="E789" i="2"/>
  <c r="F789" i="2" s="1"/>
  <c r="F776" i="2"/>
  <c r="E795" i="2"/>
  <c r="F795" i="2" s="1"/>
  <c r="E790" i="2"/>
  <c r="F790" i="2" s="1"/>
  <c r="S112" i="2" l="1"/>
  <c r="Q113" i="2"/>
  <c r="E815" i="2"/>
  <c r="E811" i="2"/>
  <c r="E816" i="2"/>
  <c r="F816" i="2" s="1"/>
  <c r="E820" i="2"/>
  <c r="E817" i="2"/>
  <c r="E813" i="2"/>
  <c r="F813" i="2" s="1"/>
  <c r="E814" i="2"/>
  <c r="F814" i="2" s="1"/>
  <c r="E810" i="2"/>
  <c r="F810" i="2" s="1"/>
  <c r="E818" i="2"/>
  <c r="F808" i="2"/>
  <c r="E819" i="2" s="1"/>
  <c r="F819" i="2" s="1"/>
  <c r="F801" i="2"/>
  <c r="F785" i="2"/>
  <c r="F798" i="2"/>
  <c r="F807" i="2"/>
  <c r="E805" i="2"/>
  <c r="F804" i="2" s="1"/>
  <c r="F794" i="2"/>
  <c r="I113" i="2"/>
  <c r="N112" i="2"/>
  <c r="J112" i="2"/>
  <c r="K111" i="2" s="1"/>
  <c r="L111" i="2" s="1"/>
  <c r="F799" i="2"/>
  <c r="F791" i="2"/>
  <c r="E806" i="2"/>
  <c r="F806" i="2" s="1"/>
  <c r="F788" i="2"/>
  <c r="S113" i="2" l="1"/>
  <c r="Q114" i="2"/>
  <c r="F817" i="2"/>
  <c r="N113" i="2"/>
  <c r="I114" i="2"/>
  <c r="J113" i="2"/>
  <c r="K112" i="2" s="1"/>
  <c r="L112" i="2" s="1"/>
  <c r="E826" i="2"/>
  <c r="E822" i="2"/>
  <c r="F822" i="2" s="1"/>
  <c r="E823" i="2"/>
  <c r="E828" i="2"/>
  <c r="F828" i="2" s="1"/>
  <c r="E829" i="2"/>
  <c r="E825" i="2"/>
  <c r="F825" i="2" s="1"/>
  <c r="F820" i="2"/>
  <c r="E831" i="2" s="1"/>
  <c r="F815" i="2"/>
  <c r="F805" i="2"/>
  <c r="F818" i="2"/>
  <c r="E809" i="2"/>
  <c r="F809" i="2" s="1"/>
  <c r="E812" i="2"/>
  <c r="F812" i="2" s="1"/>
  <c r="S114" i="2" l="1"/>
  <c r="Q115" i="2"/>
  <c r="F823" i="2"/>
  <c r="F826" i="2"/>
  <c r="F811" i="2"/>
  <c r="E832" i="2"/>
  <c r="E827" i="2"/>
  <c r="F827" i="2" s="1"/>
  <c r="E830" i="2"/>
  <c r="F830" i="2" s="1"/>
  <c r="I115" i="2"/>
  <c r="J114" i="2"/>
  <c r="K113" i="2" s="1"/>
  <c r="L113" i="2" s="1"/>
  <c r="N114" i="2"/>
  <c r="E821" i="2"/>
  <c r="F821" i="2" s="1"/>
  <c r="E824" i="2"/>
  <c r="F824" i="2" s="1"/>
  <c r="S115" i="2" l="1"/>
  <c r="Q116" i="2"/>
  <c r="J115" i="2"/>
  <c r="K114" i="2" s="1"/>
  <c r="L114" i="2" s="1"/>
  <c r="I116" i="2"/>
  <c r="N115" i="2"/>
  <c r="F829" i="2"/>
  <c r="E844" i="2"/>
  <c r="E833" i="2"/>
  <c r="E842" i="2"/>
  <c r="F842" i="2" s="1"/>
  <c r="E843" i="2"/>
  <c r="E839" i="2"/>
  <c r="F832" i="2"/>
  <c r="E841" i="2" s="1"/>
  <c r="F841" i="2" s="1"/>
  <c r="E836" i="2"/>
  <c r="E840" i="2"/>
  <c r="F831" i="2"/>
  <c r="S116" i="2" l="1"/>
  <c r="Q117" i="2"/>
  <c r="F840" i="2"/>
  <c r="F839" i="2"/>
  <c r="E853" i="2"/>
  <c r="E849" i="2"/>
  <c r="E851" i="2"/>
  <c r="F844" i="2"/>
  <c r="E854" i="2" s="1"/>
  <c r="N116" i="2"/>
  <c r="J116" i="2"/>
  <c r="K115" i="2" s="1"/>
  <c r="L115" i="2" s="1"/>
  <c r="I117" i="2"/>
  <c r="F836" i="2"/>
  <c r="F843" i="2"/>
  <c r="E834" i="2"/>
  <c r="F834" i="2" s="1"/>
  <c r="E837" i="2"/>
  <c r="F837" i="2" s="1"/>
  <c r="E835" i="2"/>
  <c r="F835" i="2" s="1"/>
  <c r="E838" i="2"/>
  <c r="F838" i="2" s="1"/>
  <c r="S117" i="2" l="1"/>
  <c r="Q118" i="2"/>
  <c r="F853" i="2"/>
  <c r="F833" i="2"/>
  <c r="I118" i="2"/>
  <c r="N117" i="2"/>
  <c r="J117" i="2"/>
  <c r="K116" i="2" s="1"/>
  <c r="L116" i="2" s="1"/>
  <c r="E846" i="2"/>
  <c r="E848" i="2"/>
  <c r="F848" i="2" s="1"/>
  <c r="E856" i="2"/>
  <c r="E855" i="2"/>
  <c r="E850" i="2"/>
  <c r="F850" i="2" s="1"/>
  <c r="E852" i="2"/>
  <c r="F852" i="2" s="1"/>
  <c r="E847" i="2"/>
  <c r="F847" i="2" s="1"/>
  <c r="E845" i="2"/>
  <c r="F845" i="2" s="1"/>
  <c r="S118" i="2" l="1"/>
  <c r="Q119" i="2"/>
  <c r="E864" i="2"/>
  <c r="E860" i="2"/>
  <c r="E865" i="2"/>
  <c r="F865" i="2" s="1"/>
  <c r="E857" i="2"/>
  <c r="E866" i="2"/>
  <c r="E858" i="2"/>
  <c r="F858" i="2" s="1"/>
  <c r="E859" i="2"/>
  <c r="E862" i="2"/>
  <c r="E863" i="2"/>
  <c r="F863" i="2" s="1"/>
  <c r="F856" i="2"/>
  <c r="E868" i="2" s="1"/>
  <c r="F855" i="2"/>
  <c r="F846" i="2"/>
  <c r="F849" i="2"/>
  <c r="I119" i="2"/>
  <c r="N118" i="2"/>
  <c r="J118" i="2"/>
  <c r="K117" i="2" s="1"/>
  <c r="L117" i="2" s="1"/>
  <c r="F851" i="2"/>
  <c r="F854" i="2"/>
  <c r="S119" i="2" l="1"/>
  <c r="Q120" i="2"/>
  <c r="E877" i="2"/>
  <c r="E880" i="2"/>
  <c r="E879" i="2"/>
  <c r="E878" i="2"/>
  <c r="F878" i="2" s="1"/>
  <c r="E871" i="2"/>
  <c r="E873" i="2"/>
  <c r="F868" i="2"/>
  <c r="E876" i="2" s="1"/>
  <c r="F876" i="2" s="1"/>
  <c r="F862" i="2"/>
  <c r="F859" i="2"/>
  <c r="F857" i="2"/>
  <c r="F864" i="2"/>
  <c r="J119" i="2"/>
  <c r="K118" i="2" s="1"/>
  <c r="L118" i="2" s="1"/>
  <c r="I120" i="2"/>
  <c r="N119" i="2"/>
  <c r="E867" i="2"/>
  <c r="F867" i="2" s="1"/>
  <c r="E861" i="2"/>
  <c r="F861" i="2" s="1"/>
  <c r="S120" i="2" l="1"/>
  <c r="Q121" i="2"/>
  <c r="F860" i="2"/>
  <c r="E887" i="2"/>
  <c r="E883" i="2"/>
  <c r="E892" i="2"/>
  <c r="E882" i="2"/>
  <c r="E886" i="2"/>
  <c r="F886" i="2" s="1"/>
  <c r="E885" i="2"/>
  <c r="E890" i="2"/>
  <c r="E889" i="2"/>
  <c r="F889" i="2" s="1"/>
  <c r="E881" i="2"/>
  <c r="F881" i="2" s="1"/>
  <c r="F880" i="2"/>
  <c r="E891" i="2" s="1"/>
  <c r="F891" i="2" s="1"/>
  <c r="F879" i="2"/>
  <c r="F877" i="2"/>
  <c r="F866" i="2"/>
  <c r="E870" i="2"/>
  <c r="F870" i="2" s="1"/>
  <c r="E869" i="2"/>
  <c r="F869" i="2" s="1"/>
  <c r="E872" i="2"/>
  <c r="F872" i="2" s="1"/>
  <c r="N120" i="2"/>
  <c r="J120" i="2"/>
  <c r="K119" i="2" s="1"/>
  <c r="L119" i="2" s="1"/>
  <c r="I121" i="2"/>
  <c r="E875" i="2"/>
  <c r="F875" i="2" s="1"/>
  <c r="E874" i="2"/>
  <c r="F874" i="2" s="1"/>
  <c r="S121" i="2" l="1"/>
  <c r="Q122" i="2"/>
  <c r="F871" i="2"/>
  <c r="F890" i="2"/>
  <c r="F882" i="2"/>
  <c r="F873" i="2"/>
  <c r="E884" i="2"/>
  <c r="F884" i="2" s="1"/>
  <c r="E888" i="2"/>
  <c r="F888" i="2" s="1"/>
  <c r="J121" i="2"/>
  <c r="K120" i="2" s="1"/>
  <c r="L120" i="2" s="1"/>
  <c r="N121" i="2"/>
  <c r="I122" i="2"/>
  <c r="F885" i="2"/>
  <c r="E894" i="2"/>
  <c r="E896" i="2"/>
  <c r="E899" i="2"/>
  <c r="F892" i="2"/>
  <c r="E903" i="2" s="1"/>
  <c r="S122" i="2" l="1"/>
  <c r="Q123" i="2"/>
  <c r="I123" i="2"/>
  <c r="N122" i="2"/>
  <c r="J122" i="2"/>
  <c r="K121" i="2" s="1"/>
  <c r="L121" i="2" s="1"/>
  <c r="E900" i="2"/>
  <c r="F900" i="2" s="1"/>
  <c r="E904" i="2"/>
  <c r="E898" i="2"/>
  <c r="F898" i="2" s="1"/>
  <c r="F899" i="2"/>
  <c r="E901" i="2"/>
  <c r="E897" i="2"/>
  <c r="F897" i="2" s="1"/>
  <c r="E902" i="2"/>
  <c r="F902" i="2" s="1"/>
  <c r="E893" i="2"/>
  <c r="F893" i="2" s="1"/>
  <c r="E895" i="2"/>
  <c r="F895" i="2" s="1"/>
  <c r="F887" i="2"/>
  <c r="F883" i="2"/>
  <c r="S123" i="2" l="1"/>
  <c r="Q124" i="2"/>
  <c r="N123" i="2"/>
  <c r="I124" i="2"/>
  <c r="J123" i="2"/>
  <c r="K122" i="2" s="1"/>
  <c r="L122" i="2" s="1"/>
  <c r="F901" i="2"/>
  <c r="F896" i="2"/>
  <c r="F894" i="2"/>
  <c r="E916" i="2"/>
  <c r="E913" i="2"/>
  <c r="F913" i="2" s="1"/>
  <c r="E905" i="2"/>
  <c r="E914" i="2"/>
  <c r="F914" i="2" s="1"/>
  <c r="E908" i="2"/>
  <c r="F904" i="2"/>
  <c r="E909" i="2" s="1"/>
  <c r="F909" i="2" s="1"/>
  <c r="E906" i="2"/>
  <c r="E912" i="2"/>
  <c r="E911" i="2"/>
  <c r="F911" i="2" s="1"/>
  <c r="E910" i="2"/>
  <c r="E915" i="2"/>
  <c r="E907" i="2"/>
  <c r="F903" i="2"/>
  <c r="S124" i="2" l="1"/>
  <c r="Q125" i="2"/>
  <c r="F912" i="2"/>
  <c r="F906" i="2"/>
  <c r="J124" i="2"/>
  <c r="K123" i="2" s="1"/>
  <c r="L123" i="2" s="1"/>
  <c r="I125" i="2"/>
  <c r="N124" i="2"/>
  <c r="F908" i="2"/>
  <c r="F907" i="2"/>
  <c r="E920" i="2"/>
  <c r="F920" i="2" s="1"/>
  <c r="E928" i="2"/>
  <c r="E923" i="2"/>
  <c r="E922" i="2"/>
  <c r="E921" i="2"/>
  <c r="E919" i="2"/>
  <c r="F919" i="2" s="1"/>
  <c r="E926" i="2"/>
  <c r="E925" i="2"/>
  <c r="E917" i="2"/>
  <c r="F916" i="2"/>
  <c r="E924" i="2" s="1"/>
  <c r="F924" i="2" s="1"/>
  <c r="F915" i="2"/>
  <c r="F905" i="2"/>
  <c r="F910" i="2"/>
  <c r="S125" i="2" l="1"/>
  <c r="Q126" i="2"/>
  <c r="F925" i="2"/>
  <c r="F921" i="2"/>
  <c r="E935" i="2"/>
  <c r="E940" i="2"/>
  <c r="E936" i="2"/>
  <c r="F928" i="2"/>
  <c r="E931" i="2" s="1"/>
  <c r="I126" i="2"/>
  <c r="J125" i="2"/>
  <c r="K124" i="2" s="1"/>
  <c r="L124" i="2" s="1"/>
  <c r="N125" i="2"/>
  <c r="F917" i="2"/>
  <c r="F923" i="2"/>
  <c r="F922" i="2"/>
  <c r="E927" i="2"/>
  <c r="F927" i="2" s="1"/>
  <c r="E918" i="2"/>
  <c r="F918" i="2" s="1"/>
  <c r="S126" i="2" l="1"/>
  <c r="Q127" i="2"/>
  <c r="J126" i="2"/>
  <c r="K125" i="2" s="1"/>
  <c r="L125" i="2" s="1"/>
  <c r="I127" i="2"/>
  <c r="N126" i="2"/>
  <c r="E946" i="2"/>
  <c r="E941" i="2"/>
  <c r="E943" i="2"/>
  <c r="F940" i="2"/>
  <c r="E942" i="2" s="1"/>
  <c r="F942" i="2" s="1"/>
  <c r="E937" i="2"/>
  <c r="F936" i="2" s="1"/>
  <c r="E929" i="2"/>
  <c r="E939" i="2"/>
  <c r="F939" i="2" s="1"/>
  <c r="E932" i="2"/>
  <c r="F932" i="2" s="1"/>
  <c r="E938" i="2"/>
  <c r="F938" i="2" s="1"/>
  <c r="E934" i="2"/>
  <c r="F934" i="2" s="1"/>
  <c r="F935" i="2"/>
  <c r="F926" i="2"/>
  <c r="E933" i="2"/>
  <c r="F933" i="2" s="1"/>
  <c r="E930" i="2"/>
  <c r="F930" i="2" s="1"/>
  <c r="S127" i="2" l="1"/>
  <c r="Q128" i="2"/>
  <c r="E944" i="2"/>
  <c r="E950" i="2"/>
  <c r="E945" i="2"/>
  <c r="F945" i="2" s="1"/>
  <c r="E947" i="2"/>
  <c r="E949" i="2"/>
  <c r="F949" i="2" s="1"/>
  <c r="F937" i="2"/>
  <c r="F941" i="2"/>
  <c r="F946" i="2"/>
  <c r="N127" i="2"/>
  <c r="J127" i="2"/>
  <c r="K126" i="2" s="1"/>
  <c r="L126" i="2" s="1"/>
  <c r="I128" i="2"/>
  <c r="E951" i="2"/>
  <c r="F951" i="2" s="1"/>
  <c r="F929" i="2"/>
  <c r="E952" i="2"/>
  <c r="E948" i="2"/>
  <c r="F948" i="2" s="1"/>
  <c r="F931" i="2"/>
  <c r="S128" i="2" l="1"/>
  <c r="Q129" i="2"/>
  <c r="F950" i="2"/>
  <c r="E961" i="2"/>
  <c r="E957" i="2"/>
  <c r="E953" i="2"/>
  <c r="E955" i="2"/>
  <c r="E959" i="2"/>
  <c r="E958" i="2"/>
  <c r="F958" i="2" s="1"/>
  <c r="E963" i="2"/>
  <c r="E962" i="2"/>
  <c r="F962" i="2" s="1"/>
  <c r="E954" i="2"/>
  <c r="F954" i="2" s="1"/>
  <c r="F952" i="2"/>
  <c r="E964" i="2" s="1"/>
  <c r="I129" i="2"/>
  <c r="J128" i="2"/>
  <c r="K127" i="2" s="1"/>
  <c r="L127" i="2" s="1"/>
  <c r="N128" i="2"/>
  <c r="F947" i="2"/>
  <c r="F944" i="2"/>
  <c r="F943" i="2"/>
  <c r="S129" i="2" l="1"/>
  <c r="Q130" i="2"/>
  <c r="E975" i="2"/>
  <c r="E970" i="2"/>
  <c r="E967" i="2"/>
  <c r="F964" i="2"/>
  <c r="E972" i="2" s="1"/>
  <c r="E969" i="2"/>
  <c r="F969" i="2" s="1"/>
  <c r="F953" i="2"/>
  <c r="F959" i="2"/>
  <c r="F957" i="2"/>
  <c r="I130" i="2"/>
  <c r="N129" i="2"/>
  <c r="J129" i="2"/>
  <c r="K128" i="2" s="1"/>
  <c r="L128" i="2" s="1"/>
  <c r="F963" i="2"/>
  <c r="F961" i="2"/>
  <c r="E956" i="2"/>
  <c r="F956" i="2" s="1"/>
  <c r="E960" i="2"/>
  <c r="F960" i="2" s="1"/>
  <c r="S130" i="2" l="1"/>
  <c r="Q131" i="2"/>
  <c r="F970" i="2"/>
  <c r="F955" i="2"/>
  <c r="E974" i="2"/>
  <c r="F974" i="2" s="1"/>
  <c r="E976" i="2"/>
  <c r="E968" i="2"/>
  <c r="F968" i="2" s="1"/>
  <c r="E971" i="2"/>
  <c r="F971" i="2" s="1"/>
  <c r="J130" i="2"/>
  <c r="K129" i="2" s="1"/>
  <c r="L129" i="2" s="1"/>
  <c r="I131" i="2"/>
  <c r="N130" i="2"/>
  <c r="E973" i="2"/>
  <c r="F973" i="2" s="1"/>
  <c r="E966" i="2"/>
  <c r="F966" i="2" s="1"/>
  <c r="E965" i="2"/>
  <c r="F965" i="2" s="1"/>
  <c r="S131" i="2" l="1"/>
  <c r="Q132" i="2"/>
  <c r="N131" i="2"/>
  <c r="J131" i="2"/>
  <c r="K130" i="2" s="1"/>
  <c r="L130" i="2" s="1"/>
  <c r="I132" i="2"/>
  <c r="F976" i="2"/>
  <c r="E983" i="2" s="1"/>
  <c r="F967" i="2"/>
  <c r="F975" i="2"/>
  <c r="F972" i="2"/>
  <c r="S132" i="2" l="1"/>
  <c r="Q133" i="2"/>
  <c r="E985" i="2"/>
  <c r="E984" i="2"/>
  <c r="F984" i="2" s="1"/>
  <c r="E977" i="2"/>
  <c r="F977" i="2" s="1"/>
  <c r="E981" i="2"/>
  <c r="F981" i="2" s="1"/>
  <c r="E987" i="2"/>
  <c r="E978" i="2"/>
  <c r="F978" i="2" s="1"/>
  <c r="E986" i="2"/>
  <c r="F986" i="2" s="1"/>
  <c r="E988" i="2"/>
  <c r="E979" i="2"/>
  <c r="E980" i="2"/>
  <c r="E982" i="2"/>
  <c r="F982" i="2" s="1"/>
  <c r="J132" i="2"/>
  <c r="K131" i="2" s="1"/>
  <c r="L131" i="2" s="1"/>
  <c r="N132" i="2"/>
  <c r="I133" i="2"/>
  <c r="S133" i="2" l="1"/>
  <c r="Q134" i="2"/>
  <c r="I134" i="2"/>
  <c r="J133" i="2"/>
  <c r="K132" i="2" s="1"/>
  <c r="L132" i="2" s="1"/>
  <c r="N133" i="2"/>
  <c r="E994" i="2"/>
  <c r="E990" i="2"/>
  <c r="E996" i="2"/>
  <c r="E997" i="2"/>
  <c r="E992" i="2"/>
  <c r="E1000" i="2"/>
  <c r="E989" i="2"/>
  <c r="E995" i="2"/>
  <c r="F995" i="2" s="1"/>
  <c r="E999" i="2"/>
  <c r="F999" i="2" s="1"/>
  <c r="F988" i="2"/>
  <c r="E998" i="2" s="1"/>
  <c r="F998" i="2" s="1"/>
  <c r="F980" i="2"/>
  <c r="F985" i="2"/>
  <c r="F979" i="2"/>
  <c r="F987" i="2"/>
  <c r="F983" i="2"/>
  <c r="S134" i="2" l="1"/>
  <c r="Q135" i="2"/>
  <c r="F989" i="2"/>
  <c r="F994" i="2"/>
  <c r="F997" i="2"/>
  <c r="E993" i="2"/>
  <c r="F993" i="2" s="1"/>
  <c r="E991" i="2"/>
  <c r="F991" i="2" s="1"/>
  <c r="F1000" i="2"/>
  <c r="E1012" i="2" s="1"/>
  <c r="F996" i="2"/>
  <c r="I135" i="2"/>
  <c r="N134" i="2"/>
  <c r="J134" i="2"/>
  <c r="K133" i="2" s="1"/>
  <c r="L133" i="2" s="1"/>
  <c r="S135" i="2" l="1"/>
  <c r="Q136" i="2"/>
  <c r="E1017" i="2"/>
  <c r="E1019" i="2"/>
  <c r="E1014" i="2"/>
  <c r="E1013" i="2"/>
  <c r="E1024" i="2"/>
  <c r="F1012" i="2"/>
  <c r="E1022" i="2" s="1"/>
  <c r="N135" i="2"/>
  <c r="J135" i="2"/>
  <c r="K134" i="2" s="1"/>
  <c r="L134" i="2" s="1"/>
  <c r="I136" i="2"/>
  <c r="E1003" i="2"/>
  <c r="F1003" i="2" s="1"/>
  <c r="E1001" i="2"/>
  <c r="F1001" i="2" s="1"/>
  <c r="E1004" i="2"/>
  <c r="E1008" i="2"/>
  <c r="E1005" i="2"/>
  <c r="F1005" i="2" s="1"/>
  <c r="E1006" i="2"/>
  <c r="E1002" i="2"/>
  <c r="E1009" i="2"/>
  <c r="F1009" i="2" s="1"/>
  <c r="F992" i="2"/>
  <c r="E1011" i="2"/>
  <c r="F1011" i="2" s="1"/>
  <c r="E1010" i="2"/>
  <c r="E1007" i="2"/>
  <c r="F1007" i="2" s="1"/>
  <c r="F990" i="2"/>
  <c r="S136" i="2" l="1"/>
  <c r="Q137" i="2"/>
  <c r="F1006" i="2"/>
  <c r="E1036" i="2"/>
  <c r="E1033" i="2"/>
  <c r="F1033" i="2" s="1"/>
  <c r="E1025" i="2"/>
  <c r="E1034" i="2"/>
  <c r="F1034" i="2" s="1"/>
  <c r="E1028" i="2"/>
  <c r="F1024" i="2"/>
  <c r="E1029" i="2" s="1"/>
  <c r="F1029" i="2" s="1"/>
  <c r="E1027" i="2"/>
  <c r="E1032" i="2"/>
  <c r="E1030" i="2"/>
  <c r="F1030" i="2" s="1"/>
  <c r="E1035" i="2"/>
  <c r="F1035" i="2" s="1"/>
  <c r="E1026" i="2"/>
  <c r="F1026" i="2" s="1"/>
  <c r="E1031" i="2"/>
  <c r="F1031" i="2" s="1"/>
  <c r="F1013" i="2"/>
  <c r="E1023" i="2"/>
  <c r="F1023" i="2" s="1"/>
  <c r="I137" i="2"/>
  <c r="J136" i="2"/>
  <c r="K135" i="2" s="1"/>
  <c r="L135" i="2" s="1"/>
  <c r="N136" i="2"/>
  <c r="E1015" i="2"/>
  <c r="F1014" i="2" s="1"/>
  <c r="E1020" i="2"/>
  <c r="F1020" i="2" s="1"/>
  <c r="E1018" i="2"/>
  <c r="F1018" i="2" s="1"/>
  <c r="F1008" i="2"/>
  <c r="F1010" i="2"/>
  <c r="F1002" i="2"/>
  <c r="F1004" i="2"/>
  <c r="E1016" i="2"/>
  <c r="F1016" i="2" s="1"/>
  <c r="E1021" i="2"/>
  <c r="F1021" i="2" s="1"/>
  <c r="S137" i="2" l="1"/>
  <c r="Q138" i="2"/>
  <c r="I138" i="2"/>
  <c r="N137" i="2"/>
  <c r="J137" i="2"/>
  <c r="K136" i="2" s="1"/>
  <c r="L136" i="2" s="1"/>
  <c r="F1028" i="2"/>
  <c r="F1019" i="2"/>
  <c r="F1032" i="2"/>
  <c r="E1044" i="2"/>
  <c r="E1038" i="2"/>
  <c r="E1037" i="2"/>
  <c r="F1037" i="2" s="1"/>
  <c r="F1036" i="2"/>
  <c r="E1040" i="2" s="1"/>
  <c r="E1039" i="2"/>
  <c r="F1027" i="2"/>
  <c r="F1025" i="2"/>
  <c r="F1015" i="2"/>
  <c r="F1017" i="2"/>
  <c r="F1022" i="2"/>
  <c r="S138" i="2" l="1"/>
  <c r="Q139" i="2"/>
  <c r="F1039" i="2"/>
  <c r="E1041" i="2"/>
  <c r="F1041" i="2" s="1"/>
  <c r="E1042" i="2"/>
  <c r="E1043" i="2"/>
  <c r="F1043" i="2" s="1"/>
  <c r="F1038" i="2"/>
  <c r="E1048" i="2"/>
  <c r="N138" i="2"/>
  <c r="J138" i="2"/>
  <c r="K137" i="2" s="1"/>
  <c r="L137" i="2" s="1"/>
  <c r="I139" i="2"/>
  <c r="E1045" i="2"/>
  <c r="E1046" i="2"/>
  <c r="F1046" i="2" s="1"/>
  <c r="E1047" i="2"/>
  <c r="F1047" i="2" s="1"/>
  <c r="S139" i="2" l="1"/>
  <c r="Q140" i="2"/>
  <c r="F1045" i="2"/>
  <c r="E1055" i="2"/>
  <c r="E1051" i="2"/>
  <c r="E1054" i="2"/>
  <c r="F1054" i="2" s="1"/>
  <c r="E1053" i="2"/>
  <c r="F1053" i="2" s="1"/>
  <c r="E1052" i="2"/>
  <c r="F1052" i="2" s="1"/>
  <c r="E1057" i="2"/>
  <c r="F1057" i="2" s="1"/>
  <c r="E1058" i="2"/>
  <c r="E1060" i="2"/>
  <c r="F1060" i="2" s="1"/>
  <c r="E1056" i="2"/>
  <c r="F1056" i="2" s="1"/>
  <c r="F1048" i="2"/>
  <c r="E1059" i="2" s="1"/>
  <c r="F1059" i="2" s="1"/>
  <c r="F1044" i="2"/>
  <c r="N139" i="2"/>
  <c r="I140" i="2"/>
  <c r="J139" i="2"/>
  <c r="K138" i="2" s="1"/>
  <c r="L138" i="2" s="1"/>
  <c r="F1042" i="2"/>
  <c r="F1040" i="2"/>
  <c r="S140" i="2" l="1"/>
  <c r="Q141" i="2"/>
  <c r="I141" i="2"/>
  <c r="J140" i="2"/>
  <c r="K139" i="2" s="1"/>
  <c r="L139" i="2" s="1"/>
  <c r="N140" i="2"/>
  <c r="F1051" i="2"/>
  <c r="F1055" i="2"/>
  <c r="K16" i="2"/>
  <c r="L16" i="2" s="1"/>
  <c r="K17" i="2"/>
  <c r="L17" i="2" s="1"/>
  <c r="K18" i="2"/>
  <c r="L18" i="2" s="1"/>
  <c r="K21" i="2"/>
  <c r="L21" i="2" s="1"/>
  <c r="F1058" i="2"/>
  <c r="E1050" i="2"/>
  <c r="F1050" i="2" s="1"/>
  <c r="E1049" i="2"/>
  <c r="S141" i="2" l="1"/>
  <c r="Q142" i="2"/>
  <c r="R17" i="2"/>
  <c r="M17" i="2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M103" i="2" s="1"/>
  <c r="M104" i="2" s="1"/>
  <c r="M105" i="2" s="1"/>
  <c r="M106" i="2" s="1"/>
  <c r="M107" i="2" s="1"/>
  <c r="M108" i="2" s="1"/>
  <c r="M109" i="2" s="1"/>
  <c r="M110" i="2" s="1"/>
  <c r="M111" i="2" s="1"/>
  <c r="M112" i="2" s="1"/>
  <c r="M113" i="2" s="1"/>
  <c r="M114" i="2" s="1"/>
  <c r="M115" i="2" s="1"/>
  <c r="M116" i="2" s="1"/>
  <c r="M117" i="2" s="1"/>
  <c r="M118" i="2" s="1"/>
  <c r="M119" i="2" s="1"/>
  <c r="M120" i="2" s="1"/>
  <c r="M121" i="2" s="1"/>
  <c r="M122" i="2" s="1"/>
  <c r="M123" i="2" s="1"/>
  <c r="M124" i="2" s="1"/>
  <c r="M125" i="2" s="1"/>
  <c r="M126" i="2" s="1"/>
  <c r="M127" i="2" s="1"/>
  <c r="M128" i="2" s="1"/>
  <c r="M129" i="2" s="1"/>
  <c r="M130" i="2" s="1"/>
  <c r="M131" i="2" s="1"/>
  <c r="M132" i="2" s="1"/>
  <c r="M133" i="2" s="1"/>
  <c r="M134" i="2" s="1"/>
  <c r="M135" i="2" s="1"/>
  <c r="M136" i="2" s="1"/>
  <c r="M137" i="2" s="1"/>
  <c r="M138" i="2" s="1"/>
  <c r="M139" i="2" s="1"/>
  <c r="M140" i="2" s="1"/>
  <c r="F1049" i="2"/>
  <c r="J141" i="2"/>
  <c r="K140" i="2" s="1"/>
  <c r="L140" i="2" s="1"/>
  <c r="I142" i="2"/>
  <c r="N141" i="2"/>
  <c r="M141" i="2" l="1"/>
  <c r="S142" i="2"/>
  <c r="Q143" i="2"/>
  <c r="N142" i="2"/>
  <c r="J142" i="2"/>
  <c r="K141" i="2" s="1"/>
  <c r="L141" i="2" s="1"/>
  <c r="M142" i="2" s="1"/>
  <c r="I143" i="2"/>
  <c r="R18" i="2"/>
  <c r="S143" i="2" l="1"/>
  <c r="Q144" i="2"/>
  <c r="I144" i="2"/>
  <c r="N143" i="2"/>
  <c r="J143" i="2"/>
  <c r="K142" i="2" s="1"/>
  <c r="L142" i="2" s="1"/>
  <c r="M143" i="2" s="1"/>
  <c r="R19" i="2"/>
  <c r="S144" i="2" l="1"/>
  <c r="Q145" i="2"/>
  <c r="R20" i="2"/>
  <c r="I145" i="2"/>
  <c r="N144" i="2"/>
  <c r="J144" i="2"/>
  <c r="K143" i="2" s="1"/>
  <c r="L143" i="2" s="1"/>
  <c r="M144" i="2" s="1"/>
  <c r="S145" i="2" l="1"/>
  <c r="Q146" i="2"/>
  <c r="R21" i="2"/>
  <c r="J145" i="2"/>
  <c r="K144" i="2" s="1"/>
  <c r="L144" i="2" s="1"/>
  <c r="M145" i="2" s="1"/>
  <c r="I146" i="2"/>
  <c r="N145" i="2"/>
  <c r="S146" i="2" l="1"/>
  <c r="Q147" i="2"/>
  <c r="R22" i="2"/>
  <c r="N146" i="2"/>
  <c r="J146" i="2"/>
  <c r="K145" i="2" s="1"/>
  <c r="L145" i="2" s="1"/>
  <c r="M146" i="2" s="1"/>
  <c r="I147" i="2"/>
  <c r="S147" i="2" l="1"/>
  <c r="Q148" i="2"/>
  <c r="R23" i="2"/>
  <c r="I148" i="2"/>
  <c r="N147" i="2"/>
  <c r="J147" i="2"/>
  <c r="K146" i="2" s="1"/>
  <c r="L146" i="2" s="1"/>
  <c r="M147" i="2" s="1"/>
  <c r="S148" i="2" l="1"/>
  <c r="Q149" i="2"/>
  <c r="I149" i="2"/>
  <c r="N148" i="2"/>
  <c r="J148" i="2"/>
  <c r="K147" i="2" s="1"/>
  <c r="L147" i="2" s="1"/>
  <c r="M148" i="2" s="1"/>
  <c r="R24" i="2"/>
  <c r="S149" i="2" l="1"/>
  <c r="Q150" i="2"/>
  <c r="R25" i="2"/>
  <c r="N149" i="2"/>
  <c r="J149" i="2"/>
  <c r="K148" i="2" s="1"/>
  <c r="L148" i="2" s="1"/>
  <c r="M149" i="2" s="1"/>
  <c r="I150" i="2"/>
  <c r="S150" i="2" l="1"/>
  <c r="Q151" i="2"/>
  <c r="N150" i="2"/>
  <c r="J150" i="2"/>
  <c r="K149" i="2" s="1"/>
  <c r="L149" i="2" s="1"/>
  <c r="M150" i="2" s="1"/>
  <c r="I151" i="2"/>
  <c r="R26" i="2"/>
  <c r="S151" i="2" l="1"/>
  <c r="Q152" i="2"/>
  <c r="R27" i="2"/>
  <c r="I152" i="2"/>
  <c r="N151" i="2"/>
  <c r="J151" i="2"/>
  <c r="K150" i="2" s="1"/>
  <c r="L150" i="2" s="1"/>
  <c r="M151" i="2" s="1"/>
  <c r="S152" i="2" l="1"/>
  <c r="Q153" i="2"/>
  <c r="R28" i="2"/>
  <c r="I153" i="2"/>
  <c r="J152" i="2"/>
  <c r="K151" i="2" s="1"/>
  <c r="L151" i="2" s="1"/>
  <c r="M152" i="2" s="1"/>
  <c r="N152" i="2"/>
  <c r="S153" i="2" l="1"/>
  <c r="Q154" i="2"/>
  <c r="R29" i="2"/>
  <c r="N153" i="2"/>
  <c r="J153" i="2"/>
  <c r="K152" i="2" s="1"/>
  <c r="L152" i="2" s="1"/>
  <c r="M153" i="2" s="1"/>
  <c r="I154" i="2"/>
  <c r="S154" i="2" l="1"/>
  <c r="Q155" i="2"/>
  <c r="R30" i="2"/>
  <c r="N154" i="2"/>
  <c r="J154" i="2"/>
  <c r="K153" i="2" s="1"/>
  <c r="L153" i="2" s="1"/>
  <c r="M154" i="2" s="1"/>
  <c r="I155" i="2"/>
  <c r="S155" i="2" l="1"/>
  <c r="Q156" i="2"/>
  <c r="R31" i="2"/>
  <c r="I156" i="2"/>
  <c r="J155" i="2"/>
  <c r="K154" i="2" s="1"/>
  <c r="L154" i="2" s="1"/>
  <c r="M155" i="2" s="1"/>
  <c r="N155" i="2"/>
  <c r="S156" i="2" l="1"/>
  <c r="Q157" i="2"/>
  <c r="R32" i="2"/>
  <c r="I157" i="2"/>
  <c r="N156" i="2"/>
  <c r="J156" i="2"/>
  <c r="K155" i="2" s="1"/>
  <c r="L155" i="2" s="1"/>
  <c r="M156" i="2" s="1"/>
  <c r="S157" i="2" l="1"/>
  <c r="Q158" i="2"/>
  <c r="R33" i="2"/>
  <c r="N157" i="2"/>
  <c r="J157" i="2"/>
  <c r="K156" i="2" s="1"/>
  <c r="L156" i="2" s="1"/>
  <c r="M157" i="2" s="1"/>
  <c r="I158" i="2"/>
  <c r="S158" i="2" l="1"/>
  <c r="Q159" i="2"/>
  <c r="R34" i="2"/>
  <c r="N158" i="2"/>
  <c r="J158" i="2"/>
  <c r="K157" i="2" s="1"/>
  <c r="L157" i="2" s="1"/>
  <c r="M158" i="2" s="1"/>
  <c r="I159" i="2"/>
  <c r="S159" i="2" l="1"/>
  <c r="Q160" i="2"/>
  <c r="R35" i="2"/>
  <c r="I160" i="2"/>
  <c r="N159" i="2"/>
  <c r="J159" i="2"/>
  <c r="K158" i="2" s="1"/>
  <c r="L158" i="2" s="1"/>
  <c r="M159" i="2" s="1"/>
  <c r="S160" i="2" l="1"/>
  <c r="Q161" i="2"/>
  <c r="R36" i="2"/>
  <c r="N160" i="2"/>
  <c r="J160" i="2"/>
  <c r="K159" i="2" s="1"/>
  <c r="L159" i="2" s="1"/>
  <c r="M160" i="2" s="1"/>
  <c r="I161" i="2"/>
  <c r="S161" i="2" l="1"/>
  <c r="Q162" i="2"/>
  <c r="R37" i="2"/>
  <c r="N161" i="2"/>
  <c r="J161" i="2"/>
  <c r="K160" i="2" s="1"/>
  <c r="L160" i="2" s="1"/>
  <c r="M161" i="2" s="1"/>
  <c r="I162" i="2"/>
  <c r="S162" i="2" l="1"/>
  <c r="Q163" i="2"/>
  <c r="R38" i="2"/>
  <c r="I163" i="2"/>
  <c r="J162" i="2"/>
  <c r="K161" i="2" s="1"/>
  <c r="L161" i="2" s="1"/>
  <c r="M162" i="2" s="1"/>
  <c r="N162" i="2"/>
  <c r="S163" i="2" l="1"/>
  <c r="Q164" i="2"/>
  <c r="R39" i="2"/>
  <c r="I164" i="2"/>
  <c r="J163" i="2"/>
  <c r="K162" i="2" s="1"/>
  <c r="L162" i="2" s="1"/>
  <c r="M163" i="2" s="1"/>
  <c r="N163" i="2"/>
  <c r="S164" i="2" l="1"/>
  <c r="Q165" i="2"/>
  <c r="R40" i="2"/>
  <c r="N164" i="2"/>
  <c r="J164" i="2"/>
  <c r="K163" i="2" s="1"/>
  <c r="L163" i="2" s="1"/>
  <c r="M164" i="2" s="1"/>
  <c r="I165" i="2"/>
  <c r="S165" i="2" l="1"/>
  <c r="Q166" i="2"/>
  <c r="R41" i="2"/>
  <c r="N165" i="2"/>
  <c r="J165" i="2"/>
  <c r="K164" i="2" s="1"/>
  <c r="L164" i="2" s="1"/>
  <c r="M165" i="2" s="1"/>
  <c r="I166" i="2"/>
  <c r="S166" i="2" l="1"/>
  <c r="Q167" i="2"/>
  <c r="R42" i="2"/>
  <c r="I167" i="2"/>
  <c r="N166" i="2"/>
  <c r="J166" i="2"/>
  <c r="K165" i="2" s="1"/>
  <c r="L165" i="2" s="1"/>
  <c r="M166" i="2" s="1"/>
  <c r="S167" i="2" l="1"/>
  <c r="Q168" i="2"/>
  <c r="R43" i="2"/>
  <c r="I168" i="2"/>
  <c r="N167" i="2"/>
  <c r="J167" i="2"/>
  <c r="K166" i="2" s="1"/>
  <c r="L166" i="2" s="1"/>
  <c r="M167" i="2" s="1"/>
  <c r="S168" i="2" l="1"/>
  <c r="Q169" i="2"/>
  <c r="R44" i="2"/>
  <c r="N168" i="2"/>
  <c r="J168" i="2"/>
  <c r="K167" i="2" s="1"/>
  <c r="L167" i="2" s="1"/>
  <c r="M168" i="2" s="1"/>
  <c r="I169" i="2"/>
  <c r="S169" i="2" l="1"/>
  <c r="Q170" i="2"/>
  <c r="R45" i="2"/>
  <c r="N169" i="2"/>
  <c r="J169" i="2"/>
  <c r="K168" i="2" s="1"/>
  <c r="L168" i="2" s="1"/>
  <c r="M169" i="2" s="1"/>
  <c r="I170" i="2"/>
  <c r="S170" i="2" l="1"/>
  <c r="Q171" i="2"/>
  <c r="R46" i="2"/>
  <c r="I171" i="2"/>
  <c r="J170" i="2"/>
  <c r="K169" i="2" s="1"/>
  <c r="L169" i="2" s="1"/>
  <c r="M170" i="2" s="1"/>
  <c r="N170" i="2"/>
  <c r="S171" i="2" l="1"/>
  <c r="Q172" i="2"/>
  <c r="R47" i="2"/>
  <c r="I172" i="2"/>
  <c r="J171" i="2"/>
  <c r="K170" i="2" s="1"/>
  <c r="L170" i="2" s="1"/>
  <c r="M171" i="2" s="1"/>
  <c r="N171" i="2"/>
  <c r="S172" i="2" l="1"/>
  <c r="Q173" i="2"/>
  <c r="R48" i="2"/>
  <c r="N172" i="2"/>
  <c r="J172" i="2"/>
  <c r="K171" i="2" s="1"/>
  <c r="L171" i="2" s="1"/>
  <c r="M172" i="2" s="1"/>
  <c r="I173" i="2"/>
  <c r="S173" i="2" l="1"/>
  <c r="Q174" i="2"/>
  <c r="R49" i="2"/>
  <c r="I174" i="2"/>
  <c r="J173" i="2"/>
  <c r="K172" i="2" s="1"/>
  <c r="L172" i="2" s="1"/>
  <c r="M173" i="2" s="1"/>
  <c r="N173" i="2"/>
  <c r="S174" i="2" l="1"/>
  <c r="Q175" i="2"/>
  <c r="R50" i="2"/>
  <c r="I175" i="2"/>
  <c r="J174" i="2"/>
  <c r="K173" i="2" s="1"/>
  <c r="L173" i="2" s="1"/>
  <c r="M174" i="2" s="1"/>
  <c r="N174" i="2"/>
  <c r="S175" i="2" l="1"/>
  <c r="Q176" i="2"/>
  <c r="R51" i="2"/>
  <c r="N175" i="2"/>
  <c r="J175" i="2"/>
  <c r="K174" i="2" s="1"/>
  <c r="L174" i="2" s="1"/>
  <c r="M175" i="2" s="1"/>
  <c r="I176" i="2"/>
  <c r="S176" i="2" l="1"/>
  <c r="Q177" i="2"/>
  <c r="R52" i="2"/>
  <c r="N176" i="2"/>
  <c r="J176" i="2"/>
  <c r="K175" i="2" s="1"/>
  <c r="L175" i="2" s="1"/>
  <c r="M176" i="2" s="1"/>
  <c r="I177" i="2"/>
  <c r="S177" i="2" l="1"/>
  <c r="Q178" i="2"/>
  <c r="R53" i="2"/>
  <c r="I178" i="2"/>
  <c r="N177" i="2"/>
  <c r="J177" i="2"/>
  <c r="K176" i="2" s="1"/>
  <c r="L176" i="2" s="1"/>
  <c r="M177" i="2" s="1"/>
  <c r="S178" i="2" l="1"/>
  <c r="Q179" i="2"/>
  <c r="R54" i="2"/>
  <c r="I179" i="2"/>
  <c r="N178" i="2"/>
  <c r="J178" i="2"/>
  <c r="K177" i="2" s="1"/>
  <c r="L177" i="2" s="1"/>
  <c r="M178" i="2" s="1"/>
  <c r="S179" i="2" l="1"/>
  <c r="Q180" i="2"/>
  <c r="R55" i="2"/>
  <c r="N179" i="2"/>
  <c r="J179" i="2"/>
  <c r="K178" i="2" s="1"/>
  <c r="L178" i="2" s="1"/>
  <c r="M179" i="2" s="1"/>
  <c r="I180" i="2"/>
  <c r="S180" i="2" l="1"/>
  <c r="Q181" i="2"/>
  <c r="R56" i="2"/>
  <c r="N180" i="2"/>
  <c r="J180" i="2"/>
  <c r="K179" i="2" s="1"/>
  <c r="L179" i="2" s="1"/>
  <c r="M180" i="2" s="1"/>
  <c r="I181" i="2"/>
  <c r="S181" i="2" l="1"/>
  <c r="Q182" i="2"/>
  <c r="R57" i="2"/>
  <c r="I182" i="2"/>
  <c r="J181" i="2"/>
  <c r="K180" i="2" s="1"/>
  <c r="L180" i="2" s="1"/>
  <c r="M181" i="2" s="1"/>
  <c r="N181" i="2"/>
  <c r="S182" i="2" l="1"/>
  <c r="Q183" i="2"/>
  <c r="R58" i="2"/>
  <c r="I183" i="2"/>
  <c r="J182" i="2"/>
  <c r="K181" i="2" s="1"/>
  <c r="L181" i="2" s="1"/>
  <c r="M182" i="2" s="1"/>
  <c r="N182" i="2"/>
  <c r="S183" i="2" l="1"/>
  <c r="Q184" i="2"/>
  <c r="R59" i="2"/>
  <c r="N183" i="2"/>
  <c r="J183" i="2"/>
  <c r="K182" i="2" s="1"/>
  <c r="L182" i="2" s="1"/>
  <c r="M183" i="2" s="1"/>
  <c r="I184" i="2"/>
  <c r="S184" i="2" l="1"/>
  <c r="Q185" i="2"/>
  <c r="R60" i="2"/>
  <c r="I185" i="2"/>
  <c r="N184" i="2"/>
  <c r="J184" i="2"/>
  <c r="K183" i="2" s="1"/>
  <c r="L183" i="2" s="1"/>
  <c r="M184" i="2" s="1"/>
  <c r="S185" i="2" l="1"/>
  <c r="Q186" i="2"/>
  <c r="R61" i="2"/>
  <c r="I186" i="2"/>
  <c r="N185" i="2"/>
  <c r="J185" i="2"/>
  <c r="K184" i="2" s="1"/>
  <c r="L184" i="2" s="1"/>
  <c r="M185" i="2" s="1"/>
  <c r="S186" i="2" l="1"/>
  <c r="Q187" i="2"/>
  <c r="R62" i="2"/>
  <c r="N186" i="2"/>
  <c r="J186" i="2"/>
  <c r="K185" i="2" s="1"/>
  <c r="L185" i="2" s="1"/>
  <c r="M186" i="2" s="1"/>
  <c r="I187" i="2"/>
  <c r="S187" i="2" l="1"/>
  <c r="Q188" i="2"/>
  <c r="R63" i="2"/>
  <c r="N187" i="2"/>
  <c r="J187" i="2"/>
  <c r="K186" i="2" s="1"/>
  <c r="L186" i="2" s="1"/>
  <c r="M187" i="2" s="1"/>
  <c r="I188" i="2"/>
  <c r="S188" i="2" l="1"/>
  <c r="Q189" i="2"/>
  <c r="R64" i="2"/>
  <c r="I189" i="2"/>
  <c r="N188" i="2"/>
  <c r="J188" i="2"/>
  <c r="K187" i="2" s="1"/>
  <c r="L187" i="2" s="1"/>
  <c r="M188" i="2" s="1"/>
  <c r="S189" i="2" l="1"/>
  <c r="Q190" i="2"/>
  <c r="R65" i="2"/>
  <c r="I190" i="2"/>
  <c r="J189" i="2"/>
  <c r="K188" i="2" s="1"/>
  <c r="L188" i="2" s="1"/>
  <c r="M189" i="2" s="1"/>
  <c r="N189" i="2"/>
  <c r="S190" i="2" l="1"/>
  <c r="Q191" i="2"/>
  <c r="R66" i="2"/>
  <c r="N190" i="2"/>
  <c r="J190" i="2"/>
  <c r="K189" i="2" s="1"/>
  <c r="L189" i="2" s="1"/>
  <c r="M190" i="2" s="1"/>
  <c r="I191" i="2"/>
  <c r="S191" i="2" l="1"/>
  <c r="Q192" i="2"/>
  <c r="R67" i="2"/>
  <c r="N191" i="2"/>
  <c r="J191" i="2"/>
  <c r="K190" i="2" s="1"/>
  <c r="L190" i="2" s="1"/>
  <c r="M191" i="2" s="1"/>
  <c r="I192" i="2"/>
  <c r="S192" i="2" l="1"/>
  <c r="Q193" i="2"/>
  <c r="R68" i="2"/>
  <c r="I193" i="2"/>
  <c r="J192" i="2"/>
  <c r="K191" i="2" s="1"/>
  <c r="L191" i="2" s="1"/>
  <c r="M192" i="2" s="1"/>
  <c r="N192" i="2"/>
  <c r="S193" i="2" l="1"/>
  <c r="Q194" i="2"/>
  <c r="R69" i="2"/>
  <c r="I194" i="2"/>
  <c r="N193" i="2"/>
  <c r="J193" i="2"/>
  <c r="K192" i="2" s="1"/>
  <c r="L192" i="2" s="1"/>
  <c r="M193" i="2" s="1"/>
  <c r="S194" i="2" l="1"/>
  <c r="Q195" i="2"/>
  <c r="R70" i="2"/>
  <c r="N194" i="2"/>
  <c r="J194" i="2"/>
  <c r="K193" i="2" s="1"/>
  <c r="L193" i="2" s="1"/>
  <c r="M194" i="2" s="1"/>
  <c r="I195" i="2"/>
  <c r="S195" i="2" l="1"/>
  <c r="Q196" i="2"/>
  <c r="R71" i="2"/>
  <c r="I196" i="2"/>
  <c r="N195" i="2"/>
  <c r="J195" i="2"/>
  <c r="K194" i="2" s="1"/>
  <c r="L194" i="2" s="1"/>
  <c r="M195" i="2" s="1"/>
  <c r="S196" i="2" l="1"/>
  <c r="Q197" i="2"/>
  <c r="R72" i="2"/>
  <c r="I197" i="2"/>
  <c r="N196" i="2"/>
  <c r="J196" i="2"/>
  <c r="K195" i="2" s="1"/>
  <c r="L195" i="2" s="1"/>
  <c r="M196" i="2" s="1"/>
  <c r="S197" i="2" l="1"/>
  <c r="Q198" i="2"/>
  <c r="R73" i="2"/>
  <c r="N197" i="2"/>
  <c r="J197" i="2"/>
  <c r="K196" i="2" s="1"/>
  <c r="L196" i="2" s="1"/>
  <c r="M197" i="2" s="1"/>
  <c r="I198" i="2"/>
  <c r="S198" i="2" l="1"/>
  <c r="Q199" i="2"/>
  <c r="R74" i="2"/>
  <c r="N198" i="2"/>
  <c r="J198" i="2"/>
  <c r="K197" i="2" s="1"/>
  <c r="L197" i="2" s="1"/>
  <c r="M198" i="2" s="1"/>
  <c r="I199" i="2"/>
  <c r="S199" i="2" l="1"/>
  <c r="Q200" i="2"/>
  <c r="R75" i="2"/>
  <c r="I200" i="2"/>
  <c r="N199" i="2"/>
  <c r="J199" i="2"/>
  <c r="K198" i="2" s="1"/>
  <c r="L198" i="2" s="1"/>
  <c r="M199" i="2" s="1"/>
  <c r="S200" i="2" l="1"/>
  <c r="Q201" i="2"/>
  <c r="R76" i="2"/>
  <c r="I201" i="2"/>
  <c r="J200" i="2"/>
  <c r="K199" i="2" s="1"/>
  <c r="L199" i="2" s="1"/>
  <c r="M200" i="2" s="1"/>
  <c r="N200" i="2"/>
  <c r="S201" i="2" l="1"/>
  <c r="Q202" i="2"/>
  <c r="T76" i="2"/>
  <c r="R77" i="2"/>
  <c r="N201" i="2"/>
  <c r="J201" i="2"/>
  <c r="K200" i="2" s="1"/>
  <c r="L200" i="2" s="1"/>
  <c r="M201" i="2" s="1"/>
  <c r="I202" i="2"/>
  <c r="S202" i="2" l="1"/>
  <c r="Q203" i="2"/>
  <c r="R78" i="2"/>
  <c r="T77" i="2"/>
  <c r="N202" i="2"/>
  <c r="J202" i="2"/>
  <c r="K201" i="2" s="1"/>
  <c r="L201" i="2" s="1"/>
  <c r="M202" i="2" s="1"/>
  <c r="I203" i="2"/>
  <c r="S203" i="2" l="1"/>
  <c r="Q204" i="2"/>
  <c r="T78" i="2"/>
  <c r="R79" i="2"/>
  <c r="I204" i="2"/>
  <c r="J203" i="2"/>
  <c r="K202" i="2" s="1"/>
  <c r="L202" i="2" s="1"/>
  <c r="M203" i="2" s="1"/>
  <c r="N203" i="2"/>
  <c r="S204" i="2" l="1"/>
  <c r="Q205" i="2"/>
  <c r="R80" i="2"/>
  <c r="T79" i="2"/>
  <c r="I205" i="2"/>
  <c r="N204" i="2"/>
  <c r="J204" i="2"/>
  <c r="K203" i="2" s="1"/>
  <c r="L203" i="2" s="1"/>
  <c r="M204" i="2" s="1"/>
  <c r="S205" i="2" l="1"/>
  <c r="Q206" i="2"/>
  <c r="T80" i="2"/>
  <c r="R81" i="2"/>
  <c r="N205" i="2"/>
  <c r="J205" i="2"/>
  <c r="K204" i="2" s="1"/>
  <c r="L204" i="2" s="1"/>
  <c r="M205" i="2" s="1"/>
  <c r="I206" i="2"/>
  <c r="S206" i="2" l="1"/>
  <c r="Q207" i="2"/>
  <c r="T81" i="2"/>
  <c r="R82" i="2"/>
  <c r="N206" i="2"/>
  <c r="J206" i="2"/>
  <c r="K205" i="2" s="1"/>
  <c r="L205" i="2" s="1"/>
  <c r="M206" i="2" s="1"/>
  <c r="I207" i="2"/>
  <c r="S207" i="2" l="1"/>
  <c r="Q208" i="2"/>
  <c r="R83" i="2"/>
  <c r="T82" i="2"/>
  <c r="I208" i="2"/>
  <c r="N207" i="2"/>
  <c r="J207" i="2"/>
  <c r="K206" i="2" s="1"/>
  <c r="L206" i="2" s="1"/>
  <c r="M207" i="2" s="1"/>
  <c r="S208" i="2" l="1"/>
  <c r="Q209" i="2"/>
  <c r="R84" i="2"/>
  <c r="T83" i="2"/>
  <c r="N208" i="2"/>
  <c r="J208" i="2"/>
  <c r="K207" i="2" s="1"/>
  <c r="L207" i="2" s="1"/>
  <c r="M208" i="2" s="1"/>
  <c r="I209" i="2"/>
  <c r="S209" i="2" l="1"/>
  <c r="Q210" i="2"/>
  <c r="T84" i="2"/>
  <c r="R85" i="2"/>
  <c r="N209" i="2"/>
  <c r="J209" i="2"/>
  <c r="K208" i="2" s="1"/>
  <c r="L208" i="2" s="1"/>
  <c r="M209" i="2" s="1"/>
  <c r="I210" i="2"/>
  <c r="S210" i="2" l="1"/>
  <c r="Q211" i="2"/>
  <c r="T85" i="2"/>
  <c r="R86" i="2"/>
  <c r="I211" i="2"/>
  <c r="J210" i="2"/>
  <c r="K209" i="2" s="1"/>
  <c r="L209" i="2" s="1"/>
  <c r="M210" i="2" s="1"/>
  <c r="N210" i="2"/>
  <c r="S211" i="2" l="1"/>
  <c r="Q212" i="2"/>
  <c r="R87" i="2"/>
  <c r="T86" i="2"/>
  <c r="I212" i="2"/>
  <c r="J211" i="2"/>
  <c r="K210" i="2" s="1"/>
  <c r="L210" i="2" s="1"/>
  <c r="M211" i="2" s="1"/>
  <c r="N211" i="2"/>
  <c r="S212" i="2" l="1"/>
  <c r="Q213" i="2"/>
  <c r="T87" i="2"/>
  <c r="R88" i="2"/>
  <c r="N212" i="2"/>
  <c r="J212" i="2"/>
  <c r="K211" i="2" s="1"/>
  <c r="L211" i="2" s="1"/>
  <c r="M212" i="2" s="1"/>
  <c r="I213" i="2"/>
  <c r="S213" i="2" l="1"/>
  <c r="Q214" i="2"/>
  <c r="T88" i="2"/>
  <c r="R89" i="2"/>
  <c r="N213" i="2"/>
  <c r="J213" i="2"/>
  <c r="K212" i="2" s="1"/>
  <c r="L212" i="2" s="1"/>
  <c r="M213" i="2" s="1"/>
  <c r="I214" i="2"/>
  <c r="S214" i="2" l="1"/>
  <c r="Q215" i="2"/>
  <c r="T89" i="2"/>
  <c r="R90" i="2"/>
  <c r="I215" i="2"/>
  <c r="N214" i="2"/>
  <c r="J214" i="2"/>
  <c r="K213" i="2" s="1"/>
  <c r="L213" i="2" s="1"/>
  <c r="M214" i="2" s="1"/>
  <c r="S215" i="2" l="1"/>
  <c r="Q216" i="2"/>
  <c r="R91" i="2"/>
  <c r="T90" i="2"/>
  <c r="I216" i="2"/>
  <c r="N215" i="2"/>
  <c r="J215" i="2"/>
  <c r="K214" i="2" s="1"/>
  <c r="L214" i="2" s="1"/>
  <c r="M215" i="2" s="1"/>
  <c r="S216" i="2" l="1"/>
  <c r="Q217" i="2"/>
  <c r="R92" i="2"/>
  <c r="T91" i="2"/>
  <c r="N216" i="2"/>
  <c r="J216" i="2"/>
  <c r="K215" i="2" s="1"/>
  <c r="L215" i="2" s="1"/>
  <c r="M216" i="2" s="1"/>
  <c r="I217" i="2"/>
  <c r="S217" i="2" l="1"/>
  <c r="Q218" i="2"/>
  <c r="R93" i="2"/>
  <c r="T92" i="2"/>
  <c r="N217" i="2"/>
  <c r="J217" i="2"/>
  <c r="K216" i="2" s="1"/>
  <c r="L216" i="2" s="1"/>
  <c r="M217" i="2" s="1"/>
  <c r="I218" i="2"/>
  <c r="S218" i="2" l="1"/>
  <c r="Q219" i="2"/>
  <c r="T93" i="2"/>
  <c r="R94" i="2"/>
  <c r="I219" i="2"/>
  <c r="J218" i="2"/>
  <c r="K217" i="2" s="1"/>
  <c r="L217" i="2" s="1"/>
  <c r="M218" i="2" s="1"/>
  <c r="N218" i="2"/>
  <c r="S219" i="2" l="1"/>
  <c r="Q220" i="2"/>
  <c r="T94" i="2"/>
  <c r="R95" i="2"/>
  <c r="J219" i="2"/>
  <c r="K218" i="2" s="1"/>
  <c r="L218" i="2" s="1"/>
  <c r="M219" i="2" s="1"/>
  <c r="I220" i="2"/>
  <c r="N219" i="2"/>
  <c r="S220" i="2" l="1"/>
  <c r="Q221" i="2"/>
  <c r="T95" i="2"/>
  <c r="R96" i="2"/>
  <c r="N220" i="2"/>
  <c r="J220" i="2"/>
  <c r="K219" i="2" s="1"/>
  <c r="L219" i="2" s="1"/>
  <c r="M220" i="2" s="1"/>
  <c r="I221" i="2"/>
  <c r="S221" i="2" l="1"/>
  <c r="Q222" i="2"/>
  <c r="R97" i="2"/>
  <c r="T96" i="2"/>
  <c r="I222" i="2"/>
  <c r="J221" i="2"/>
  <c r="K220" i="2" s="1"/>
  <c r="L220" i="2" s="1"/>
  <c r="M221" i="2" s="1"/>
  <c r="N221" i="2"/>
  <c r="S222" i="2" l="1"/>
  <c r="Q223" i="2"/>
  <c r="R98" i="2"/>
  <c r="T97" i="2"/>
  <c r="I223" i="2"/>
  <c r="J222" i="2"/>
  <c r="K221" i="2" s="1"/>
  <c r="L221" i="2" s="1"/>
  <c r="M222" i="2" s="1"/>
  <c r="N222" i="2"/>
  <c r="S223" i="2" l="1"/>
  <c r="Q224" i="2"/>
  <c r="T98" i="2"/>
  <c r="R99" i="2"/>
  <c r="N223" i="2"/>
  <c r="J223" i="2"/>
  <c r="K222" i="2" s="1"/>
  <c r="L222" i="2" s="1"/>
  <c r="M223" i="2" s="1"/>
  <c r="I224" i="2"/>
  <c r="S224" i="2" l="1"/>
  <c r="Q225" i="2"/>
  <c r="T99" i="2"/>
  <c r="R100" i="2"/>
  <c r="N224" i="2"/>
  <c r="J224" i="2"/>
  <c r="K223" i="2" s="1"/>
  <c r="L223" i="2" s="1"/>
  <c r="M224" i="2" s="1"/>
  <c r="I225" i="2"/>
  <c r="S225" i="2" l="1"/>
  <c r="Q226" i="2"/>
  <c r="R101" i="2"/>
  <c r="T100" i="2"/>
  <c r="I226" i="2"/>
  <c r="N225" i="2"/>
  <c r="J225" i="2"/>
  <c r="K224" i="2" s="1"/>
  <c r="L224" i="2" s="1"/>
  <c r="M225" i="2" s="1"/>
  <c r="S226" i="2" l="1"/>
  <c r="Q227" i="2"/>
  <c r="R102" i="2"/>
  <c r="T101" i="2"/>
  <c r="I227" i="2"/>
  <c r="N226" i="2"/>
  <c r="J226" i="2"/>
  <c r="K225" i="2" s="1"/>
  <c r="L225" i="2" s="1"/>
  <c r="M226" i="2" s="1"/>
  <c r="S227" i="2" l="1"/>
  <c r="Q228" i="2"/>
  <c r="T102" i="2"/>
  <c r="R103" i="2"/>
  <c r="N227" i="2"/>
  <c r="J227" i="2"/>
  <c r="K226" i="2" s="1"/>
  <c r="L226" i="2" s="1"/>
  <c r="M227" i="2" s="1"/>
  <c r="I228" i="2"/>
  <c r="S228" i="2" l="1"/>
  <c r="Q229" i="2"/>
  <c r="R104" i="2"/>
  <c r="T103" i="2"/>
  <c r="N228" i="2"/>
  <c r="J228" i="2"/>
  <c r="K227" i="2" s="1"/>
  <c r="L227" i="2" s="1"/>
  <c r="M228" i="2" s="1"/>
  <c r="I229" i="2"/>
  <c r="S229" i="2" l="1"/>
  <c r="Q230" i="2"/>
  <c r="R105" i="2"/>
  <c r="T104" i="2"/>
  <c r="I230" i="2"/>
  <c r="J229" i="2"/>
  <c r="K228" i="2" s="1"/>
  <c r="L228" i="2" s="1"/>
  <c r="M229" i="2" s="1"/>
  <c r="N229" i="2"/>
  <c r="S230" i="2" l="1"/>
  <c r="Q231" i="2"/>
  <c r="R106" i="2"/>
  <c r="T105" i="2"/>
  <c r="I231" i="2"/>
  <c r="J230" i="2"/>
  <c r="K229" i="2" s="1"/>
  <c r="L229" i="2" s="1"/>
  <c r="M230" i="2" s="1"/>
  <c r="N230" i="2"/>
  <c r="S231" i="2" l="1"/>
  <c r="Q232" i="2"/>
  <c r="T106" i="2"/>
  <c r="R107" i="2"/>
  <c r="N231" i="2"/>
  <c r="J231" i="2"/>
  <c r="K230" i="2" s="1"/>
  <c r="L230" i="2" s="1"/>
  <c r="M231" i="2" s="1"/>
  <c r="I232" i="2"/>
  <c r="S232" i="2" l="1"/>
  <c r="Q233" i="2"/>
  <c r="T107" i="2"/>
  <c r="R108" i="2"/>
  <c r="I233" i="2"/>
  <c r="N232" i="2"/>
  <c r="J232" i="2"/>
  <c r="K231" i="2" s="1"/>
  <c r="L231" i="2" s="1"/>
  <c r="M232" i="2" s="1"/>
  <c r="S233" i="2" l="1"/>
  <c r="Q234" i="2"/>
  <c r="T108" i="2"/>
  <c r="R109" i="2"/>
  <c r="I234" i="2"/>
  <c r="N233" i="2"/>
  <c r="J233" i="2"/>
  <c r="K232" i="2" s="1"/>
  <c r="L232" i="2" s="1"/>
  <c r="M233" i="2" s="1"/>
  <c r="S234" i="2" l="1"/>
  <c r="Q235" i="2"/>
  <c r="T109" i="2"/>
  <c r="R110" i="2"/>
  <c r="N234" i="2"/>
  <c r="J234" i="2"/>
  <c r="K233" i="2" s="1"/>
  <c r="L233" i="2" s="1"/>
  <c r="M234" i="2" s="1"/>
  <c r="I235" i="2"/>
  <c r="S235" i="2" l="1"/>
  <c r="Q236" i="2"/>
  <c r="T110" i="2"/>
  <c r="R111" i="2"/>
  <c r="N235" i="2"/>
  <c r="J235" i="2"/>
  <c r="K234" i="2" s="1"/>
  <c r="L234" i="2" s="1"/>
  <c r="M235" i="2" s="1"/>
  <c r="I236" i="2"/>
  <c r="S236" i="2" l="1"/>
  <c r="Q237" i="2"/>
  <c r="T111" i="2"/>
  <c r="R112" i="2"/>
  <c r="I237" i="2"/>
  <c r="N236" i="2"/>
  <c r="J236" i="2"/>
  <c r="K235" i="2" s="1"/>
  <c r="L235" i="2" s="1"/>
  <c r="M236" i="2" s="1"/>
  <c r="S237" i="2" l="1"/>
  <c r="Q238" i="2"/>
  <c r="R113" i="2"/>
  <c r="T112" i="2"/>
  <c r="I238" i="2"/>
  <c r="J237" i="2"/>
  <c r="K236" i="2" s="1"/>
  <c r="L236" i="2" s="1"/>
  <c r="M237" i="2" s="1"/>
  <c r="N237" i="2"/>
  <c r="S238" i="2" l="1"/>
  <c r="Q239" i="2"/>
  <c r="T113" i="2"/>
  <c r="R114" i="2"/>
  <c r="N238" i="2"/>
  <c r="J238" i="2"/>
  <c r="K237" i="2" s="1"/>
  <c r="L237" i="2" s="1"/>
  <c r="M238" i="2" s="1"/>
  <c r="I239" i="2"/>
  <c r="S239" i="2" l="1"/>
  <c r="Q240" i="2"/>
  <c r="T114" i="2"/>
  <c r="R115" i="2"/>
  <c r="N239" i="2"/>
  <c r="J239" i="2"/>
  <c r="K238" i="2" s="1"/>
  <c r="L238" i="2" s="1"/>
  <c r="M239" i="2" s="1"/>
  <c r="I240" i="2"/>
  <c r="S240" i="2" l="1"/>
  <c r="Q241" i="2"/>
  <c r="T115" i="2"/>
  <c r="R116" i="2"/>
  <c r="I241" i="2"/>
  <c r="J240" i="2"/>
  <c r="K239" i="2" s="1"/>
  <c r="L239" i="2" s="1"/>
  <c r="M240" i="2" s="1"/>
  <c r="N240" i="2"/>
  <c r="S241" i="2" l="1"/>
  <c r="Q242" i="2"/>
  <c r="T116" i="2"/>
  <c r="R117" i="2"/>
  <c r="I242" i="2"/>
  <c r="N241" i="2"/>
  <c r="J241" i="2"/>
  <c r="K240" i="2" s="1"/>
  <c r="L240" i="2" s="1"/>
  <c r="M241" i="2" s="1"/>
  <c r="S242" i="2" l="1"/>
  <c r="Q243" i="2"/>
  <c r="R118" i="2"/>
  <c r="T117" i="2"/>
  <c r="N242" i="2"/>
  <c r="J242" i="2"/>
  <c r="K241" i="2" s="1"/>
  <c r="L241" i="2" s="1"/>
  <c r="M242" i="2" s="1"/>
  <c r="I243" i="2"/>
  <c r="S243" i="2" l="1"/>
  <c r="Q244" i="2"/>
  <c r="T118" i="2"/>
  <c r="R119" i="2"/>
  <c r="I244" i="2"/>
  <c r="N243" i="2"/>
  <c r="J243" i="2"/>
  <c r="K242" i="2" s="1"/>
  <c r="L242" i="2" s="1"/>
  <c r="M243" i="2" s="1"/>
  <c r="S244" i="2" l="1"/>
  <c r="Q245" i="2"/>
  <c r="T119" i="2"/>
  <c r="R120" i="2"/>
  <c r="I245" i="2"/>
  <c r="N244" i="2"/>
  <c r="J244" i="2"/>
  <c r="K243" i="2" s="1"/>
  <c r="L243" i="2" s="1"/>
  <c r="M244" i="2" s="1"/>
  <c r="S245" i="2" l="1"/>
  <c r="Q246" i="2"/>
  <c r="T120" i="2"/>
  <c r="R121" i="2"/>
  <c r="N245" i="2"/>
  <c r="J245" i="2"/>
  <c r="K244" i="2" s="1"/>
  <c r="L244" i="2" s="1"/>
  <c r="M245" i="2" s="1"/>
  <c r="I246" i="2"/>
  <c r="S246" i="2" l="1"/>
  <c r="Q247" i="2"/>
  <c r="T121" i="2"/>
  <c r="R122" i="2"/>
  <c r="N246" i="2"/>
  <c r="J246" i="2"/>
  <c r="K245" i="2" s="1"/>
  <c r="L245" i="2" s="1"/>
  <c r="M246" i="2" s="1"/>
  <c r="I247" i="2"/>
  <c r="S247" i="2" l="1"/>
  <c r="Q248" i="2"/>
  <c r="R123" i="2"/>
  <c r="T122" i="2"/>
  <c r="I248" i="2"/>
  <c r="N247" i="2"/>
  <c r="J247" i="2"/>
  <c r="K246" i="2" s="1"/>
  <c r="L246" i="2" s="1"/>
  <c r="M247" i="2" s="1"/>
  <c r="S248" i="2" l="1"/>
  <c r="Q249" i="2"/>
  <c r="R124" i="2"/>
  <c r="T123" i="2"/>
  <c r="I249" i="2"/>
  <c r="J248" i="2"/>
  <c r="K247" i="2" s="1"/>
  <c r="L247" i="2" s="1"/>
  <c r="M248" i="2" s="1"/>
  <c r="N248" i="2"/>
  <c r="S249" i="2" l="1"/>
  <c r="Q250" i="2"/>
  <c r="T124" i="2"/>
  <c r="R125" i="2"/>
  <c r="N249" i="2"/>
  <c r="J249" i="2"/>
  <c r="K248" i="2" s="1"/>
  <c r="L248" i="2" s="1"/>
  <c r="M249" i="2" s="1"/>
  <c r="I250" i="2"/>
  <c r="S250" i="2" l="1"/>
  <c r="Q251" i="2"/>
  <c r="R126" i="2"/>
  <c r="T125" i="2"/>
  <c r="N250" i="2"/>
  <c r="J250" i="2"/>
  <c r="K249" i="2" s="1"/>
  <c r="L249" i="2" s="1"/>
  <c r="M250" i="2" s="1"/>
  <c r="I251" i="2"/>
  <c r="S251" i="2" l="1"/>
  <c r="Q252" i="2"/>
  <c r="T126" i="2"/>
  <c r="R127" i="2"/>
  <c r="I252" i="2"/>
  <c r="J251" i="2"/>
  <c r="K250" i="2" s="1"/>
  <c r="L250" i="2" s="1"/>
  <c r="M251" i="2" s="1"/>
  <c r="N251" i="2"/>
  <c r="S252" i="2" l="1"/>
  <c r="Q253" i="2"/>
  <c r="R128" i="2"/>
  <c r="T127" i="2"/>
  <c r="I253" i="2"/>
  <c r="N252" i="2"/>
  <c r="J252" i="2"/>
  <c r="K251" i="2" s="1"/>
  <c r="L251" i="2" s="1"/>
  <c r="M252" i="2" s="1"/>
  <c r="S253" i="2" l="1"/>
  <c r="Q254" i="2"/>
  <c r="R129" i="2"/>
  <c r="T128" i="2"/>
  <c r="N253" i="2"/>
  <c r="J253" i="2"/>
  <c r="K252" i="2" s="1"/>
  <c r="L252" i="2" s="1"/>
  <c r="M253" i="2" s="1"/>
  <c r="I254" i="2"/>
  <c r="S254" i="2" l="1"/>
  <c r="Q255" i="2"/>
  <c r="T129" i="2"/>
  <c r="R130" i="2"/>
  <c r="N254" i="2"/>
  <c r="J254" i="2"/>
  <c r="K253" i="2" s="1"/>
  <c r="L253" i="2" s="1"/>
  <c r="M254" i="2" s="1"/>
  <c r="I255" i="2"/>
  <c r="S255" i="2" l="1"/>
  <c r="Q256" i="2"/>
  <c r="R131" i="2"/>
  <c r="T130" i="2"/>
  <c r="I256" i="2"/>
  <c r="N255" i="2"/>
  <c r="J255" i="2"/>
  <c r="K254" i="2" s="1"/>
  <c r="L254" i="2" s="1"/>
  <c r="M255" i="2" s="1"/>
  <c r="S256" i="2" l="1"/>
  <c r="Q257" i="2"/>
  <c r="T131" i="2"/>
  <c r="R132" i="2"/>
  <c r="N256" i="2"/>
  <c r="J256" i="2"/>
  <c r="K255" i="2" s="1"/>
  <c r="L255" i="2" s="1"/>
  <c r="M256" i="2" s="1"/>
  <c r="I257" i="2"/>
  <c r="S257" i="2" l="1"/>
  <c r="Q258" i="2"/>
  <c r="R133" i="2"/>
  <c r="T132" i="2"/>
  <c r="N257" i="2"/>
  <c r="J257" i="2"/>
  <c r="K256" i="2" s="1"/>
  <c r="L256" i="2" s="1"/>
  <c r="M257" i="2" s="1"/>
  <c r="I258" i="2"/>
  <c r="S258" i="2" l="1"/>
  <c r="Q259" i="2"/>
  <c r="R134" i="2"/>
  <c r="T133" i="2"/>
  <c r="I259" i="2"/>
  <c r="J258" i="2"/>
  <c r="K257" i="2" s="1"/>
  <c r="L257" i="2" s="1"/>
  <c r="M258" i="2" s="1"/>
  <c r="N258" i="2"/>
  <c r="S259" i="2" l="1"/>
  <c r="Q260" i="2"/>
  <c r="T134" i="2"/>
  <c r="R135" i="2"/>
  <c r="I260" i="2"/>
  <c r="J259" i="2"/>
  <c r="K258" i="2" s="1"/>
  <c r="L258" i="2" s="1"/>
  <c r="M259" i="2" s="1"/>
  <c r="N259" i="2"/>
  <c r="S260" i="2" l="1"/>
  <c r="Q261" i="2"/>
  <c r="T135" i="2"/>
  <c r="R136" i="2"/>
  <c r="N260" i="2"/>
  <c r="J260" i="2"/>
  <c r="K259" i="2" s="1"/>
  <c r="L259" i="2" s="1"/>
  <c r="M260" i="2" s="1"/>
  <c r="I261" i="2"/>
  <c r="S261" i="2" l="1"/>
  <c r="Q262" i="2"/>
  <c r="T136" i="2"/>
  <c r="R137" i="2"/>
  <c r="N261" i="2"/>
  <c r="J261" i="2"/>
  <c r="K260" i="2" s="1"/>
  <c r="L260" i="2" s="1"/>
  <c r="M261" i="2" s="1"/>
  <c r="I262" i="2"/>
  <c r="S262" i="2" l="1"/>
  <c r="Q263" i="2"/>
  <c r="T137" i="2"/>
  <c r="R138" i="2"/>
  <c r="I263" i="2"/>
  <c r="N262" i="2"/>
  <c r="J262" i="2"/>
  <c r="K261" i="2" s="1"/>
  <c r="L261" i="2" s="1"/>
  <c r="M262" i="2" s="1"/>
  <c r="S263" i="2" l="1"/>
  <c r="Q264" i="2"/>
  <c r="T138" i="2"/>
  <c r="R139" i="2"/>
  <c r="I264" i="2"/>
  <c r="N263" i="2"/>
  <c r="J263" i="2"/>
  <c r="K262" i="2" s="1"/>
  <c r="L262" i="2" s="1"/>
  <c r="M263" i="2" s="1"/>
  <c r="S264" i="2" l="1"/>
  <c r="Q265" i="2"/>
  <c r="T139" i="2"/>
  <c r="R140" i="2"/>
  <c r="N264" i="2"/>
  <c r="J264" i="2"/>
  <c r="K263" i="2" s="1"/>
  <c r="L263" i="2" s="1"/>
  <c r="M264" i="2" s="1"/>
  <c r="I265" i="2"/>
  <c r="S265" i="2" l="1"/>
  <c r="Q266" i="2"/>
  <c r="T140" i="2"/>
  <c r="R141" i="2"/>
  <c r="N265" i="2"/>
  <c r="J265" i="2"/>
  <c r="K264" i="2" s="1"/>
  <c r="L264" i="2" s="1"/>
  <c r="M265" i="2" s="1"/>
  <c r="I266" i="2"/>
  <c r="S266" i="2" l="1"/>
  <c r="Q267" i="2"/>
  <c r="R142" i="2"/>
  <c r="T141" i="2"/>
  <c r="I267" i="2"/>
  <c r="J266" i="2"/>
  <c r="K265" i="2" s="1"/>
  <c r="L265" i="2" s="1"/>
  <c r="M266" i="2" s="1"/>
  <c r="N266" i="2"/>
  <c r="S267" i="2" l="1"/>
  <c r="Q268" i="2"/>
  <c r="T142" i="2"/>
  <c r="R143" i="2"/>
  <c r="I268" i="2"/>
  <c r="J267" i="2"/>
  <c r="K266" i="2" s="1"/>
  <c r="L266" i="2" s="1"/>
  <c r="M267" i="2" s="1"/>
  <c r="N267" i="2"/>
  <c r="S268" i="2" l="1"/>
  <c r="Q269" i="2"/>
  <c r="R144" i="2"/>
  <c r="T143" i="2"/>
  <c r="N268" i="2"/>
  <c r="J268" i="2"/>
  <c r="K267" i="2" s="1"/>
  <c r="L267" i="2" s="1"/>
  <c r="M268" i="2" s="1"/>
  <c r="I269" i="2"/>
  <c r="S269" i="2" l="1"/>
  <c r="Q270" i="2"/>
  <c r="T144" i="2"/>
  <c r="R145" i="2"/>
  <c r="I270" i="2"/>
  <c r="J269" i="2"/>
  <c r="K268" i="2" s="1"/>
  <c r="L268" i="2" s="1"/>
  <c r="M269" i="2" s="1"/>
  <c r="N269" i="2"/>
  <c r="S270" i="2" l="1"/>
  <c r="Q271" i="2"/>
  <c r="R146" i="2"/>
  <c r="T145" i="2"/>
  <c r="I271" i="2"/>
  <c r="J270" i="2"/>
  <c r="K269" i="2" s="1"/>
  <c r="L269" i="2" s="1"/>
  <c r="M270" i="2" s="1"/>
  <c r="N270" i="2"/>
  <c r="S271" i="2" l="1"/>
  <c r="Q272" i="2"/>
  <c r="T146" i="2"/>
  <c r="R147" i="2"/>
  <c r="N271" i="2"/>
  <c r="J271" i="2"/>
  <c r="K270" i="2" s="1"/>
  <c r="L270" i="2" s="1"/>
  <c r="M271" i="2" s="1"/>
  <c r="I272" i="2"/>
  <c r="S272" i="2" l="1"/>
  <c r="Q273" i="2"/>
  <c r="R148" i="2"/>
  <c r="T147" i="2"/>
  <c r="N272" i="2"/>
  <c r="J272" i="2"/>
  <c r="K271" i="2" s="1"/>
  <c r="L271" i="2" s="1"/>
  <c r="M272" i="2" s="1"/>
  <c r="I273" i="2"/>
  <c r="S273" i="2" l="1"/>
  <c r="Q274" i="2"/>
  <c r="T148" i="2"/>
  <c r="R149" i="2"/>
  <c r="I274" i="2"/>
  <c r="N273" i="2"/>
  <c r="J273" i="2"/>
  <c r="K272" i="2" s="1"/>
  <c r="L272" i="2" s="1"/>
  <c r="M273" i="2" s="1"/>
  <c r="S274" i="2" l="1"/>
  <c r="Q275" i="2"/>
  <c r="T149" i="2"/>
  <c r="R150" i="2"/>
  <c r="I275" i="2"/>
  <c r="N274" i="2"/>
  <c r="J274" i="2"/>
  <c r="K273" i="2" s="1"/>
  <c r="L273" i="2" s="1"/>
  <c r="M274" i="2" s="1"/>
  <c r="S275" i="2" l="1"/>
  <c r="Q276" i="2"/>
  <c r="T150" i="2"/>
  <c r="R151" i="2"/>
  <c r="N275" i="2"/>
  <c r="J275" i="2"/>
  <c r="K274" i="2" s="1"/>
  <c r="L274" i="2" s="1"/>
  <c r="M275" i="2" s="1"/>
  <c r="I276" i="2"/>
  <c r="S276" i="2" l="1"/>
  <c r="Q277" i="2"/>
  <c r="T151" i="2"/>
  <c r="R152" i="2"/>
  <c r="N276" i="2"/>
  <c r="J276" i="2"/>
  <c r="K275" i="2" s="1"/>
  <c r="L275" i="2" s="1"/>
  <c r="M276" i="2" s="1"/>
  <c r="I277" i="2"/>
  <c r="S277" i="2" l="1"/>
  <c r="Q278" i="2"/>
  <c r="R153" i="2"/>
  <c r="T152" i="2"/>
  <c r="I278" i="2"/>
  <c r="J277" i="2"/>
  <c r="K276" i="2" s="1"/>
  <c r="L276" i="2" s="1"/>
  <c r="M277" i="2" s="1"/>
  <c r="N277" i="2"/>
  <c r="S278" i="2" l="1"/>
  <c r="Q279" i="2"/>
  <c r="R154" i="2"/>
  <c r="T153" i="2"/>
  <c r="I279" i="2"/>
  <c r="J278" i="2"/>
  <c r="K277" i="2" s="1"/>
  <c r="L277" i="2" s="1"/>
  <c r="M278" i="2" s="1"/>
  <c r="N278" i="2"/>
  <c r="S279" i="2" l="1"/>
  <c r="Q280" i="2"/>
  <c r="T154" i="2"/>
  <c r="R155" i="2"/>
  <c r="N279" i="2"/>
  <c r="J279" i="2"/>
  <c r="K278" i="2" s="1"/>
  <c r="L278" i="2" s="1"/>
  <c r="M279" i="2" s="1"/>
  <c r="I280" i="2"/>
  <c r="S280" i="2" l="1"/>
  <c r="Q281" i="2"/>
  <c r="R156" i="2"/>
  <c r="T155" i="2"/>
  <c r="I281" i="2"/>
  <c r="N280" i="2"/>
  <c r="J280" i="2"/>
  <c r="K279" i="2" s="1"/>
  <c r="L279" i="2" s="1"/>
  <c r="M280" i="2" s="1"/>
  <c r="S281" i="2" l="1"/>
  <c r="Q282" i="2"/>
  <c r="R157" i="2"/>
  <c r="T156" i="2"/>
  <c r="I282" i="2"/>
  <c r="N281" i="2"/>
  <c r="J281" i="2"/>
  <c r="K280" i="2" s="1"/>
  <c r="L280" i="2" s="1"/>
  <c r="M281" i="2" s="1"/>
  <c r="S282" i="2" l="1"/>
  <c r="Q283" i="2"/>
  <c r="T157" i="2"/>
  <c r="R158" i="2"/>
  <c r="N282" i="2"/>
  <c r="J282" i="2"/>
  <c r="K281" i="2" s="1"/>
  <c r="L281" i="2" s="1"/>
  <c r="M282" i="2" s="1"/>
  <c r="I283" i="2"/>
  <c r="S283" i="2" l="1"/>
  <c r="Q284" i="2"/>
  <c r="T158" i="2"/>
  <c r="R159" i="2"/>
  <c r="N283" i="2"/>
  <c r="J283" i="2"/>
  <c r="K282" i="2" s="1"/>
  <c r="L282" i="2" s="1"/>
  <c r="M283" i="2" s="1"/>
  <c r="I284" i="2"/>
  <c r="S284" i="2" l="1"/>
  <c r="Q285" i="2"/>
  <c r="R160" i="2"/>
  <c r="T159" i="2"/>
  <c r="I285" i="2"/>
  <c r="N284" i="2"/>
  <c r="J284" i="2"/>
  <c r="K283" i="2" s="1"/>
  <c r="L283" i="2" s="1"/>
  <c r="M284" i="2" s="1"/>
  <c r="S285" i="2" l="1"/>
  <c r="Q286" i="2"/>
  <c r="T160" i="2"/>
  <c r="R161" i="2"/>
  <c r="I286" i="2"/>
  <c r="J285" i="2"/>
  <c r="K284" i="2" s="1"/>
  <c r="L284" i="2" s="1"/>
  <c r="M285" i="2" s="1"/>
  <c r="N285" i="2"/>
  <c r="S286" i="2" l="1"/>
  <c r="Q287" i="2"/>
  <c r="T161" i="2"/>
  <c r="R162" i="2"/>
  <c r="N286" i="2"/>
  <c r="J286" i="2"/>
  <c r="K285" i="2" s="1"/>
  <c r="L285" i="2" s="1"/>
  <c r="M286" i="2" s="1"/>
  <c r="I287" i="2"/>
  <c r="S287" i="2" l="1"/>
  <c r="Q288" i="2"/>
  <c r="R163" i="2"/>
  <c r="T162" i="2"/>
  <c r="N287" i="2"/>
  <c r="J287" i="2"/>
  <c r="K286" i="2" s="1"/>
  <c r="L286" i="2" s="1"/>
  <c r="M287" i="2" s="1"/>
  <c r="I288" i="2"/>
  <c r="S288" i="2" l="1"/>
  <c r="Q289" i="2"/>
  <c r="R164" i="2"/>
  <c r="T163" i="2"/>
  <c r="I289" i="2"/>
  <c r="J288" i="2"/>
  <c r="K287" i="2" s="1"/>
  <c r="L287" i="2" s="1"/>
  <c r="M288" i="2" s="1"/>
  <c r="N288" i="2"/>
  <c r="S289" i="2" l="1"/>
  <c r="Q290" i="2"/>
  <c r="T164" i="2"/>
  <c r="R165" i="2"/>
  <c r="I290" i="2"/>
  <c r="N289" i="2"/>
  <c r="J289" i="2"/>
  <c r="K288" i="2" s="1"/>
  <c r="L288" i="2" s="1"/>
  <c r="M289" i="2" s="1"/>
  <c r="S290" i="2" l="1"/>
  <c r="Q291" i="2"/>
  <c r="R166" i="2"/>
  <c r="T165" i="2"/>
  <c r="N290" i="2"/>
  <c r="J290" i="2"/>
  <c r="K289" i="2" s="1"/>
  <c r="L289" i="2" s="1"/>
  <c r="M290" i="2" s="1"/>
  <c r="I291" i="2"/>
  <c r="S291" i="2" l="1"/>
  <c r="Q292" i="2"/>
  <c r="T166" i="2"/>
  <c r="R167" i="2"/>
  <c r="I292" i="2"/>
  <c r="N291" i="2"/>
  <c r="J291" i="2"/>
  <c r="K290" i="2" s="1"/>
  <c r="L290" i="2" s="1"/>
  <c r="M291" i="2" s="1"/>
  <c r="S292" i="2" l="1"/>
  <c r="Q293" i="2"/>
  <c r="T167" i="2"/>
  <c r="R168" i="2"/>
  <c r="I293" i="2"/>
  <c r="N292" i="2"/>
  <c r="J292" i="2"/>
  <c r="K291" i="2" s="1"/>
  <c r="L291" i="2" s="1"/>
  <c r="M292" i="2" s="1"/>
  <c r="S293" i="2" l="1"/>
  <c r="Q294" i="2"/>
  <c r="T168" i="2"/>
  <c r="R169" i="2"/>
  <c r="N293" i="2"/>
  <c r="J293" i="2"/>
  <c r="K292" i="2" s="1"/>
  <c r="L292" i="2" s="1"/>
  <c r="M293" i="2" s="1"/>
  <c r="I294" i="2"/>
  <c r="S294" i="2" l="1"/>
  <c r="Q295" i="2"/>
  <c r="T169" i="2"/>
  <c r="R170" i="2"/>
  <c r="N294" i="2"/>
  <c r="J294" i="2"/>
  <c r="K293" i="2" s="1"/>
  <c r="L293" i="2" s="1"/>
  <c r="M294" i="2" s="1"/>
  <c r="I295" i="2"/>
  <c r="S295" i="2" l="1"/>
  <c r="Q296" i="2"/>
  <c r="T170" i="2"/>
  <c r="R171" i="2"/>
  <c r="I296" i="2"/>
  <c r="N295" i="2"/>
  <c r="J295" i="2"/>
  <c r="K294" i="2" s="1"/>
  <c r="L294" i="2" s="1"/>
  <c r="M295" i="2" s="1"/>
  <c r="S296" i="2" l="1"/>
  <c r="Q297" i="2"/>
  <c r="T171" i="2"/>
  <c r="R172" i="2"/>
  <c r="I297" i="2"/>
  <c r="N296" i="2"/>
  <c r="J296" i="2"/>
  <c r="K295" i="2" s="1"/>
  <c r="L295" i="2" s="1"/>
  <c r="M296" i="2" s="1"/>
  <c r="S297" i="2" l="1"/>
  <c r="Q298" i="2"/>
  <c r="T172" i="2"/>
  <c r="R173" i="2"/>
  <c r="N297" i="2"/>
  <c r="J297" i="2"/>
  <c r="K296" i="2" s="1"/>
  <c r="L296" i="2" s="1"/>
  <c r="M297" i="2" s="1"/>
  <c r="I298" i="2"/>
  <c r="S298" i="2" l="1"/>
  <c r="Q299" i="2"/>
  <c r="T173" i="2"/>
  <c r="R174" i="2"/>
  <c r="N298" i="2"/>
  <c r="J298" i="2"/>
  <c r="K297" i="2" s="1"/>
  <c r="L297" i="2" s="1"/>
  <c r="M298" i="2" s="1"/>
  <c r="I299" i="2"/>
  <c r="S299" i="2" l="1"/>
  <c r="Q300" i="2"/>
  <c r="T174" i="2"/>
  <c r="R175" i="2"/>
  <c r="I300" i="2"/>
  <c r="N299" i="2"/>
  <c r="J299" i="2"/>
  <c r="K298" i="2" s="1"/>
  <c r="L298" i="2" s="1"/>
  <c r="M299" i="2" s="1"/>
  <c r="S300" i="2" l="1"/>
  <c r="Q301" i="2"/>
  <c r="R176" i="2"/>
  <c r="T175" i="2"/>
  <c r="I301" i="2"/>
  <c r="J300" i="2"/>
  <c r="K299" i="2" s="1"/>
  <c r="L299" i="2" s="1"/>
  <c r="M300" i="2" s="1"/>
  <c r="N300" i="2"/>
  <c r="S301" i="2" l="1"/>
  <c r="Q302" i="2"/>
  <c r="T176" i="2"/>
  <c r="R177" i="2"/>
  <c r="N301" i="2"/>
  <c r="J301" i="2"/>
  <c r="K300" i="2" s="1"/>
  <c r="L300" i="2" s="1"/>
  <c r="M301" i="2" s="1"/>
  <c r="I302" i="2"/>
  <c r="S302" i="2" l="1"/>
  <c r="Q303" i="2"/>
  <c r="T177" i="2"/>
  <c r="R178" i="2"/>
  <c r="N302" i="2"/>
  <c r="J302" i="2"/>
  <c r="K301" i="2" s="1"/>
  <c r="L301" i="2" s="1"/>
  <c r="M302" i="2" s="1"/>
  <c r="I303" i="2"/>
  <c r="S303" i="2" l="1"/>
  <c r="Q304" i="2"/>
  <c r="T178" i="2"/>
  <c r="R179" i="2"/>
  <c r="I304" i="2"/>
  <c r="J303" i="2"/>
  <c r="K302" i="2" s="1"/>
  <c r="L302" i="2" s="1"/>
  <c r="M303" i="2" s="1"/>
  <c r="N303" i="2"/>
  <c r="S304" i="2" l="1"/>
  <c r="Q305" i="2"/>
  <c r="R180" i="2"/>
  <c r="T179" i="2"/>
  <c r="N304" i="2"/>
  <c r="J304" i="2"/>
  <c r="K303" i="2" s="1"/>
  <c r="L303" i="2" s="1"/>
  <c r="M304" i="2" s="1"/>
  <c r="I305" i="2"/>
  <c r="S305" i="2" l="1"/>
  <c r="Q306" i="2"/>
  <c r="T180" i="2"/>
  <c r="R181" i="2"/>
  <c r="N305" i="2"/>
  <c r="J305" i="2"/>
  <c r="K304" i="2" s="1"/>
  <c r="L304" i="2" s="1"/>
  <c r="M305" i="2" s="1"/>
  <c r="I306" i="2"/>
  <c r="S306" i="2" l="1"/>
  <c r="Q307" i="2"/>
  <c r="T181" i="2"/>
  <c r="R182" i="2"/>
  <c r="I307" i="2"/>
  <c r="J306" i="2"/>
  <c r="K305" i="2" s="1"/>
  <c r="L305" i="2" s="1"/>
  <c r="M306" i="2" s="1"/>
  <c r="N306" i="2"/>
  <c r="S307" i="2" l="1"/>
  <c r="Q308" i="2"/>
  <c r="R183" i="2"/>
  <c r="T182" i="2"/>
  <c r="I308" i="2"/>
  <c r="N307" i="2"/>
  <c r="J307" i="2"/>
  <c r="K306" i="2" s="1"/>
  <c r="L306" i="2" s="1"/>
  <c r="M307" i="2" s="1"/>
  <c r="S308" i="2" l="1"/>
  <c r="Q309" i="2"/>
  <c r="T183" i="2"/>
  <c r="R184" i="2"/>
  <c r="N308" i="2"/>
  <c r="J308" i="2"/>
  <c r="K307" i="2" s="1"/>
  <c r="L307" i="2" s="1"/>
  <c r="M308" i="2" s="1"/>
  <c r="I309" i="2"/>
  <c r="S309" i="2" l="1"/>
  <c r="Q310" i="2"/>
  <c r="T184" i="2"/>
  <c r="R185" i="2"/>
  <c r="N309" i="2"/>
  <c r="J309" i="2"/>
  <c r="K308" i="2" s="1"/>
  <c r="L308" i="2" s="1"/>
  <c r="M309" i="2" s="1"/>
  <c r="I310" i="2"/>
  <c r="S310" i="2" l="1"/>
  <c r="Q311" i="2"/>
  <c r="R186" i="2"/>
  <c r="T185" i="2"/>
  <c r="I311" i="2"/>
  <c r="N310" i="2"/>
  <c r="J310" i="2"/>
  <c r="K309" i="2" s="1"/>
  <c r="L309" i="2" s="1"/>
  <c r="M310" i="2" s="1"/>
  <c r="S311" i="2" l="1"/>
  <c r="Q312" i="2"/>
  <c r="T186" i="2"/>
  <c r="R187" i="2"/>
  <c r="I312" i="2"/>
  <c r="J311" i="2"/>
  <c r="K310" i="2" s="1"/>
  <c r="L310" i="2" s="1"/>
  <c r="M311" i="2" s="1"/>
  <c r="N311" i="2"/>
  <c r="S312" i="2" l="1"/>
  <c r="Q313" i="2"/>
  <c r="T187" i="2"/>
  <c r="R188" i="2"/>
  <c r="N312" i="2"/>
  <c r="J312" i="2"/>
  <c r="K311" i="2" s="1"/>
  <c r="L311" i="2" s="1"/>
  <c r="M312" i="2" s="1"/>
  <c r="I313" i="2"/>
  <c r="S313" i="2" l="1"/>
  <c r="Q314" i="2"/>
  <c r="R189" i="2"/>
  <c r="T188" i="2"/>
  <c r="N313" i="2"/>
  <c r="J313" i="2"/>
  <c r="K312" i="2" s="1"/>
  <c r="L312" i="2" s="1"/>
  <c r="M313" i="2" s="1"/>
  <c r="I314" i="2"/>
  <c r="S314" i="2" l="1"/>
  <c r="Q315" i="2"/>
  <c r="R190" i="2"/>
  <c r="T189" i="2"/>
  <c r="I315" i="2"/>
  <c r="J314" i="2"/>
  <c r="K313" i="2" s="1"/>
  <c r="L313" i="2" s="1"/>
  <c r="M314" i="2" s="1"/>
  <c r="N314" i="2"/>
  <c r="S315" i="2" l="1"/>
  <c r="Q316" i="2"/>
  <c r="R191" i="2"/>
  <c r="T190" i="2"/>
  <c r="N315" i="2"/>
  <c r="J315" i="2"/>
  <c r="K314" i="2" s="1"/>
  <c r="L314" i="2" s="1"/>
  <c r="M315" i="2" s="1"/>
  <c r="I316" i="2"/>
  <c r="S316" i="2" l="1"/>
  <c r="Q317" i="2"/>
  <c r="T191" i="2"/>
  <c r="R192" i="2"/>
  <c r="N316" i="2"/>
  <c r="J316" i="2"/>
  <c r="K315" i="2" s="1"/>
  <c r="L315" i="2" s="1"/>
  <c r="M316" i="2" s="1"/>
  <c r="I317" i="2"/>
  <c r="S317" i="2" l="1"/>
  <c r="Q318" i="2"/>
  <c r="R193" i="2"/>
  <c r="T192" i="2"/>
  <c r="I318" i="2"/>
  <c r="N317" i="2"/>
  <c r="J317" i="2"/>
  <c r="K316" i="2" s="1"/>
  <c r="L316" i="2" s="1"/>
  <c r="M317" i="2" s="1"/>
  <c r="S318" i="2" l="1"/>
  <c r="Q319" i="2"/>
  <c r="T193" i="2"/>
  <c r="R194" i="2"/>
  <c r="I319" i="2"/>
  <c r="N318" i="2"/>
  <c r="J318" i="2"/>
  <c r="K317" i="2" s="1"/>
  <c r="L317" i="2" s="1"/>
  <c r="M318" i="2" s="1"/>
  <c r="S319" i="2" l="1"/>
  <c r="Q320" i="2"/>
  <c r="R195" i="2"/>
  <c r="T194" i="2"/>
  <c r="N319" i="2"/>
  <c r="J319" i="2"/>
  <c r="K318" i="2" s="1"/>
  <c r="L318" i="2" s="1"/>
  <c r="M319" i="2" s="1"/>
  <c r="I320" i="2"/>
  <c r="S320" i="2" l="1"/>
  <c r="Q321" i="2"/>
  <c r="T195" i="2"/>
  <c r="R196" i="2"/>
  <c r="N320" i="2"/>
  <c r="J320" i="2"/>
  <c r="K319" i="2" s="1"/>
  <c r="L319" i="2" s="1"/>
  <c r="M320" i="2" s="1"/>
  <c r="I321" i="2"/>
  <c r="S321" i="2" l="1"/>
  <c r="Q322" i="2"/>
  <c r="R197" i="2"/>
  <c r="T196" i="2"/>
  <c r="I322" i="2"/>
  <c r="N321" i="2"/>
  <c r="J321" i="2"/>
  <c r="K320" i="2" s="1"/>
  <c r="L320" i="2" s="1"/>
  <c r="M321" i="2" s="1"/>
  <c r="S322" i="2" l="1"/>
  <c r="Q323" i="2"/>
  <c r="R198" i="2"/>
  <c r="T197" i="2"/>
  <c r="I323" i="2"/>
  <c r="J322" i="2"/>
  <c r="K321" i="2" s="1"/>
  <c r="L321" i="2" s="1"/>
  <c r="M322" i="2" s="1"/>
  <c r="N322" i="2"/>
  <c r="S323" i="2" l="1"/>
  <c r="Q324" i="2"/>
  <c r="T198" i="2"/>
  <c r="R199" i="2"/>
  <c r="N323" i="2"/>
  <c r="J323" i="2"/>
  <c r="K322" i="2" s="1"/>
  <c r="L322" i="2" s="1"/>
  <c r="M323" i="2" s="1"/>
  <c r="I324" i="2"/>
  <c r="S324" i="2" l="1"/>
  <c r="Q325" i="2"/>
  <c r="T199" i="2"/>
  <c r="R200" i="2"/>
  <c r="N324" i="2"/>
  <c r="J324" i="2"/>
  <c r="K323" i="2" s="1"/>
  <c r="L323" i="2" s="1"/>
  <c r="M324" i="2" s="1"/>
  <c r="I325" i="2"/>
  <c r="S325" i="2" l="1"/>
  <c r="Q326" i="2"/>
  <c r="T200" i="2"/>
  <c r="R201" i="2"/>
  <c r="I326" i="2"/>
  <c r="J325" i="2"/>
  <c r="K324" i="2" s="1"/>
  <c r="L324" i="2" s="1"/>
  <c r="M325" i="2" s="1"/>
  <c r="N325" i="2"/>
  <c r="S326" i="2" l="1"/>
  <c r="Q327" i="2"/>
  <c r="R202" i="2"/>
  <c r="T201" i="2"/>
  <c r="I327" i="2"/>
  <c r="N326" i="2"/>
  <c r="J326" i="2"/>
  <c r="K325" i="2" s="1"/>
  <c r="L325" i="2" s="1"/>
  <c r="M326" i="2" s="1"/>
  <c r="S327" i="2" l="1"/>
  <c r="Q328" i="2"/>
  <c r="R203" i="2"/>
  <c r="T202" i="2"/>
  <c r="N327" i="2"/>
  <c r="J327" i="2"/>
  <c r="K326" i="2" s="1"/>
  <c r="L326" i="2" s="1"/>
  <c r="M327" i="2" s="1"/>
  <c r="I328" i="2"/>
  <c r="S328" i="2" l="1"/>
  <c r="Q329" i="2"/>
  <c r="T203" i="2"/>
  <c r="R204" i="2"/>
  <c r="I329" i="2"/>
  <c r="N328" i="2"/>
  <c r="J328" i="2"/>
  <c r="K327" i="2" s="1"/>
  <c r="L327" i="2" s="1"/>
  <c r="M328" i="2" s="1"/>
  <c r="S329" i="2" l="1"/>
  <c r="Q330" i="2"/>
  <c r="R205" i="2"/>
  <c r="T204" i="2"/>
  <c r="I330" i="2"/>
  <c r="N329" i="2"/>
  <c r="J329" i="2"/>
  <c r="K328" i="2" s="1"/>
  <c r="L328" i="2" s="1"/>
  <c r="M329" i="2" s="1"/>
  <c r="S330" i="2" l="1"/>
  <c r="Q331" i="2"/>
  <c r="R206" i="2"/>
  <c r="T205" i="2"/>
  <c r="N330" i="2"/>
  <c r="J330" i="2"/>
  <c r="K329" i="2" s="1"/>
  <c r="L329" i="2" s="1"/>
  <c r="M330" i="2" s="1"/>
  <c r="I331" i="2"/>
  <c r="S331" i="2" l="1"/>
  <c r="Q332" i="2"/>
  <c r="T206" i="2"/>
  <c r="R207" i="2"/>
  <c r="N331" i="2"/>
  <c r="J331" i="2"/>
  <c r="K330" i="2" s="1"/>
  <c r="L330" i="2" s="1"/>
  <c r="M331" i="2" s="1"/>
  <c r="I332" i="2"/>
  <c r="S332" i="2" l="1"/>
  <c r="Q333" i="2"/>
  <c r="T207" i="2"/>
  <c r="R208" i="2"/>
  <c r="I333" i="2"/>
  <c r="J332" i="2"/>
  <c r="K331" i="2" s="1"/>
  <c r="L331" i="2" s="1"/>
  <c r="M332" i="2" s="1"/>
  <c r="N332" i="2"/>
  <c r="S333" i="2" l="1"/>
  <c r="Q334" i="2"/>
  <c r="T208" i="2"/>
  <c r="R209" i="2"/>
  <c r="I334" i="2"/>
  <c r="J333" i="2"/>
  <c r="K332" i="2" s="1"/>
  <c r="L332" i="2" s="1"/>
  <c r="M333" i="2" s="1"/>
  <c r="N333" i="2"/>
  <c r="S334" i="2" l="1"/>
  <c r="Q335" i="2"/>
  <c r="T209" i="2"/>
  <c r="R210" i="2"/>
  <c r="N334" i="2"/>
  <c r="J334" i="2"/>
  <c r="K333" i="2" s="1"/>
  <c r="L333" i="2" s="1"/>
  <c r="M334" i="2" s="1"/>
  <c r="I335" i="2"/>
  <c r="S335" i="2" l="1"/>
  <c r="Q336" i="2"/>
  <c r="R211" i="2"/>
  <c r="T210" i="2"/>
  <c r="N335" i="2"/>
  <c r="J335" i="2"/>
  <c r="K334" i="2" s="1"/>
  <c r="L334" i="2" s="1"/>
  <c r="M335" i="2" s="1"/>
  <c r="I336" i="2"/>
  <c r="S336" i="2" l="1"/>
  <c r="Q337" i="2"/>
  <c r="R212" i="2"/>
  <c r="T211" i="2"/>
  <c r="I337" i="2"/>
  <c r="N336" i="2"/>
  <c r="J336" i="2"/>
  <c r="K335" i="2" s="1"/>
  <c r="L335" i="2" s="1"/>
  <c r="M336" i="2" s="1"/>
  <c r="S337" i="2" l="1"/>
  <c r="Q338" i="2"/>
  <c r="T212" i="2"/>
  <c r="R213" i="2"/>
  <c r="I338" i="2"/>
  <c r="N337" i="2"/>
  <c r="J337" i="2"/>
  <c r="K336" i="2" s="1"/>
  <c r="L336" i="2" s="1"/>
  <c r="M337" i="2" s="1"/>
  <c r="S338" i="2" l="1"/>
  <c r="Q339" i="2"/>
  <c r="T213" i="2"/>
  <c r="R214" i="2"/>
  <c r="N338" i="2"/>
  <c r="J338" i="2"/>
  <c r="K337" i="2" s="1"/>
  <c r="L337" i="2" s="1"/>
  <c r="M338" i="2" s="1"/>
  <c r="I339" i="2"/>
  <c r="S339" i="2" l="1"/>
  <c r="Q340" i="2"/>
  <c r="R215" i="2"/>
  <c r="T214" i="2"/>
  <c r="I340" i="2"/>
  <c r="N339" i="2"/>
  <c r="J339" i="2"/>
  <c r="S340" i="2" l="1"/>
  <c r="Q341" i="2"/>
  <c r="T215" i="2"/>
  <c r="R216" i="2"/>
  <c r="I341" i="2"/>
  <c r="N340" i="2"/>
  <c r="J340" i="2"/>
  <c r="K339" i="2"/>
  <c r="L339" i="2" s="1"/>
  <c r="K338" i="2"/>
  <c r="L338" i="2" s="1"/>
  <c r="M339" i="2" s="1"/>
  <c r="S341" i="2" l="1"/>
  <c r="Q342" i="2"/>
  <c r="M340" i="2"/>
  <c r="R217" i="2"/>
  <c r="T216" i="2"/>
  <c r="N341" i="2"/>
  <c r="J341" i="2"/>
  <c r="K340" i="2" s="1"/>
  <c r="L340" i="2" s="1"/>
  <c r="M341" i="2" s="1"/>
  <c r="I342" i="2"/>
  <c r="S342" i="2" l="1"/>
  <c r="Q343" i="2"/>
  <c r="T217" i="2"/>
  <c r="R218" i="2"/>
  <c r="N342" i="2"/>
  <c r="J342" i="2"/>
  <c r="K341" i="2" s="1"/>
  <c r="L341" i="2" s="1"/>
  <c r="M342" i="2" s="1"/>
  <c r="I343" i="2"/>
  <c r="S343" i="2" l="1"/>
  <c r="Q344" i="2"/>
  <c r="T218" i="2"/>
  <c r="R219" i="2"/>
  <c r="I344" i="2"/>
  <c r="N343" i="2"/>
  <c r="J343" i="2"/>
  <c r="K342" i="2" s="1"/>
  <c r="L342" i="2" s="1"/>
  <c r="M343" i="2" s="1"/>
  <c r="S344" i="2" l="1"/>
  <c r="Q345" i="2"/>
  <c r="R220" i="2"/>
  <c r="T219" i="2"/>
  <c r="I345" i="2"/>
  <c r="J344" i="2"/>
  <c r="K343" i="2" s="1"/>
  <c r="L343" i="2" s="1"/>
  <c r="M344" i="2" s="1"/>
  <c r="N344" i="2"/>
  <c r="S345" i="2" l="1"/>
  <c r="Q346" i="2"/>
  <c r="T220" i="2"/>
  <c r="R221" i="2"/>
  <c r="N345" i="2"/>
  <c r="J345" i="2"/>
  <c r="K344" i="2" s="1"/>
  <c r="L344" i="2" s="1"/>
  <c r="M345" i="2" s="1"/>
  <c r="I346" i="2"/>
  <c r="S346" i="2" l="1"/>
  <c r="Q347" i="2"/>
  <c r="R222" i="2"/>
  <c r="T221" i="2"/>
  <c r="N346" i="2"/>
  <c r="J346" i="2"/>
  <c r="K345" i="2" s="1"/>
  <c r="L345" i="2" s="1"/>
  <c r="M346" i="2" s="1"/>
  <c r="I347" i="2"/>
  <c r="S347" i="2" l="1"/>
  <c r="Q348" i="2"/>
  <c r="T222" i="2"/>
  <c r="R223" i="2"/>
  <c r="I348" i="2"/>
  <c r="J347" i="2"/>
  <c r="K346" i="2" s="1"/>
  <c r="L346" i="2" s="1"/>
  <c r="M347" i="2" s="1"/>
  <c r="N347" i="2"/>
  <c r="S348" i="2" l="1"/>
  <c r="Q349" i="2"/>
  <c r="R224" i="2"/>
  <c r="T223" i="2"/>
  <c r="I349" i="2"/>
  <c r="J348" i="2"/>
  <c r="K347" i="2" s="1"/>
  <c r="L347" i="2" s="1"/>
  <c r="M348" i="2" s="1"/>
  <c r="N348" i="2"/>
  <c r="S349" i="2" l="1"/>
  <c r="Q350" i="2"/>
  <c r="R225" i="2"/>
  <c r="T224" i="2"/>
  <c r="N349" i="2"/>
  <c r="J349" i="2"/>
  <c r="K348" i="2" s="1"/>
  <c r="L348" i="2" s="1"/>
  <c r="M349" i="2" s="1"/>
  <c r="I350" i="2"/>
  <c r="S350" i="2" l="1"/>
  <c r="Q351" i="2"/>
  <c r="T225" i="2"/>
  <c r="R226" i="2"/>
  <c r="N350" i="2"/>
  <c r="J350" i="2"/>
  <c r="K349" i="2" s="1"/>
  <c r="L349" i="2" s="1"/>
  <c r="M350" i="2" s="1"/>
  <c r="I351" i="2"/>
  <c r="S351" i="2" l="1"/>
  <c r="Q352" i="2"/>
  <c r="R227" i="2"/>
  <c r="T226" i="2"/>
  <c r="I352" i="2"/>
  <c r="J351" i="2"/>
  <c r="K350" i="2" s="1"/>
  <c r="L350" i="2" s="1"/>
  <c r="M351" i="2" s="1"/>
  <c r="N351" i="2"/>
  <c r="S352" i="2" l="1"/>
  <c r="Q353" i="2"/>
  <c r="R228" i="2"/>
  <c r="T227" i="2"/>
  <c r="N352" i="2"/>
  <c r="J352" i="2"/>
  <c r="K351" i="2" s="1"/>
  <c r="L351" i="2" s="1"/>
  <c r="M352" i="2" s="1"/>
  <c r="I353" i="2"/>
  <c r="S353" i="2" l="1"/>
  <c r="Q354" i="2"/>
  <c r="R229" i="2"/>
  <c r="T228" i="2"/>
  <c r="N353" i="2"/>
  <c r="J353" i="2"/>
  <c r="K352" i="2" s="1"/>
  <c r="L352" i="2" s="1"/>
  <c r="M353" i="2" s="1"/>
  <c r="I354" i="2"/>
  <c r="S354" i="2" l="1"/>
  <c r="Q355" i="2"/>
  <c r="T229" i="2"/>
  <c r="R230" i="2"/>
  <c r="I355" i="2"/>
  <c r="N354" i="2"/>
  <c r="J354" i="2"/>
  <c r="K353" i="2" s="1"/>
  <c r="L353" i="2" s="1"/>
  <c r="M354" i="2" s="1"/>
  <c r="S355" i="2" l="1"/>
  <c r="Q356" i="2"/>
  <c r="T230" i="2"/>
  <c r="R231" i="2"/>
  <c r="I356" i="2"/>
  <c r="N355" i="2"/>
  <c r="J355" i="2"/>
  <c r="K354" i="2" s="1"/>
  <c r="L354" i="2" s="1"/>
  <c r="M355" i="2" s="1"/>
  <c r="S356" i="2" l="1"/>
  <c r="Q357" i="2"/>
  <c r="T231" i="2"/>
  <c r="R232" i="2"/>
  <c r="N356" i="2"/>
  <c r="J356" i="2"/>
  <c r="K355" i="2" s="1"/>
  <c r="L355" i="2" s="1"/>
  <c r="M356" i="2" s="1"/>
  <c r="I357" i="2"/>
  <c r="S357" i="2" l="1"/>
  <c r="Q358" i="2"/>
  <c r="T232" i="2"/>
  <c r="R233" i="2"/>
  <c r="N357" i="2"/>
  <c r="J357" i="2"/>
  <c r="K356" i="2" s="1"/>
  <c r="L356" i="2" s="1"/>
  <c r="M357" i="2" s="1"/>
  <c r="I358" i="2"/>
  <c r="S358" i="2" l="1"/>
  <c r="Q359" i="2"/>
  <c r="R234" i="2"/>
  <c r="T233" i="2"/>
  <c r="I359" i="2"/>
  <c r="J358" i="2"/>
  <c r="K357" i="2" s="1"/>
  <c r="L357" i="2" s="1"/>
  <c r="M358" i="2" s="1"/>
  <c r="N358" i="2"/>
  <c r="S359" i="2" l="1"/>
  <c r="Q360" i="2"/>
  <c r="R235" i="2"/>
  <c r="T234" i="2"/>
  <c r="I360" i="2"/>
  <c r="J359" i="2"/>
  <c r="K358" i="2" s="1"/>
  <c r="L358" i="2" s="1"/>
  <c r="M359" i="2" s="1"/>
  <c r="N359" i="2"/>
  <c r="S360" i="2" l="1"/>
  <c r="Q361" i="2"/>
  <c r="T235" i="2"/>
  <c r="R236" i="2"/>
  <c r="N360" i="2"/>
  <c r="J360" i="2"/>
  <c r="K359" i="2" s="1"/>
  <c r="L359" i="2" s="1"/>
  <c r="M360" i="2" s="1"/>
  <c r="I361" i="2"/>
  <c r="S361" i="2" l="1"/>
  <c r="Q362" i="2"/>
  <c r="T236" i="2"/>
  <c r="R237" i="2"/>
  <c r="N361" i="2"/>
  <c r="J361" i="2"/>
  <c r="K360" i="2" s="1"/>
  <c r="L360" i="2" s="1"/>
  <c r="M361" i="2" s="1"/>
  <c r="I362" i="2"/>
  <c r="S362" i="2" l="1"/>
  <c r="Q363" i="2"/>
  <c r="T237" i="2"/>
  <c r="R238" i="2"/>
  <c r="I363" i="2"/>
  <c r="N362" i="2"/>
  <c r="J362" i="2"/>
  <c r="K361" i="2" s="1"/>
  <c r="L361" i="2" s="1"/>
  <c r="M362" i="2" s="1"/>
  <c r="S363" i="2" l="1"/>
  <c r="Q364" i="2"/>
  <c r="T238" i="2"/>
  <c r="R239" i="2"/>
  <c r="I364" i="2"/>
  <c r="N363" i="2"/>
  <c r="J363" i="2"/>
  <c r="K362" i="2" s="1"/>
  <c r="L362" i="2" s="1"/>
  <c r="M363" i="2" s="1"/>
  <c r="S364" i="2" l="1"/>
  <c r="Q365" i="2"/>
  <c r="T239" i="2"/>
  <c r="R240" i="2"/>
  <c r="N364" i="2"/>
  <c r="J364" i="2"/>
  <c r="K363" i="2" s="1"/>
  <c r="L363" i="2" s="1"/>
  <c r="M364" i="2" s="1"/>
  <c r="I365" i="2"/>
  <c r="S365" i="2" l="1"/>
  <c r="Q366" i="2"/>
  <c r="R241" i="2"/>
  <c r="T240" i="2"/>
  <c r="I366" i="2"/>
  <c r="N365" i="2"/>
  <c r="J365" i="2"/>
  <c r="K364" i="2" s="1"/>
  <c r="L364" i="2" s="1"/>
  <c r="M365" i="2" s="1"/>
  <c r="S366" i="2" l="1"/>
  <c r="Q367" i="2"/>
  <c r="R242" i="2"/>
  <c r="T241" i="2"/>
  <c r="I367" i="2"/>
  <c r="N366" i="2"/>
  <c r="J366" i="2"/>
  <c r="K365" i="2" s="1"/>
  <c r="L365" i="2" s="1"/>
  <c r="M366" i="2" s="1"/>
  <c r="S367" i="2" l="1"/>
  <c r="Q368" i="2"/>
  <c r="T242" i="2"/>
  <c r="R243" i="2"/>
  <c r="N367" i="2"/>
  <c r="J367" i="2"/>
  <c r="K366" i="2" s="1"/>
  <c r="L366" i="2" s="1"/>
  <c r="M367" i="2" s="1"/>
  <c r="I368" i="2"/>
  <c r="S368" i="2" l="1"/>
  <c r="Q369" i="2"/>
  <c r="T243" i="2"/>
  <c r="R244" i="2"/>
  <c r="N368" i="2"/>
  <c r="J368" i="2"/>
  <c r="K367" i="2" s="1"/>
  <c r="L367" i="2" s="1"/>
  <c r="M368" i="2" s="1"/>
  <c r="I369" i="2"/>
  <c r="S369" i="2" l="1"/>
  <c r="Q370" i="2"/>
  <c r="R245" i="2"/>
  <c r="T244" i="2"/>
  <c r="I370" i="2"/>
  <c r="J369" i="2"/>
  <c r="K368" i="2" s="1"/>
  <c r="L368" i="2" s="1"/>
  <c r="M369" i="2" s="1"/>
  <c r="N369" i="2"/>
  <c r="S370" i="2" l="1"/>
  <c r="Q371" i="2"/>
  <c r="R246" i="2"/>
  <c r="T245" i="2"/>
  <c r="I371" i="2"/>
  <c r="J370" i="2"/>
  <c r="K369" i="2" s="1"/>
  <c r="L369" i="2" s="1"/>
  <c r="M370" i="2" s="1"/>
  <c r="N370" i="2"/>
  <c r="S371" i="2" l="1"/>
  <c r="Q372" i="2"/>
  <c r="T246" i="2"/>
  <c r="R247" i="2"/>
  <c r="N371" i="2"/>
  <c r="J371" i="2"/>
  <c r="K370" i="2" s="1"/>
  <c r="L370" i="2" s="1"/>
  <c r="M371" i="2" s="1"/>
  <c r="I372" i="2"/>
  <c r="S372" i="2" l="1"/>
  <c r="Q373" i="2"/>
  <c r="T247" i="2"/>
  <c r="R248" i="2"/>
  <c r="N372" i="2"/>
  <c r="J372" i="2"/>
  <c r="K371" i="2" s="1"/>
  <c r="L371" i="2" s="1"/>
  <c r="M372" i="2" s="1"/>
  <c r="I373" i="2"/>
  <c r="S373" i="2" l="1"/>
  <c r="Q374" i="2"/>
  <c r="R249" i="2"/>
  <c r="T248" i="2"/>
  <c r="I374" i="2"/>
  <c r="N373" i="2"/>
  <c r="J373" i="2"/>
  <c r="K372" i="2" s="1"/>
  <c r="L372" i="2" s="1"/>
  <c r="M373" i="2" s="1"/>
  <c r="S374" i="2" l="1"/>
  <c r="Q375" i="2"/>
  <c r="T249" i="2"/>
  <c r="R250" i="2"/>
  <c r="I375" i="2"/>
  <c r="N374" i="2"/>
  <c r="J374" i="2"/>
  <c r="K373" i="2" s="1"/>
  <c r="L373" i="2" s="1"/>
  <c r="M374" i="2" s="1"/>
  <c r="S375" i="2" l="1"/>
  <c r="Q376" i="2"/>
  <c r="T250" i="2"/>
  <c r="R251" i="2"/>
  <c r="N375" i="2"/>
  <c r="J375" i="2"/>
  <c r="K374" i="2" s="1"/>
  <c r="L374" i="2" s="1"/>
  <c r="M375" i="2" s="1"/>
  <c r="I376" i="2"/>
  <c r="S376" i="2" l="1"/>
  <c r="Q377" i="2"/>
  <c r="R252" i="2"/>
  <c r="T251" i="2"/>
  <c r="I377" i="2"/>
  <c r="J376" i="2"/>
  <c r="K375" i="2" s="1"/>
  <c r="L375" i="2" s="1"/>
  <c r="M376" i="2" s="1"/>
  <c r="N376" i="2"/>
  <c r="S377" i="2" l="1"/>
  <c r="Q378" i="2"/>
  <c r="T252" i="2"/>
  <c r="R253" i="2"/>
  <c r="I378" i="2"/>
  <c r="J377" i="2"/>
  <c r="K376" i="2" s="1"/>
  <c r="L376" i="2" s="1"/>
  <c r="M377" i="2" s="1"/>
  <c r="N377" i="2"/>
  <c r="S378" i="2" l="1"/>
  <c r="Q379" i="2"/>
  <c r="R254" i="2"/>
  <c r="T253" i="2"/>
  <c r="N378" i="2"/>
  <c r="J378" i="2"/>
  <c r="K377" i="2" s="1"/>
  <c r="L377" i="2" s="1"/>
  <c r="M378" i="2" s="1"/>
  <c r="I379" i="2"/>
  <c r="S379" i="2" l="1"/>
  <c r="Q380" i="2"/>
  <c r="T254" i="2"/>
  <c r="R255" i="2"/>
  <c r="N379" i="2"/>
  <c r="J379" i="2"/>
  <c r="K378" i="2" s="1"/>
  <c r="L378" i="2" s="1"/>
  <c r="M379" i="2" s="1"/>
  <c r="I380" i="2"/>
  <c r="S380" i="2" l="1"/>
  <c r="Q381" i="2"/>
  <c r="T255" i="2"/>
  <c r="R256" i="2"/>
  <c r="I381" i="2"/>
  <c r="J380" i="2"/>
  <c r="K379" i="2" s="1"/>
  <c r="L379" i="2" s="1"/>
  <c r="M380" i="2" s="1"/>
  <c r="N380" i="2"/>
  <c r="S381" i="2" l="1"/>
  <c r="Q382" i="2"/>
  <c r="T256" i="2"/>
  <c r="R257" i="2"/>
  <c r="I382" i="2"/>
  <c r="N381" i="2"/>
  <c r="J381" i="2"/>
  <c r="K380" i="2" s="1"/>
  <c r="L380" i="2" s="1"/>
  <c r="M381" i="2" s="1"/>
  <c r="S382" i="2" l="1"/>
  <c r="Q383" i="2"/>
  <c r="T257" i="2"/>
  <c r="R258" i="2"/>
  <c r="N382" i="2"/>
  <c r="J382" i="2"/>
  <c r="K381" i="2" s="1"/>
  <c r="L381" i="2" s="1"/>
  <c r="M382" i="2" s="1"/>
  <c r="I383" i="2"/>
  <c r="S383" i="2" l="1"/>
  <c r="Q384" i="2"/>
  <c r="T258" i="2"/>
  <c r="R259" i="2"/>
  <c r="N383" i="2"/>
  <c r="J383" i="2"/>
  <c r="K382" i="2" s="1"/>
  <c r="L382" i="2" s="1"/>
  <c r="M383" i="2" s="1"/>
  <c r="I384" i="2"/>
  <c r="S384" i="2" l="1"/>
  <c r="Q385" i="2"/>
  <c r="R260" i="2"/>
  <c r="T259" i="2"/>
  <c r="I385" i="2"/>
  <c r="N384" i="2"/>
  <c r="J384" i="2"/>
  <c r="K383" i="2" s="1"/>
  <c r="L383" i="2" s="1"/>
  <c r="M384" i="2" s="1"/>
  <c r="S385" i="2" l="1"/>
  <c r="Q386" i="2"/>
  <c r="R261" i="2"/>
  <c r="T260" i="2"/>
  <c r="I386" i="2"/>
  <c r="J385" i="2"/>
  <c r="K384" i="2" s="1"/>
  <c r="L384" i="2" s="1"/>
  <c r="M385" i="2" s="1"/>
  <c r="N385" i="2"/>
  <c r="S386" i="2" l="1"/>
  <c r="Q387" i="2"/>
  <c r="T261" i="2"/>
  <c r="R262" i="2"/>
  <c r="N386" i="2"/>
  <c r="J386" i="2"/>
  <c r="K385" i="2" s="1"/>
  <c r="L385" i="2" s="1"/>
  <c r="M386" i="2" s="1"/>
  <c r="I387" i="2"/>
  <c r="S387" i="2" l="1"/>
  <c r="Q388" i="2"/>
  <c r="R263" i="2"/>
  <c r="T262" i="2"/>
  <c r="I388" i="2"/>
  <c r="N387" i="2"/>
  <c r="J387" i="2"/>
  <c r="K386" i="2" s="1"/>
  <c r="L386" i="2" s="1"/>
  <c r="M387" i="2" s="1"/>
  <c r="S388" i="2" l="1"/>
  <c r="Q389" i="2"/>
  <c r="R264" i="2"/>
  <c r="T263" i="2"/>
  <c r="I389" i="2"/>
  <c r="J388" i="2"/>
  <c r="K387" i="2" s="1"/>
  <c r="L387" i="2" s="1"/>
  <c r="M388" i="2" s="1"/>
  <c r="N388" i="2"/>
  <c r="S389" i="2" l="1"/>
  <c r="Q390" i="2"/>
  <c r="T264" i="2"/>
  <c r="R265" i="2"/>
  <c r="N389" i="2"/>
  <c r="J389" i="2"/>
  <c r="K388" i="2" s="1"/>
  <c r="L388" i="2" s="1"/>
  <c r="M389" i="2" s="1"/>
  <c r="I390" i="2"/>
  <c r="S390" i="2" l="1"/>
  <c r="Q391" i="2"/>
  <c r="T265" i="2"/>
  <c r="R266" i="2"/>
  <c r="N390" i="2"/>
  <c r="J390" i="2"/>
  <c r="K389" i="2" s="1"/>
  <c r="L389" i="2" s="1"/>
  <c r="M390" i="2" s="1"/>
  <c r="I391" i="2"/>
  <c r="S391" i="2" l="1"/>
  <c r="Q392" i="2"/>
  <c r="R267" i="2"/>
  <c r="T266" i="2"/>
  <c r="N391" i="2"/>
  <c r="I392" i="2"/>
  <c r="J391" i="2"/>
  <c r="K390" i="2" s="1"/>
  <c r="L390" i="2" s="1"/>
  <c r="M391" i="2" s="1"/>
  <c r="S392" i="2" l="1"/>
  <c r="Q393" i="2"/>
  <c r="T267" i="2"/>
  <c r="R268" i="2"/>
  <c r="I393" i="2"/>
  <c r="N392" i="2"/>
  <c r="J392" i="2"/>
  <c r="K391" i="2" s="1"/>
  <c r="L391" i="2" s="1"/>
  <c r="M392" i="2" s="1"/>
  <c r="S393" i="2" l="1"/>
  <c r="Q394" i="2"/>
  <c r="T268" i="2"/>
  <c r="R269" i="2"/>
  <c r="I394" i="2"/>
  <c r="N393" i="2"/>
  <c r="J393" i="2"/>
  <c r="K392" i="2" s="1"/>
  <c r="L392" i="2" s="1"/>
  <c r="M393" i="2" s="1"/>
  <c r="S394" i="2" l="1"/>
  <c r="Q395" i="2"/>
  <c r="R270" i="2"/>
  <c r="T269" i="2"/>
  <c r="N394" i="2"/>
  <c r="J394" i="2"/>
  <c r="K393" i="2" s="1"/>
  <c r="L393" i="2" s="1"/>
  <c r="M394" i="2" s="1"/>
  <c r="I395" i="2"/>
  <c r="S395" i="2" l="1"/>
  <c r="Q396" i="2"/>
  <c r="T270" i="2"/>
  <c r="R271" i="2"/>
  <c r="N395" i="2"/>
  <c r="J395" i="2"/>
  <c r="K394" i="2" s="1"/>
  <c r="L394" i="2" s="1"/>
  <c r="M395" i="2" s="1"/>
  <c r="I396" i="2"/>
  <c r="S396" i="2" l="1"/>
  <c r="Q397" i="2"/>
  <c r="T271" i="2"/>
  <c r="R272" i="2"/>
  <c r="I397" i="2"/>
  <c r="J396" i="2"/>
  <c r="K395" i="2" s="1"/>
  <c r="L395" i="2" s="1"/>
  <c r="M396" i="2" s="1"/>
  <c r="N396" i="2"/>
  <c r="S397" i="2" l="1"/>
  <c r="Q398" i="2"/>
  <c r="R273" i="2"/>
  <c r="T272" i="2"/>
  <c r="I398" i="2"/>
  <c r="J397" i="2"/>
  <c r="K396" i="2" s="1"/>
  <c r="L396" i="2" s="1"/>
  <c r="M397" i="2" s="1"/>
  <c r="N397" i="2"/>
  <c r="S398" i="2" l="1"/>
  <c r="Q399" i="2"/>
  <c r="T273" i="2"/>
  <c r="R274" i="2"/>
  <c r="N398" i="2"/>
  <c r="J398" i="2"/>
  <c r="K397" i="2" s="1"/>
  <c r="L397" i="2" s="1"/>
  <c r="M398" i="2" s="1"/>
  <c r="I399" i="2"/>
  <c r="S399" i="2" l="1"/>
  <c r="Q400" i="2"/>
  <c r="T274" i="2"/>
  <c r="R275" i="2"/>
  <c r="I400" i="2"/>
  <c r="N399" i="2"/>
  <c r="J399" i="2"/>
  <c r="K398" i="2" s="1"/>
  <c r="L398" i="2" s="1"/>
  <c r="M399" i="2" s="1"/>
  <c r="S400" i="2" l="1"/>
  <c r="Q401" i="2"/>
  <c r="R276" i="2"/>
  <c r="T275" i="2"/>
  <c r="I401" i="2"/>
  <c r="N400" i="2"/>
  <c r="J400" i="2"/>
  <c r="K399" i="2" s="1"/>
  <c r="L399" i="2" s="1"/>
  <c r="M400" i="2" s="1"/>
  <c r="S401" i="2" l="1"/>
  <c r="Q402" i="2"/>
  <c r="R277" i="2"/>
  <c r="T276" i="2"/>
  <c r="N401" i="2"/>
  <c r="J401" i="2"/>
  <c r="K400" i="2" s="1"/>
  <c r="L400" i="2" s="1"/>
  <c r="M401" i="2" s="1"/>
  <c r="I402" i="2"/>
  <c r="S402" i="2" l="1"/>
  <c r="Q403" i="2"/>
  <c r="T277" i="2"/>
  <c r="R278" i="2"/>
  <c r="N402" i="2"/>
  <c r="J402" i="2"/>
  <c r="K401" i="2" s="1"/>
  <c r="L401" i="2" s="1"/>
  <c r="M402" i="2" s="1"/>
  <c r="I403" i="2"/>
  <c r="S403" i="2" l="1"/>
  <c r="Q404" i="2"/>
  <c r="T278" i="2"/>
  <c r="R279" i="2"/>
  <c r="I404" i="2"/>
  <c r="N403" i="2"/>
  <c r="J403" i="2"/>
  <c r="K402" i="2" s="1"/>
  <c r="L402" i="2" s="1"/>
  <c r="M403" i="2" s="1"/>
  <c r="S404" i="2" l="1"/>
  <c r="Q405" i="2"/>
  <c r="T279" i="2"/>
  <c r="R280" i="2"/>
  <c r="I405" i="2"/>
  <c r="J404" i="2"/>
  <c r="K403" i="2" s="1"/>
  <c r="L403" i="2" s="1"/>
  <c r="M404" i="2" s="1"/>
  <c r="N404" i="2"/>
  <c r="S405" i="2" l="1"/>
  <c r="Q406" i="2"/>
  <c r="T280" i="2"/>
  <c r="R281" i="2"/>
  <c r="N405" i="2"/>
  <c r="J405" i="2"/>
  <c r="K404" i="2" s="1"/>
  <c r="L404" i="2" s="1"/>
  <c r="M405" i="2" s="1"/>
  <c r="I406" i="2"/>
  <c r="S406" i="2" l="1"/>
  <c r="Q407" i="2"/>
  <c r="R282" i="2"/>
  <c r="T281" i="2"/>
  <c r="N406" i="2"/>
  <c r="J406" i="2"/>
  <c r="K405" i="2" s="1"/>
  <c r="L405" i="2" s="1"/>
  <c r="M406" i="2" s="1"/>
  <c r="I407" i="2"/>
  <c r="S407" i="2" l="1"/>
  <c r="Q408" i="2"/>
  <c r="R283" i="2"/>
  <c r="T282" i="2"/>
  <c r="I408" i="2"/>
  <c r="J407" i="2"/>
  <c r="K406" i="2" s="1"/>
  <c r="L406" i="2" s="1"/>
  <c r="M407" i="2" s="1"/>
  <c r="N407" i="2"/>
  <c r="S408" i="2" l="1"/>
  <c r="Q409" i="2"/>
  <c r="T283" i="2"/>
  <c r="R284" i="2"/>
  <c r="I409" i="2"/>
  <c r="N408" i="2"/>
  <c r="J408" i="2"/>
  <c r="K407" i="2" s="1"/>
  <c r="L407" i="2" s="1"/>
  <c r="M408" i="2" s="1"/>
  <c r="S409" i="2" l="1"/>
  <c r="Q410" i="2"/>
  <c r="R285" i="2"/>
  <c r="T284" i="2"/>
  <c r="N409" i="2"/>
  <c r="J409" i="2"/>
  <c r="K408" i="2" s="1"/>
  <c r="L408" i="2" s="1"/>
  <c r="M409" i="2" s="1"/>
  <c r="I410" i="2"/>
  <c r="S410" i="2" l="1"/>
  <c r="Q411" i="2"/>
  <c r="R286" i="2"/>
  <c r="T285" i="2"/>
  <c r="N410" i="2"/>
  <c r="J410" i="2"/>
  <c r="K409" i="2" s="1"/>
  <c r="L409" i="2" s="1"/>
  <c r="M410" i="2" s="1"/>
  <c r="I411" i="2"/>
  <c r="S411" i="2" l="1"/>
  <c r="Q412" i="2"/>
  <c r="T286" i="2"/>
  <c r="R287" i="2"/>
  <c r="I412" i="2"/>
  <c r="N411" i="2"/>
  <c r="J411" i="2"/>
  <c r="K410" i="2" s="1"/>
  <c r="L410" i="2" s="1"/>
  <c r="M411" i="2" s="1"/>
  <c r="S412" i="2" l="1"/>
  <c r="Q413" i="2"/>
  <c r="T287" i="2"/>
  <c r="R288" i="2"/>
  <c r="N412" i="2"/>
  <c r="J412" i="2"/>
  <c r="K411" i="2" s="1"/>
  <c r="L411" i="2" s="1"/>
  <c r="M412" i="2" s="1"/>
  <c r="I413" i="2"/>
  <c r="S413" i="2" l="1"/>
  <c r="Q414" i="2"/>
  <c r="T288" i="2"/>
  <c r="R289" i="2"/>
  <c r="N413" i="2"/>
  <c r="J413" i="2"/>
  <c r="K412" i="2" s="1"/>
  <c r="L412" i="2" s="1"/>
  <c r="M413" i="2" s="1"/>
  <c r="I414" i="2"/>
  <c r="S414" i="2" l="1"/>
  <c r="Q415" i="2"/>
  <c r="T289" i="2"/>
  <c r="R290" i="2"/>
  <c r="I415" i="2"/>
  <c r="J414" i="2"/>
  <c r="K413" i="2" s="1"/>
  <c r="L413" i="2" s="1"/>
  <c r="M414" i="2" s="1"/>
  <c r="N414" i="2"/>
  <c r="S415" i="2" l="1"/>
  <c r="Q416" i="2"/>
  <c r="R291" i="2"/>
  <c r="T290" i="2"/>
  <c r="I416" i="2"/>
  <c r="J415" i="2"/>
  <c r="K414" i="2" s="1"/>
  <c r="L414" i="2" s="1"/>
  <c r="M415" i="2" s="1"/>
  <c r="N415" i="2"/>
  <c r="S416" i="2" l="1"/>
  <c r="Q417" i="2"/>
  <c r="R292" i="2"/>
  <c r="T291" i="2"/>
  <c r="N416" i="2"/>
  <c r="J416" i="2"/>
  <c r="K415" i="2" s="1"/>
  <c r="L415" i="2" s="1"/>
  <c r="M416" i="2" s="1"/>
  <c r="I417" i="2"/>
  <c r="S417" i="2" l="1"/>
  <c r="Q418" i="2"/>
  <c r="R293" i="2"/>
  <c r="T292" i="2"/>
  <c r="N417" i="2"/>
  <c r="J417" i="2"/>
  <c r="K416" i="2" s="1"/>
  <c r="L416" i="2" s="1"/>
  <c r="M417" i="2" s="1"/>
  <c r="I418" i="2"/>
  <c r="S418" i="2" l="1"/>
  <c r="Q419" i="2"/>
  <c r="R294" i="2"/>
  <c r="T293" i="2"/>
  <c r="I419" i="2"/>
  <c r="J418" i="2"/>
  <c r="K417" i="2" s="1"/>
  <c r="L417" i="2" s="1"/>
  <c r="M418" i="2" s="1"/>
  <c r="N418" i="2"/>
  <c r="S419" i="2" l="1"/>
  <c r="Q420" i="2"/>
  <c r="R295" i="2"/>
  <c r="T294" i="2"/>
  <c r="I420" i="2"/>
  <c r="N419" i="2"/>
  <c r="J419" i="2"/>
  <c r="K418" i="2" s="1"/>
  <c r="L418" i="2" s="1"/>
  <c r="M419" i="2" s="1"/>
  <c r="S420" i="2" l="1"/>
  <c r="Q421" i="2"/>
  <c r="T295" i="2"/>
  <c r="R296" i="2"/>
  <c r="N420" i="2"/>
  <c r="J420" i="2"/>
  <c r="K419" i="2" s="1"/>
  <c r="L419" i="2" s="1"/>
  <c r="M420" i="2" s="1"/>
  <c r="I421" i="2"/>
  <c r="S421" i="2" l="1"/>
  <c r="Q422" i="2"/>
  <c r="T296" i="2"/>
  <c r="R297" i="2"/>
  <c r="N421" i="2"/>
  <c r="J421" i="2"/>
  <c r="K420" i="2" s="1"/>
  <c r="L420" i="2" s="1"/>
  <c r="M421" i="2" s="1"/>
  <c r="I422" i="2"/>
  <c r="S422" i="2" l="1"/>
  <c r="Q423" i="2"/>
  <c r="R298" i="2"/>
  <c r="T297" i="2"/>
  <c r="I423" i="2"/>
  <c r="N422" i="2"/>
  <c r="J422" i="2"/>
  <c r="K421" i="2" s="1"/>
  <c r="L421" i="2" s="1"/>
  <c r="M422" i="2" s="1"/>
  <c r="S423" i="2" l="1"/>
  <c r="Q424" i="2"/>
  <c r="T298" i="2"/>
  <c r="R299" i="2"/>
  <c r="J423" i="2"/>
  <c r="K422" i="2" s="1"/>
  <c r="L422" i="2" s="1"/>
  <c r="M423" i="2" s="1"/>
  <c r="I424" i="2"/>
  <c r="N423" i="2"/>
  <c r="S424" i="2" l="1"/>
  <c r="Q425" i="2"/>
  <c r="R300" i="2"/>
  <c r="T299" i="2"/>
  <c r="N424" i="2"/>
  <c r="J424" i="2"/>
  <c r="K423" i="2" s="1"/>
  <c r="L423" i="2" s="1"/>
  <c r="M424" i="2" s="1"/>
  <c r="I425" i="2"/>
  <c r="S425" i="2" l="1"/>
  <c r="Q426" i="2"/>
  <c r="T300" i="2"/>
  <c r="R301" i="2"/>
  <c r="I426" i="2"/>
  <c r="J425" i="2"/>
  <c r="K424" i="2" s="1"/>
  <c r="L424" i="2" s="1"/>
  <c r="M425" i="2" s="1"/>
  <c r="N425" i="2"/>
  <c r="S426" i="2" l="1"/>
  <c r="Q427" i="2"/>
  <c r="T301" i="2"/>
  <c r="R302" i="2"/>
  <c r="I427" i="2"/>
  <c r="J426" i="2"/>
  <c r="K425" i="2" s="1"/>
  <c r="L425" i="2" s="1"/>
  <c r="M426" i="2" s="1"/>
  <c r="N426" i="2"/>
  <c r="S427" i="2" l="1"/>
  <c r="Q428" i="2"/>
  <c r="T302" i="2"/>
  <c r="R303" i="2"/>
  <c r="N427" i="2"/>
  <c r="J427" i="2"/>
  <c r="K426" i="2" s="1"/>
  <c r="L426" i="2" s="1"/>
  <c r="M427" i="2" s="1"/>
  <c r="I428" i="2"/>
  <c r="S428" i="2" l="1"/>
  <c r="Q429" i="2"/>
  <c r="R304" i="2"/>
  <c r="T303" i="2"/>
  <c r="N428" i="2"/>
  <c r="J428" i="2"/>
  <c r="K427" i="2" s="1"/>
  <c r="L427" i="2" s="1"/>
  <c r="M428" i="2" s="1"/>
  <c r="I429" i="2"/>
  <c r="S429" i="2" l="1"/>
  <c r="Q430" i="2"/>
  <c r="T304" i="2"/>
  <c r="R305" i="2"/>
  <c r="I430" i="2"/>
  <c r="N429" i="2"/>
  <c r="J429" i="2"/>
  <c r="K428" i="2" s="1"/>
  <c r="L428" i="2" s="1"/>
  <c r="M429" i="2" s="1"/>
  <c r="S430" i="2" l="1"/>
  <c r="Q431" i="2"/>
  <c r="R306" i="2"/>
  <c r="T305" i="2"/>
  <c r="I431" i="2"/>
  <c r="N430" i="2"/>
  <c r="J430" i="2"/>
  <c r="K429" i="2" s="1"/>
  <c r="L429" i="2" s="1"/>
  <c r="M430" i="2" s="1"/>
  <c r="S431" i="2" l="1"/>
  <c r="Q432" i="2"/>
  <c r="R307" i="2"/>
  <c r="T306" i="2"/>
  <c r="N431" i="2"/>
  <c r="J431" i="2"/>
  <c r="K430" i="2" s="1"/>
  <c r="L430" i="2" s="1"/>
  <c r="M431" i="2" s="1"/>
  <c r="I432" i="2"/>
  <c r="S432" i="2" l="1"/>
  <c r="Q433" i="2"/>
  <c r="R308" i="2"/>
  <c r="T307" i="2"/>
  <c r="N432" i="2"/>
  <c r="J432" i="2"/>
  <c r="K431" i="2" s="1"/>
  <c r="L431" i="2" s="1"/>
  <c r="M432" i="2" s="1"/>
  <c r="I433" i="2"/>
  <c r="S433" i="2" l="1"/>
  <c r="Q434" i="2"/>
  <c r="R309" i="2"/>
  <c r="T308" i="2"/>
  <c r="I434" i="2"/>
  <c r="J433" i="2"/>
  <c r="K432" i="2" s="1"/>
  <c r="L432" i="2" s="1"/>
  <c r="M433" i="2" s="1"/>
  <c r="N433" i="2"/>
  <c r="S434" i="2" l="1"/>
  <c r="Q435" i="2"/>
  <c r="R310" i="2"/>
  <c r="T309" i="2"/>
  <c r="I435" i="2"/>
  <c r="J434" i="2"/>
  <c r="K433" i="2" s="1"/>
  <c r="L433" i="2" s="1"/>
  <c r="M434" i="2" s="1"/>
  <c r="N434" i="2"/>
  <c r="S435" i="2" l="1"/>
  <c r="Q436" i="2"/>
  <c r="T310" i="2"/>
  <c r="R311" i="2"/>
  <c r="N435" i="2"/>
  <c r="J435" i="2"/>
  <c r="K434" i="2" s="1"/>
  <c r="L434" i="2" s="1"/>
  <c r="M435" i="2" s="1"/>
  <c r="I436" i="2"/>
  <c r="S436" i="2" l="1"/>
  <c r="Q437" i="2"/>
  <c r="T311" i="2"/>
  <c r="R312" i="2"/>
  <c r="I437" i="2"/>
  <c r="N436" i="2"/>
  <c r="J436" i="2"/>
  <c r="K435" i="2" s="1"/>
  <c r="L435" i="2" s="1"/>
  <c r="M436" i="2" s="1"/>
  <c r="S437" i="2" l="1"/>
  <c r="Q438" i="2"/>
  <c r="T312" i="2"/>
  <c r="R313" i="2"/>
  <c r="I438" i="2"/>
  <c r="N437" i="2"/>
  <c r="J437" i="2"/>
  <c r="K436" i="2" s="1"/>
  <c r="L436" i="2" s="1"/>
  <c r="M437" i="2" s="1"/>
  <c r="S438" i="2" l="1"/>
  <c r="Q439" i="2"/>
  <c r="T313" i="2"/>
  <c r="R314" i="2"/>
  <c r="N438" i="2"/>
  <c r="J438" i="2"/>
  <c r="K437" i="2" s="1"/>
  <c r="L437" i="2" s="1"/>
  <c r="M438" i="2" s="1"/>
  <c r="I439" i="2"/>
  <c r="S439" i="2" l="1"/>
  <c r="Q440" i="2"/>
  <c r="T314" i="2"/>
  <c r="R315" i="2"/>
  <c r="N439" i="2"/>
  <c r="J439" i="2"/>
  <c r="K438" i="2" s="1"/>
  <c r="L438" i="2" s="1"/>
  <c r="M439" i="2" s="1"/>
  <c r="I440" i="2"/>
  <c r="S440" i="2" l="1"/>
  <c r="Q441" i="2"/>
  <c r="T315" i="2"/>
  <c r="R316" i="2"/>
  <c r="I441" i="2"/>
  <c r="N440" i="2"/>
  <c r="J440" i="2"/>
  <c r="K439" i="2" s="1"/>
  <c r="L439" i="2" s="1"/>
  <c r="M440" i="2" s="1"/>
  <c r="S441" i="2" l="1"/>
  <c r="Q442" i="2"/>
  <c r="R317" i="2"/>
  <c r="T316" i="2"/>
  <c r="I442" i="2"/>
  <c r="J441" i="2"/>
  <c r="K440" i="2" s="1"/>
  <c r="L440" i="2" s="1"/>
  <c r="M441" i="2" s="1"/>
  <c r="N441" i="2"/>
  <c r="S442" i="2" l="1"/>
  <c r="Q443" i="2"/>
  <c r="T317" i="2"/>
  <c r="R318" i="2"/>
  <c r="N442" i="2"/>
  <c r="J442" i="2"/>
  <c r="K441" i="2" s="1"/>
  <c r="L441" i="2" s="1"/>
  <c r="M442" i="2" s="1"/>
  <c r="I443" i="2"/>
  <c r="S443" i="2" l="1"/>
  <c r="Q444" i="2"/>
  <c r="R319" i="2"/>
  <c r="T318" i="2"/>
  <c r="N443" i="2"/>
  <c r="J443" i="2"/>
  <c r="K442" i="2" s="1"/>
  <c r="L442" i="2" s="1"/>
  <c r="M443" i="2" s="1"/>
  <c r="I444" i="2"/>
  <c r="S444" i="2" l="1"/>
  <c r="Q445" i="2"/>
  <c r="R320" i="2"/>
  <c r="T319" i="2"/>
  <c r="I445" i="2"/>
  <c r="J444" i="2"/>
  <c r="K443" i="2" s="1"/>
  <c r="L443" i="2" s="1"/>
  <c r="M444" i="2" s="1"/>
  <c r="N444" i="2"/>
  <c r="S445" i="2" l="1"/>
  <c r="Q446" i="2"/>
  <c r="T320" i="2"/>
  <c r="R321" i="2"/>
  <c r="I446" i="2"/>
  <c r="N445" i="2"/>
  <c r="J445" i="2"/>
  <c r="K444" i="2" s="1"/>
  <c r="L444" i="2" s="1"/>
  <c r="M445" i="2" s="1"/>
  <c r="S446" i="2" l="1"/>
  <c r="Q447" i="2"/>
  <c r="T321" i="2"/>
  <c r="R322" i="2"/>
  <c r="N446" i="2"/>
  <c r="J446" i="2"/>
  <c r="K445" i="2" s="1"/>
  <c r="L445" i="2" s="1"/>
  <c r="M446" i="2" s="1"/>
  <c r="I447" i="2"/>
  <c r="S447" i="2" l="1"/>
  <c r="Q448" i="2"/>
  <c r="R323" i="2"/>
  <c r="T322" i="2"/>
  <c r="I448" i="2"/>
  <c r="N447" i="2"/>
  <c r="J447" i="2"/>
  <c r="K446" i="2" s="1"/>
  <c r="L446" i="2" s="1"/>
  <c r="M447" i="2" s="1"/>
  <c r="S448" i="2" l="1"/>
  <c r="Q449" i="2"/>
  <c r="R324" i="2"/>
  <c r="T323" i="2"/>
  <c r="I449" i="2"/>
  <c r="N448" i="2"/>
  <c r="J448" i="2"/>
  <c r="K447" i="2" s="1"/>
  <c r="L447" i="2" s="1"/>
  <c r="M448" i="2" s="1"/>
  <c r="S449" i="2" l="1"/>
  <c r="Q450" i="2"/>
  <c r="T324" i="2"/>
  <c r="R325" i="2"/>
  <c r="N449" i="2"/>
  <c r="J449" i="2"/>
  <c r="K448" i="2" s="1"/>
  <c r="L448" i="2" s="1"/>
  <c r="M449" i="2" s="1"/>
  <c r="I450" i="2"/>
  <c r="S450" i="2" l="1"/>
  <c r="Q451" i="2"/>
  <c r="T325" i="2"/>
  <c r="R326" i="2"/>
  <c r="N450" i="2"/>
  <c r="J450" i="2"/>
  <c r="K449" i="2" s="1"/>
  <c r="L449" i="2" s="1"/>
  <c r="M450" i="2" s="1"/>
  <c r="I451" i="2"/>
  <c r="S451" i="2" l="1"/>
  <c r="Q452" i="2"/>
  <c r="T326" i="2"/>
  <c r="R327" i="2"/>
  <c r="I452" i="2"/>
  <c r="N451" i="2"/>
  <c r="J451" i="2"/>
  <c r="K450" i="2" s="1"/>
  <c r="L450" i="2" s="1"/>
  <c r="M451" i="2" s="1"/>
  <c r="S452" i="2" l="1"/>
  <c r="Q453" i="2"/>
  <c r="T327" i="2"/>
  <c r="R328" i="2"/>
  <c r="I453" i="2"/>
  <c r="N452" i="2"/>
  <c r="J452" i="2"/>
  <c r="K451" i="2" s="1"/>
  <c r="L451" i="2" s="1"/>
  <c r="M452" i="2" s="1"/>
  <c r="S453" i="2" l="1"/>
  <c r="Q454" i="2"/>
  <c r="T328" i="2"/>
  <c r="R329" i="2"/>
  <c r="N453" i="2"/>
  <c r="J453" i="2"/>
  <c r="K452" i="2" s="1"/>
  <c r="L452" i="2" s="1"/>
  <c r="M453" i="2" s="1"/>
  <c r="I454" i="2"/>
  <c r="S454" i="2" l="1"/>
  <c r="Q455" i="2"/>
  <c r="R330" i="2"/>
  <c r="T329" i="2"/>
  <c r="N454" i="2"/>
  <c r="J454" i="2"/>
  <c r="K453" i="2" s="1"/>
  <c r="L453" i="2" s="1"/>
  <c r="M454" i="2" s="1"/>
  <c r="I455" i="2"/>
  <c r="S455" i="2" l="1"/>
  <c r="Q456" i="2"/>
  <c r="T330" i="2"/>
  <c r="R331" i="2"/>
  <c r="I456" i="2"/>
  <c r="N455" i="2"/>
  <c r="J455" i="2"/>
  <c r="K454" i="2" s="1"/>
  <c r="L454" i="2" s="1"/>
  <c r="M455" i="2" s="1"/>
  <c r="S456" i="2" l="1"/>
  <c r="Q457" i="2"/>
  <c r="R332" i="2"/>
  <c r="T331" i="2"/>
  <c r="I457" i="2"/>
  <c r="J456" i="2"/>
  <c r="K455" i="2" s="1"/>
  <c r="L455" i="2" s="1"/>
  <c r="M456" i="2" s="1"/>
  <c r="N456" i="2"/>
  <c r="S457" i="2" l="1"/>
  <c r="Q458" i="2"/>
  <c r="T332" i="2"/>
  <c r="R333" i="2"/>
  <c r="N457" i="2"/>
  <c r="J457" i="2"/>
  <c r="K456" i="2" s="1"/>
  <c r="L456" i="2" s="1"/>
  <c r="M457" i="2" s="1"/>
  <c r="I458" i="2"/>
  <c r="S458" i="2" l="1"/>
  <c r="Q459" i="2"/>
  <c r="T333" i="2"/>
  <c r="R334" i="2"/>
  <c r="N458" i="2"/>
  <c r="J458" i="2"/>
  <c r="K457" i="2" s="1"/>
  <c r="L457" i="2" s="1"/>
  <c r="M458" i="2" s="1"/>
  <c r="I459" i="2"/>
  <c r="S459" i="2" l="1"/>
  <c r="Q460" i="2"/>
  <c r="R335" i="2"/>
  <c r="T334" i="2"/>
  <c r="I460" i="2"/>
  <c r="J459" i="2"/>
  <c r="K458" i="2" s="1"/>
  <c r="L458" i="2" s="1"/>
  <c r="M459" i="2" s="1"/>
  <c r="N459" i="2"/>
  <c r="S460" i="2" l="1"/>
  <c r="Q461" i="2"/>
  <c r="R336" i="2"/>
  <c r="T335" i="2"/>
  <c r="N460" i="2"/>
  <c r="J460" i="2"/>
  <c r="K459" i="2" s="1"/>
  <c r="L459" i="2" s="1"/>
  <c r="M460" i="2" s="1"/>
  <c r="I461" i="2"/>
  <c r="S461" i="2" l="1"/>
  <c r="Q462" i="2"/>
  <c r="R337" i="2"/>
  <c r="T336" i="2"/>
  <c r="N461" i="2"/>
  <c r="J461" i="2"/>
  <c r="K460" i="2" s="1"/>
  <c r="L460" i="2" s="1"/>
  <c r="M461" i="2" s="1"/>
  <c r="I462" i="2"/>
  <c r="S462" i="2" l="1"/>
  <c r="Q463" i="2"/>
  <c r="R338" i="2"/>
  <c r="T337" i="2"/>
  <c r="I463" i="2"/>
  <c r="N462" i="2"/>
  <c r="J462" i="2"/>
  <c r="K461" i="2" s="1"/>
  <c r="L461" i="2" s="1"/>
  <c r="M462" i="2" s="1"/>
  <c r="S463" i="2" l="1"/>
  <c r="Q464" i="2"/>
  <c r="T338" i="2"/>
  <c r="R339" i="2"/>
  <c r="I464" i="2"/>
  <c r="N463" i="2"/>
  <c r="J463" i="2"/>
  <c r="K462" i="2" s="1"/>
  <c r="L462" i="2" s="1"/>
  <c r="M463" i="2" s="1"/>
  <c r="S464" i="2" l="1"/>
  <c r="Q465" i="2"/>
  <c r="R340" i="2"/>
  <c r="T339" i="2"/>
  <c r="N464" i="2"/>
  <c r="J464" i="2"/>
  <c r="K463" i="2" s="1"/>
  <c r="L463" i="2" s="1"/>
  <c r="M464" i="2" s="1"/>
  <c r="I465" i="2"/>
  <c r="S465" i="2" l="1"/>
  <c r="Q466" i="2"/>
  <c r="T340" i="2"/>
  <c r="R341" i="2"/>
  <c r="N465" i="2"/>
  <c r="J465" i="2"/>
  <c r="K464" i="2" s="1"/>
  <c r="L464" i="2" s="1"/>
  <c r="M465" i="2" s="1"/>
  <c r="I466" i="2"/>
  <c r="S466" i="2" l="1"/>
  <c r="Q467" i="2"/>
  <c r="T341" i="2"/>
  <c r="R342" i="2"/>
  <c r="I467" i="2"/>
  <c r="J466" i="2"/>
  <c r="K465" i="2" s="1"/>
  <c r="L465" i="2" s="1"/>
  <c r="M466" i="2" s="1"/>
  <c r="N466" i="2"/>
  <c r="S467" i="2" l="1"/>
  <c r="Q468" i="2"/>
  <c r="T342" i="2"/>
  <c r="R343" i="2"/>
  <c r="I468" i="2"/>
  <c r="J467" i="2"/>
  <c r="K466" i="2" s="1"/>
  <c r="L466" i="2" s="1"/>
  <c r="M467" i="2" s="1"/>
  <c r="N467" i="2"/>
  <c r="S468" i="2" l="1"/>
  <c r="Q469" i="2"/>
  <c r="T343" i="2"/>
  <c r="R344" i="2"/>
  <c r="N468" i="2"/>
  <c r="J468" i="2"/>
  <c r="K467" i="2" s="1"/>
  <c r="L467" i="2" s="1"/>
  <c r="M468" i="2" s="1"/>
  <c r="I469" i="2"/>
  <c r="S469" i="2" l="1"/>
  <c r="Q470" i="2"/>
  <c r="R345" i="2"/>
  <c r="T344" i="2"/>
  <c r="N469" i="2"/>
  <c r="J469" i="2"/>
  <c r="K468" i="2" s="1"/>
  <c r="L468" i="2" s="1"/>
  <c r="M469" i="2" s="1"/>
  <c r="I470" i="2"/>
  <c r="S470" i="2" l="1"/>
  <c r="Q471" i="2"/>
  <c r="T345" i="2"/>
  <c r="R346" i="2"/>
  <c r="I471" i="2"/>
  <c r="N470" i="2"/>
  <c r="J470" i="2"/>
  <c r="K469" i="2" s="1"/>
  <c r="L469" i="2" s="1"/>
  <c r="M470" i="2" s="1"/>
  <c r="S471" i="2" l="1"/>
  <c r="Q472" i="2"/>
  <c r="T346" i="2"/>
  <c r="R347" i="2"/>
  <c r="I472" i="2"/>
  <c r="N471" i="2"/>
  <c r="J471" i="2"/>
  <c r="K470" i="2" s="1"/>
  <c r="L470" i="2" s="1"/>
  <c r="M471" i="2" s="1"/>
  <c r="S472" i="2" l="1"/>
  <c r="Q473" i="2"/>
  <c r="T347" i="2"/>
  <c r="R348" i="2"/>
  <c r="N472" i="2"/>
  <c r="J472" i="2"/>
  <c r="K471" i="2" s="1"/>
  <c r="L471" i="2" s="1"/>
  <c r="M472" i="2" s="1"/>
  <c r="I473" i="2"/>
  <c r="S473" i="2" l="1"/>
  <c r="Q474" i="2"/>
  <c r="T348" i="2"/>
  <c r="R349" i="2"/>
  <c r="I474" i="2"/>
  <c r="N473" i="2"/>
  <c r="J473" i="2"/>
  <c r="K472" i="2" s="1"/>
  <c r="L472" i="2" s="1"/>
  <c r="M473" i="2" s="1"/>
  <c r="S474" i="2" l="1"/>
  <c r="Q475" i="2"/>
  <c r="R350" i="2"/>
  <c r="T349" i="2"/>
  <c r="I475" i="2"/>
  <c r="N474" i="2"/>
  <c r="J474" i="2"/>
  <c r="K473" i="2" s="1"/>
  <c r="L473" i="2" s="1"/>
  <c r="M474" i="2" s="1"/>
  <c r="S475" i="2" l="1"/>
  <c r="Q476" i="2"/>
  <c r="T350" i="2"/>
  <c r="R351" i="2"/>
  <c r="N475" i="2"/>
  <c r="J475" i="2"/>
  <c r="K474" i="2" s="1"/>
  <c r="L474" i="2" s="1"/>
  <c r="M475" i="2" s="1"/>
  <c r="I476" i="2"/>
  <c r="S476" i="2" l="1"/>
  <c r="Q477" i="2"/>
  <c r="T351" i="2"/>
  <c r="R352" i="2"/>
  <c r="N476" i="2"/>
  <c r="J476" i="2"/>
  <c r="K475" i="2" s="1"/>
  <c r="L475" i="2" s="1"/>
  <c r="M476" i="2" s="1"/>
  <c r="I477" i="2"/>
  <c r="S477" i="2" l="1"/>
  <c r="Q478" i="2"/>
  <c r="T352" i="2"/>
  <c r="R353" i="2"/>
  <c r="I478" i="2"/>
  <c r="J477" i="2"/>
  <c r="K476" i="2" s="1"/>
  <c r="L476" i="2" s="1"/>
  <c r="M477" i="2" s="1"/>
  <c r="N477" i="2"/>
  <c r="S478" i="2" l="1"/>
  <c r="Q479" i="2"/>
  <c r="T353" i="2"/>
  <c r="R354" i="2"/>
  <c r="I479" i="2"/>
  <c r="J478" i="2"/>
  <c r="K477" i="2" s="1"/>
  <c r="L477" i="2" s="1"/>
  <c r="M478" i="2" s="1"/>
  <c r="N478" i="2"/>
  <c r="S479" i="2" l="1"/>
  <c r="Q480" i="2"/>
  <c r="T354" i="2"/>
  <c r="R355" i="2"/>
  <c r="N479" i="2"/>
  <c r="J479" i="2"/>
  <c r="K478" i="2" s="1"/>
  <c r="L478" i="2" s="1"/>
  <c r="M479" i="2" s="1"/>
  <c r="I480" i="2"/>
  <c r="S480" i="2" l="1"/>
  <c r="Q481" i="2"/>
  <c r="R356" i="2"/>
  <c r="T355" i="2"/>
  <c r="N480" i="2"/>
  <c r="J480" i="2"/>
  <c r="K479" i="2" s="1"/>
  <c r="L479" i="2" s="1"/>
  <c r="M480" i="2" s="1"/>
  <c r="I481" i="2"/>
  <c r="S481" i="2" l="1"/>
  <c r="Q482" i="2"/>
  <c r="R357" i="2"/>
  <c r="T356" i="2"/>
  <c r="I482" i="2"/>
  <c r="N481" i="2"/>
  <c r="J481" i="2"/>
  <c r="K480" i="2" s="1"/>
  <c r="L480" i="2" s="1"/>
  <c r="M481" i="2" s="1"/>
  <c r="S482" i="2" l="1"/>
  <c r="Q483" i="2"/>
  <c r="T357" i="2"/>
  <c r="R358" i="2"/>
  <c r="I483" i="2"/>
  <c r="N482" i="2"/>
  <c r="J482" i="2"/>
  <c r="K481" i="2" s="1"/>
  <c r="L481" i="2" s="1"/>
  <c r="M482" i="2" s="1"/>
  <c r="S483" i="2" l="1"/>
  <c r="Q484" i="2"/>
  <c r="T358" i="2"/>
  <c r="R359" i="2"/>
  <c r="N483" i="2"/>
  <c r="J483" i="2"/>
  <c r="K482" i="2" s="1"/>
  <c r="L482" i="2" s="1"/>
  <c r="M483" i="2" s="1"/>
  <c r="I484" i="2"/>
  <c r="S484" i="2" l="1"/>
  <c r="Q485" i="2"/>
  <c r="R360" i="2"/>
  <c r="T359" i="2"/>
  <c r="I485" i="2"/>
  <c r="J484" i="2"/>
  <c r="K483" i="2" s="1"/>
  <c r="L483" i="2" s="1"/>
  <c r="M484" i="2" s="1"/>
  <c r="N484" i="2"/>
  <c r="S485" i="2" l="1"/>
  <c r="Q486" i="2"/>
  <c r="T360" i="2"/>
  <c r="R361" i="2"/>
  <c r="I486" i="2"/>
  <c r="J485" i="2"/>
  <c r="K484" i="2" s="1"/>
  <c r="L484" i="2" s="1"/>
  <c r="M485" i="2" s="1"/>
  <c r="N485" i="2"/>
  <c r="S486" i="2" l="1"/>
  <c r="Q487" i="2"/>
  <c r="T361" i="2"/>
  <c r="R362" i="2"/>
  <c r="N486" i="2"/>
  <c r="J486" i="2"/>
  <c r="K485" i="2" s="1"/>
  <c r="L485" i="2" s="1"/>
  <c r="M486" i="2" s="1"/>
  <c r="I487" i="2"/>
  <c r="S487" i="2" l="1"/>
  <c r="Q488" i="2"/>
  <c r="T362" i="2"/>
  <c r="R363" i="2"/>
  <c r="N487" i="2"/>
  <c r="J487" i="2"/>
  <c r="K486" i="2" s="1"/>
  <c r="L486" i="2" s="1"/>
  <c r="M487" i="2" s="1"/>
  <c r="I488" i="2"/>
  <c r="S488" i="2" l="1"/>
  <c r="Q489" i="2"/>
  <c r="R364" i="2"/>
  <c r="T363" i="2"/>
  <c r="I489" i="2"/>
  <c r="N488" i="2"/>
  <c r="J488" i="2"/>
  <c r="K487" i="2" s="1"/>
  <c r="L487" i="2" s="1"/>
  <c r="M488" i="2" s="1"/>
  <c r="S489" i="2" l="1"/>
  <c r="Q490" i="2"/>
  <c r="R365" i="2"/>
  <c r="T364" i="2"/>
  <c r="I490" i="2"/>
  <c r="N489" i="2"/>
  <c r="J489" i="2"/>
  <c r="K488" i="2" s="1"/>
  <c r="L488" i="2" s="1"/>
  <c r="M489" i="2" s="1"/>
  <c r="S490" i="2" l="1"/>
  <c r="Q491" i="2"/>
  <c r="R366" i="2"/>
  <c r="T365" i="2"/>
  <c r="N490" i="2"/>
  <c r="J490" i="2"/>
  <c r="K489" i="2" s="1"/>
  <c r="L489" i="2" s="1"/>
  <c r="M490" i="2" s="1"/>
  <c r="I491" i="2"/>
  <c r="S491" i="2" l="1"/>
  <c r="Q492" i="2"/>
  <c r="R367" i="2"/>
  <c r="T366" i="2"/>
  <c r="N491" i="2"/>
  <c r="J491" i="2"/>
  <c r="K490" i="2" s="1"/>
  <c r="L490" i="2" s="1"/>
  <c r="M491" i="2" s="1"/>
  <c r="I492" i="2"/>
  <c r="S492" i="2" l="1"/>
  <c r="Q493" i="2"/>
  <c r="R368" i="2"/>
  <c r="T367" i="2"/>
  <c r="I493" i="2"/>
  <c r="N492" i="2"/>
  <c r="J492" i="2"/>
  <c r="K491" i="2" s="1"/>
  <c r="L491" i="2" s="1"/>
  <c r="M492" i="2" s="1"/>
  <c r="S493" i="2" l="1"/>
  <c r="Q494" i="2"/>
  <c r="T368" i="2"/>
  <c r="R369" i="2"/>
  <c r="I494" i="2"/>
  <c r="N493" i="2"/>
  <c r="J493" i="2"/>
  <c r="K492" i="2" s="1"/>
  <c r="L492" i="2" s="1"/>
  <c r="M493" i="2" s="1"/>
  <c r="S494" i="2" l="1"/>
  <c r="Q495" i="2"/>
  <c r="T369" i="2"/>
  <c r="R370" i="2"/>
  <c r="N494" i="2"/>
  <c r="J494" i="2"/>
  <c r="K493" i="2" s="1"/>
  <c r="L493" i="2" s="1"/>
  <c r="M494" i="2" s="1"/>
  <c r="I495" i="2"/>
  <c r="S495" i="2" l="1"/>
  <c r="Q496" i="2"/>
  <c r="T370" i="2"/>
  <c r="R371" i="2"/>
  <c r="I496" i="2"/>
  <c r="N495" i="2"/>
  <c r="J495" i="2"/>
  <c r="K494" i="2" s="1"/>
  <c r="L494" i="2" s="1"/>
  <c r="M495" i="2" s="1"/>
  <c r="S496" i="2" l="1"/>
  <c r="Q497" i="2"/>
  <c r="R372" i="2"/>
  <c r="T371" i="2"/>
  <c r="I497" i="2"/>
  <c r="N496" i="2"/>
  <c r="J496" i="2"/>
  <c r="K495" i="2" s="1"/>
  <c r="L495" i="2" s="1"/>
  <c r="M496" i="2" s="1"/>
  <c r="S497" i="2" l="1"/>
  <c r="Q498" i="2"/>
  <c r="T372" i="2"/>
  <c r="R373" i="2"/>
  <c r="N497" i="2"/>
  <c r="J497" i="2"/>
  <c r="K496" i="2" s="1"/>
  <c r="L496" i="2" s="1"/>
  <c r="M497" i="2" s="1"/>
  <c r="I498" i="2"/>
  <c r="S498" i="2" l="1"/>
  <c r="Q499" i="2"/>
  <c r="R374" i="2"/>
  <c r="T373" i="2"/>
  <c r="N498" i="2"/>
  <c r="J498" i="2"/>
  <c r="K497" i="2" s="1"/>
  <c r="L497" i="2" s="1"/>
  <c r="M498" i="2" s="1"/>
  <c r="I499" i="2"/>
  <c r="S499" i="2" l="1"/>
  <c r="Q500" i="2"/>
  <c r="R375" i="2"/>
  <c r="T374" i="2"/>
  <c r="I500" i="2"/>
  <c r="N499" i="2"/>
  <c r="J499" i="2"/>
  <c r="K498" i="2" s="1"/>
  <c r="L498" i="2" s="1"/>
  <c r="M499" i="2" s="1"/>
  <c r="S500" i="2" l="1"/>
  <c r="Q501" i="2"/>
  <c r="T375" i="2"/>
  <c r="R376" i="2"/>
  <c r="I501" i="2"/>
  <c r="N500" i="2"/>
  <c r="J500" i="2"/>
  <c r="K499" i="2" s="1"/>
  <c r="L499" i="2" s="1"/>
  <c r="M500" i="2" s="1"/>
  <c r="S501" i="2" l="1"/>
  <c r="Q502" i="2"/>
  <c r="T376" i="2"/>
  <c r="R377" i="2"/>
  <c r="N501" i="2"/>
  <c r="J501" i="2"/>
  <c r="K500" i="2" s="1"/>
  <c r="L500" i="2" s="1"/>
  <c r="M501" i="2" s="1"/>
  <c r="I502" i="2"/>
  <c r="S502" i="2" l="1"/>
  <c r="Q503" i="2"/>
  <c r="T377" i="2"/>
  <c r="R378" i="2"/>
  <c r="N502" i="2"/>
  <c r="J502" i="2"/>
  <c r="K501" i="2" s="1"/>
  <c r="L501" i="2" s="1"/>
  <c r="M502" i="2" s="1"/>
  <c r="I503" i="2"/>
  <c r="S503" i="2" l="1"/>
  <c r="Q504" i="2"/>
  <c r="T378" i="2"/>
  <c r="R379" i="2"/>
  <c r="I504" i="2"/>
  <c r="N503" i="2"/>
  <c r="J503" i="2"/>
  <c r="K502" i="2" s="1"/>
  <c r="L502" i="2" s="1"/>
  <c r="M503" i="2" s="1"/>
  <c r="S504" i="2" l="1"/>
  <c r="Q505" i="2"/>
  <c r="T379" i="2"/>
  <c r="R380" i="2"/>
  <c r="I505" i="2"/>
  <c r="J504" i="2"/>
  <c r="K503" i="2" s="1"/>
  <c r="L503" i="2" s="1"/>
  <c r="M504" i="2" s="1"/>
  <c r="N504" i="2"/>
  <c r="S505" i="2" l="1"/>
  <c r="Q506" i="2"/>
  <c r="R381" i="2"/>
  <c r="T380" i="2"/>
  <c r="N505" i="2"/>
  <c r="J505" i="2"/>
  <c r="K504" i="2" s="1"/>
  <c r="L504" i="2" s="1"/>
  <c r="M505" i="2" s="1"/>
  <c r="I506" i="2"/>
  <c r="S506" i="2" l="1"/>
  <c r="Q507" i="2"/>
  <c r="T381" i="2"/>
  <c r="R382" i="2"/>
  <c r="N506" i="2"/>
  <c r="J506" i="2"/>
  <c r="K505" i="2" s="1"/>
  <c r="L505" i="2" s="1"/>
  <c r="M506" i="2" s="1"/>
  <c r="I507" i="2"/>
  <c r="S507" i="2" l="1"/>
  <c r="Q508" i="2"/>
  <c r="R383" i="2"/>
  <c r="T382" i="2"/>
  <c r="I508" i="2"/>
  <c r="N507" i="2"/>
  <c r="J507" i="2"/>
  <c r="K506" i="2" s="1"/>
  <c r="L506" i="2" s="1"/>
  <c r="M507" i="2" s="1"/>
  <c r="S508" i="2" l="1"/>
  <c r="Q509" i="2"/>
  <c r="R384" i="2"/>
  <c r="T383" i="2"/>
  <c r="N508" i="2"/>
  <c r="J508" i="2"/>
  <c r="K507" i="2" s="1"/>
  <c r="L507" i="2" s="1"/>
  <c r="M508" i="2" s="1"/>
  <c r="I509" i="2"/>
  <c r="S509" i="2" l="1"/>
  <c r="Q510" i="2"/>
  <c r="R385" i="2"/>
  <c r="T384" i="2"/>
  <c r="N509" i="2"/>
  <c r="J509" i="2"/>
  <c r="K508" i="2" s="1"/>
  <c r="L508" i="2" s="1"/>
  <c r="M509" i="2" s="1"/>
  <c r="I510" i="2"/>
  <c r="S510" i="2" l="1"/>
  <c r="Q511" i="2"/>
  <c r="T385" i="2"/>
  <c r="R386" i="2"/>
  <c r="I511" i="2"/>
  <c r="N510" i="2"/>
  <c r="J510" i="2"/>
  <c r="K509" i="2" s="1"/>
  <c r="L509" i="2" s="1"/>
  <c r="M510" i="2" s="1"/>
  <c r="S511" i="2" l="1"/>
  <c r="Q512" i="2"/>
  <c r="T386" i="2"/>
  <c r="R387" i="2"/>
  <c r="I512" i="2"/>
  <c r="J511" i="2"/>
  <c r="K510" i="2" s="1"/>
  <c r="L510" i="2" s="1"/>
  <c r="M511" i="2" s="1"/>
  <c r="N511" i="2"/>
  <c r="S512" i="2" l="1"/>
  <c r="Q513" i="2"/>
  <c r="R388" i="2"/>
  <c r="T387" i="2"/>
  <c r="N512" i="2"/>
  <c r="J512" i="2"/>
  <c r="K511" i="2" s="1"/>
  <c r="L511" i="2" s="1"/>
  <c r="M512" i="2" s="1"/>
  <c r="I513" i="2"/>
  <c r="S513" i="2" l="1"/>
  <c r="Q514" i="2"/>
  <c r="R389" i="2"/>
  <c r="T388" i="2"/>
  <c r="N513" i="2"/>
  <c r="J513" i="2"/>
  <c r="K512" i="2" s="1"/>
  <c r="L512" i="2" s="1"/>
  <c r="M513" i="2" s="1"/>
  <c r="I514" i="2"/>
  <c r="S514" i="2" l="1"/>
  <c r="Q515" i="2"/>
  <c r="R390" i="2"/>
  <c r="T389" i="2"/>
  <c r="I515" i="2"/>
  <c r="N514" i="2"/>
  <c r="J514" i="2"/>
  <c r="K513" i="2" s="1"/>
  <c r="L513" i="2" s="1"/>
  <c r="M514" i="2" s="1"/>
  <c r="S515" i="2" l="1"/>
  <c r="Q516" i="2"/>
  <c r="T390" i="2"/>
  <c r="R391" i="2"/>
  <c r="I516" i="2"/>
  <c r="J515" i="2"/>
  <c r="K514" i="2" s="1"/>
  <c r="L514" i="2" s="1"/>
  <c r="M515" i="2" s="1"/>
  <c r="N515" i="2"/>
  <c r="S516" i="2" l="1"/>
  <c r="Q517" i="2"/>
  <c r="T391" i="2"/>
  <c r="R392" i="2"/>
  <c r="N516" i="2"/>
  <c r="J516" i="2"/>
  <c r="K515" i="2" s="1"/>
  <c r="L515" i="2" s="1"/>
  <c r="M516" i="2" s="1"/>
  <c r="I517" i="2"/>
  <c r="S517" i="2" l="1"/>
  <c r="Q518" i="2"/>
  <c r="R393" i="2"/>
  <c r="T392" i="2"/>
  <c r="N517" i="2"/>
  <c r="J517" i="2"/>
  <c r="K516" i="2" s="1"/>
  <c r="L516" i="2" s="1"/>
  <c r="M517" i="2" s="1"/>
  <c r="I518" i="2"/>
  <c r="S518" i="2" l="1"/>
  <c r="Q519" i="2"/>
  <c r="R394" i="2"/>
  <c r="T393" i="2"/>
  <c r="I519" i="2"/>
  <c r="N518" i="2"/>
  <c r="J518" i="2"/>
  <c r="K517" i="2" s="1"/>
  <c r="L517" i="2" s="1"/>
  <c r="M518" i="2" s="1"/>
  <c r="S519" i="2" l="1"/>
  <c r="Q520" i="2"/>
  <c r="R395" i="2"/>
  <c r="T394" i="2"/>
  <c r="I520" i="2"/>
  <c r="J519" i="2"/>
  <c r="K518" i="2" s="1"/>
  <c r="L518" i="2" s="1"/>
  <c r="M519" i="2" s="1"/>
  <c r="N519" i="2"/>
  <c r="S520" i="2" l="1"/>
  <c r="Q521" i="2"/>
  <c r="T395" i="2"/>
  <c r="R396" i="2"/>
  <c r="N520" i="2"/>
  <c r="J520" i="2"/>
  <c r="K519" i="2" s="1"/>
  <c r="L519" i="2" s="1"/>
  <c r="M520" i="2" s="1"/>
  <c r="I521" i="2"/>
  <c r="S521" i="2" l="1"/>
  <c r="Q522" i="2"/>
  <c r="T396" i="2"/>
  <c r="R397" i="2"/>
  <c r="I522" i="2"/>
  <c r="N521" i="2"/>
  <c r="J521" i="2"/>
  <c r="K520" i="2" s="1"/>
  <c r="L520" i="2" s="1"/>
  <c r="M521" i="2" s="1"/>
  <c r="S522" i="2" l="1"/>
  <c r="Q523" i="2"/>
  <c r="R398" i="2"/>
  <c r="T397" i="2"/>
  <c r="I523" i="2"/>
  <c r="N522" i="2"/>
  <c r="J522" i="2"/>
  <c r="K521" i="2" s="1"/>
  <c r="L521" i="2" s="1"/>
  <c r="M522" i="2" s="1"/>
  <c r="S523" i="2" l="1"/>
  <c r="Q524" i="2"/>
  <c r="T398" i="2"/>
  <c r="R399" i="2"/>
  <c r="N523" i="2"/>
  <c r="J523" i="2"/>
  <c r="K522" i="2" s="1"/>
  <c r="L522" i="2" s="1"/>
  <c r="M523" i="2" s="1"/>
  <c r="I524" i="2"/>
  <c r="S524" i="2" l="1"/>
  <c r="Q525" i="2"/>
  <c r="T399" i="2"/>
  <c r="R400" i="2"/>
  <c r="N524" i="2"/>
  <c r="J524" i="2"/>
  <c r="K523" i="2" s="1"/>
  <c r="L523" i="2" s="1"/>
  <c r="M524" i="2" s="1"/>
  <c r="I525" i="2"/>
  <c r="S525" i="2" l="1"/>
  <c r="Q526" i="2"/>
  <c r="R401" i="2"/>
  <c r="T400" i="2"/>
  <c r="I526" i="2"/>
  <c r="N525" i="2"/>
  <c r="J525" i="2"/>
  <c r="K524" i="2" s="1"/>
  <c r="L524" i="2" s="1"/>
  <c r="M525" i="2" s="1"/>
  <c r="S526" i="2" l="1"/>
  <c r="Q527" i="2"/>
  <c r="T401" i="2"/>
  <c r="R402" i="2"/>
  <c r="I527" i="2"/>
  <c r="N526" i="2"/>
  <c r="J526" i="2"/>
  <c r="K525" i="2" s="1"/>
  <c r="L525" i="2" s="1"/>
  <c r="M526" i="2" s="1"/>
  <c r="S527" i="2" l="1"/>
  <c r="Q528" i="2"/>
  <c r="R403" i="2"/>
  <c r="T402" i="2"/>
  <c r="N527" i="2"/>
  <c r="J527" i="2"/>
  <c r="K526" i="2" s="1"/>
  <c r="L526" i="2" s="1"/>
  <c r="M527" i="2" s="1"/>
  <c r="I528" i="2"/>
  <c r="S528" i="2" l="1"/>
  <c r="Q529" i="2"/>
  <c r="T403" i="2"/>
  <c r="R404" i="2"/>
  <c r="N528" i="2"/>
  <c r="J528" i="2"/>
  <c r="K527" i="2" s="1"/>
  <c r="L527" i="2" s="1"/>
  <c r="M528" i="2" s="1"/>
  <c r="I529" i="2"/>
  <c r="S529" i="2" l="1"/>
  <c r="Q530" i="2"/>
  <c r="T404" i="2"/>
  <c r="R405" i="2"/>
  <c r="I530" i="2"/>
  <c r="N529" i="2"/>
  <c r="J529" i="2"/>
  <c r="K528" i="2" s="1"/>
  <c r="L528" i="2" s="1"/>
  <c r="M529" i="2" s="1"/>
  <c r="S530" i="2" l="1"/>
  <c r="Q531" i="2"/>
  <c r="T405" i="2"/>
  <c r="R406" i="2"/>
  <c r="I531" i="2"/>
  <c r="N530" i="2"/>
  <c r="J530" i="2"/>
  <c r="K529" i="2" s="1"/>
  <c r="L529" i="2" s="1"/>
  <c r="M530" i="2" s="1"/>
  <c r="S531" i="2" l="1"/>
  <c r="Q532" i="2"/>
  <c r="T406" i="2"/>
  <c r="R407" i="2"/>
  <c r="N531" i="2"/>
  <c r="J531" i="2"/>
  <c r="K530" i="2" s="1"/>
  <c r="L530" i="2" s="1"/>
  <c r="M531" i="2" s="1"/>
  <c r="I532" i="2"/>
  <c r="S532" i="2" l="1"/>
  <c r="Q533" i="2"/>
  <c r="T407" i="2"/>
  <c r="R408" i="2"/>
  <c r="I533" i="2"/>
  <c r="N532" i="2"/>
  <c r="J532" i="2"/>
  <c r="K531" i="2" s="1"/>
  <c r="L531" i="2" s="1"/>
  <c r="M532" i="2" s="1"/>
  <c r="S533" i="2" l="1"/>
  <c r="Q534" i="2"/>
  <c r="R409" i="2"/>
  <c r="T408" i="2"/>
  <c r="I534" i="2"/>
  <c r="N533" i="2"/>
  <c r="J533" i="2"/>
  <c r="K532" i="2" s="1"/>
  <c r="L532" i="2" s="1"/>
  <c r="M533" i="2" s="1"/>
  <c r="S534" i="2" l="1"/>
  <c r="Q535" i="2"/>
  <c r="R410" i="2"/>
  <c r="T409" i="2"/>
  <c r="N534" i="2"/>
  <c r="J534" i="2"/>
  <c r="K533" i="2" s="1"/>
  <c r="L533" i="2" s="1"/>
  <c r="M534" i="2" s="1"/>
  <c r="I535" i="2"/>
  <c r="S535" i="2" l="1"/>
  <c r="Q536" i="2"/>
  <c r="T410" i="2"/>
  <c r="R411" i="2"/>
  <c r="N535" i="2"/>
  <c r="J535" i="2"/>
  <c r="K534" i="2" s="1"/>
  <c r="L534" i="2" s="1"/>
  <c r="M535" i="2" s="1"/>
  <c r="I536" i="2"/>
  <c r="S536" i="2" l="1"/>
  <c r="Q537" i="2"/>
  <c r="T411" i="2"/>
  <c r="R412" i="2"/>
  <c r="I537" i="2"/>
  <c r="N536" i="2"/>
  <c r="J536" i="2"/>
  <c r="K535" i="2" s="1"/>
  <c r="L535" i="2" s="1"/>
  <c r="M536" i="2" s="1"/>
  <c r="S537" i="2" l="1"/>
  <c r="Q538" i="2"/>
  <c r="R413" i="2"/>
  <c r="T412" i="2"/>
  <c r="I538" i="2"/>
  <c r="N537" i="2"/>
  <c r="J537" i="2"/>
  <c r="K536" i="2" s="1"/>
  <c r="L536" i="2" s="1"/>
  <c r="M537" i="2" s="1"/>
  <c r="S538" i="2" l="1"/>
  <c r="Q539" i="2"/>
  <c r="T413" i="2"/>
  <c r="R414" i="2"/>
  <c r="N538" i="2"/>
  <c r="J538" i="2"/>
  <c r="K537" i="2" s="1"/>
  <c r="L537" i="2" s="1"/>
  <c r="M538" i="2" s="1"/>
  <c r="I539" i="2"/>
  <c r="S539" i="2" l="1"/>
  <c r="Q540" i="2"/>
  <c r="T414" i="2"/>
  <c r="R415" i="2"/>
  <c r="N539" i="2"/>
  <c r="J539" i="2"/>
  <c r="K538" i="2" s="1"/>
  <c r="L538" i="2" s="1"/>
  <c r="M539" i="2" s="1"/>
  <c r="I540" i="2"/>
  <c r="S540" i="2" l="1"/>
  <c r="Q541" i="2"/>
  <c r="R416" i="2"/>
  <c r="T415" i="2"/>
  <c r="I541" i="2"/>
  <c r="N540" i="2"/>
  <c r="J540" i="2"/>
  <c r="K539" i="2" s="1"/>
  <c r="L539" i="2" s="1"/>
  <c r="M540" i="2" s="1"/>
  <c r="S541" i="2" l="1"/>
  <c r="Q542" i="2"/>
  <c r="R417" i="2"/>
  <c r="T416" i="2"/>
  <c r="I542" i="2"/>
  <c r="J541" i="2"/>
  <c r="K540" i="2" s="1"/>
  <c r="L540" i="2" s="1"/>
  <c r="M541" i="2" s="1"/>
  <c r="N541" i="2"/>
  <c r="S542" i="2" l="1"/>
  <c r="Q543" i="2"/>
  <c r="T417" i="2"/>
  <c r="R418" i="2"/>
  <c r="N542" i="2"/>
  <c r="J542" i="2"/>
  <c r="K541" i="2" s="1"/>
  <c r="L541" i="2" s="1"/>
  <c r="M542" i="2" s="1"/>
  <c r="I543" i="2"/>
  <c r="S543" i="2" l="1"/>
  <c r="Q544" i="2"/>
  <c r="T418" i="2"/>
  <c r="R419" i="2"/>
  <c r="I544" i="2"/>
  <c r="N543" i="2"/>
  <c r="J543" i="2"/>
  <c r="K542" i="2" s="1"/>
  <c r="L542" i="2" s="1"/>
  <c r="M543" i="2" s="1"/>
  <c r="S544" i="2" l="1"/>
  <c r="Q545" i="2"/>
  <c r="T419" i="2"/>
  <c r="R420" i="2"/>
  <c r="I545" i="2"/>
  <c r="N544" i="2"/>
  <c r="J544" i="2"/>
  <c r="K543" i="2" s="1"/>
  <c r="L543" i="2" s="1"/>
  <c r="M544" i="2" s="1"/>
  <c r="S545" i="2" l="1"/>
  <c r="Q546" i="2"/>
  <c r="T420" i="2"/>
  <c r="R421" i="2"/>
  <c r="N545" i="2"/>
  <c r="J545" i="2"/>
  <c r="K544" i="2" s="1"/>
  <c r="L544" i="2" s="1"/>
  <c r="M545" i="2" s="1"/>
  <c r="I546" i="2"/>
  <c r="S546" i="2" l="1"/>
  <c r="Q547" i="2"/>
  <c r="T421" i="2"/>
  <c r="R422" i="2"/>
  <c r="N546" i="2"/>
  <c r="J546" i="2"/>
  <c r="K545" i="2" s="1"/>
  <c r="L545" i="2" s="1"/>
  <c r="M546" i="2" s="1"/>
  <c r="I547" i="2"/>
  <c r="S547" i="2" l="1"/>
  <c r="Q548" i="2"/>
  <c r="R423" i="2"/>
  <c r="T422" i="2"/>
  <c r="I548" i="2"/>
  <c r="N547" i="2"/>
  <c r="J547" i="2"/>
  <c r="K546" i="2" s="1"/>
  <c r="L546" i="2" s="1"/>
  <c r="M547" i="2" s="1"/>
  <c r="S548" i="2" l="1"/>
  <c r="Q549" i="2"/>
  <c r="R424" i="2"/>
  <c r="T423" i="2"/>
  <c r="I549" i="2"/>
  <c r="J548" i="2"/>
  <c r="K547" i="2" s="1"/>
  <c r="L547" i="2" s="1"/>
  <c r="M548" i="2" s="1"/>
  <c r="N548" i="2"/>
  <c r="S549" i="2" l="1"/>
  <c r="Q550" i="2"/>
  <c r="T424" i="2"/>
  <c r="R425" i="2"/>
  <c r="N549" i="2"/>
  <c r="J549" i="2"/>
  <c r="K548" i="2" s="1"/>
  <c r="L548" i="2" s="1"/>
  <c r="M549" i="2" s="1"/>
  <c r="I550" i="2"/>
  <c r="S550" i="2" l="1"/>
  <c r="Q551" i="2"/>
  <c r="R426" i="2"/>
  <c r="T425" i="2"/>
  <c r="N550" i="2"/>
  <c r="J550" i="2"/>
  <c r="K549" i="2" s="1"/>
  <c r="L549" i="2" s="1"/>
  <c r="M550" i="2" s="1"/>
  <c r="I551" i="2"/>
  <c r="S551" i="2" l="1"/>
  <c r="Q552" i="2"/>
  <c r="R427" i="2"/>
  <c r="T426" i="2"/>
  <c r="I552" i="2"/>
  <c r="N551" i="2"/>
  <c r="J551" i="2"/>
  <c r="K550" i="2" s="1"/>
  <c r="L550" i="2" s="1"/>
  <c r="M551" i="2" s="1"/>
  <c r="S552" i="2" l="1"/>
  <c r="Q553" i="2"/>
  <c r="R428" i="2"/>
  <c r="T427" i="2"/>
  <c r="I553" i="2"/>
  <c r="N552" i="2"/>
  <c r="J552" i="2"/>
  <c r="K551" i="2" s="1"/>
  <c r="L551" i="2" s="1"/>
  <c r="M552" i="2" s="1"/>
  <c r="S553" i="2" l="1"/>
  <c r="Q554" i="2"/>
  <c r="T428" i="2"/>
  <c r="R429" i="2"/>
  <c r="N553" i="2"/>
  <c r="J553" i="2"/>
  <c r="K552" i="2" s="1"/>
  <c r="L552" i="2" s="1"/>
  <c r="M553" i="2" s="1"/>
  <c r="I554" i="2"/>
  <c r="S554" i="2" l="1"/>
  <c r="Q555" i="2"/>
  <c r="T429" i="2"/>
  <c r="R430" i="2"/>
  <c r="N554" i="2"/>
  <c r="J554" i="2"/>
  <c r="K553" i="2" s="1"/>
  <c r="L553" i="2" s="1"/>
  <c r="M554" i="2" s="1"/>
  <c r="I555" i="2"/>
  <c r="S555" i="2" l="1"/>
  <c r="Q556" i="2"/>
  <c r="R431" i="2"/>
  <c r="T430" i="2"/>
  <c r="I556" i="2"/>
  <c r="N555" i="2"/>
  <c r="J555" i="2"/>
  <c r="K554" i="2" s="1"/>
  <c r="L554" i="2" s="1"/>
  <c r="M555" i="2" s="1"/>
  <c r="S556" i="2" l="1"/>
  <c r="Q557" i="2"/>
  <c r="R432" i="2"/>
  <c r="T431" i="2"/>
  <c r="N556" i="2"/>
  <c r="J556" i="2"/>
  <c r="K555" i="2" s="1"/>
  <c r="L555" i="2" s="1"/>
  <c r="M556" i="2" s="1"/>
  <c r="I557" i="2"/>
  <c r="S557" i="2" l="1"/>
  <c r="Q558" i="2"/>
  <c r="T432" i="2"/>
  <c r="R433" i="2"/>
  <c r="N557" i="2"/>
  <c r="J557" i="2"/>
  <c r="K556" i="2" s="1"/>
  <c r="L556" i="2" s="1"/>
  <c r="M557" i="2" s="1"/>
  <c r="I558" i="2"/>
  <c r="S558" i="2" l="1"/>
  <c r="Q559" i="2"/>
  <c r="T433" i="2"/>
  <c r="R434" i="2"/>
  <c r="I559" i="2"/>
  <c r="N558" i="2"/>
  <c r="J558" i="2"/>
  <c r="K557" i="2" s="1"/>
  <c r="L557" i="2" s="1"/>
  <c r="M558" i="2" s="1"/>
  <c r="S559" i="2" l="1"/>
  <c r="Q560" i="2"/>
  <c r="R435" i="2"/>
  <c r="T434" i="2"/>
  <c r="I560" i="2"/>
  <c r="N559" i="2"/>
  <c r="J559" i="2"/>
  <c r="K558" i="2" s="1"/>
  <c r="L558" i="2" s="1"/>
  <c r="M559" i="2" s="1"/>
  <c r="S560" i="2" l="1"/>
  <c r="Q561" i="2"/>
  <c r="T435" i="2"/>
  <c r="R436" i="2"/>
  <c r="N560" i="2"/>
  <c r="J560" i="2"/>
  <c r="K559" i="2" s="1"/>
  <c r="L559" i="2" s="1"/>
  <c r="M560" i="2" s="1"/>
  <c r="I561" i="2"/>
  <c r="S561" i="2" l="1"/>
  <c r="Q562" i="2"/>
  <c r="T436" i="2"/>
  <c r="R437" i="2"/>
  <c r="N561" i="2"/>
  <c r="J561" i="2"/>
  <c r="K560" i="2" s="1"/>
  <c r="L560" i="2" s="1"/>
  <c r="M561" i="2" s="1"/>
  <c r="I562" i="2"/>
  <c r="S562" i="2" l="1"/>
  <c r="Q563" i="2"/>
  <c r="T437" i="2"/>
  <c r="R438" i="2"/>
  <c r="I563" i="2"/>
  <c r="N562" i="2"/>
  <c r="J562" i="2"/>
  <c r="K561" i="2" s="1"/>
  <c r="L561" i="2" s="1"/>
  <c r="M562" i="2" s="1"/>
  <c r="S563" i="2" l="1"/>
  <c r="Q564" i="2"/>
  <c r="R439" i="2"/>
  <c r="T438" i="2"/>
  <c r="I564" i="2"/>
  <c r="N563" i="2"/>
  <c r="J563" i="2"/>
  <c r="K562" i="2" s="1"/>
  <c r="L562" i="2" s="1"/>
  <c r="M563" i="2" s="1"/>
  <c r="S564" i="2" l="1"/>
  <c r="Q565" i="2"/>
  <c r="R440" i="2"/>
  <c r="T439" i="2"/>
  <c r="N564" i="2"/>
  <c r="J564" i="2"/>
  <c r="K563" i="2" s="1"/>
  <c r="L563" i="2" s="1"/>
  <c r="M564" i="2" s="1"/>
  <c r="I565" i="2"/>
  <c r="S565" i="2" l="1"/>
  <c r="Q566" i="2"/>
  <c r="T440" i="2"/>
  <c r="R441" i="2"/>
  <c r="N565" i="2"/>
  <c r="J565" i="2"/>
  <c r="K564" i="2" s="1"/>
  <c r="L564" i="2" s="1"/>
  <c r="M565" i="2" s="1"/>
  <c r="I566" i="2"/>
  <c r="S566" i="2" l="1"/>
  <c r="Q567" i="2"/>
  <c r="R442" i="2"/>
  <c r="T441" i="2"/>
  <c r="I567" i="2"/>
  <c r="N566" i="2"/>
  <c r="J566" i="2"/>
  <c r="K565" i="2" s="1"/>
  <c r="L565" i="2" s="1"/>
  <c r="M566" i="2" s="1"/>
  <c r="S567" i="2" l="1"/>
  <c r="Q568" i="2"/>
  <c r="T442" i="2"/>
  <c r="R443" i="2"/>
  <c r="I568" i="2"/>
  <c r="N567" i="2"/>
  <c r="J567" i="2"/>
  <c r="K566" i="2" s="1"/>
  <c r="L566" i="2" s="1"/>
  <c r="M567" i="2" s="1"/>
  <c r="S568" i="2" l="1"/>
  <c r="Q569" i="2"/>
  <c r="T443" i="2"/>
  <c r="R444" i="2"/>
  <c r="N568" i="2"/>
  <c r="J568" i="2"/>
  <c r="K567" i="2" s="1"/>
  <c r="L567" i="2" s="1"/>
  <c r="M568" i="2" s="1"/>
  <c r="I569" i="2"/>
  <c r="S569" i="2" l="1"/>
  <c r="Q570" i="2"/>
  <c r="R445" i="2"/>
  <c r="T444" i="2"/>
  <c r="I570" i="2"/>
  <c r="N569" i="2"/>
  <c r="J569" i="2"/>
  <c r="K568" i="2" s="1"/>
  <c r="L568" i="2" s="1"/>
  <c r="M569" i="2" s="1"/>
  <c r="S570" i="2" l="1"/>
  <c r="Q571" i="2"/>
  <c r="T445" i="2"/>
  <c r="R446" i="2"/>
  <c r="I571" i="2"/>
  <c r="J570" i="2"/>
  <c r="K569" i="2" s="1"/>
  <c r="L569" i="2" s="1"/>
  <c r="M570" i="2" s="1"/>
  <c r="N570" i="2"/>
  <c r="S571" i="2" l="1"/>
  <c r="Q572" i="2"/>
  <c r="R447" i="2"/>
  <c r="T446" i="2"/>
  <c r="N571" i="2"/>
  <c r="J571" i="2"/>
  <c r="K570" i="2" s="1"/>
  <c r="L570" i="2" s="1"/>
  <c r="M571" i="2" s="1"/>
  <c r="I572" i="2"/>
  <c r="S572" i="2" l="1"/>
  <c r="Q573" i="2"/>
  <c r="T447" i="2"/>
  <c r="R448" i="2"/>
  <c r="N572" i="2"/>
  <c r="J572" i="2"/>
  <c r="K571" i="2" s="1"/>
  <c r="L571" i="2" s="1"/>
  <c r="M572" i="2" s="1"/>
  <c r="I573" i="2"/>
  <c r="S573" i="2" l="1"/>
  <c r="Q574" i="2"/>
  <c r="R449" i="2"/>
  <c r="T448" i="2"/>
  <c r="I574" i="2"/>
  <c r="N573" i="2"/>
  <c r="J573" i="2"/>
  <c r="K572" i="2" s="1"/>
  <c r="L572" i="2" s="1"/>
  <c r="M573" i="2" s="1"/>
  <c r="S574" i="2" l="1"/>
  <c r="Q575" i="2"/>
  <c r="R450" i="2"/>
  <c r="T449" i="2"/>
  <c r="I575" i="2"/>
  <c r="J574" i="2"/>
  <c r="K573" i="2" s="1"/>
  <c r="L573" i="2" s="1"/>
  <c r="M574" i="2" s="1"/>
  <c r="N574" i="2"/>
  <c r="S575" i="2" l="1"/>
  <c r="Q576" i="2"/>
  <c r="T450" i="2"/>
  <c r="R451" i="2"/>
  <c r="N575" i="2"/>
  <c r="J575" i="2"/>
  <c r="K574" i="2" s="1"/>
  <c r="L574" i="2" s="1"/>
  <c r="M575" i="2" s="1"/>
  <c r="I576" i="2"/>
  <c r="S576" i="2" l="1"/>
  <c r="Q577" i="2"/>
  <c r="R452" i="2"/>
  <c r="T451" i="2"/>
  <c r="N576" i="2"/>
  <c r="J576" i="2"/>
  <c r="K575" i="2" s="1"/>
  <c r="L575" i="2" s="1"/>
  <c r="M576" i="2" s="1"/>
  <c r="I577" i="2"/>
  <c r="S577" i="2" l="1"/>
  <c r="Q578" i="2"/>
  <c r="R453" i="2"/>
  <c r="T452" i="2"/>
  <c r="I578" i="2"/>
  <c r="N577" i="2"/>
  <c r="J577" i="2"/>
  <c r="K576" i="2" s="1"/>
  <c r="L576" i="2" s="1"/>
  <c r="M577" i="2" s="1"/>
  <c r="S578" i="2" l="1"/>
  <c r="Q579" i="2"/>
  <c r="R454" i="2"/>
  <c r="T453" i="2"/>
  <c r="I579" i="2"/>
  <c r="N578" i="2"/>
  <c r="J578" i="2"/>
  <c r="K577" i="2" s="1"/>
  <c r="L577" i="2" s="1"/>
  <c r="M578" i="2" s="1"/>
  <c r="S579" i="2" l="1"/>
  <c r="Q580" i="2"/>
  <c r="T454" i="2"/>
  <c r="R455" i="2"/>
  <c r="N579" i="2"/>
  <c r="J579" i="2"/>
  <c r="K578" i="2" s="1"/>
  <c r="L578" i="2" s="1"/>
  <c r="M579" i="2" s="1"/>
  <c r="I580" i="2"/>
  <c r="S580" i="2" l="1"/>
  <c r="Q581" i="2"/>
  <c r="T455" i="2"/>
  <c r="R456" i="2"/>
  <c r="I581" i="2"/>
  <c r="N580" i="2"/>
  <c r="J580" i="2"/>
  <c r="K579" i="2" s="1"/>
  <c r="L579" i="2" s="1"/>
  <c r="M580" i="2" s="1"/>
  <c r="S581" i="2" l="1"/>
  <c r="Q582" i="2"/>
  <c r="T456" i="2"/>
  <c r="R457" i="2"/>
  <c r="I582" i="2"/>
  <c r="N581" i="2"/>
  <c r="J581" i="2"/>
  <c r="K580" i="2" s="1"/>
  <c r="L580" i="2" s="1"/>
  <c r="M581" i="2" s="1"/>
  <c r="S582" i="2" l="1"/>
  <c r="Q583" i="2"/>
  <c r="R458" i="2"/>
  <c r="T457" i="2"/>
  <c r="N582" i="2"/>
  <c r="J582" i="2"/>
  <c r="K581" i="2" s="1"/>
  <c r="L581" i="2" s="1"/>
  <c r="M582" i="2" s="1"/>
  <c r="I583" i="2"/>
  <c r="S583" i="2" l="1"/>
  <c r="Q584" i="2"/>
  <c r="T458" i="2"/>
  <c r="R459" i="2"/>
  <c r="N583" i="2"/>
  <c r="J583" i="2"/>
  <c r="K582" i="2" s="1"/>
  <c r="L582" i="2" s="1"/>
  <c r="M583" i="2" s="1"/>
  <c r="I584" i="2"/>
  <c r="S584" i="2" l="1"/>
  <c r="Q585" i="2"/>
  <c r="T459" i="2"/>
  <c r="R460" i="2"/>
  <c r="I585" i="2"/>
  <c r="N584" i="2"/>
  <c r="J584" i="2"/>
  <c r="K583" i="2" s="1"/>
  <c r="L583" i="2" s="1"/>
  <c r="M584" i="2" s="1"/>
  <c r="S585" i="2" l="1"/>
  <c r="Q586" i="2"/>
  <c r="R461" i="2"/>
  <c r="T460" i="2"/>
  <c r="I586" i="2"/>
  <c r="N585" i="2"/>
  <c r="J585" i="2"/>
  <c r="K584" i="2" s="1"/>
  <c r="L584" i="2" s="1"/>
  <c r="M585" i="2" s="1"/>
  <c r="S586" i="2" l="1"/>
  <c r="Q587" i="2"/>
  <c r="T461" i="2"/>
  <c r="R462" i="2"/>
  <c r="N586" i="2"/>
  <c r="J586" i="2"/>
  <c r="K585" i="2" s="1"/>
  <c r="L585" i="2" s="1"/>
  <c r="M586" i="2" s="1"/>
  <c r="I587" i="2"/>
  <c r="S587" i="2" l="1"/>
  <c r="Q588" i="2"/>
  <c r="R463" i="2"/>
  <c r="T462" i="2"/>
  <c r="N587" i="2"/>
  <c r="J587" i="2"/>
  <c r="K586" i="2" s="1"/>
  <c r="L586" i="2" s="1"/>
  <c r="M587" i="2" s="1"/>
  <c r="I588" i="2"/>
  <c r="S588" i="2" l="1"/>
  <c r="Q589" i="2"/>
  <c r="T463" i="2"/>
  <c r="R464" i="2"/>
  <c r="I589" i="2"/>
  <c r="N588" i="2"/>
  <c r="J588" i="2"/>
  <c r="K587" i="2" s="1"/>
  <c r="L587" i="2" s="1"/>
  <c r="M588" i="2" s="1"/>
  <c r="S589" i="2" l="1"/>
  <c r="Q590" i="2"/>
  <c r="R465" i="2"/>
  <c r="T464" i="2"/>
  <c r="I590" i="2"/>
  <c r="N589" i="2"/>
  <c r="J589" i="2"/>
  <c r="K588" i="2" s="1"/>
  <c r="L588" i="2" s="1"/>
  <c r="M589" i="2" s="1"/>
  <c r="S590" i="2" l="1"/>
  <c r="Q591" i="2"/>
  <c r="T465" i="2"/>
  <c r="R466" i="2"/>
  <c r="N590" i="2"/>
  <c r="J590" i="2"/>
  <c r="K589" i="2" s="1"/>
  <c r="L589" i="2" s="1"/>
  <c r="M590" i="2" s="1"/>
  <c r="I591" i="2"/>
  <c r="S591" i="2" l="1"/>
  <c r="Q592" i="2"/>
  <c r="T466" i="2"/>
  <c r="R467" i="2"/>
  <c r="I592" i="2"/>
  <c r="N591" i="2"/>
  <c r="J591" i="2"/>
  <c r="K590" i="2" s="1"/>
  <c r="L590" i="2" s="1"/>
  <c r="M591" i="2" s="1"/>
  <c r="S592" i="2" l="1"/>
  <c r="Q593" i="2"/>
  <c r="R468" i="2"/>
  <c r="T467" i="2"/>
  <c r="I593" i="2"/>
  <c r="N592" i="2"/>
  <c r="J592" i="2"/>
  <c r="K591" i="2" s="1"/>
  <c r="L591" i="2" s="1"/>
  <c r="M592" i="2" s="1"/>
  <c r="S593" i="2" l="1"/>
  <c r="Q594" i="2"/>
  <c r="T468" i="2"/>
  <c r="R469" i="2"/>
  <c r="I594" i="2"/>
  <c r="N593" i="2"/>
  <c r="J593" i="2"/>
  <c r="K592" i="2" s="1"/>
  <c r="L592" i="2" s="1"/>
  <c r="M593" i="2" s="1"/>
  <c r="S594" i="2" l="1"/>
  <c r="Q595" i="2"/>
  <c r="T469" i="2"/>
  <c r="R470" i="2"/>
  <c r="N594" i="2"/>
  <c r="J594" i="2"/>
  <c r="K593" i="2" s="1"/>
  <c r="L593" i="2" s="1"/>
  <c r="M594" i="2" s="1"/>
  <c r="I595" i="2"/>
  <c r="S595" i="2" l="1"/>
  <c r="Q596" i="2"/>
  <c r="T470" i="2"/>
  <c r="R471" i="2"/>
  <c r="N595" i="2"/>
  <c r="J595" i="2"/>
  <c r="K594" i="2" s="1"/>
  <c r="L594" i="2" s="1"/>
  <c r="M595" i="2" s="1"/>
  <c r="I596" i="2"/>
  <c r="S596" i="2" l="1"/>
  <c r="Q597" i="2"/>
  <c r="R472" i="2"/>
  <c r="T471" i="2"/>
  <c r="I597" i="2"/>
  <c r="J596" i="2"/>
  <c r="K595" i="2" s="1"/>
  <c r="L595" i="2" s="1"/>
  <c r="M596" i="2" s="1"/>
  <c r="N596" i="2"/>
  <c r="S597" i="2" l="1"/>
  <c r="Q598" i="2"/>
  <c r="T472" i="2"/>
  <c r="R473" i="2"/>
  <c r="I598" i="2"/>
  <c r="N597" i="2"/>
  <c r="J597" i="2"/>
  <c r="K596" i="2" s="1"/>
  <c r="L596" i="2" s="1"/>
  <c r="M597" i="2" s="1"/>
  <c r="S598" i="2" l="1"/>
  <c r="Q599" i="2"/>
  <c r="T473" i="2"/>
  <c r="R474" i="2"/>
  <c r="N598" i="2"/>
  <c r="J598" i="2"/>
  <c r="K597" i="2" s="1"/>
  <c r="L597" i="2" s="1"/>
  <c r="M598" i="2" s="1"/>
  <c r="I599" i="2"/>
  <c r="S599" i="2" l="1"/>
  <c r="Q600" i="2"/>
  <c r="T474" i="2"/>
  <c r="R475" i="2"/>
  <c r="N599" i="2"/>
  <c r="J599" i="2"/>
  <c r="K598" i="2" s="1"/>
  <c r="L598" i="2" s="1"/>
  <c r="M599" i="2" s="1"/>
  <c r="I600" i="2"/>
  <c r="S600" i="2" l="1"/>
  <c r="Q601" i="2"/>
  <c r="R476" i="2"/>
  <c r="T475" i="2"/>
  <c r="I601" i="2"/>
  <c r="N600" i="2"/>
  <c r="J600" i="2"/>
  <c r="K599" i="2" s="1"/>
  <c r="L599" i="2" s="1"/>
  <c r="M600" i="2" s="1"/>
  <c r="S601" i="2" l="1"/>
  <c r="Q602" i="2"/>
  <c r="T476" i="2"/>
  <c r="R477" i="2"/>
  <c r="I602" i="2"/>
  <c r="J601" i="2"/>
  <c r="K600" i="2" s="1"/>
  <c r="L600" i="2" s="1"/>
  <c r="M601" i="2" s="1"/>
  <c r="N601" i="2"/>
  <c r="S602" i="2" l="1"/>
  <c r="Q603" i="2"/>
  <c r="T477" i="2"/>
  <c r="R478" i="2"/>
  <c r="N602" i="2"/>
  <c r="J602" i="2"/>
  <c r="K601" i="2" s="1"/>
  <c r="L601" i="2" s="1"/>
  <c r="M602" i="2" s="1"/>
  <c r="I603" i="2"/>
  <c r="S603" i="2" l="1"/>
  <c r="Q604" i="2"/>
  <c r="T478" i="2"/>
  <c r="R479" i="2"/>
  <c r="I604" i="2"/>
  <c r="N603" i="2"/>
  <c r="J603" i="2"/>
  <c r="K602" i="2" s="1"/>
  <c r="L602" i="2" s="1"/>
  <c r="M603" i="2" s="1"/>
  <c r="S604" i="2" l="1"/>
  <c r="Q605" i="2"/>
  <c r="R480" i="2"/>
  <c r="T479" i="2"/>
  <c r="I605" i="2"/>
  <c r="J604" i="2"/>
  <c r="K603" i="2" s="1"/>
  <c r="L603" i="2" s="1"/>
  <c r="M604" i="2" s="1"/>
  <c r="N604" i="2"/>
  <c r="S605" i="2" l="1"/>
  <c r="Q606" i="2"/>
  <c r="T480" i="2"/>
  <c r="R481" i="2"/>
  <c r="N605" i="2"/>
  <c r="J605" i="2"/>
  <c r="K604" i="2" s="1"/>
  <c r="L604" i="2" s="1"/>
  <c r="M605" i="2" s="1"/>
  <c r="I606" i="2"/>
  <c r="S606" i="2" l="1"/>
  <c r="Q607" i="2"/>
  <c r="R482" i="2"/>
  <c r="T481" i="2"/>
  <c r="N606" i="2"/>
  <c r="J606" i="2"/>
  <c r="K605" i="2" s="1"/>
  <c r="L605" i="2" s="1"/>
  <c r="M606" i="2" s="1"/>
  <c r="I607" i="2"/>
  <c r="S607" i="2" l="1"/>
  <c r="Q608" i="2"/>
  <c r="T482" i="2"/>
  <c r="R483" i="2"/>
  <c r="I608" i="2"/>
  <c r="N607" i="2"/>
  <c r="J607" i="2"/>
  <c r="K606" i="2" s="1"/>
  <c r="L606" i="2" s="1"/>
  <c r="M607" i="2" s="1"/>
  <c r="S608" i="2" l="1"/>
  <c r="Q609" i="2"/>
  <c r="T483" i="2"/>
  <c r="R484" i="2"/>
  <c r="I609" i="2"/>
  <c r="N608" i="2"/>
  <c r="J608" i="2"/>
  <c r="K607" i="2" s="1"/>
  <c r="L607" i="2" s="1"/>
  <c r="M608" i="2" s="1"/>
  <c r="S609" i="2" l="1"/>
  <c r="Q610" i="2"/>
  <c r="T484" i="2"/>
  <c r="R485" i="2"/>
  <c r="N609" i="2"/>
  <c r="J609" i="2"/>
  <c r="K608" i="2" s="1"/>
  <c r="L608" i="2" s="1"/>
  <c r="M609" i="2" s="1"/>
  <c r="I610" i="2"/>
  <c r="S610" i="2" l="1"/>
  <c r="Q611" i="2"/>
  <c r="T485" i="2"/>
  <c r="R486" i="2"/>
  <c r="N610" i="2"/>
  <c r="J610" i="2"/>
  <c r="K609" i="2" s="1"/>
  <c r="L609" i="2" s="1"/>
  <c r="M610" i="2" s="1"/>
  <c r="I611" i="2"/>
  <c r="S611" i="2" l="1"/>
  <c r="Q612" i="2"/>
  <c r="R487" i="2"/>
  <c r="T486" i="2"/>
  <c r="I612" i="2"/>
  <c r="J611" i="2"/>
  <c r="K610" i="2" s="1"/>
  <c r="L610" i="2" s="1"/>
  <c r="M611" i="2" s="1"/>
  <c r="N611" i="2"/>
  <c r="S612" i="2" l="1"/>
  <c r="Q613" i="2"/>
  <c r="T487" i="2"/>
  <c r="R488" i="2"/>
  <c r="I613" i="2"/>
  <c r="J612" i="2"/>
  <c r="K611" i="2" s="1"/>
  <c r="L611" i="2" s="1"/>
  <c r="M612" i="2" s="1"/>
  <c r="N612" i="2"/>
  <c r="S613" i="2" l="1"/>
  <c r="Q614" i="2"/>
  <c r="R489" i="2"/>
  <c r="T488" i="2"/>
  <c r="N613" i="2"/>
  <c r="J613" i="2"/>
  <c r="K612" i="2" s="1"/>
  <c r="L612" i="2" s="1"/>
  <c r="M613" i="2" s="1"/>
  <c r="I614" i="2"/>
  <c r="S614" i="2" l="1"/>
  <c r="Q615" i="2"/>
  <c r="T489" i="2"/>
  <c r="R490" i="2"/>
  <c r="N614" i="2"/>
  <c r="J614" i="2"/>
  <c r="K613" i="2" s="1"/>
  <c r="L613" i="2" s="1"/>
  <c r="M614" i="2" s="1"/>
  <c r="I615" i="2"/>
  <c r="S615" i="2" l="1"/>
  <c r="Q616" i="2"/>
  <c r="T490" i="2"/>
  <c r="R491" i="2"/>
  <c r="I616" i="2"/>
  <c r="N615" i="2"/>
  <c r="J615" i="2"/>
  <c r="K614" i="2" s="1"/>
  <c r="L614" i="2" s="1"/>
  <c r="M615" i="2" s="1"/>
  <c r="S616" i="2" l="1"/>
  <c r="Q617" i="2"/>
  <c r="T491" i="2"/>
  <c r="R492" i="2"/>
  <c r="N616" i="2"/>
  <c r="J616" i="2"/>
  <c r="K615" i="2" s="1"/>
  <c r="L615" i="2" s="1"/>
  <c r="M616" i="2" s="1"/>
  <c r="I617" i="2"/>
  <c r="S617" i="2" l="1"/>
  <c r="Q618" i="2"/>
  <c r="T492" i="2"/>
  <c r="R493" i="2"/>
  <c r="N617" i="2"/>
  <c r="J617" i="2"/>
  <c r="K616" i="2" s="1"/>
  <c r="L616" i="2" s="1"/>
  <c r="M617" i="2" s="1"/>
  <c r="I618" i="2"/>
  <c r="S618" i="2" l="1"/>
  <c r="Q619" i="2"/>
  <c r="T493" i="2"/>
  <c r="R494" i="2"/>
  <c r="I619" i="2"/>
  <c r="N618" i="2"/>
  <c r="J618" i="2"/>
  <c r="K617" i="2" s="1"/>
  <c r="L617" i="2" s="1"/>
  <c r="M618" i="2" s="1"/>
  <c r="S619" i="2" l="1"/>
  <c r="Q620" i="2"/>
  <c r="R495" i="2"/>
  <c r="T494" i="2"/>
  <c r="I620" i="2"/>
  <c r="J619" i="2"/>
  <c r="K618" i="2" s="1"/>
  <c r="L618" i="2" s="1"/>
  <c r="M619" i="2" s="1"/>
  <c r="N619" i="2"/>
  <c r="S620" i="2" l="1"/>
  <c r="Q621" i="2"/>
  <c r="T495" i="2"/>
  <c r="R496" i="2"/>
  <c r="N620" i="2"/>
  <c r="J620" i="2"/>
  <c r="K619" i="2" s="1"/>
  <c r="L619" i="2" s="1"/>
  <c r="M620" i="2" s="1"/>
  <c r="I621" i="2"/>
  <c r="S621" i="2" l="1"/>
  <c r="Q622" i="2"/>
  <c r="T496" i="2"/>
  <c r="R497" i="2"/>
  <c r="N621" i="2"/>
  <c r="J621" i="2"/>
  <c r="K620" i="2" s="1"/>
  <c r="L620" i="2" s="1"/>
  <c r="M621" i="2" s="1"/>
  <c r="I622" i="2"/>
  <c r="S622" i="2" l="1"/>
  <c r="Q623" i="2"/>
  <c r="R498" i="2"/>
  <c r="T497" i="2"/>
  <c r="I623" i="2"/>
  <c r="J622" i="2"/>
  <c r="K621" i="2" s="1"/>
  <c r="L621" i="2" s="1"/>
  <c r="M622" i="2" s="1"/>
  <c r="N622" i="2"/>
  <c r="S623" i="2" l="1"/>
  <c r="Q624" i="2"/>
  <c r="T498" i="2"/>
  <c r="R499" i="2"/>
  <c r="I624" i="2"/>
  <c r="N623" i="2"/>
  <c r="J623" i="2"/>
  <c r="K622" i="2" s="1"/>
  <c r="L622" i="2" s="1"/>
  <c r="M623" i="2" s="1"/>
  <c r="S624" i="2" l="1"/>
  <c r="Q625" i="2"/>
  <c r="T499" i="2"/>
  <c r="R500" i="2"/>
  <c r="N624" i="2"/>
  <c r="J624" i="2"/>
  <c r="K623" i="2" s="1"/>
  <c r="L623" i="2" s="1"/>
  <c r="M624" i="2" s="1"/>
  <c r="I625" i="2"/>
  <c r="S625" i="2" l="1"/>
  <c r="Q626" i="2"/>
  <c r="R501" i="2"/>
  <c r="T500" i="2"/>
  <c r="N625" i="2"/>
  <c r="J625" i="2"/>
  <c r="K624" i="2" s="1"/>
  <c r="L624" i="2" s="1"/>
  <c r="M625" i="2" s="1"/>
  <c r="I626" i="2"/>
  <c r="S626" i="2" l="1"/>
  <c r="Q627" i="2"/>
  <c r="T501" i="2"/>
  <c r="R502" i="2"/>
  <c r="I627" i="2"/>
  <c r="N626" i="2"/>
  <c r="J626" i="2"/>
  <c r="K625" i="2" s="1"/>
  <c r="L625" i="2" s="1"/>
  <c r="M626" i="2" s="1"/>
  <c r="S627" i="2" l="1"/>
  <c r="Q628" i="2"/>
  <c r="T502" i="2"/>
  <c r="R503" i="2"/>
  <c r="J627" i="2"/>
  <c r="K626" i="2" s="1"/>
  <c r="L626" i="2" s="1"/>
  <c r="M627" i="2" s="1"/>
  <c r="I628" i="2"/>
  <c r="N627" i="2"/>
  <c r="S628" i="2" l="1"/>
  <c r="Q629" i="2"/>
  <c r="T503" i="2"/>
  <c r="R504" i="2"/>
  <c r="N628" i="2"/>
  <c r="J628" i="2"/>
  <c r="K627" i="2" s="1"/>
  <c r="L627" i="2" s="1"/>
  <c r="M628" i="2" s="1"/>
  <c r="I629" i="2"/>
  <c r="S629" i="2" l="1"/>
  <c r="Q630" i="2"/>
  <c r="R505" i="2"/>
  <c r="T504" i="2"/>
  <c r="I630" i="2"/>
  <c r="J629" i="2"/>
  <c r="K628" i="2" s="1"/>
  <c r="L628" i="2" s="1"/>
  <c r="M629" i="2" s="1"/>
  <c r="N629" i="2"/>
  <c r="S630" i="2" l="1"/>
  <c r="Q631" i="2"/>
  <c r="R506" i="2"/>
  <c r="T505" i="2"/>
  <c r="I631" i="2"/>
  <c r="J630" i="2"/>
  <c r="K629" i="2" s="1"/>
  <c r="L629" i="2" s="1"/>
  <c r="M630" i="2" s="1"/>
  <c r="N630" i="2"/>
  <c r="S631" i="2" l="1"/>
  <c r="Q632" i="2"/>
  <c r="T506" i="2"/>
  <c r="R507" i="2"/>
  <c r="N631" i="2"/>
  <c r="J631" i="2"/>
  <c r="K630" i="2" s="1"/>
  <c r="L630" i="2" s="1"/>
  <c r="M631" i="2" s="1"/>
  <c r="I632" i="2"/>
  <c r="S632" i="2" l="1"/>
  <c r="Q633" i="2"/>
  <c r="T507" i="2"/>
  <c r="R508" i="2"/>
  <c r="N632" i="2"/>
  <c r="J632" i="2"/>
  <c r="K631" i="2" s="1"/>
  <c r="L631" i="2" s="1"/>
  <c r="M632" i="2" s="1"/>
  <c r="I633" i="2"/>
  <c r="S633" i="2" l="1"/>
  <c r="Q634" i="2"/>
  <c r="R509" i="2"/>
  <c r="T508" i="2"/>
  <c r="I634" i="2"/>
  <c r="N633" i="2"/>
  <c r="J633" i="2"/>
  <c r="K632" i="2" s="1"/>
  <c r="L632" i="2" s="1"/>
  <c r="M633" i="2" s="1"/>
  <c r="S634" i="2" l="1"/>
  <c r="Q635" i="2"/>
  <c r="T509" i="2"/>
  <c r="R510" i="2"/>
  <c r="I635" i="2"/>
  <c r="N634" i="2"/>
  <c r="J634" i="2"/>
  <c r="K633" i="2" s="1"/>
  <c r="L633" i="2" s="1"/>
  <c r="M634" i="2" s="1"/>
  <c r="S635" i="2" l="1"/>
  <c r="Q636" i="2"/>
  <c r="T510" i="2"/>
  <c r="R511" i="2"/>
  <c r="N635" i="2"/>
  <c r="J635" i="2"/>
  <c r="K634" i="2" s="1"/>
  <c r="L634" i="2" s="1"/>
  <c r="M635" i="2" s="1"/>
  <c r="I636" i="2"/>
  <c r="S636" i="2" l="1"/>
  <c r="Q637" i="2"/>
  <c r="R512" i="2"/>
  <c r="T511" i="2"/>
  <c r="N636" i="2"/>
  <c r="J636" i="2"/>
  <c r="K635" i="2" s="1"/>
  <c r="L635" i="2" s="1"/>
  <c r="M636" i="2" s="1"/>
  <c r="I637" i="2"/>
  <c r="S637" i="2" l="1"/>
  <c r="Q638" i="2"/>
  <c r="R513" i="2"/>
  <c r="T512" i="2"/>
  <c r="I638" i="2"/>
  <c r="J637" i="2"/>
  <c r="K636" i="2" s="1"/>
  <c r="L636" i="2" s="1"/>
  <c r="M637" i="2" s="1"/>
  <c r="N637" i="2"/>
  <c r="S638" i="2" l="1"/>
  <c r="Q639" i="2"/>
  <c r="T513" i="2"/>
  <c r="R514" i="2"/>
  <c r="I639" i="2"/>
  <c r="J638" i="2"/>
  <c r="K637" i="2" s="1"/>
  <c r="L637" i="2" s="1"/>
  <c r="M638" i="2" s="1"/>
  <c r="N638" i="2"/>
  <c r="S639" i="2" l="1"/>
  <c r="Q640" i="2"/>
  <c r="T514" i="2"/>
  <c r="R515" i="2"/>
  <c r="N639" i="2"/>
  <c r="J639" i="2"/>
  <c r="K638" i="2" s="1"/>
  <c r="L638" i="2" s="1"/>
  <c r="M639" i="2" s="1"/>
  <c r="I640" i="2"/>
  <c r="S640" i="2" l="1"/>
  <c r="Q641" i="2"/>
  <c r="T515" i="2"/>
  <c r="R516" i="2"/>
  <c r="I641" i="2"/>
  <c r="N640" i="2"/>
  <c r="J640" i="2"/>
  <c r="K639" i="2" s="1"/>
  <c r="L639" i="2" s="1"/>
  <c r="M640" i="2" s="1"/>
  <c r="S641" i="2" l="1"/>
  <c r="Q642" i="2"/>
  <c r="R517" i="2"/>
  <c r="T516" i="2"/>
  <c r="I642" i="2"/>
  <c r="N641" i="2"/>
  <c r="J641" i="2"/>
  <c r="K640" i="2" s="1"/>
  <c r="L640" i="2" s="1"/>
  <c r="M641" i="2" s="1"/>
  <c r="S642" i="2" l="1"/>
  <c r="Q643" i="2"/>
  <c r="T517" i="2"/>
  <c r="R518" i="2"/>
  <c r="N642" i="2"/>
  <c r="J642" i="2"/>
  <c r="K641" i="2" s="1"/>
  <c r="L641" i="2" s="1"/>
  <c r="M642" i="2" s="1"/>
  <c r="I643" i="2"/>
  <c r="S643" i="2" l="1"/>
  <c r="Q644" i="2"/>
  <c r="R519" i="2"/>
  <c r="T518" i="2"/>
  <c r="N643" i="2"/>
  <c r="J643" i="2"/>
  <c r="K642" i="2" s="1"/>
  <c r="L642" i="2" s="1"/>
  <c r="M643" i="2" s="1"/>
  <c r="I644" i="2"/>
  <c r="S644" i="2" l="1"/>
  <c r="Q645" i="2"/>
  <c r="R520" i="2"/>
  <c r="T519" i="2"/>
  <c r="I645" i="2"/>
  <c r="N644" i="2"/>
  <c r="J644" i="2"/>
  <c r="K643" i="2" s="1"/>
  <c r="L643" i="2" s="1"/>
  <c r="M644" i="2" s="1"/>
  <c r="S645" i="2" l="1"/>
  <c r="Q646" i="2"/>
  <c r="T520" i="2"/>
  <c r="R521" i="2"/>
  <c r="I646" i="2"/>
  <c r="J645" i="2"/>
  <c r="K644" i="2" s="1"/>
  <c r="L644" i="2" s="1"/>
  <c r="M645" i="2" s="1"/>
  <c r="N645" i="2"/>
  <c r="S646" i="2" l="1"/>
  <c r="Q647" i="2"/>
  <c r="R522" i="2"/>
  <c r="T521" i="2"/>
  <c r="N646" i="2"/>
  <c r="J646" i="2"/>
  <c r="K645" i="2" s="1"/>
  <c r="L645" i="2" s="1"/>
  <c r="M646" i="2" s="1"/>
  <c r="I647" i="2"/>
  <c r="S647" i="2" l="1"/>
  <c r="Q648" i="2"/>
  <c r="R523" i="2"/>
  <c r="T522" i="2"/>
  <c r="N647" i="2"/>
  <c r="J647" i="2"/>
  <c r="K646" i="2" s="1"/>
  <c r="L646" i="2" s="1"/>
  <c r="M647" i="2" s="1"/>
  <c r="I648" i="2"/>
  <c r="S648" i="2" l="1"/>
  <c r="Q649" i="2"/>
  <c r="T523" i="2"/>
  <c r="R524" i="2"/>
  <c r="I649" i="2"/>
  <c r="J648" i="2"/>
  <c r="K647" i="2" s="1"/>
  <c r="L647" i="2" s="1"/>
  <c r="M648" i="2" s="1"/>
  <c r="N648" i="2"/>
  <c r="S649" i="2" l="1"/>
  <c r="Q650" i="2"/>
  <c r="T524" i="2"/>
  <c r="R525" i="2"/>
  <c r="I650" i="2"/>
  <c r="N649" i="2"/>
  <c r="J649" i="2"/>
  <c r="K648" i="2" s="1"/>
  <c r="L648" i="2" s="1"/>
  <c r="M649" i="2" s="1"/>
  <c r="S650" i="2" l="1"/>
  <c r="Q651" i="2"/>
  <c r="R526" i="2"/>
  <c r="T525" i="2"/>
  <c r="N650" i="2"/>
  <c r="J650" i="2"/>
  <c r="K649" i="2" s="1"/>
  <c r="L649" i="2" s="1"/>
  <c r="M650" i="2" s="1"/>
  <c r="I651" i="2"/>
  <c r="S651" i="2" l="1"/>
  <c r="Q652" i="2"/>
  <c r="T526" i="2"/>
  <c r="R527" i="2"/>
  <c r="I652" i="2"/>
  <c r="N651" i="2"/>
  <c r="J651" i="2"/>
  <c r="K650" i="2" s="1"/>
  <c r="L650" i="2" s="1"/>
  <c r="M651" i="2" s="1"/>
  <c r="S652" i="2" l="1"/>
  <c r="Q653" i="2"/>
  <c r="R528" i="2"/>
  <c r="T527" i="2"/>
  <c r="I653" i="2"/>
  <c r="N652" i="2"/>
  <c r="J652" i="2"/>
  <c r="K651" i="2" s="1"/>
  <c r="L651" i="2" s="1"/>
  <c r="M652" i="2" s="1"/>
  <c r="S653" i="2" l="1"/>
  <c r="Q654" i="2"/>
  <c r="T528" i="2"/>
  <c r="R529" i="2"/>
  <c r="N653" i="2"/>
  <c r="J653" i="2"/>
  <c r="K652" i="2" s="1"/>
  <c r="L652" i="2" s="1"/>
  <c r="M653" i="2" s="1"/>
  <c r="I654" i="2"/>
  <c r="S654" i="2" l="1"/>
  <c r="Q655" i="2"/>
  <c r="T529" i="2"/>
  <c r="R530" i="2"/>
  <c r="N654" i="2"/>
  <c r="J654" i="2"/>
  <c r="K653" i="2" s="1"/>
  <c r="L653" i="2" s="1"/>
  <c r="M654" i="2" s="1"/>
  <c r="I655" i="2"/>
  <c r="S655" i="2" l="1"/>
  <c r="Q656" i="2"/>
  <c r="T530" i="2"/>
  <c r="R531" i="2"/>
  <c r="I656" i="2"/>
  <c r="N655" i="2"/>
  <c r="J655" i="2"/>
  <c r="K654" i="2" s="1"/>
  <c r="L654" i="2" s="1"/>
  <c r="M655" i="2" s="1"/>
  <c r="S656" i="2" l="1"/>
  <c r="Q657" i="2"/>
  <c r="R532" i="2"/>
  <c r="T531" i="2"/>
  <c r="I657" i="2"/>
  <c r="J656" i="2"/>
  <c r="K655" i="2" s="1"/>
  <c r="L655" i="2" s="1"/>
  <c r="M656" i="2" s="1"/>
  <c r="N656" i="2"/>
  <c r="S657" i="2" l="1"/>
  <c r="Q658" i="2"/>
  <c r="R533" i="2"/>
  <c r="T532" i="2"/>
  <c r="N657" i="2"/>
  <c r="J657" i="2"/>
  <c r="K656" i="2" s="1"/>
  <c r="L656" i="2" s="1"/>
  <c r="M657" i="2" s="1"/>
  <c r="I658" i="2"/>
  <c r="S658" i="2" l="1"/>
  <c r="Q659" i="2"/>
  <c r="T533" i="2"/>
  <c r="R534" i="2"/>
  <c r="N658" i="2"/>
  <c r="J658" i="2"/>
  <c r="K657" i="2" s="1"/>
  <c r="L657" i="2" s="1"/>
  <c r="M658" i="2" s="1"/>
  <c r="I659" i="2"/>
  <c r="S659" i="2" l="1"/>
  <c r="Q660" i="2"/>
  <c r="R535" i="2"/>
  <c r="T534" i="2"/>
  <c r="I660" i="2"/>
  <c r="J659" i="2"/>
  <c r="K658" i="2" s="1"/>
  <c r="L658" i="2" s="1"/>
  <c r="M659" i="2" s="1"/>
  <c r="N659" i="2"/>
  <c r="S660" i="2" l="1"/>
  <c r="Q661" i="2"/>
  <c r="T535" i="2"/>
  <c r="R536" i="2"/>
  <c r="I661" i="2"/>
  <c r="N660" i="2"/>
  <c r="J660" i="2"/>
  <c r="K659" i="2" s="1"/>
  <c r="L659" i="2" s="1"/>
  <c r="M660" i="2" s="1"/>
  <c r="S661" i="2" l="1"/>
  <c r="Q662" i="2"/>
  <c r="T536" i="2"/>
  <c r="R537" i="2"/>
  <c r="N661" i="2"/>
  <c r="J661" i="2"/>
  <c r="K660" i="2" s="1"/>
  <c r="L660" i="2" s="1"/>
  <c r="M661" i="2" s="1"/>
  <c r="I662" i="2"/>
  <c r="S662" i="2" l="1"/>
  <c r="Q663" i="2"/>
  <c r="T537" i="2"/>
  <c r="R538" i="2"/>
  <c r="N662" i="2"/>
  <c r="J662" i="2"/>
  <c r="K661" i="2" s="1"/>
  <c r="L661" i="2" s="1"/>
  <c r="M662" i="2" s="1"/>
  <c r="I663" i="2"/>
  <c r="S663" i="2" l="1"/>
  <c r="Q664" i="2"/>
  <c r="R539" i="2"/>
  <c r="T538" i="2"/>
  <c r="I664" i="2"/>
  <c r="N663" i="2"/>
  <c r="J663" i="2"/>
  <c r="K662" i="2" s="1"/>
  <c r="L662" i="2" s="1"/>
  <c r="M663" i="2" s="1"/>
  <c r="S664" i="2" l="1"/>
  <c r="Q665" i="2"/>
  <c r="T539" i="2"/>
  <c r="R540" i="2"/>
  <c r="N664" i="2"/>
  <c r="J664" i="2"/>
  <c r="K663" i="2" s="1"/>
  <c r="L663" i="2" s="1"/>
  <c r="M664" i="2" s="1"/>
  <c r="I665" i="2"/>
  <c r="S665" i="2" l="1"/>
  <c r="Q666" i="2"/>
  <c r="R541" i="2"/>
  <c r="T540" i="2"/>
  <c r="N665" i="2"/>
  <c r="J665" i="2"/>
  <c r="K664" i="2" s="1"/>
  <c r="L664" i="2" s="1"/>
  <c r="M665" i="2" s="1"/>
  <c r="I666" i="2"/>
  <c r="S666" i="2" l="1"/>
  <c r="Q667" i="2"/>
  <c r="R542" i="2"/>
  <c r="T541" i="2"/>
  <c r="I667" i="2"/>
  <c r="J666" i="2"/>
  <c r="K665" i="2" s="1"/>
  <c r="L665" i="2" s="1"/>
  <c r="M666" i="2" s="1"/>
  <c r="N666" i="2"/>
  <c r="S667" i="2" l="1"/>
  <c r="Q668" i="2"/>
  <c r="R543" i="2"/>
  <c r="T542" i="2"/>
  <c r="I668" i="2"/>
  <c r="J667" i="2"/>
  <c r="K666" i="2" s="1"/>
  <c r="L666" i="2" s="1"/>
  <c r="M667" i="2" s="1"/>
  <c r="N667" i="2"/>
  <c r="S668" i="2" l="1"/>
  <c r="Q669" i="2"/>
  <c r="T543" i="2"/>
  <c r="R544" i="2"/>
  <c r="N668" i="2"/>
  <c r="J668" i="2"/>
  <c r="K667" i="2" s="1"/>
  <c r="L667" i="2" s="1"/>
  <c r="M668" i="2" s="1"/>
  <c r="I669" i="2"/>
  <c r="S669" i="2" l="1"/>
  <c r="Q670" i="2"/>
  <c r="T544" i="2"/>
  <c r="R545" i="2"/>
  <c r="N669" i="2"/>
  <c r="J669" i="2"/>
  <c r="K668" i="2" s="1"/>
  <c r="L668" i="2" s="1"/>
  <c r="M669" i="2" s="1"/>
  <c r="I670" i="2"/>
  <c r="S670" i="2" l="1"/>
  <c r="Q671" i="2"/>
  <c r="R546" i="2"/>
  <c r="T545" i="2"/>
  <c r="I671" i="2"/>
  <c r="N670" i="2"/>
  <c r="J670" i="2"/>
  <c r="K669" i="2" s="1"/>
  <c r="L669" i="2" s="1"/>
  <c r="M670" i="2" s="1"/>
  <c r="S671" i="2" l="1"/>
  <c r="Q672" i="2"/>
  <c r="T546" i="2"/>
  <c r="R547" i="2"/>
  <c r="I672" i="2"/>
  <c r="N671" i="2"/>
  <c r="J671" i="2"/>
  <c r="K670" i="2" s="1"/>
  <c r="L670" i="2" s="1"/>
  <c r="M671" i="2" s="1"/>
  <c r="S672" i="2" l="1"/>
  <c r="Q673" i="2"/>
  <c r="R548" i="2"/>
  <c r="T547" i="2"/>
  <c r="N672" i="2"/>
  <c r="J672" i="2"/>
  <c r="K671" i="2" s="1"/>
  <c r="L671" i="2" s="1"/>
  <c r="M672" i="2" s="1"/>
  <c r="I673" i="2"/>
  <c r="S673" i="2" l="1"/>
  <c r="Q674" i="2"/>
  <c r="R549" i="2"/>
  <c r="T548" i="2"/>
  <c r="N673" i="2"/>
  <c r="J673" i="2"/>
  <c r="K672" i="2" s="1"/>
  <c r="L672" i="2" s="1"/>
  <c r="M673" i="2" s="1"/>
  <c r="I674" i="2"/>
  <c r="S674" i="2" l="1"/>
  <c r="Q675" i="2"/>
  <c r="T549" i="2"/>
  <c r="R550" i="2"/>
  <c r="I675" i="2"/>
  <c r="J674" i="2"/>
  <c r="K673" i="2" s="1"/>
  <c r="L673" i="2" s="1"/>
  <c r="M674" i="2" s="1"/>
  <c r="N674" i="2"/>
  <c r="S675" i="2" l="1"/>
  <c r="Q676" i="2"/>
  <c r="T550" i="2"/>
  <c r="R551" i="2"/>
  <c r="J675" i="2"/>
  <c r="K674" i="2" s="1"/>
  <c r="L674" i="2" s="1"/>
  <c r="M675" i="2" s="1"/>
  <c r="I676" i="2"/>
  <c r="N675" i="2"/>
  <c r="S676" i="2" l="1"/>
  <c r="Q677" i="2"/>
  <c r="T551" i="2"/>
  <c r="R552" i="2"/>
  <c r="N676" i="2"/>
  <c r="J676" i="2"/>
  <c r="K675" i="2" s="1"/>
  <c r="L675" i="2" s="1"/>
  <c r="M676" i="2" s="1"/>
  <c r="I677" i="2"/>
  <c r="S677" i="2" l="1"/>
  <c r="Q678" i="2"/>
  <c r="T552" i="2"/>
  <c r="R553" i="2"/>
  <c r="I678" i="2"/>
  <c r="J677" i="2"/>
  <c r="K676" i="2" s="1"/>
  <c r="L676" i="2" s="1"/>
  <c r="M677" i="2" s="1"/>
  <c r="N677" i="2"/>
  <c r="S678" i="2" l="1"/>
  <c r="Q679" i="2"/>
  <c r="R554" i="2"/>
  <c r="T553" i="2"/>
  <c r="I679" i="2"/>
  <c r="J678" i="2"/>
  <c r="K677" i="2" s="1"/>
  <c r="L677" i="2" s="1"/>
  <c r="M678" i="2" s="1"/>
  <c r="N678" i="2"/>
  <c r="S679" i="2" l="1"/>
  <c r="Q680" i="2"/>
  <c r="T554" i="2"/>
  <c r="R555" i="2"/>
  <c r="N679" i="2"/>
  <c r="J679" i="2"/>
  <c r="K678" i="2" s="1"/>
  <c r="L678" i="2" s="1"/>
  <c r="M679" i="2" s="1"/>
  <c r="I680" i="2"/>
  <c r="S680" i="2" l="1"/>
  <c r="Q681" i="2"/>
  <c r="T555" i="2"/>
  <c r="R556" i="2"/>
  <c r="N680" i="2"/>
  <c r="J680" i="2"/>
  <c r="K679" i="2" s="1"/>
  <c r="L679" i="2" s="1"/>
  <c r="M680" i="2" s="1"/>
  <c r="I681" i="2"/>
  <c r="S681" i="2" l="1"/>
  <c r="Q682" i="2"/>
  <c r="R557" i="2"/>
  <c r="T556" i="2"/>
  <c r="I682" i="2"/>
  <c r="N681" i="2"/>
  <c r="J681" i="2"/>
  <c r="K680" i="2" s="1"/>
  <c r="L680" i="2" s="1"/>
  <c r="M681" i="2" s="1"/>
  <c r="S682" i="2" l="1"/>
  <c r="Q683" i="2"/>
  <c r="T557" i="2"/>
  <c r="R558" i="2"/>
  <c r="I683" i="2"/>
  <c r="N682" i="2"/>
  <c r="J682" i="2"/>
  <c r="K681" i="2" s="1"/>
  <c r="L681" i="2" s="1"/>
  <c r="M682" i="2" s="1"/>
  <c r="S683" i="2" l="1"/>
  <c r="Q684" i="2"/>
  <c r="R559" i="2"/>
  <c r="T558" i="2"/>
  <c r="N683" i="2"/>
  <c r="J683" i="2"/>
  <c r="K682" i="2" s="1"/>
  <c r="L682" i="2" s="1"/>
  <c r="M683" i="2" s="1"/>
  <c r="I684" i="2"/>
  <c r="S684" i="2" l="1"/>
  <c r="Q685" i="2"/>
  <c r="R560" i="2"/>
  <c r="T559" i="2"/>
  <c r="N684" i="2"/>
  <c r="J684" i="2"/>
  <c r="K683" i="2" s="1"/>
  <c r="L683" i="2" s="1"/>
  <c r="M684" i="2" s="1"/>
  <c r="I685" i="2"/>
  <c r="S685" i="2" l="1"/>
  <c r="Q686" i="2"/>
  <c r="T560" i="2"/>
  <c r="R561" i="2"/>
  <c r="I686" i="2"/>
  <c r="J685" i="2"/>
  <c r="K684" i="2" s="1"/>
  <c r="L684" i="2" s="1"/>
  <c r="M685" i="2" s="1"/>
  <c r="N685" i="2"/>
  <c r="S686" i="2" l="1"/>
  <c r="Q687" i="2"/>
  <c r="T561" i="2"/>
  <c r="R562" i="2"/>
  <c r="I687" i="2"/>
  <c r="J686" i="2"/>
  <c r="K685" i="2" s="1"/>
  <c r="L685" i="2" s="1"/>
  <c r="M686" i="2" s="1"/>
  <c r="N686" i="2"/>
  <c r="S687" i="2" l="1"/>
  <c r="Q688" i="2"/>
  <c r="R563" i="2"/>
  <c r="T562" i="2"/>
  <c r="N687" i="2"/>
  <c r="J687" i="2"/>
  <c r="K686" i="2" s="1"/>
  <c r="L686" i="2" s="1"/>
  <c r="M687" i="2" s="1"/>
  <c r="I688" i="2"/>
  <c r="S688" i="2" l="1"/>
  <c r="Q689" i="2"/>
  <c r="T563" i="2"/>
  <c r="R564" i="2"/>
  <c r="I689" i="2"/>
  <c r="N688" i="2"/>
  <c r="J688" i="2"/>
  <c r="K687" i="2" s="1"/>
  <c r="L687" i="2" s="1"/>
  <c r="M688" i="2" s="1"/>
  <c r="S689" i="2" l="1"/>
  <c r="Q690" i="2"/>
  <c r="R565" i="2"/>
  <c r="T564" i="2"/>
  <c r="I690" i="2"/>
  <c r="N689" i="2"/>
  <c r="J689" i="2"/>
  <c r="K688" i="2" s="1"/>
  <c r="L688" i="2" s="1"/>
  <c r="M689" i="2" s="1"/>
  <c r="S690" i="2" l="1"/>
  <c r="Q691" i="2"/>
  <c r="R566" i="2"/>
  <c r="T565" i="2"/>
  <c r="N690" i="2"/>
  <c r="J690" i="2"/>
  <c r="K689" i="2" s="1"/>
  <c r="L689" i="2" s="1"/>
  <c r="M690" i="2" s="1"/>
  <c r="I691" i="2"/>
  <c r="S691" i="2" l="1"/>
  <c r="Q692" i="2"/>
  <c r="T566" i="2"/>
  <c r="R567" i="2"/>
  <c r="N691" i="2"/>
  <c r="J691" i="2"/>
  <c r="K690" i="2" s="1"/>
  <c r="L690" i="2" s="1"/>
  <c r="M691" i="2" s="1"/>
  <c r="I692" i="2"/>
  <c r="S692" i="2" l="1"/>
  <c r="Q693" i="2"/>
  <c r="T567" i="2"/>
  <c r="R568" i="2"/>
  <c r="I693" i="2"/>
  <c r="N692" i="2"/>
  <c r="J692" i="2"/>
  <c r="K691" i="2" s="1"/>
  <c r="L691" i="2" s="1"/>
  <c r="M692" i="2" s="1"/>
  <c r="S693" i="2" l="1"/>
  <c r="Q694" i="2"/>
  <c r="T568" i="2"/>
  <c r="R569" i="2"/>
  <c r="I694" i="2"/>
  <c r="J693" i="2"/>
  <c r="K692" i="2" s="1"/>
  <c r="L692" i="2" s="1"/>
  <c r="M693" i="2" s="1"/>
  <c r="N693" i="2"/>
  <c r="S694" i="2" l="1"/>
  <c r="Q695" i="2"/>
  <c r="R570" i="2"/>
  <c r="T569" i="2"/>
  <c r="N694" i="2"/>
  <c r="J694" i="2"/>
  <c r="K693" i="2" s="1"/>
  <c r="L693" i="2" s="1"/>
  <c r="M694" i="2" s="1"/>
  <c r="I695" i="2"/>
  <c r="S695" i="2" l="1"/>
  <c r="Q696" i="2"/>
  <c r="R571" i="2"/>
  <c r="T570" i="2"/>
  <c r="N695" i="2"/>
  <c r="J695" i="2"/>
  <c r="K694" i="2" s="1"/>
  <c r="L694" i="2" s="1"/>
  <c r="M695" i="2" s="1"/>
  <c r="I696" i="2"/>
  <c r="S696" i="2" l="1"/>
  <c r="Q697" i="2"/>
  <c r="R572" i="2"/>
  <c r="T571" i="2"/>
  <c r="I697" i="2"/>
  <c r="J696" i="2"/>
  <c r="K695" i="2" s="1"/>
  <c r="L695" i="2" s="1"/>
  <c r="M696" i="2" s="1"/>
  <c r="N696" i="2"/>
  <c r="S697" i="2" l="1"/>
  <c r="Q698" i="2"/>
  <c r="T572" i="2"/>
  <c r="R573" i="2"/>
  <c r="I698" i="2"/>
  <c r="N697" i="2"/>
  <c r="J697" i="2"/>
  <c r="K696" i="2" s="1"/>
  <c r="L696" i="2" s="1"/>
  <c r="M697" i="2" s="1"/>
  <c r="S698" i="2" l="1"/>
  <c r="Q699" i="2"/>
  <c r="T573" i="2"/>
  <c r="R574" i="2"/>
  <c r="N698" i="2"/>
  <c r="J698" i="2"/>
  <c r="K697" i="2" s="1"/>
  <c r="L697" i="2" s="1"/>
  <c r="M698" i="2" s="1"/>
  <c r="I699" i="2"/>
  <c r="S699" i="2" l="1"/>
  <c r="Q700" i="2"/>
  <c r="T574" i="2"/>
  <c r="R575" i="2"/>
  <c r="I700" i="2"/>
  <c r="N699" i="2"/>
  <c r="J699" i="2"/>
  <c r="K698" i="2" s="1"/>
  <c r="L698" i="2" s="1"/>
  <c r="M699" i="2" s="1"/>
  <c r="S700" i="2" l="1"/>
  <c r="Q701" i="2"/>
  <c r="R576" i="2"/>
  <c r="T575" i="2"/>
  <c r="I701" i="2"/>
  <c r="N700" i="2"/>
  <c r="J700" i="2"/>
  <c r="K699" i="2" s="1"/>
  <c r="L699" i="2" s="1"/>
  <c r="M700" i="2" s="1"/>
  <c r="S701" i="2" l="1"/>
  <c r="Q702" i="2"/>
  <c r="T576" i="2"/>
  <c r="R577" i="2"/>
  <c r="N701" i="2"/>
  <c r="J701" i="2"/>
  <c r="K700" i="2" s="1"/>
  <c r="L700" i="2" s="1"/>
  <c r="M701" i="2" s="1"/>
  <c r="I702" i="2"/>
  <c r="S702" i="2" l="1"/>
  <c r="Q703" i="2"/>
  <c r="T577" i="2"/>
  <c r="R578" i="2"/>
  <c r="N702" i="2"/>
  <c r="J702" i="2"/>
  <c r="K701" i="2" s="1"/>
  <c r="L701" i="2" s="1"/>
  <c r="M702" i="2" s="1"/>
  <c r="I703" i="2"/>
  <c r="S703" i="2" l="1"/>
  <c r="Q704" i="2"/>
  <c r="T578" i="2"/>
  <c r="R579" i="2"/>
  <c r="I704" i="2"/>
  <c r="N703" i="2"/>
  <c r="J703" i="2"/>
  <c r="K702" i="2" s="1"/>
  <c r="L702" i="2" s="1"/>
  <c r="M703" i="2" s="1"/>
  <c r="S704" i="2" l="1"/>
  <c r="Q705" i="2"/>
  <c r="T579" i="2"/>
  <c r="R580" i="2"/>
  <c r="I705" i="2"/>
  <c r="N704" i="2"/>
  <c r="J704" i="2"/>
  <c r="K703" i="2" s="1"/>
  <c r="L703" i="2" s="1"/>
  <c r="M704" i="2" s="1"/>
  <c r="S705" i="2" l="1"/>
  <c r="Q706" i="2"/>
  <c r="T580" i="2"/>
  <c r="R581" i="2"/>
  <c r="N705" i="2"/>
  <c r="J705" i="2"/>
  <c r="K704" i="2" s="1"/>
  <c r="L704" i="2" s="1"/>
  <c r="M705" i="2" s="1"/>
  <c r="I706" i="2"/>
  <c r="S706" i="2" l="1"/>
  <c r="Q707" i="2"/>
  <c r="T581" i="2"/>
  <c r="R582" i="2"/>
  <c r="N706" i="2"/>
  <c r="J706" i="2"/>
  <c r="K705" i="2" s="1"/>
  <c r="L705" i="2" s="1"/>
  <c r="M706" i="2" s="1"/>
  <c r="I707" i="2"/>
  <c r="S707" i="2" l="1"/>
  <c r="Q708" i="2"/>
  <c r="T582" i="2"/>
  <c r="R583" i="2"/>
  <c r="I708" i="2"/>
  <c r="N707" i="2"/>
  <c r="J707" i="2"/>
  <c r="K706" i="2" s="1"/>
  <c r="L706" i="2" s="1"/>
  <c r="M707" i="2" s="1"/>
  <c r="S708" i="2" l="1"/>
  <c r="Q709" i="2"/>
  <c r="T583" i="2"/>
  <c r="R584" i="2"/>
  <c r="I709" i="2"/>
  <c r="J708" i="2"/>
  <c r="K707" i="2" s="1"/>
  <c r="L707" i="2" s="1"/>
  <c r="M708" i="2" s="1"/>
  <c r="N708" i="2"/>
  <c r="S709" i="2" l="1"/>
  <c r="Q710" i="2"/>
  <c r="R585" i="2"/>
  <c r="T584" i="2"/>
  <c r="N709" i="2"/>
  <c r="J709" i="2"/>
  <c r="K708" i="2" s="1"/>
  <c r="L708" i="2" s="1"/>
  <c r="M709" i="2" s="1"/>
  <c r="I710" i="2"/>
  <c r="S710" i="2" l="1"/>
  <c r="Q711" i="2"/>
  <c r="R586" i="2"/>
  <c r="T585" i="2"/>
  <c r="N710" i="2"/>
  <c r="J710" i="2"/>
  <c r="K709" i="2" s="1"/>
  <c r="L709" i="2" s="1"/>
  <c r="M710" i="2" s="1"/>
  <c r="I711" i="2"/>
  <c r="S711" i="2" l="1"/>
  <c r="Q712" i="2"/>
  <c r="T586" i="2"/>
  <c r="R587" i="2"/>
  <c r="I712" i="2"/>
  <c r="J711" i="2"/>
  <c r="K710" i="2" s="1"/>
  <c r="L710" i="2" s="1"/>
  <c r="M711" i="2" s="1"/>
  <c r="N711" i="2"/>
  <c r="S712" i="2" l="1"/>
  <c r="Q713" i="2"/>
  <c r="T587" i="2"/>
  <c r="R588" i="2"/>
  <c r="N712" i="2"/>
  <c r="J712" i="2"/>
  <c r="K711" i="2" s="1"/>
  <c r="L711" i="2" s="1"/>
  <c r="M712" i="2" s="1"/>
  <c r="I713" i="2"/>
  <c r="S713" i="2" l="1"/>
  <c r="Q714" i="2"/>
  <c r="T588" i="2"/>
  <c r="R589" i="2"/>
  <c r="N713" i="2"/>
  <c r="J713" i="2"/>
  <c r="K712" i="2" s="1"/>
  <c r="L712" i="2" s="1"/>
  <c r="M713" i="2" s="1"/>
  <c r="I714" i="2"/>
  <c r="S714" i="2" l="1"/>
  <c r="Q715" i="2"/>
  <c r="T589" i="2"/>
  <c r="R590" i="2"/>
  <c r="I715" i="2"/>
  <c r="J714" i="2"/>
  <c r="K713" i="2" s="1"/>
  <c r="L713" i="2" s="1"/>
  <c r="M714" i="2" s="1"/>
  <c r="N714" i="2"/>
  <c r="S715" i="2" l="1"/>
  <c r="Q716" i="2"/>
  <c r="T590" i="2"/>
  <c r="R591" i="2"/>
  <c r="I716" i="2"/>
  <c r="N715" i="2"/>
  <c r="J715" i="2"/>
  <c r="K714" i="2" s="1"/>
  <c r="L714" i="2" s="1"/>
  <c r="M715" i="2" s="1"/>
  <c r="S716" i="2" l="1"/>
  <c r="Q717" i="2"/>
  <c r="T591" i="2"/>
  <c r="R592" i="2"/>
  <c r="I717" i="2"/>
  <c r="N716" i="2"/>
  <c r="J716" i="2"/>
  <c r="K715" i="2" s="1"/>
  <c r="L715" i="2" s="1"/>
  <c r="M716" i="2" s="1"/>
  <c r="S717" i="2" l="1"/>
  <c r="Q718" i="2"/>
  <c r="T592" i="2"/>
  <c r="R593" i="2"/>
  <c r="I718" i="2"/>
  <c r="N717" i="2"/>
  <c r="J717" i="2"/>
  <c r="K716" i="2" s="1"/>
  <c r="L716" i="2" s="1"/>
  <c r="M717" i="2" s="1"/>
  <c r="S718" i="2" l="1"/>
  <c r="Q719" i="2"/>
  <c r="R594" i="2"/>
  <c r="T593" i="2"/>
  <c r="I719" i="2"/>
  <c r="N718" i="2"/>
  <c r="J718" i="2"/>
  <c r="K717" i="2" s="1"/>
  <c r="L717" i="2" s="1"/>
  <c r="M718" i="2" s="1"/>
  <c r="S719" i="2" l="1"/>
  <c r="Q720" i="2"/>
  <c r="T594" i="2"/>
  <c r="R595" i="2"/>
  <c r="N719" i="2"/>
  <c r="J719" i="2"/>
  <c r="K718" i="2" s="1"/>
  <c r="L718" i="2" s="1"/>
  <c r="M719" i="2" s="1"/>
  <c r="I720" i="2"/>
  <c r="S720" i="2" l="1"/>
  <c r="Q721" i="2"/>
  <c r="T595" i="2"/>
  <c r="R596" i="2"/>
  <c r="N720" i="2"/>
  <c r="J720" i="2"/>
  <c r="K719" i="2" s="1"/>
  <c r="L719" i="2" s="1"/>
  <c r="M720" i="2" s="1"/>
  <c r="I721" i="2"/>
  <c r="S721" i="2" l="1"/>
  <c r="Q722" i="2"/>
  <c r="R597" i="2"/>
  <c r="T596" i="2"/>
  <c r="I722" i="2"/>
  <c r="J721" i="2"/>
  <c r="K720" i="2" s="1"/>
  <c r="L720" i="2" s="1"/>
  <c r="M721" i="2" s="1"/>
  <c r="N721" i="2"/>
  <c r="S722" i="2" l="1"/>
  <c r="Q723" i="2"/>
  <c r="R598" i="2"/>
  <c r="T597" i="2"/>
  <c r="I723" i="2"/>
  <c r="J722" i="2"/>
  <c r="K721" i="2" s="1"/>
  <c r="L721" i="2" s="1"/>
  <c r="M722" i="2" s="1"/>
  <c r="N722" i="2"/>
  <c r="S723" i="2" l="1"/>
  <c r="Q724" i="2"/>
  <c r="R599" i="2"/>
  <c r="T598" i="2"/>
  <c r="N723" i="2"/>
  <c r="J723" i="2"/>
  <c r="K722" i="2" s="1"/>
  <c r="L722" i="2" s="1"/>
  <c r="M723" i="2" s="1"/>
  <c r="I724" i="2"/>
  <c r="S724" i="2" l="1"/>
  <c r="Q725" i="2"/>
  <c r="T599" i="2"/>
  <c r="R600" i="2"/>
  <c r="I725" i="2"/>
  <c r="N724" i="2"/>
  <c r="J724" i="2"/>
  <c r="K723" i="2" s="1"/>
  <c r="L723" i="2" s="1"/>
  <c r="M724" i="2" s="1"/>
  <c r="S725" i="2" l="1"/>
  <c r="Q726" i="2"/>
  <c r="R601" i="2"/>
  <c r="T600" i="2"/>
  <c r="I726" i="2"/>
  <c r="N725" i="2"/>
  <c r="J725" i="2"/>
  <c r="K724" i="2" s="1"/>
  <c r="L724" i="2" s="1"/>
  <c r="M725" i="2" s="1"/>
  <c r="S726" i="2" l="1"/>
  <c r="Q727" i="2"/>
  <c r="T601" i="2"/>
  <c r="R602" i="2"/>
  <c r="N726" i="2"/>
  <c r="J726" i="2"/>
  <c r="K725" i="2" s="1"/>
  <c r="L725" i="2" s="1"/>
  <c r="M726" i="2" s="1"/>
  <c r="I727" i="2"/>
  <c r="S727" i="2" l="1"/>
  <c r="Q728" i="2"/>
  <c r="T602" i="2"/>
  <c r="R603" i="2"/>
  <c r="N727" i="2"/>
  <c r="J727" i="2"/>
  <c r="K726" i="2" s="1"/>
  <c r="L726" i="2" s="1"/>
  <c r="M727" i="2" s="1"/>
  <c r="I728" i="2"/>
  <c r="S728" i="2" l="1"/>
  <c r="Q729" i="2"/>
  <c r="R604" i="2"/>
  <c r="T603" i="2"/>
  <c r="I729" i="2"/>
  <c r="N728" i="2"/>
  <c r="J728" i="2"/>
  <c r="K727" i="2" s="1"/>
  <c r="L727" i="2" s="1"/>
  <c r="M728" i="2" s="1"/>
  <c r="S729" i="2" l="1"/>
  <c r="Q730" i="2"/>
  <c r="R605" i="2"/>
  <c r="T604" i="2"/>
  <c r="I730" i="2"/>
  <c r="J729" i="2"/>
  <c r="K728" i="2" s="1"/>
  <c r="L728" i="2" s="1"/>
  <c r="M729" i="2" s="1"/>
  <c r="N729" i="2"/>
  <c r="S730" i="2" l="1"/>
  <c r="Q731" i="2"/>
  <c r="R606" i="2"/>
  <c r="T605" i="2"/>
  <c r="N730" i="2"/>
  <c r="J730" i="2"/>
  <c r="K729" i="2" s="1"/>
  <c r="L729" i="2" s="1"/>
  <c r="M730" i="2" s="1"/>
  <c r="I731" i="2"/>
  <c r="S731" i="2" l="1"/>
  <c r="Q732" i="2"/>
  <c r="T606" i="2"/>
  <c r="R607" i="2"/>
  <c r="N731" i="2"/>
  <c r="J731" i="2"/>
  <c r="K730" i="2" s="1"/>
  <c r="L730" i="2" s="1"/>
  <c r="M731" i="2" s="1"/>
  <c r="I732" i="2"/>
  <c r="S732" i="2" l="1"/>
  <c r="Q733" i="2"/>
  <c r="R608" i="2"/>
  <c r="T607" i="2"/>
  <c r="I733" i="2"/>
  <c r="J732" i="2"/>
  <c r="K731" i="2" s="1"/>
  <c r="L731" i="2" s="1"/>
  <c r="M732" i="2" s="1"/>
  <c r="N732" i="2"/>
  <c r="S733" i="2" l="1"/>
  <c r="Q734" i="2"/>
  <c r="R609" i="2"/>
  <c r="T608" i="2"/>
  <c r="I734" i="2"/>
  <c r="N733" i="2"/>
  <c r="J733" i="2"/>
  <c r="K732" i="2" s="1"/>
  <c r="L732" i="2" s="1"/>
  <c r="M733" i="2" s="1"/>
  <c r="S734" i="2" l="1"/>
  <c r="Q735" i="2"/>
  <c r="T609" i="2"/>
  <c r="R610" i="2"/>
  <c r="N734" i="2"/>
  <c r="J734" i="2"/>
  <c r="K733" i="2" s="1"/>
  <c r="L733" i="2" s="1"/>
  <c r="M734" i="2" s="1"/>
  <c r="I735" i="2"/>
  <c r="S735" i="2" l="1"/>
  <c r="Q736" i="2"/>
  <c r="T610" i="2"/>
  <c r="R611" i="2"/>
  <c r="I736" i="2"/>
  <c r="N735" i="2"/>
  <c r="J735" i="2"/>
  <c r="K734" i="2" s="1"/>
  <c r="L734" i="2" s="1"/>
  <c r="M735" i="2" s="1"/>
  <c r="S736" i="2" l="1"/>
  <c r="Q737" i="2"/>
  <c r="R612" i="2"/>
  <c r="T611" i="2"/>
  <c r="I737" i="2"/>
  <c r="N736" i="2"/>
  <c r="J736" i="2"/>
  <c r="K735" i="2" s="1"/>
  <c r="L735" i="2" s="1"/>
  <c r="M736" i="2" s="1"/>
  <c r="S737" i="2" l="1"/>
  <c r="Q738" i="2"/>
  <c r="T612" i="2"/>
  <c r="R613" i="2"/>
  <c r="N737" i="2"/>
  <c r="J737" i="2"/>
  <c r="K736" i="2" s="1"/>
  <c r="L736" i="2" s="1"/>
  <c r="M737" i="2" s="1"/>
  <c r="I738" i="2"/>
  <c r="S738" i="2" l="1"/>
  <c r="Q739" i="2"/>
  <c r="R614" i="2"/>
  <c r="T613" i="2"/>
  <c r="N738" i="2"/>
  <c r="J738" i="2"/>
  <c r="K737" i="2" s="1"/>
  <c r="L737" i="2" s="1"/>
  <c r="M738" i="2" s="1"/>
  <c r="I739" i="2"/>
  <c r="S739" i="2" l="1"/>
  <c r="Q740" i="2"/>
  <c r="R615" i="2"/>
  <c r="T614" i="2"/>
  <c r="I740" i="2"/>
  <c r="N739" i="2"/>
  <c r="J739" i="2"/>
  <c r="K738" i="2" s="1"/>
  <c r="L738" i="2" s="1"/>
  <c r="M739" i="2" s="1"/>
  <c r="S740" i="2" l="1"/>
  <c r="Q741" i="2"/>
  <c r="R616" i="2"/>
  <c r="T615" i="2"/>
  <c r="I741" i="2"/>
  <c r="N740" i="2"/>
  <c r="J740" i="2"/>
  <c r="K739" i="2" s="1"/>
  <c r="L739" i="2" s="1"/>
  <c r="M740" i="2" s="1"/>
  <c r="S741" i="2" l="1"/>
  <c r="Q742" i="2"/>
  <c r="R617" i="2"/>
  <c r="T616" i="2"/>
  <c r="N741" i="2"/>
  <c r="J741" i="2"/>
  <c r="K740" i="2" s="1"/>
  <c r="L740" i="2" s="1"/>
  <c r="M741" i="2" s="1"/>
  <c r="I742" i="2"/>
  <c r="S742" i="2" l="1"/>
  <c r="Q743" i="2"/>
  <c r="T617" i="2"/>
  <c r="R618" i="2"/>
  <c r="N742" i="2"/>
  <c r="J742" i="2"/>
  <c r="K741" i="2" s="1"/>
  <c r="L741" i="2" s="1"/>
  <c r="M742" i="2" s="1"/>
  <c r="I743" i="2"/>
  <c r="S743" i="2" l="1"/>
  <c r="Q744" i="2"/>
  <c r="T618" i="2"/>
  <c r="R619" i="2"/>
  <c r="I744" i="2"/>
  <c r="J743" i="2"/>
  <c r="K742" i="2" s="1"/>
  <c r="L742" i="2" s="1"/>
  <c r="M743" i="2" s="1"/>
  <c r="N743" i="2"/>
  <c r="S744" i="2" l="1"/>
  <c r="Q745" i="2"/>
  <c r="T619" i="2"/>
  <c r="R620" i="2"/>
  <c r="I745" i="2"/>
  <c r="J744" i="2"/>
  <c r="K743" i="2" s="1"/>
  <c r="L743" i="2" s="1"/>
  <c r="M744" i="2" s="1"/>
  <c r="N744" i="2"/>
  <c r="S745" i="2" l="1"/>
  <c r="Q746" i="2"/>
  <c r="R621" i="2"/>
  <c r="T620" i="2"/>
  <c r="N745" i="2"/>
  <c r="J745" i="2"/>
  <c r="K744" i="2" s="1"/>
  <c r="L744" i="2" s="1"/>
  <c r="M745" i="2" s="1"/>
  <c r="I746" i="2"/>
  <c r="S746" i="2" l="1"/>
  <c r="Q747" i="2"/>
  <c r="T621" i="2"/>
  <c r="R622" i="2"/>
  <c r="N746" i="2"/>
  <c r="J746" i="2"/>
  <c r="K745" i="2" s="1"/>
  <c r="L745" i="2" s="1"/>
  <c r="M746" i="2" s="1"/>
  <c r="I747" i="2"/>
  <c r="S747" i="2" l="1"/>
  <c r="Q748" i="2"/>
  <c r="R623" i="2"/>
  <c r="T622" i="2"/>
  <c r="I748" i="2"/>
  <c r="N747" i="2"/>
  <c r="J747" i="2"/>
  <c r="K746" i="2" s="1"/>
  <c r="L746" i="2" s="1"/>
  <c r="M747" i="2" s="1"/>
  <c r="S748" i="2" l="1"/>
  <c r="Q749" i="2"/>
  <c r="T623" i="2"/>
  <c r="R624" i="2"/>
  <c r="N748" i="2"/>
  <c r="J748" i="2"/>
  <c r="K747" i="2" s="1"/>
  <c r="L747" i="2" s="1"/>
  <c r="M748" i="2" s="1"/>
  <c r="I749" i="2"/>
  <c r="S749" i="2" l="1"/>
  <c r="Q750" i="2"/>
  <c r="R625" i="2"/>
  <c r="T624" i="2"/>
  <c r="N749" i="2"/>
  <c r="J749" i="2"/>
  <c r="K748" i="2" s="1"/>
  <c r="L748" i="2" s="1"/>
  <c r="M749" i="2" s="1"/>
  <c r="I750" i="2"/>
  <c r="S750" i="2" l="1"/>
  <c r="Q751" i="2"/>
  <c r="T625" i="2"/>
  <c r="R626" i="2"/>
  <c r="I751" i="2"/>
  <c r="N750" i="2"/>
  <c r="J750" i="2"/>
  <c r="K749" i="2" s="1"/>
  <c r="L749" i="2" s="1"/>
  <c r="M750" i="2" s="1"/>
  <c r="S751" i="2" l="1"/>
  <c r="Q752" i="2"/>
  <c r="R627" i="2"/>
  <c r="T626" i="2"/>
  <c r="I752" i="2"/>
  <c r="J751" i="2"/>
  <c r="K750" i="2" s="1"/>
  <c r="L750" i="2" s="1"/>
  <c r="M751" i="2" s="1"/>
  <c r="N751" i="2"/>
  <c r="S752" i="2" l="1"/>
  <c r="Q753" i="2"/>
  <c r="T627" i="2"/>
  <c r="R628" i="2"/>
  <c r="N752" i="2"/>
  <c r="J752" i="2"/>
  <c r="K751" i="2" s="1"/>
  <c r="L751" i="2" s="1"/>
  <c r="M752" i="2" s="1"/>
  <c r="I753" i="2"/>
  <c r="S753" i="2" l="1"/>
  <c r="Q754" i="2"/>
  <c r="T628" i="2"/>
  <c r="R629" i="2"/>
  <c r="N753" i="2"/>
  <c r="J753" i="2"/>
  <c r="K752" i="2" s="1"/>
  <c r="L752" i="2" s="1"/>
  <c r="M753" i="2" s="1"/>
  <c r="I754" i="2"/>
  <c r="S754" i="2" l="1"/>
  <c r="Q755" i="2"/>
  <c r="R630" i="2"/>
  <c r="T629" i="2"/>
  <c r="I755" i="2"/>
  <c r="J754" i="2"/>
  <c r="K753" i="2" s="1"/>
  <c r="L753" i="2" s="1"/>
  <c r="M754" i="2" s="1"/>
  <c r="N754" i="2"/>
  <c r="S755" i="2" l="1"/>
  <c r="Q756" i="2"/>
  <c r="R631" i="2"/>
  <c r="T630" i="2"/>
  <c r="I756" i="2"/>
  <c r="N755" i="2"/>
  <c r="J755" i="2"/>
  <c r="K754" i="2" s="1"/>
  <c r="L754" i="2" s="1"/>
  <c r="M755" i="2" s="1"/>
  <c r="S756" i="2" l="1"/>
  <c r="Q757" i="2"/>
  <c r="T631" i="2"/>
  <c r="R632" i="2"/>
  <c r="N756" i="2"/>
  <c r="J756" i="2"/>
  <c r="K755" i="2" s="1"/>
  <c r="L755" i="2" s="1"/>
  <c r="M756" i="2" s="1"/>
  <c r="I757" i="2"/>
  <c r="S757" i="2" l="1"/>
  <c r="Q758" i="2"/>
  <c r="R633" i="2"/>
  <c r="T632" i="2"/>
  <c r="N757" i="2"/>
  <c r="J757" i="2"/>
  <c r="K756" i="2" s="1"/>
  <c r="L756" i="2" s="1"/>
  <c r="M757" i="2" s="1"/>
  <c r="I758" i="2"/>
  <c r="S758" i="2" l="1"/>
  <c r="Q759" i="2"/>
  <c r="R634" i="2"/>
  <c r="T633" i="2"/>
  <c r="I759" i="2"/>
  <c r="N758" i="2"/>
  <c r="J758" i="2"/>
  <c r="K757" i="2" s="1"/>
  <c r="L757" i="2" s="1"/>
  <c r="M758" i="2" s="1"/>
  <c r="S759" i="2" l="1"/>
  <c r="Q760" i="2"/>
  <c r="R635" i="2"/>
  <c r="T634" i="2"/>
  <c r="J759" i="2"/>
  <c r="K758" i="2" s="1"/>
  <c r="L758" i="2" s="1"/>
  <c r="M759" i="2" s="1"/>
  <c r="I760" i="2"/>
  <c r="N759" i="2"/>
  <c r="S760" i="2" l="1"/>
  <c r="Q761" i="2"/>
  <c r="T635" i="2"/>
  <c r="R636" i="2"/>
  <c r="N760" i="2"/>
  <c r="J760" i="2"/>
  <c r="K759" i="2" s="1"/>
  <c r="L759" i="2" s="1"/>
  <c r="M760" i="2" s="1"/>
  <c r="I761" i="2"/>
  <c r="S761" i="2" l="1"/>
  <c r="Q762" i="2"/>
  <c r="T636" i="2"/>
  <c r="R637" i="2"/>
  <c r="I762" i="2"/>
  <c r="J761" i="2"/>
  <c r="K760" i="2" s="1"/>
  <c r="L760" i="2" s="1"/>
  <c r="M761" i="2" s="1"/>
  <c r="N761" i="2"/>
  <c r="S762" i="2" l="1"/>
  <c r="Q763" i="2"/>
  <c r="R638" i="2"/>
  <c r="T637" i="2"/>
  <c r="I763" i="2"/>
  <c r="J762" i="2"/>
  <c r="K761" i="2" s="1"/>
  <c r="L761" i="2" s="1"/>
  <c r="M762" i="2" s="1"/>
  <c r="N762" i="2"/>
  <c r="S763" i="2" l="1"/>
  <c r="Q764" i="2"/>
  <c r="R639" i="2"/>
  <c r="T638" i="2"/>
  <c r="N763" i="2"/>
  <c r="J763" i="2"/>
  <c r="K762" i="2" s="1"/>
  <c r="L762" i="2" s="1"/>
  <c r="M763" i="2" s="1"/>
  <c r="I764" i="2"/>
  <c r="S764" i="2" l="1"/>
  <c r="Q765" i="2"/>
  <c r="T639" i="2"/>
  <c r="R640" i="2"/>
  <c r="N764" i="2"/>
  <c r="J764" i="2"/>
  <c r="K763" i="2" s="1"/>
  <c r="L763" i="2" s="1"/>
  <c r="M764" i="2" s="1"/>
  <c r="I765" i="2"/>
  <c r="S765" i="2" l="1"/>
  <c r="Q766" i="2"/>
  <c r="R641" i="2"/>
  <c r="T640" i="2"/>
  <c r="I766" i="2"/>
  <c r="J765" i="2"/>
  <c r="K764" i="2" s="1"/>
  <c r="L764" i="2" s="1"/>
  <c r="M765" i="2" s="1"/>
  <c r="N765" i="2"/>
  <c r="S766" i="2" l="1"/>
  <c r="Q767" i="2"/>
  <c r="R642" i="2"/>
  <c r="T641" i="2"/>
  <c r="I767" i="2"/>
  <c r="N766" i="2"/>
  <c r="J766" i="2"/>
  <c r="K765" i="2" s="1"/>
  <c r="L765" i="2" s="1"/>
  <c r="M766" i="2" s="1"/>
  <c r="S767" i="2" l="1"/>
  <c r="Q768" i="2"/>
  <c r="R643" i="2"/>
  <c r="T642" i="2"/>
  <c r="N767" i="2"/>
  <c r="J767" i="2"/>
  <c r="K766" i="2" s="1"/>
  <c r="L766" i="2" s="1"/>
  <c r="M767" i="2" s="1"/>
  <c r="I768" i="2"/>
  <c r="S768" i="2" l="1"/>
  <c r="Q769" i="2"/>
  <c r="T643" i="2"/>
  <c r="R644" i="2"/>
  <c r="N768" i="2"/>
  <c r="J768" i="2"/>
  <c r="K767" i="2" s="1"/>
  <c r="L767" i="2" s="1"/>
  <c r="M768" i="2" s="1"/>
  <c r="I769" i="2"/>
  <c r="S769" i="2" l="1"/>
  <c r="Q770" i="2"/>
  <c r="R645" i="2"/>
  <c r="T644" i="2"/>
  <c r="I770" i="2"/>
  <c r="N769" i="2"/>
  <c r="J769" i="2"/>
  <c r="K768" i="2" s="1"/>
  <c r="L768" i="2" s="1"/>
  <c r="M769" i="2" s="1"/>
  <c r="S770" i="2" l="1"/>
  <c r="Q771" i="2"/>
  <c r="R646" i="2"/>
  <c r="T645" i="2"/>
  <c r="I771" i="2"/>
  <c r="J770" i="2"/>
  <c r="K769" i="2" s="1"/>
  <c r="L769" i="2" s="1"/>
  <c r="M770" i="2" s="1"/>
  <c r="N770" i="2"/>
  <c r="S771" i="2" l="1"/>
  <c r="Q772" i="2"/>
  <c r="R647" i="2"/>
  <c r="T646" i="2"/>
  <c r="N771" i="2"/>
  <c r="J771" i="2"/>
  <c r="K770" i="2" s="1"/>
  <c r="L770" i="2" s="1"/>
  <c r="M771" i="2" s="1"/>
  <c r="I772" i="2"/>
  <c r="S772" i="2" l="1"/>
  <c r="Q773" i="2"/>
  <c r="T647" i="2"/>
  <c r="R648" i="2"/>
  <c r="I773" i="2"/>
  <c r="J772" i="2"/>
  <c r="K771" i="2" s="1"/>
  <c r="L771" i="2" s="1"/>
  <c r="M772" i="2" s="1"/>
  <c r="N772" i="2"/>
  <c r="S773" i="2" l="1"/>
  <c r="Q774" i="2"/>
  <c r="T648" i="2"/>
  <c r="R649" i="2"/>
  <c r="I774" i="2"/>
  <c r="J773" i="2"/>
  <c r="K772" i="2" s="1"/>
  <c r="L772" i="2" s="1"/>
  <c r="M773" i="2" s="1"/>
  <c r="N773" i="2"/>
  <c r="S774" i="2" l="1"/>
  <c r="Q775" i="2"/>
  <c r="T649" i="2"/>
  <c r="R650" i="2"/>
  <c r="N774" i="2"/>
  <c r="J774" i="2"/>
  <c r="K773" i="2" s="1"/>
  <c r="L773" i="2" s="1"/>
  <c r="M774" i="2" s="1"/>
  <c r="I775" i="2"/>
  <c r="S775" i="2" l="1"/>
  <c r="Q776" i="2"/>
  <c r="R651" i="2"/>
  <c r="T650" i="2"/>
  <c r="N775" i="2"/>
  <c r="J775" i="2"/>
  <c r="K774" i="2" s="1"/>
  <c r="L774" i="2" s="1"/>
  <c r="M775" i="2" s="1"/>
  <c r="I776" i="2"/>
  <c r="S776" i="2" l="1"/>
  <c r="Q777" i="2"/>
  <c r="T651" i="2"/>
  <c r="R652" i="2"/>
  <c r="I777" i="2"/>
  <c r="N776" i="2"/>
  <c r="J776" i="2"/>
  <c r="K775" i="2" s="1"/>
  <c r="L775" i="2" s="1"/>
  <c r="M776" i="2" s="1"/>
  <c r="S777" i="2" l="1"/>
  <c r="Q778" i="2"/>
  <c r="R653" i="2"/>
  <c r="T652" i="2"/>
  <c r="I778" i="2"/>
  <c r="N777" i="2"/>
  <c r="J777" i="2"/>
  <c r="K776" i="2" s="1"/>
  <c r="L776" i="2" s="1"/>
  <c r="M777" i="2" s="1"/>
  <c r="S778" i="2" l="1"/>
  <c r="Q779" i="2"/>
  <c r="R654" i="2"/>
  <c r="T653" i="2"/>
  <c r="N778" i="2"/>
  <c r="J778" i="2"/>
  <c r="K777" i="2" s="1"/>
  <c r="L777" i="2" s="1"/>
  <c r="M778" i="2" s="1"/>
  <c r="I779" i="2"/>
  <c r="S779" i="2" l="1"/>
  <c r="Q780" i="2"/>
  <c r="T654" i="2"/>
  <c r="R655" i="2"/>
  <c r="N779" i="2"/>
  <c r="J779" i="2"/>
  <c r="K778" i="2" s="1"/>
  <c r="L778" i="2" s="1"/>
  <c r="M779" i="2" s="1"/>
  <c r="I780" i="2"/>
  <c r="S780" i="2" l="1"/>
  <c r="Q781" i="2"/>
  <c r="T655" i="2"/>
  <c r="R656" i="2"/>
  <c r="I781" i="2"/>
  <c r="J780" i="2"/>
  <c r="K779" i="2" s="1"/>
  <c r="L779" i="2" s="1"/>
  <c r="M780" i="2" s="1"/>
  <c r="N780" i="2"/>
  <c r="S781" i="2" l="1"/>
  <c r="Q782" i="2"/>
  <c r="R657" i="2"/>
  <c r="T656" i="2"/>
  <c r="I782" i="2"/>
  <c r="J781" i="2"/>
  <c r="K780" i="2" s="1"/>
  <c r="L780" i="2" s="1"/>
  <c r="M781" i="2" s="1"/>
  <c r="N781" i="2"/>
  <c r="S782" i="2" l="1"/>
  <c r="Q783" i="2"/>
  <c r="R658" i="2"/>
  <c r="T657" i="2"/>
  <c r="N782" i="2"/>
  <c r="J782" i="2"/>
  <c r="K781" i="2" s="1"/>
  <c r="L781" i="2" s="1"/>
  <c r="M782" i="2" s="1"/>
  <c r="I783" i="2"/>
  <c r="S783" i="2" l="1"/>
  <c r="Q784" i="2"/>
  <c r="R659" i="2"/>
  <c r="T658" i="2"/>
  <c r="I784" i="2"/>
  <c r="N783" i="2"/>
  <c r="J783" i="2"/>
  <c r="K782" i="2" s="1"/>
  <c r="L782" i="2" s="1"/>
  <c r="M783" i="2" s="1"/>
  <c r="S784" i="2" l="1"/>
  <c r="Q785" i="2"/>
  <c r="T659" i="2"/>
  <c r="R660" i="2"/>
  <c r="I785" i="2"/>
  <c r="J784" i="2"/>
  <c r="K783" i="2" s="1"/>
  <c r="L783" i="2" s="1"/>
  <c r="M784" i="2" s="1"/>
  <c r="N784" i="2"/>
  <c r="S785" i="2" l="1"/>
  <c r="Q786" i="2"/>
  <c r="R661" i="2"/>
  <c r="T660" i="2"/>
  <c r="N785" i="2"/>
  <c r="J785" i="2"/>
  <c r="K784" i="2" s="1"/>
  <c r="L784" i="2" s="1"/>
  <c r="M785" i="2" s="1"/>
  <c r="I786" i="2"/>
  <c r="S786" i="2" l="1"/>
  <c r="Q787" i="2"/>
  <c r="R662" i="2"/>
  <c r="T661" i="2"/>
  <c r="N786" i="2"/>
  <c r="J786" i="2"/>
  <c r="K785" i="2" s="1"/>
  <c r="L785" i="2" s="1"/>
  <c r="M786" i="2" s="1"/>
  <c r="I787" i="2"/>
  <c r="S787" i="2" l="1"/>
  <c r="Q788" i="2"/>
  <c r="T662" i="2"/>
  <c r="R663" i="2"/>
  <c r="I788" i="2"/>
  <c r="J787" i="2"/>
  <c r="K786" i="2" s="1"/>
  <c r="L786" i="2" s="1"/>
  <c r="M787" i="2" s="1"/>
  <c r="N787" i="2"/>
  <c r="S788" i="2" l="1"/>
  <c r="Q789" i="2"/>
  <c r="R664" i="2"/>
  <c r="T663" i="2"/>
  <c r="I789" i="2"/>
  <c r="N788" i="2"/>
  <c r="J788" i="2"/>
  <c r="K787" i="2" s="1"/>
  <c r="L787" i="2" s="1"/>
  <c r="M788" i="2" s="1"/>
  <c r="S789" i="2" l="1"/>
  <c r="Q790" i="2"/>
  <c r="T664" i="2"/>
  <c r="R665" i="2"/>
  <c r="N789" i="2"/>
  <c r="J789" i="2"/>
  <c r="K788" i="2" s="1"/>
  <c r="L788" i="2" s="1"/>
  <c r="M789" i="2" s="1"/>
  <c r="I790" i="2"/>
  <c r="S790" i="2" l="1"/>
  <c r="Q791" i="2"/>
  <c r="T665" i="2"/>
  <c r="R666" i="2"/>
  <c r="N790" i="2"/>
  <c r="J790" i="2"/>
  <c r="K789" i="2" s="1"/>
  <c r="L789" i="2" s="1"/>
  <c r="M790" i="2" s="1"/>
  <c r="I791" i="2"/>
  <c r="S791" i="2" l="1"/>
  <c r="Q792" i="2"/>
  <c r="R667" i="2"/>
  <c r="T666" i="2"/>
  <c r="I792" i="2"/>
  <c r="N791" i="2"/>
  <c r="J791" i="2"/>
  <c r="K790" i="2" s="1"/>
  <c r="L790" i="2" s="1"/>
  <c r="M791" i="2" s="1"/>
  <c r="S792" i="2" l="1"/>
  <c r="Q793" i="2"/>
  <c r="T667" i="2"/>
  <c r="R668" i="2"/>
  <c r="I793" i="2"/>
  <c r="N792" i="2"/>
  <c r="J792" i="2"/>
  <c r="K791" i="2" s="1"/>
  <c r="L791" i="2" s="1"/>
  <c r="M792" i="2" s="1"/>
  <c r="S793" i="2" l="1"/>
  <c r="Q794" i="2"/>
  <c r="R669" i="2"/>
  <c r="T668" i="2"/>
  <c r="N793" i="2"/>
  <c r="J793" i="2"/>
  <c r="K792" i="2" s="1"/>
  <c r="L792" i="2" s="1"/>
  <c r="M793" i="2" s="1"/>
  <c r="I794" i="2"/>
  <c r="S794" i="2" l="1"/>
  <c r="Q795" i="2"/>
  <c r="T669" i="2"/>
  <c r="R670" i="2"/>
  <c r="N794" i="2"/>
  <c r="J794" i="2"/>
  <c r="K793" i="2" s="1"/>
  <c r="L793" i="2" s="1"/>
  <c r="M794" i="2" s="1"/>
  <c r="I795" i="2"/>
  <c r="S795" i="2" l="1"/>
  <c r="Q796" i="2"/>
  <c r="R671" i="2"/>
  <c r="T670" i="2"/>
  <c r="I796" i="2"/>
  <c r="N795" i="2"/>
  <c r="J795" i="2"/>
  <c r="K794" i="2" s="1"/>
  <c r="L794" i="2" s="1"/>
  <c r="M795" i="2" s="1"/>
  <c r="S796" i="2" l="1"/>
  <c r="Q797" i="2"/>
  <c r="T671" i="2"/>
  <c r="R672" i="2"/>
  <c r="N796" i="2"/>
  <c r="J796" i="2"/>
  <c r="K795" i="2" s="1"/>
  <c r="L795" i="2" s="1"/>
  <c r="M796" i="2" s="1"/>
  <c r="I797" i="2"/>
  <c r="S797" i="2" l="1"/>
  <c r="Q798" i="2"/>
  <c r="T672" i="2"/>
  <c r="R673" i="2"/>
  <c r="N797" i="2"/>
  <c r="J797" i="2"/>
  <c r="K796" i="2" s="1"/>
  <c r="L796" i="2" s="1"/>
  <c r="M797" i="2" s="1"/>
  <c r="I798" i="2"/>
  <c r="S798" i="2" l="1"/>
  <c r="Q799" i="2"/>
  <c r="T673" i="2"/>
  <c r="R674" i="2"/>
  <c r="I799" i="2"/>
  <c r="J798" i="2"/>
  <c r="K797" i="2" s="1"/>
  <c r="L797" i="2" s="1"/>
  <c r="M798" i="2" s="1"/>
  <c r="N798" i="2"/>
  <c r="S799" i="2" l="1"/>
  <c r="Q800" i="2"/>
  <c r="T674" i="2"/>
  <c r="R675" i="2"/>
  <c r="I800" i="2"/>
  <c r="J799" i="2"/>
  <c r="K798" i="2" s="1"/>
  <c r="L798" i="2" s="1"/>
  <c r="M799" i="2" s="1"/>
  <c r="N799" i="2"/>
  <c r="S800" i="2" l="1"/>
  <c r="Q801" i="2"/>
  <c r="T675" i="2"/>
  <c r="R676" i="2"/>
  <c r="N800" i="2"/>
  <c r="J800" i="2"/>
  <c r="K799" i="2" s="1"/>
  <c r="L799" i="2" s="1"/>
  <c r="M800" i="2" s="1"/>
  <c r="I801" i="2"/>
  <c r="S801" i="2" l="1"/>
  <c r="Q802" i="2"/>
  <c r="T676" i="2"/>
  <c r="R677" i="2"/>
  <c r="N801" i="2"/>
  <c r="J801" i="2"/>
  <c r="K800" i="2" s="1"/>
  <c r="L800" i="2" s="1"/>
  <c r="M801" i="2" s="1"/>
  <c r="I802" i="2"/>
  <c r="S802" i="2" l="1"/>
  <c r="Q803" i="2"/>
  <c r="T677" i="2"/>
  <c r="R678" i="2"/>
  <c r="I803" i="2"/>
  <c r="N802" i="2"/>
  <c r="J802" i="2"/>
  <c r="K801" i="2" s="1"/>
  <c r="L801" i="2" s="1"/>
  <c r="M802" i="2" s="1"/>
  <c r="S803" i="2" l="1"/>
  <c r="Q804" i="2"/>
  <c r="R679" i="2"/>
  <c r="T678" i="2"/>
  <c r="I804" i="2"/>
  <c r="N803" i="2"/>
  <c r="J803" i="2"/>
  <c r="K802" i="2" s="1"/>
  <c r="L802" i="2" s="1"/>
  <c r="M803" i="2" s="1"/>
  <c r="S804" i="2" l="1"/>
  <c r="Q805" i="2"/>
  <c r="R680" i="2"/>
  <c r="T679" i="2"/>
  <c r="N804" i="2"/>
  <c r="J804" i="2"/>
  <c r="K803" i="2" s="1"/>
  <c r="L803" i="2" s="1"/>
  <c r="M804" i="2" s="1"/>
  <c r="I805" i="2"/>
  <c r="S805" i="2" l="1"/>
  <c r="Q806" i="2"/>
  <c r="T680" i="2"/>
  <c r="R681" i="2"/>
  <c r="N805" i="2"/>
  <c r="J805" i="2"/>
  <c r="K804" i="2" s="1"/>
  <c r="L804" i="2" s="1"/>
  <c r="M805" i="2" s="1"/>
  <c r="I806" i="2"/>
  <c r="S806" i="2" l="1"/>
  <c r="Q807" i="2"/>
  <c r="R682" i="2"/>
  <c r="T681" i="2"/>
  <c r="I807" i="2"/>
  <c r="N806" i="2"/>
  <c r="J806" i="2"/>
  <c r="K805" i="2" s="1"/>
  <c r="L805" i="2" s="1"/>
  <c r="M806" i="2" s="1"/>
  <c r="S807" i="2" l="1"/>
  <c r="Q808" i="2"/>
  <c r="R683" i="2"/>
  <c r="T682" i="2"/>
  <c r="I808" i="2"/>
  <c r="N807" i="2"/>
  <c r="J807" i="2"/>
  <c r="K806" i="2" s="1"/>
  <c r="L806" i="2" s="1"/>
  <c r="M807" i="2" s="1"/>
  <c r="S808" i="2" l="1"/>
  <c r="Q809" i="2"/>
  <c r="T683" i="2"/>
  <c r="R684" i="2"/>
  <c r="N808" i="2"/>
  <c r="J808" i="2"/>
  <c r="K807" i="2" s="1"/>
  <c r="L807" i="2" s="1"/>
  <c r="M808" i="2" s="1"/>
  <c r="I809" i="2"/>
  <c r="S809" i="2" l="1"/>
  <c r="Q810" i="2"/>
  <c r="T684" i="2"/>
  <c r="R685" i="2"/>
  <c r="I810" i="2"/>
  <c r="N809" i="2"/>
  <c r="J809" i="2"/>
  <c r="K808" i="2" s="1"/>
  <c r="L808" i="2" s="1"/>
  <c r="M809" i="2" s="1"/>
  <c r="S810" i="2" l="1"/>
  <c r="Q811" i="2"/>
  <c r="T685" i="2"/>
  <c r="R686" i="2"/>
  <c r="I811" i="2"/>
  <c r="N810" i="2"/>
  <c r="J810" i="2"/>
  <c r="K809" i="2" s="1"/>
  <c r="L809" i="2" s="1"/>
  <c r="M810" i="2" s="1"/>
  <c r="S811" i="2" l="1"/>
  <c r="Q812" i="2"/>
  <c r="R687" i="2"/>
  <c r="T686" i="2"/>
  <c r="N811" i="2"/>
  <c r="J811" i="2"/>
  <c r="K810" i="2" s="1"/>
  <c r="L810" i="2" s="1"/>
  <c r="M811" i="2" s="1"/>
  <c r="I812" i="2"/>
  <c r="S812" i="2" l="1"/>
  <c r="Q813" i="2"/>
  <c r="R688" i="2"/>
  <c r="T687" i="2"/>
  <c r="N812" i="2"/>
  <c r="J812" i="2"/>
  <c r="K811" i="2" s="1"/>
  <c r="L811" i="2" s="1"/>
  <c r="M812" i="2" s="1"/>
  <c r="I813" i="2"/>
  <c r="S813" i="2" l="1"/>
  <c r="Q814" i="2"/>
  <c r="R689" i="2"/>
  <c r="T688" i="2"/>
  <c r="I814" i="2"/>
  <c r="N813" i="2"/>
  <c r="J813" i="2"/>
  <c r="K812" i="2" s="1"/>
  <c r="L812" i="2" s="1"/>
  <c r="M813" i="2" s="1"/>
  <c r="S814" i="2" l="1"/>
  <c r="Q815" i="2"/>
  <c r="T689" i="2"/>
  <c r="R690" i="2"/>
  <c r="I815" i="2"/>
  <c r="N814" i="2"/>
  <c r="J814" i="2"/>
  <c r="K813" i="2" s="1"/>
  <c r="L813" i="2" s="1"/>
  <c r="M814" i="2" s="1"/>
  <c r="S815" i="2" l="1"/>
  <c r="Q816" i="2"/>
  <c r="R691" i="2"/>
  <c r="T690" i="2"/>
  <c r="N815" i="2"/>
  <c r="J815" i="2"/>
  <c r="K814" i="2" s="1"/>
  <c r="L814" i="2" s="1"/>
  <c r="M815" i="2" s="1"/>
  <c r="I816" i="2"/>
  <c r="S816" i="2" l="1"/>
  <c r="Q817" i="2"/>
  <c r="T691" i="2"/>
  <c r="R692" i="2"/>
  <c r="N816" i="2"/>
  <c r="J816" i="2"/>
  <c r="K815" i="2" s="1"/>
  <c r="L815" i="2" s="1"/>
  <c r="M816" i="2" s="1"/>
  <c r="I817" i="2"/>
  <c r="S817" i="2" l="1"/>
  <c r="Q818" i="2"/>
  <c r="R693" i="2"/>
  <c r="T692" i="2"/>
  <c r="I818" i="2"/>
  <c r="N817" i="2"/>
  <c r="J817" i="2"/>
  <c r="K816" i="2" s="1"/>
  <c r="L816" i="2" s="1"/>
  <c r="M817" i="2" s="1"/>
  <c r="S818" i="2" l="1"/>
  <c r="Q819" i="2"/>
  <c r="R694" i="2"/>
  <c r="T693" i="2"/>
  <c r="I819" i="2"/>
  <c r="N818" i="2"/>
  <c r="J818" i="2"/>
  <c r="K817" i="2" s="1"/>
  <c r="L817" i="2" s="1"/>
  <c r="M818" i="2" s="1"/>
  <c r="S819" i="2" l="1"/>
  <c r="Q820" i="2"/>
  <c r="T694" i="2"/>
  <c r="R695" i="2"/>
  <c r="N819" i="2"/>
  <c r="J819" i="2"/>
  <c r="K818" i="2" s="1"/>
  <c r="L818" i="2" s="1"/>
  <c r="M819" i="2" s="1"/>
  <c r="I820" i="2"/>
  <c r="S820" i="2" l="1"/>
  <c r="Q821" i="2"/>
  <c r="T695" i="2"/>
  <c r="R696" i="2"/>
  <c r="I821" i="2"/>
  <c r="N820" i="2"/>
  <c r="J820" i="2"/>
  <c r="K819" i="2" s="1"/>
  <c r="L819" i="2" s="1"/>
  <c r="M820" i="2" s="1"/>
  <c r="S821" i="2" l="1"/>
  <c r="Q822" i="2"/>
  <c r="T696" i="2"/>
  <c r="R697" i="2"/>
  <c r="I822" i="2"/>
  <c r="N821" i="2"/>
  <c r="J821" i="2"/>
  <c r="K820" i="2" s="1"/>
  <c r="L820" i="2" s="1"/>
  <c r="M821" i="2" s="1"/>
  <c r="S822" i="2" l="1"/>
  <c r="Q823" i="2"/>
  <c r="R698" i="2"/>
  <c r="T697" i="2"/>
  <c r="N822" i="2"/>
  <c r="J822" i="2"/>
  <c r="K821" i="2" s="1"/>
  <c r="L821" i="2" s="1"/>
  <c r="M822" i="2" s="1"/>
  <c r="I823" i="2"/>
  <c r="S823" i="2" l="1"/>
  <c r="Q824" i="2"/>
  <c r="R699" i="2"/>
  <c r="T698" i="2"/>
  <c r="N823" i="2"/>
  <c r="J823" i="2"/>
  <c r="K822" i="2" s="1"/>
  <c r="L822" i="2" s="1"/>
  <c r="M823" i="2" s="1"/>
  <c r="I824" i="2"/>
  <c r="S824" i="2" l="1"/>
  <c r="Q825" i="2"/>
  <c r="T699" i="2"/>
  <c r="R700" i="2"/>
  <c r="I825" i="2"/>
  <c r="N824" i="2"/>
  <c r="J824" i="2"/>
  <c r="K823" i="2" s="1"/>
  <c r="L823" i="2" s="1"/>
  <c r="M824" i="2" s="1"/>
  <c r="S825" i="2" l="1"/>
  <c r="Q826" i="2"/>
  <c r="R701" i="2"/>
  <c r="T700" i="2"/>
  <c r="I826" i="2"/>
  <c r="N825" i="2"/>
  <c r="J825" i="2"/>
  <c r="K824" i="2" s="1"/>
  <c r="L824" i="2" s="1"/>
  <c r="M825" i="2" s="1"/>
  <c r="S826" i="2" l="1"/>
  <c r="Q827" i="2"/>
  <c r="R702" i="2"/>
  <c r="T701" i="2"/>
  <c r="N826" i="2"/>
  <c r="J826" i="2"/>
  <c r="K825" i="2" s="1"/>
  <c r="L825" i="2" s="1"/>
  <c r="M826" i="2" s="1"/>
  <c r="I827" i="2"/>
  <c r="S827" i="2" l="1"/>
  <c r="Q828" i="2"/>
  <c r="R703" i="2"/>
  <c r="T702" i="2"/>
  <c r="N827" i="2"/>
  <c r="J827" i="2"/>
  <c r="K826" i="2" s="1"/>
  <c r="L826" i="2" s="1"/>
  <c r="M827" i="2" s="1"/>
  <c r="I828" i="2"/>
  <c r="S828" i="2" l="1"/>
  <c r="Q829" i="2"/>
  <c r="R704" i="2"/>
  <c r="T703" i="2"/>
  <c r="I829" i="2"/>
  <c r="N828" i="2"/>
  <c r="J828" i="2"/>
  <c r="K827" i="2" s="1"/>
  <c r="L827" i="2" s="1"/>
  <c r="M828" i="2" s="1"/>
  <c r="S829" i="2" l="1"/>
  <c r="Q830" i="2"/>
  <c r="R705" i="2"/>
  <c r="T704" i="2"/>
  <c r="I830" i="2"/>
  <c r="N829" i="2"/>
  <c r="J829" i="2"/>
  <c r="K828" i="2" s="1"/>
  <c r="L828" i="2" s="1"/>
  <c r="M829" i="2" s="1"/>
  <c r="S830" i="2" l="1"/>
  <c r="Q831" i="2"/>
  <c r="R706" i="2"/>
  <c r="T705" i="2"/>
  <c r="N830" i="2"/>
  <c r="J830" i="2"/>
  <c r="K829" i="2" s="1"/>
  <c r="L829" i="2" s="1"/>
  <c r="M830" i="2" s="1"/>
  <c r="I831" i="2"/>
  <c r="S831" i="2" l="1"/>
  <c r="Q832" i="2"/>
  <c r="T706" i="2"/>
  <c r="R707" i="2"/>
  <c r="I832" i="2"/>
  <c r="N831" i="2"/>
  <c r="J831" i="2"/>
  <c r="K830" i="2" s="1"/>
  <c r="L830" i="2" s="1"/>
  <c r="M831" i="2" s="1"/>
  <c r="S832" i="2" l="1"/>
  <c r="Q833" i="2"/>
  <c r="T707" i="2"/>
  <c r="R708" i="2"/>
  <c r="I833" i="2"/>
  <c r="N832" i="2"/>
  <c r="J832" i="2"/>
  <c r="K831" i="2" s="1"/>
  <c r="L831" i="2" s="1"/>
  <c r="M832" i="2" s="1"/>
  <c r="S833" i="2" l="1"/>
  <c r="Q834" i="2"/>
  <c r="R709" i="2"/>
  <c r="T708" i="2"/>
  <c r="N833" i="2"/>
  <c r="J833" i="2"/>
  <c r="K832" i="2" s="1"/>
  <c r="L832" i="2" s="1"/>
  <c r="M833" i="2" s="1"/>
  <c r="I834" i="2"/>
  <c r="S834" i="2" l="1"/>
  <c r="Q835" i="2"/>
  <c r="R710" i="2"/>
  <c r="T709" i="2"/>
  <c r="N834" i="2"/>
  <c r="J834" i="2"/>
  <c r="K833" i="2" s="1"/>
  <c r="L833" i="2" s="1"/>
  <c r="M834" i="2" s="1"/>
  <c r="I835" i="2"/>
  <c r="S835" i="2" l="1"/>
  <c r="Q836" i="2"/>
  <c r="T710" i="2"/>
  <c r="R711" i="2"/>
  <c r="I836" i="2"/>
  <c r="N835" i="2"/>
  <c r="J835" i="2"/>
  <c r="K834" i="2" s="1"/>
  <c r="L834" i="2" s="1"/>
  <c r="M835" i="2" s="1"/>
  <c r="S836" i="2" l="1"/>
  <c r="Q837" i="2"/>
  <c r="R712" i="2"/>
  <c r="T711" i="2"/>
  <c r="I837" i="2"/>
  <c r="J836" i="2"/>
  <c r="K835" i="2" s="1"/>
  <c r="L835" i="2" s="1"/>
  <c r="M836" i="2" s="1"/>
  <c r="N836" i="2"/>
  <c r="S837" i="2" l="1"/>
  <c r="Q838" i="2"/>
  <c r="T712" i="2"/>
  <c r="R713" i="2"/>
  <c r="N837" i="2"/>
  <c r="J837" i="2"/>
  <c r="K836" i="2" s="1"/>
  <c r="L836" i="2" s="1"/>
  <c r="M837" i="2" s="1"/>
  <c r="I838" i="2"/>
  <c r="S838" i="2" l="1"/>
  <c r="Q839" i="2"/>
  <c r="T713" i="2"/>
  <c r="R714" i="2"/>
  <c r="N838" i="2"/>
  <c r="J838" i="2"/>
  <c r="K837" i="2" s="1"/>
  <c r="L837" i="2" s="1"/>
  <c r="M838" i="2" s="1"/>
  <c r="I839" i="2"/>
  <c r="S839" i="2" l="1"/>
  <c r="Q840" i="2"/>
  <c r="T714" i="2"/>
  <c r="R715" i="2"/>
  <c r="I840" i="2"/>
  <c r="N839" i="2"/>
  <c r="J839" i="2"/>
  <c r="K838" i="2" s="1"/>
  <c r="L838" i="2" s="1"/>
  <c r="M839" i="2" s="1"/>
  <c r="S840" i="2" l="1"/>
  <c r="Q841" i="2"/>
  <c r="T715" i="2"/>
  <c r="R716" i="2"/>
  <c r="I841" i="2"/>
  <c r="N840" i="2"/>
  <c r="J840" i="2"/>
  <c r="K839" i="2" s="1"/>
  <c r="L839" i="2" s="1"/>
  <c r="M840" i="2" s="1"/>
  <c r="S841" i="2" l="1"/>
  <c r="Q842" i="2"/>
  <c r="R717" i="2"/>
  <c r="T716" i="2"/>
  <c r="N841" i="2"/>
  <c r="J841" i="2"/>
  <c r="K840" i="2" s="1"/>
  <c r="L840" i="2" s="1"/>
  <c r="M841" i="2" s="1"/>
  <c r="I842" i="2"/>
  <c r="S842" i="2" l="1"/>
  <c r="Q843" i="2"/>
  <c r="T717" i="2"/>
  <c r="R718" i="2"/>
  <c r="N842" i="2"/>
  <c r="J842" i="2"/>
  <c r="K841" i="2" s="1"/>
  <c r="L841" i="2" s="1"/>
  <c r="M842" i="2" s="1"/>
  <c r="I843" i="2"/>
  <c r="S843" i="2" l="1"/>
  <c r="Q844" i="2"/>
  <c r="T718" i="2"/>
  <c r="R719" i="2"/>
  <c r="I844" i="2"/>
  <c r="N843" i="2"/>
  <c r="J843" i="2"/>
  <c r="K842" i="2" s="1"/>
  <c r="L842" i="2" s="1"/>
  <c r="M843" i="2" s="1"/>
  <c r="S844" i="2" l="1"/>
  <c r="Q845" i="2"/>
  <c r="T719" i="2"/>
  <c r="R720" i="2"/>
  <c r="N844" i="2"/>
  <c r="J844" i="2"/>
  <c r="K843" i="2" s="1"/>
  <c r="L843" i="2" s="1"/>
  <c r="M844" i="2" s="1"/>
  <c r="I845" i="2"/>
  <c r="S845" i="2" l="1"/>
  <c r="Q846" i="2"/>
  <c r="R721" i="2"/>
  <c r="T720" i="2"/>
  <c r="N845" i="2"/>
  <c r="J845" i="2"/>
  <c r="K844" i="2" s="1"/>
  <c r="L844" i="2" s="1"/>
  <c r="M845" i="2" s="1"/>
  <c r="I846" i="2"/>
  <c r="S846" i="2" l="1"/>
  <c r="Q847" i="2"/>
  <c r="T721" i="2"/>
  <c r="R722" i="2"/>
  <c r="I847" i="2"/>
  <c r="N846" i="2"/>
  <c r="J846" i="2"/>
  <c r="K845" i="2" s="1"/>
  <c r="L845" i="2" s="1"/>
  <c r="M846" i="2" s="1"/>
  <c r="S847" i="2" l="1"/>
  <c r="Q848" i="2"/>
  <c r="R723" i="2"/>
  <c r="T722" i="2"/>
  <c r="I848" i="2"/>
  <c r="N847" i="2"/>
  <c r="J847" i="2"/>
  <c r="K846" i="2" s="1"/>
  <c r="L846" i="2" s="1"/>
  <c r="M847" i="2" s="1"/>
  <c r="S848" i="2" l="1"/>
  <c r="Q849" i="2"/>
  <c r="T723" i="2"/>
  <c r="R724" i="2"/>
  <c r="N848" i="2"/>
  <c r="J848" i="2"/>
  <c r="K847" i="2" s="1"/>
  <c r="L847" i="2" s="1"/>
  <c r="M848" i="2" s="1"/>
  <c r="I849" i="2"/>
  <c r="S849" i="2" l="1"/>
  <c r="Q850" i="2"/>
  <c r="R725" i="2"/>
  <c r="T724" i="2"/>
  <c r="N849" i="2"/>
  <c r="J849" i="2"/>
  <c r="K848" i="2" s="1"/>
  <c r="L848" i="2" s="1"/>
  <c r="M849" i="2" s="1"/>
  <c r="I850" i="2"/>
  <c r="S850" i="2" l="1"/>
  <c r="Q851" i="2"/>
  <c r="T725" i="2"/>
  <c r="R726" i="2"/>
  <c r="I851" i="2"/>
  <c r="N850" i="2"/>
  <c r="J850" i="2"/>
  <c r="K849" i="2" s="1"/>
  <c r="L849" i="2" s="1"/>
  <c r="M850" i="2" s="1"/>
  <c r="S851" i="2" l="1"/>
  <c r="Q852" i="2"/>
  <c r="R727" i="2"/>
  <c r="T726" i="2"/>
  <c r="I852" i="2"/>
  <c r="N851" i="2"/>
  <c r="J851" i="2"/>
  <c r="K850" i="2" s="1"/>
  <c r="L850" i="2" s="1"/>
  <c r="M851" i="2" s="1"/>
  <c r="S852" i="2" l="1"/>
  <c r="Q853" i="2"/>
  <c r="T727" i="2"/>
  <c r="R728" i="2"/>
  <c r="I853" i="2"/>
  <c r="N852" i="2"/>
  <c r="J852" i="2"/>
  <c r="K851" i="2" s="1"/>
  <c r="L851" i="2" s="1"/>
  <c r="M852" i="2" s="1"/>
  <c r="S853" i="2" l="1"/>
  <c r="Q854" i="2"/>
  <c r="R729" i="2"/>
  <c r="T728" i="2"/>
  <c r="N853" i="2"/>
  <c r="J853" i="2"/>
  <c r="K852" i="2" s="1"/>
  <c r="L852" i="2" s="1"/>
  <c r="M853" i="2" s="1"/>
  <c r="I854" i="2"/>
  <c r="S854" i="2" l="1"/>
  <c r="Q855" i="2"/>
  <c r="R730" i="2"/>
  <c r="T729" i="2"/>
  <c r="N854" i="2"/>
  <c r="J854" i="2"/>
  <c r="K853" i="2" s="1"/>
  <c r="L853" i="2" s="1"/>
  <c r="M854" i="2" s="1"/>
  <c r="I855" i="2"/>
  <c r="S855" i="2" l="1"/>
  <c r="Q856" i="2"/>
  <c r="R731" i="2"/>
  <c r="T730" i="2"/>
  <c r="I856" i="2"/>
  <c r="J855" i="2"/>
  <c r="K854" i="2" s="1"/>
  <c r="L854" i="2" s="1"/>
  <c r="M855" i="2" s="1"/>
  <c r="N855" i="2"/>
  <c r="S856" i="2" l="1"/>
  <c r="Q857" i="2"/>
  <c r="T731" i="2"/>
  <c r="R732" i="2"/>
  <c r="N856" i="2"/>
  <c r="J856" i="2"/>
  <c r="K855" i="2" s="1"/>
  <c r="L855" i="2" s="1"/>
  <c r="M856" i="2" s="1"/>
  <c r="I857" i="2"/>
  <c r="S857" i="2" l="1"/>
  <c r="Q858" i="2"/>
  <c r="T732" i="2"/>
  <c r="R733" i="2"/>
  <c r="N857" i="2"/>
  <c r="J857" i="2"/>
  <c r="K856" i="2" s="1"/>
  <c r="L856" i="2" s="1"/>
  <c r="M857" i="2" s="1"/>
  <c r="I858" i="2"/>
  <c r="S858" i="2" l="1"/>
  <c r="Q859" i="2"/>
  <c r="R734" i="2"/>
  <c r="T733" i="2"/>
  <c r="I859" i="2"/>
  <c r="N858" i="2"/>
  <c r="J858" i="2"/>
  <c r="K857" i="2" s="1"/>
  <c r="L857" i="2" s="1"/>
  <c r="M858" i="2" s="1"/>
  <c r="S859" i="2" l="1"/>
  <c r="Q860" i="2"/>
  <c r="T734" i="2"/>
  <c r="R735" i="2"/>
  <c r="I860" i="2"/>
  <c r="N859" i="2"/>
  <c r="J859" i="2"/>
  <c r="K858" i="2" s="1"/>
  <c r="L858" i="2" s="1"/>
  <c r="M859" i="2" s="1"/>
  <c r="S860" i="2" l="1"/>
  <c r="Q861" i="2"/>
  <c r="T735" i="2"/>
  <c r="R736" i="2"/>
  <c r="N860" i="2"/>
  <c r="J860" i="2"/>
  <c r="K859" i="2" s="1"/>
  <c r="L859" i="2" s="1"/>
  <c r="M860" i="2" s="1"/>
  <c r="I861" i="2"/>
  <c r="S861" i="2" l="1"/>
  <c r="Q862" i="2"/>
  <c r="T736" i="2"/>
  <c r="R737" i="2"/>
  <c r="N861" i="2"/>
  <c r="J861" i="2"/>
  <c r="K860" i="2" s="1"/>
  <c r="L860" i="2" s="1"/>
  <c r="M861" i="2" s="1"/>
  <c r="I862" i="2"/>
  <c r="S862" i="2" l="1"/>
  <c r="Q863" i="2"/>
  <c r="R738" i="2"/>
  <c r="T737" i="2"/>
  <c r="I863" i="2"/>
  <c r="J862" i="2"/>
  <c r="K861" i="2" s="1"/>
  <c r="L861" i="2" s="1"/>
  <c r="M862" i="2" s="1"/>
  <c r="N862" i="2"/>
  <c r="S863" i="2" l="1"/>
  <c r="Q864" i="2"/>
  <c r="T738" i="2"/>
  <c r="R739" i="2"/>
  <c r="I864" i="2"/>
  <c r="J863" i="2"/>
  <c r="K862" i="2" s="1"/>
  <c r="L862" i="2" s="1"/>
  <c r="M863" i="2" s="1"/>
  <c r="N863" i="2"/>
  <c r="S864" i="2" l="1"/>
  <c r="Q865" i="2"/>
  <c r="R740" i="2"/>
  <c r="T739" i="2"/>
  <c r="N864" i="2"/>
  <c r="J864" i="2"/>
  <c r="K863" i="2" s="1"/>
  <c r="L863" i="2" s="1"/>
  <c r="M864" i="2" s="1"/>
  <c r="I865" i="2"/>
  <c r="S865" i="2" l="1"/>
  <c r="Q866" i="2"/>
  <c r="T740" i="2"/>
  <c r="R741" i="2"/>
  <c r="N865" i="2"/>
  <c r="J865" i="2"/>
  <c r="K864" i="2" s="1"/>
  <c r="L864" i="2" s="1"/>
  <c r="M865" i="2" s="1"/>
  <c r="I866" i="2"/>
  <c r="S866" i="2" l="1"/>
  <c r="Q867" i="2"/>
  <c r="T741" i="2"/>
  <c r="R742" i="2"/>
  <c r="I867" i="2"/>
  <c r="N866" i="2"/>
  <c r="J866" i="2"/>
  <c r="K865" i="2" s="1"/>
  <c r="L865" i="2" s="1"/>
  <c r="M866" i="2" s="1"/>
  <c r="S867" i="2" l="1"/>
  <c r="Q868" i="2"/>
  <c r="R743" i="2"/>
  <c r="T742" i="2"/>
  <c r="N867" i="2"/>
  <c r="I868" i="2"/>
  <c r="J867" i="2"/>
  <c r="K866" i="2" s="1"/>
  <c r="L866" i="2" s="1"/>
  <c r="M867" i="2" s="1"/>
  <c r="S868" i="2" l="1"/>
  <c r="Q869" i="2"/>
  <c r="R744" i="2"/>
  <c r="T743" i="2"/>
  <c r="N868" i="2"/>
  <c r="J868" i="2"/>
  <c r="K867" i="2" s="1"/>
  <c r="L867" i="2" s="1"/>
  <c r="M868" i="2" s="1"/>
  <c r="I869" i="2"/>
  <c r="S869" i="2" l="1"/>
  <c r="Q870" i="2"/>
  <c r="R745" i="2"/>
  <c r="T744" i="2"/>
  <c r="J869" i="2"/>
  <c r="K868" i="2" s="1"/>
  <c r="L868" i="2" s="1"/>
  <c r="M869" i="2" s="1"/>
  <c r="N869" i="2"/>
  <c r="I870" i="2"/>
  <c r="S870" i="2" l="1"/>
  <c r="Q871" i="2"/>
  <c r="R746" i="2"/>
  <c r="T745" i="2"/>
  <c r="I871" i="2"/>
  <c r="N870" i="2"/>
  <c r="J870" i="2"/>
  <c r="K869" i="2" s="1"/>
  <c r="L869" i="2" s="1"/>
  <c r="M870" i="2" s="1"/>
  <c r="S871" i="2" l="1"/>
  <c r="Q872" i="2"/>
  <c r="R747" i="2"/>
  <c r="T746" i="2"/>
  <c r="I872" i="2"/>
  <c r="N871" i="2"/>
  <c r="J871" i="2"/>
  <c r="K870" i="2" s="1"/>
  <c r="L870" i="2" s="1"/>
  <c r="M871" i="2" s="1"/>
  <c r="S872" i="2" l="1"/>
  <c r="Q873" i="2"/>
  <c r="T747" i="2"/>
  <c r="R748" i="2"/>
  <c r="N872" i="2"/>
  <c r="J872" i="2"/>
  <c r="K871" i="2" s="1"/>
  <c r="L871" i="2" s="1"/>
  <c r="M872" i="2" s="1"/>
  <c r="I873" i="2"/>
  <c r="S873" i="2" l="1"/>
  <c r="Q874" i="2"/>
  <c r="R749" i="2"/>
  <c r="T748" i="2"/>
  <c r="J873" i="2"/>
  <c r="K872" i="2" s="1"/>
  <c r="L872" i="2" s="1"/>
  <c r="M873" i="2" s="1"/>
  <c r="N873" i="2"/>
  <c r="I874" i="2"/>
  <c r="S874" i="2" l="1"/>
  <c r="Q875" i="2"/>
  <c r="R750" i="2"/>
  <c r="T749" i="2"/>
  <c r="I875" i="2"/>
  <c r="J874" i="2"/>
  <c r="K873" i="2" s="1"/>
  <c r="L873" i="2" s="1"/>
  <c r="M874" i="2" s="1"/>
  <c r="N874" i="2"/>
  <c r="S875" i="2" l="1"/>
  <c r="Q876" i="2"/>
  <c r="R751" i="2"/>
  <c r="T750" i="2"/>
  <c r="I876" i="2"/>
  <c r="N875" i="2"/>
  <c r="J875" i="2"/>
  <c r="K874" i="2" s="1"/>
  <c r="L874" i="2" s="1"/>
  <c r="M875" i="2" s="1"/>
  <c r="S876" i="2" l="1"/>
  <c r="Q877" i="2"/>
  <c r="T751" i="2"/>
  <c r="R752" i="2"/>
  <c r="N876" i="2"/>
  <c r="J876" i="2"/>
  <c r="K875" i="2" s="1"/>
  <c r="L875" i="2" s="1"/>
  <c r="M876" i="2" s="1"/>
  <c r="I877" i="2"/>
  <c r="S877" i="2" l="1"/>
  <c r="Q878" i="2"/>
  <c r="R753" i="2"/>
  <c r="T752" i="2"/>
  <c r="I878" i="2"/>
  <c r="N877" i="2"/>
  <c r="J877" i="2"/>
  <c r="K876" i="2" s="1"/>
  <c r="L876" i="2" s="1"/>
  <c r="M877" i="2" s="1"/>
  <c r="S878" i="2" l="1"/>
  <c r="Q879" i="2"/>
  <c r="T753" i="2"/>
  <c r="R754" i="2"/>
  <c r="I879" i="2"/>
  <c r="N878" i="2"/>
  <c r="J878" i="2"/>
  <c r="K877" i="2" s="1"/>
  <c r="L877" i="2" s="1"/>
  <c r="M878" i="2" s="1"/>
  <c r="S879" i="2" l="1"/>
  <c r="Q880" i="2"/>
  <c r="R755" i="2"/>
  <c r="T754" i="2"/>
  <c r="N879" i="2"/>
  <c r="J879" i="2"/>
  <c r="K878" i="2" s="1"/>
  <c r="L878" i="2" s="1"/>
  <c r="M879" i="2" s="1"/>
  <c r="I880" i="2"/>
  <c r="S880" i="2" l="1"/>
  <c r="Q881" i="2"/>
  <c r="T755" i="2"/>
  <c r="R756" i="2"/>
  <c r="J880" i="2"/>
  <c r="K879" i="2" s="1"/>
  <c r="L879" i="2" s="1"/>
  <c r="M880" i="2" s="1"/>
  <c r="I881" i="2"/>
  <c r="N880" i="2"/>
  <c r="S881" i="2" l="1"/>
  <c r="Q882" i="2"/>
  <c r="T756" i="2"/>
  <c r="R757" i="2"/>
  <c r="I882" i="2"/>
  <c r="J881" i="2"/>
  <c r="K880" i="2" s="1"/>
  <c r="L880" i="2" s="1"/>
  <c r="M881" i="2" s="1"/>
  <c r="N881" i="2"/>
  <c r="S882" i="2" l="1"/>
  <c r="Q883" i="2"/>
  <c r="T757" i="2"/>
  <c r="R758" i="2"/>
  <c r="I883" i="2"/>
  <c r="J882" i="2"/>
  <c r="K881" i="2" s="1"/>
  <c r="L881" i="2" s="1"/>
  <c r="M882" i="2" s="1"/>
  <c r="N882" i="2"/>
  <c r="S883" i="2" l="1"/>
  <c r="Q884" i="2"/>
  <c r="T758" i="2"/>
  <c r="R759" i="2"/>
  <c r="N883" i="2"/>
  <c r="J883" i="2"/>
  <c r="K882" i="2" s="1"/>
  <c r="L882" i="2" s="1"/>
  <c r="M883" i="2" s="1"/>
  <c r="I884" i="2"/>
  <c r="S884" i="2" l="1"/>
  <c r="Q885" i="2"/>
  <c r="T759" i="2"/>
  <c r="R760" i="2"/>
  <c r="I885" i="2"/>
  <c r="N884" i="2"/>
  <c r="J884" i="2"/>
  <c r="K883" i="2" s="1"/>
  <c r="L883" i="2" s="1"/>
  <c r="M884" i="2" s="1"/>
  <c r="S885" i="2" l="1"/>
  <c r="Q886" i="2"/>
  <c r="R761" i="2"/>
  <c r="T760" i="2"/>
  <c r="I886" i="2"/>
  <c r="N885" i="2"/>
  <c r="J885" i="2"/>
  <c r="K884" i="2" s="1"/>
  <c r="L884" i="2" s="1"/>
  <c r="M885" i="2" s="1"/>
  <c r="S886" i="2" l="1"/>
  <c r="Q887" i="2"/>
  <c r="T761" i="2"/>
  <c r="R762" i="2"/>
  <c r="J886" i="2"/>
  <c r="K885" i="2" s="1"/>
  <c r="L885" i="2" s="1"/>
  <c r="M886" i="2" s="1"/>
  <c r="N886" i="2"/>
  <c r="I887" i="2"/>
  <c r="S887" i="2" l="1"/>
  <c r="Q888" i="2"/>
  <c r="R763" i="2"/>
  <c r="T762" i="2"/>
  <c r="N887" i="2"/>
  <c r="J887" i="2"/>
  <c r="K886" i="2" s="1"/>
  <c r="L886" i="2" s="1"/>
  <c r="M887" i="2" s="1"/>
  <c r="I888" i="2"/>
  <c r="S888" i="2" l="1"/>
  <c r="Q889" i="2"/>
  <c r="R764" i="2"/>
  <c r="T763" i="2"/>
  <c r="J888" i="2"/>
  <c r="K887" i="2" s="1"/>
  <c r="L887" i="2" s="1"/>
  <c r="M888" i="2" s="1"/>
  <c r="I889" i="2"/>
  <c r="N888" i="2"/>
  <c r="S889" i="2" l="1"/>
  <c r="Q890" i="2"/>
  <c r="T764" i="2"/>
  <c r="R765" i="2"/>
  <c r="I890" i="2"/>
  <c r="J889" i="2"/>
  <c r="K888" i="2" s="1"/>
  <c r="L888" i="2" s="1"/>
  <c r="M889" i="2" s="1"/>
  <c r="N889" i="2"/>
  <c r="S890" i="2" l="1"/>
  <c r="Q891" i="2"/>
  <c r="R766" i="2"/>
  <c r="T765" i="2"/>
  <c r="I891" i="2"/>
  <c r="N890" i="2"/>
  <c r="J890" i="2"/>
  <c r="K889" i="2" s="1"/>
  <c r="L889" i="2" s="1"/>
  <c r="M890" i="2" s="1"/>
  <c r="S891" i="2" l="1"/>
  <c r="Q892" i="2"/>
  <c r="R767" i="2"/>
  <c r="T766" i="2"/>
  <c r="N891" i="2"/>
  <c r="J891" i="2"/>
  <c r="K890" i="2" s="1"/>
  <c r="L890" i="2" s="1"/>
  <c r="M891" i="2" s="1"/>
  <c r="I892" i="2"/>
  <c r="S892" i="2" l="1"/>
  <c r="Q893" i="2"/>
  <c r="T767" i="2"/>
  <c r="R768" i="2"/>
  <c r="I893" i="2"/>
  <c r="J892" i="2"/>
  <c r="K891" i="2" s="1"/>
  <c r="L891" i="2" s="1"/>
  <c r="M892" i="2" s="1"/>
  <c r="N892" i="2"/>
  <c r="S893" i="2" l="1"/>
  <c r="Q894" i="2"/>
  <c r="T768" i="2"/>
  <c r="R769" i="2"/>
  <c r="I894" i="2"/>
  <c r="J893" i="2"/>
  <c r="K892" i="2" s="1"/>
  <c r="L892" i="2" s="1"/>
  <c r="M893" i="2" s="1"/>
  <c r="N893" i="2"/>
  <c r="S894" i="2" l="1"/>
  <c r="Q895" i="2"/>
  <c r="R770" i="2"/>
  <c r="T769" i="2"/>
  <c r="N894" i="2"/>
  <c r="J894" i="2"/>
  <c r="K893" i="2" s="1"/>
  <c r="L893" i="2" s="1"/>
  <c r="M894" i="2" s="1"/>
  <c r="I895" i="2"/>
  <c r="S895" i="2" l="1"/>
  <c r="Q896" i="2"/>
  <c r="T770" i="2"/>
  <c r="R771" i="2"/>
  <c r="N895" i="2"/>
  <c r="I896" i="2"/>
  <c r="J895" i="2"/>
  <c r="K894" i="2" s="1"/>
  <c r="L894" i="2" s="1"/>
  <c r="M895" i="2" s="1"/>
  <c r="S896" i="2" l="1"/>
  <c r="Q897" i="2"/>
  <c r="R772" i="2"/>
  <c r="T771" i="2"/>
  <c r="I897" i="2"/>
  <c r="J896" i="2"/>
  <c r="K895" i="2" s="1"/>
  <c r="L895" i="2" s="1"/>
  <c r="M896" i="2" s="1"/>
  <c r="N896" i="2"/>
  <c r="S897" i="2" l="1"/>
  <c r="Q898" i="2"/>
  <c r="T772" i="2"/>
  <c r="R773" i="2"/>
  <c r="N897" i="2"/>
  <c r="I898" i="2"/>
  <c r="J897" i="2"/>
  <c r="K896" i="2" s="1"/>
  <c r="L896" i="2" s="1"/>
  <c r="M897" i="2" s="1"/>
  <c r="S898" i="2" l="1"/>
  <c r="Q899" i="2"/>
  <c r="T773" i="2"/>
  <c r="R774" i="2"/>
  <c r="N898" i="2"/>
  <c r="J898" i="2"/>
  <c r="K897" i="2" s="1"/>
  <c r="L897" i="2" s="1"/>
  <c r="M898" i="2" s="1"/>
  <c r="I899" i="2"/>
  <c r="S899" i="2" l="1"/>
  <c r="Q900" i="2"/>
  <c r="R775" i="2"/>
  <c r="T774" i="2"/>
  <c r="I900" i="2"/>
  <c r="J899" i="2"/>
  <c r="K898" i="2" s="1"/>
  <c r="L898" i="2" s="1"/>
  <c r="M899" i="2" s="1"/>
  <c r="N899" i="2"/>
  <c r="S900" i="2" l="1"/>
  <c r="Q901" i="2"/>
  <c r="T775" i="2"/>
  <c r="R776" i="2"/>
  <c r="I901" i="2"/>
  <c r="N900" i="2"/>
  <c r="J900" i="2"/>
  <c r="K899" i="2" s="1"/>
  <c r="L899" i="2" s="1"/>
  <c r="M900" i="2" s="1"/>
  <c r="S901" i="2" l="1"/>
  <c r="Q902" i="2"/>
  <c r="R777" i="2"/>
  <c r="T776" i="2"/>
  <c r="J901" i="2"/>
  <c r="K900" i="2" s="1"/>
  <c r="L900" i="2" s="1"/>
  <c r="M901" i="2" s="1"/>
  <c r="I902" i="2"/>
  <c r="N901" i="2"/>
  <c r="S902" i="2" l="1"/>
  <c r="Q903" i="2"/>
  <c r="R778" i="2"/>
  <c r="T777" i="2"/>
  <c r="N902" i="2"/>
  <c r="J902" i="2"/>
  <c r="K901" i="2" s="1"/>
  <c r="L901" i="2" s="1"/>
  <c r="M902" i="2" s="1"/>
  <c r="I903" i="2"/>
  <c r="S903" i="2" l="1"/>
  <c r="Q904" i="2"/>
  <c r="T778" i="2"/>
  <c r="R779" i="2"/>
  <c r="I904" i="2"/>
  <c r="N903" i="2"/>
  <c r="J903" i="2"/>
  <c r="K902" i="2" s="1"/>
  <c r="L902" i="2" s="1"/>
  <c r="M903" i="2" s="1"/>
  <c r="S904" i="2" l="1"/>
  <c r="Q905" i="2"/>
  <c r="T779" i="2"/>
  <c r="R780" i="2"/>
  <c r="N904" i="2"/>
  <c r="I905" i="2"/>
  <c r="J904" i="2"/>
  <c r="K903" i="2" s="1"/>
  <c r="L903" i="2" s="1"/>
  <c r="M904" i="2" s="1"/>
  <c r="S905" i="2" l="1"/>
  <c r="Q906" i="2"/>
  <c r="T780" i="2"/>
  <c r="R781" i="2"/>
  <c r="N905" i="2"/>
  <c r="J905" i="2"/>
  <c r="K904" i="2" s="1"/>
  <c r="L904" i="2" s="1"/>
  <c r="M905" i="2" s="1"/>
  <c r="I906" i="2"/>
  <c r="S906" i="2" l="1"/>
  <c r="Q907" i="2"/>
  <c r="R782" i="2"/>
  <c r="T781" i="2"/>
  <c r="N906" i="2"/>
  <c r="I907" i="2"/>
  <c r="J906" i="2"/>
  <c r="K905" i="2" s="1"/>
  <c r="L905" i="2" s="1"/>
  <c r="M906" i="2" s="1"/>
  <c r="S907" i="2" l="1"/>
  <c r="Q908" i="2"/>
  <c r="T782" i="2"/>
  <c r="R783" i="2"/>
  <c r="I908" i="2"/>
  <c r="J907" i="2"/>
  <c r="K906" i="2" s="1"/>
  <c r="L906" i="2" s="1"/>
  <c r="M907" i="2" s="1"/>
  <c r="N907" i="2"/>
  <c r="S908" i="2" l="1"/>
  <c r="Q909" i="2"/>
  <c r="T783" i="2"/>
  <c r="R784" i="2"/>
  <c r="I909" i="2"/>
  <c r="J908" i="2"/>
  <c r="K907" i="2" s="1"/>
  <c r="L907" i="2" s="1"/>
  <c r="M908" i="2" s="1"/>
  <c r="N908" i="2"/>
  <c r="S909" i="2" l="1"/>
  <c r="Q910" i="2"/>
  <c r="R785" i="2"/>
  <c r="T784" i="2"/>
  <c r="N909" i="2"/>
  <c r="J909" i="2"/>
  <c r="K908" i="2" s="1"/>
  <c r="L908" i="2" s="1"/>
  <c r="M909" i="2" s="1"/>
  <c r="I910" i="2"/>
  <c r="S910" i="2" l="1"/>
  <c r="Q911" i="2"/>
  <c r="R786" i="2"/>
  <c r="T785" i="2"/>
  <c r="I911" i="2"/>
  <c r="N910" i="2"/>
  <c r="J910" i="2"/>
  <c r="K909" i="2" s="1"/>
  <c r="L909" i="2" s="1"/>
  <c r="M910" i="2" s="1"/>
  <c r="S911" i="2" l="1"/>
  <c r="Q912" i="2"/>
  <c r="T786" i="2"/>
  <c r="R787" i="2"/>
  <c r="I912" i="2"/>
  <c r="N911" i="2"/>
  <c r="J911" i="2"/>
  <c r="K910" i="2" s="1"/>
  <c r="L910" i="2" s="1"/>
  <c r="M911" i="2" s="1"/>
  <c r="S912" i="2" l="1"/>
  <c r="Q913" i="2"/>
  <c r="R788" i="2"/>
  <c r="T787" i="2"/>
  <c r="J912" i="2"/>
  <c r="K911" i="2" s="1"/>
  <c r="L911" i="2" s="1"/>
  <c r="M912" i="2" s="1"/>
  <c r="N912" i="2"/>
  <c r="I913" i="2"/>
  <c r="S913" i="2" l="1"/>
  <c r="Q914" i="2"/>
  <c r="R789" i="2"/>
  <c r="T788" i="2"/>
  <c r="N913" i="2"/>
  <c r="J913" i="2"/>
  <c r="K912" i="2" s="1"/>
  <c r="L912" i="2" s="1"/>
  <c r="M913" i="2" s="1"/>
  <c r="I914" i="2"/>
  <c r="S914" i="2" l="1"/>
  <c r="Q915" i="2"/>
  <c r="T789" i="2"/>
  <c r="R790" i="2"/>
  <c r="J914" i="2"/>
  <c r="K913" i="2" s="1"/>
  <c r="L913" i="2" s="1"/>
  <c r="M914" i="2" s="1"/>
  <c r="I915" i="2"/>
  <c r="N914" i="2"/>
  <c r="S915" i="2" l="1"/>
  <c r="Q916" i="2"/>
  <c r="T790" i="2"/>
  <c r="R791" i="2"/>
  <c r="I916" i="2"/>
  <c r="J915" i="2"/>
  <c r="K914" i="2" s="1"/>
  <c r="L914" i="2" s="1"/>
  <c r="M915" i="2" s="1"/>
  <c r="N915" i="2"/>
  <c r="S916" i="2" l="1"/>
  <c r="Q917" i="2"/>
  <c r="R792" i="2"/>
  <c r="T791" i="2"/>
  <c r="N916" i="2"/>
  <c r="J916" i="2"/>
  <c r="K915" i="2" s="1"/>
  <c r="L915" i="2" s="1"/>
  <c r="M916" i="2" s="1"/>
  <c r="I917" i="2"/>
  <c r="S917" i="2" l="1"/>
  <c r="Q918" i="2"/>
  <c r="T792" i="2"/>
  <c r="R793" i="2"/>
  <c r="J917" i="2"/>
  <c r="K916" i="2" s="1"/>
  <c r="L916" i="2" s="1"/>
  <c r="M917" i="2" s="1"/>
  <c r="I918" i="2"/>
  <c r="N917" i="2"/>
  <c r="S918" i="2" l="1"/>
  <c r="Q919" i="2"/>
  <c r="R794" i="2"/>
  <c r="T793" i="2"/>
  <c r="I919" i="2"/>
  <c r="N918" i="2"/>
  <c r="J918" i="2"/>
  <c r="K917" i="2" s="1"/>
  <c r="L917" i="2" s="1"/>
  <c r="M918" i="2" s="1"/>
  <c r="S919" i="2" l="1"/>
  <c r="Q920" i="2"/>
  <c r="T794" i="2"/>
  <c r="R795" i="2"/>
  <c r="N919" i="2"/>
  <c r="I920" i="2"/>
  <c r="J919" i="2"/>
  <c r="K918" i="2" s="1"/>
  <c r="L918" i="2" s="1"/>
  <c r="M919" i="2" s="1"/>
  <c r="S920" i="2" l="1"/>
  <c r="Q921" i="2"/>
  <c r="T795" i="2"/>
  <c r="R796" i="2"/>
  <c r="N920" i="2"/>
  <c r="J920" i="2"/>
  <c r="K919" i="2" s="1"/>
  <c r="L919" i="2" s="1"/>
  <c r="M920" i="2" s="1"/>
  <c r="I921" i="2"/>
  <c r="S921" i="2" l="1"/>
  <c r="Q922" i="2"/>
  <c r="T796" i="2"/>
  <c r="R797" i="2"/>
  <c r="N921" i="2"/>
  <c r="I922" i="2"/>
  <c r="J921" i="2"/>
  <c r="K920" i="2" s="1"/>
  <c r="L920" i="2" s="1"/>
  <c r="M921" i="2" s="1"/>
  <c r="S922" i="2" l="1"/>
  <c r="Q923" i="2"/>
  <c r="T797" i="2"/>
  <c r="R798" i="2"/>
  <c r="I923" i="2"/>
  <c r="J922" i="2"/>
  <c r="K921" i="2" s="1"/>
  <c r="L921" i="2" s="1"/>
  <c r="M922" i="2" s="1"/>
  <c r="N922" i="2"/>
  <c r="S923" i="2" l="1"/>
  <c r="Q924" i="2"/>
  <c r="R799" i="2"/>
  <c r="T798" i="2"/>
  <c r="I924" i="2"/>
  <c r="J923" i="2"/>
  <c r="K922" i="2" s="1"/>
  <c r="L922" i="2" s="1"/>
  <c r="M923" i="2" s="1"/>
  <c r="N923" i="2"/>
  <c r="S924" i="2" l="1"/>
  <c r="Q925" i="2"/>
  <c r="R800" i="2"/>
  <c r="T799" i="2"/>
  <c r="N924" i="2"/>
  <c r="J924" i="2"/>
  <c r="K923" i="2" s="1"/>
  <c r="L923" i="2" s="1"/>
  <c r="M924" i="2" s="1"/>
  <c r="I925" i="2"/>
  <c r="S925" i="2" l="1"/>
  <c r="Q926" i="2"/>
  <c r="R801" i="2"/>
  <c r="T800" i="2"/>
  <c r="I926" i="2"/>
  <c r="J925" i="2"/>
  <c r="K924" i="2" s="1"/>
  <c r="L924" i="2" s="1"/>
  <c r="M925" i="2" s="1"/>
  <c r="N925" i="2"/>
  <c r="S926" i="2" l="1"/>
  <c r="Q927" i="2"/>
  <c r="T801" i="2"/>
  <c r="R802" i="2"/>
  <c r="I927" i="2"/>
  <c r="N926" i="2"/>
  <c r="J926" i="2"/>
  <c r="K925" i="2" s="1"/>
  <c r="L925" i="2" s="1"/>
  <c r="M926" i="2" s="1"/>
  <c r="S927" i="2" l="1"/>
  <c r="Q928" i="2"/>
  <c r="R803" i="2"/>
  <c r="T802" i="2"/>
  <c r="J927" i="2"/>
  <c r="K926" i="2" s="1"/>
  <c r="L926" i="2" s="1"/>
  <c r="M927" i="2" s="1"/>
  <c r="I928" i="2"/>
  <c r="N927" i="2"/>
  <c r="S928" i="2" l="1"/>
  <c r="Q929" i="2"/>
  <c r="R804" i="2"/>
  <c r="T803" i="2"/>
  <c r="N928" i="2"/>
  <c r="I929" i="2"/>
  <c r="J928" i="2"/>
  <c r="K927" i="2" s="1"/>
  <c r="L927" i="2" s="1"/>
  <c r="M928" i="2" s="1"/>
  <c r="S929" i="2" l="1"/>
  <c r="Q930" i="2"/>
  <c r="T804" i="2"/>
  <c r="R805" i="2"/>
  <c r="I930" i="2"/>
  <c r="N929" i="2"/>
  <c r="J929" i="2"/>
  <c r="K928" i="2" s="1"/>
  <c r="L928" i="2" s="1"/>
  <c r="M929" i="2" s="1"/>
  <c r="S930" i="2" l="1"/>
  <c r="Q931" i="2"/>
  <c r="T805" i="2"/>
  <c r="R806" i="2"/>
  <c r="N930" i="2"/>
  <c r="I931" i="2"/>
  <c r="J930" i="2"/>
  <c r="K929" i="2" s="1"/>
  <c r="L929" i="2" s="1"/>
  <c r="M930" i="2" s="1"/>
  <c r="S931" i="2" l="1"/>
  <c r="Q932" i="2"/>
  <c r="T806" i="2"/>
  <c r="R807" i="2"/>
  <c r="N931" i="2"/>
  <c r="J931" i="2"/>
  <c r="K930" i="2" s="1"/>
  <c r="L930" i="2" s="1"/>
  <c r="M931" i="2" s="1"/>
  <c r="I932" i="2"/>
  <c r="S932" i="2" l="1"/>
  <c r="Q933" i="2"/>
  <c r="R808" i="2"/>
  <c r="T807" i="2"/>
  <c r="N932" i="2"/>
  <c r="I933" i="2"/>
  <c r="J932" i="2"/>
  <c r="K931" i="2" s="1"/>
  <c r="L931" i="2" s="1"/>
  <c r="M932" i="2" s="1"/>
  <c r="S933" i="2" l="1"/>
  <c r="Q934" i="2"/>
  <c r="R809" i="2"/>
  <c r="T808" i="2"/>
  <c r="I934" i="2"/>
  <c r="J933" i="2"/>
  <c r="K932" i="2" s="1"/>
  <c r="L932" i="2" s="1"/>
  <c r="M933" i="2" s="1"/>
  <c r="N933" i="2"/>
  <c r="S934" i="2" l="1"/>
  <c r="Q935" i="2"/>
  <c r="R810" i="2"/>
  <c r="T809" i="2"/>
  <c r="I935" i="2"/>
  <c r="J934" i="2"/>
  <c r="K933" i="2" s="1"/>
  <c r="L933" i="2" s="1"/>
  <c r="M934" i="2" s="1"/>
  <c r="N934" i="2"/>
  <c r="S935" i="2" l="1"/>
  <c r="Q936" i="2"/>
  <c r="R811" i="2"/>
  <c r="T810" i="2"/>
  <c r="N935" i="2"/>
  <c r="J935" i="2"/>
  <c r="K934" i="2" s="1"/>
  <c r="L934" i="2" s="1"/>
  <c r="M935" i="2" s="1"/>
  <c r="I936" i="2"/>
  <c r="S936" i="2" l="1"/>
  <c r="Q937" i="2"/>
  <c r="R812" i="2"/>
  <c r="T811" i="2"/>
  <c r="I937" i="2"/>
  <c r="N936" i="2"/>
  <c r="J936" i="2"/>
  <c r="K935" i="2" s="1"/>
  <c r="L935" i="2" s="1"/>
  <c r="M936" i="2" s="1"/>
  <c r="S937" i="2" l="1"/>
  <c r="Q938" i="2"/>
  <c r="T812" i="2"/>
  <c r="R813" i="2"/>
  <c r="I938" i="2"/>
  <c r="N937" i="2"/>
  <c r="J937" i="2"/>
  <c r="K936" i="2" s="1"/>
  <c r="L936" i="2" s="1"/>
  <c r="M937" i="2" s="1"/>
  <c r="S938" i="2" l="1"/>
  <c r="Q939" i="2"/>
  <c r="R814" i="2"/>
  <c r="T813" i="2"/>
  <c r="J938" i="2"/>
  <c r="K937" i="2" s="1"/>
  <c r="L937" i="2" s="1"/>
  <c r="M938" i="2" s="1"/>
  <c r="N938" i="2"/>
  <c r="I939" i="2"/>
  <c r="S939" i="2" l="1"/>
  <c r="Q940" i="2"/>
  <c r="T814" i="2"/>
  <c r="R815" i="2"/>
  <c r="N939" i="2"/>
  <c r="J939" i="2"/>
  <c r="K938" i="2" s="1"/>
  <c r="L938" i="2" s="1"/>
  <c r="M939" i="2" s="1"/>
  <c r="I940" i="2"/>
  <c r="S940" i="2" l="1"/>
  <c r="Q941" i="2"/>
  <c r="T815" i="2"/>
  <c r="R816" i="2"/>
  <c r="I941" i="2"/>
  <c r="N940" i="2"/>
  <c r="J940" i="2"/>
  <c r="K939" i="2" s="1"/>
  <c r="L939" i="2" s="1"/>
  <c r="M940" i="2" s="1"/>
  <c r="S941" i="2" l="1"/>
  <c r="Q942" i="2"/>
  <c r="T816" i="2"/>
  <c r="R817" i="2"/>
  <c r="I942" i="2"/>
  <c r="N941" i="2"/>
  <c r="J941" i="2"/>
  <c r="K940" i="2" s="1"/>
  <c r="L940" i="2" s="1"/>
  <c r="M941" i="2" s="1"/>
  <c r="S942" i="2" l="1"/>
  <c r="Q943" i="2"/>
  <c r="R818" i="2"/>
  <c r="T817" i="2"/>
  <c r="N942" i="2"/>
  <c r="J942" i="2"/>
  <c r="K941" i="2" s="1"/>
  <c r="L941" i="2" s="1"/>
  <c r="M942" i="2" s="1"/>
  <c r="I943" i="2"/>
  <c r="S943" i="2" l="1"/>
  <c r="Q944" i="2"/>
  <c r="R819" i="2"/>
  <c r="T818" i="2"/>
  <c r="J943" i="2"/>
  <c r="K942" i="2" s="1"/>
  <c r="L942" i="2" s="1"/>
  <c r="M943" i="2" s="1"/>
  <c r="I944" i="2"/>
  <c r="N943" i="2"/>
  <c r="S944" i="2" l="1"/>
  <c r="Q945" i="2"/>
  <c r="R820" i="2"/>
  <c r="T819" i="2"/>
  <c r="I945" i="2"/>
  <c r="J944" i="2"/>
  <c r="K943" i="2" s="1"/>
  <c r="L943" i="2" s="1"/>
  <c r="M944" i="2" s="1"/>
  <c r="N944" i="2"/>
  <c r="S945" i="2" l="1"/>
  <c r="Q946" i="2"/>
  <c r="T820" i="2"/>
  <c r="R821" i="2"/>
  <c r="I946" i="2"/>
  <c r="J945" i="2"/>
  <c r="K944" i="2" s="1"/>
  <c r="L944" i="2" s="1"/>
  <c r="M945" i="2" s="1"/>
  <c r="N945" i="2"/>
  <c r="S946" i="2" l="1"/>
  <c r="Q947" i="2"/>
  <c r="R822" i="2"/>
  <c r="T821" i="2"/>
  <c r="N946" i="2"/>
  <c r="J946" i="2"/>
  <c r="K945" i="2" s="1"/>
  <c r="L945" i="2" s="1"/>
  <c r="M946" i="2" s="1"/>
  <c r="I947" i="2"/>
  <c r="S947" i="2" l="1"/>
  <c r="Q948" i="2"/>
  <c r="R823" i="2"/>
  <c r="T822" i="2"/>
  <c r="N947" i="2"/>
  <c r="I948" i="2"/>
  <c r="J947" i="2"/>
  <c r="K946" i="2" s="1"/>
  <c r="L946" i="2" s="1"/>
  <c r="M947" i="2" s="1"/>
  <c r="S948" i="2" l="1"/>
  <c r="Q949" i="2"/>
  <c r="R824" i="2"/>
  <c r="T823" i="2"/>
  <c r="I949" i="2"/>
  <c r="J948" i="2"/>
  <c r="K947" i="2" s="1"/>
  <c r="L947" i="2" s="1"/>
  <c r="M948" i="2" s="1"/>
  <c r="N948" i="2"/>
  <c r="S949" i="2" l="1"/>
  <c r="Q950" i="2"/>
  <c r="R825" i="2"/>
  <c r="T824" i="2"/>
  <c r="N949" i="2"/>
  <c r="I950" i="2"/>
  <c r="J949" i="2"/>
  <c r="K948" i="2" s="1"/>
  <c r="L948" i="2" s="1"/>
  <c r="M949" i="2" s="1"/>
  <c r="S950" i="2" l="1"/>
  <c r="Q951" i="2"/>
  <c r="R826" i="2"/>
  <c r="T825" i="2"/>
  <c r="N950" i="2"/>
  <c r="J950" i="2"/>
  <c r="K949" i="2" s="1"/>
  <c r="L949" i="2" s="1"/>
  <c r="M950" i="2" s="1"/>
  <c r="I951" i="2"/>
  <c r="S951" i="2" l="1"/>
  <c r="Q952" i="2"/>
  <c r="T826" i="2"/>
  <c r="R827" i="2"/>
  <c r="I952" i="2"/>
  <c r="J951" i="2"/>
  <c r="K950" i="2" s="1"/>
  <c r="L950" i="2" s="1"/>
  <c r="M951" i="2" s="1"/>
  <c r="N951" i="2"/>
  <c r="S952" i="2" l="1"/>
  <c r="Q953" i="2"/>
  <c r="R828" i="2"/>
  <c r="T827" i="2"/>
  <c r="I953" i="2"/>
  <c r="N952" i="2"/>
  <c r="J952" i="2"/>
  <c r="K951" i="2" s="1"/>
  <c r="L951" i="2" s="1"/>
  <c r="M952" i="2" s="1"/>
  <c r="S953" i="2" l="1"/>
  <c r="Q954" i="2"/>
  <c r="T828" i="2"/>
  <c r="R829" i="2"/>
  <c r="N953" i="2"/>
  <c r="J953" i="2"/>
  <c r="K952" i="2" s="1"/>
  <c r="L952" i="2" s="1"/>
  <c r="M953" i="2" s="1"/>
  <c r="I954" i="2"/>
  <c r="S954" i="2" l="1"/>
  <c r="Q955" i="2"/>
  <c r="R830" i="2"/>
  <c r="T829" i="2"/>
  <c r="J954" i="2"/>
  <c r="K953" i="2" s="1"/>
  <c r="L953" i="2" s="1"/>
  <c r="M954" i="2" s="1"/>
  <c r="I955" i="2"/>
  <c r="N954" i="2"/>
  <c r="S955" i="2" l="1"/>
  <c r="Q956" i="2"/>
  <c r="T830" i="2"/>
  <c r="R831" i="2"/>
  <c r="I956" i="2"/>
  <c r="J955" i="2"/>
  <c r="K954" i="2" s="1"/>
  <c r="L954" i="2" s="1"/>
  <c r="M955" i="2" s="1"/>
  <c r="N955" i="2"/>
  <c r="S956" i="2" l="1"/>
  <c r="Q957" i="2"/>
  <c r="R832" i="2"/>
  <c r="T831" i="2"/>
  <c r="I957" i="2"/>
  <c r="J956" i="2"/>
  <c r="K955" i="2" s="1"/>
  <c r="L955" i="2" s="1"/>
  <c r="M956" i="2" s="1"/>
  <c r="N956" i="2"/>
  <c r="S957" i="2" l="1"/>
  <c r="Q958" i="2"/>
  <c r="R833" i="2"/>
  <c r="T832" i="2"/>
  <c r="N957" i="2"/>
  <c r="J957" i="2"/>
  <c r="K956" i="2" s="1"/>
  <c r="L956" i="2" s="1"/>
  <c r="M957" i="2" s="1"/>
  <c r="I958" i="2"/>
  <c r="S958" i="2" l="1"/>
  <c r="Q959" i="2"/>
  <c r="R834" i="2"/>
  <c r="T833" i="2"/>
  <c r="N958" i="2"/>
  <c r="I959" i="2"/>
  <c r="J958" i="2"/>
  <c r="K957" i="2" s="1"/>
  <c r="L957" i="2" s="1"/>
  <c r="M958" i="2" s="1"/>
  <c r="S959" i="2" l="1"/>
  <c r="Q960" i="2"/>
  <c r="T834" i="2"/>
  <c r="R835" i="2"/>
  <c r="I960" i="2"/>
  <c r="J959" i="2"/>
  <c r="K958" i="2" s="1"/>
  <c r="L958" i="2" s="1"/>
  <c r="M959" i="2" s="1"/>
  <c r="N959" i="2"/>
  <c r="S960" i="2" l="1"/>
  <c r="Q961" i="2"/>
  <c r="T835" i="2"/>
  <c r="R836" i="2"/>
  <c r="I961" i="2"/>
  <c r="J960" i="2"/>
  <c r="K959" i="2" s="1"/>
  <c r="L959" i="2" s="1"/>
  <c r="M960" i="2" s="1"/>
  <c r="N960" i="2"/>
  <c r="S961" i="2" l="1"/>
  <c r="Q962" i="2"/>
  <c r="R837" i="2"/>
  <c r="T836" i="2"/>
  <c r="N961" i="2"/>
  <c r="J961" i="2"/>
  <c r="K960" i="2" s="1"/>
  <c r="L960" i="2" s="1"/>
  <c r="M961" i="2" s="1"/>
  <c r="I962" i="2"/>
  <c r="S962" i="2" l="1"/>
  <c r="Q963" i="2"/>
  <c r="T837" i="2"/>
  <c r="R838" i="2"/>
  <c r="I963" i="2"/>
  <c r="J962" i="2"/>
  <c r="K961" i="2" s="1"/>
  <c r="L961" i="2" s="1"/>
  <c r="M962" i="2" s="1"/>
  <c r="N962" i="2"/>
  <c r="S963" i="2" l="1"/>
  <c r="Q964" i="2"/>
  <c r="R839" i="2"/>
  <c r="T838" i="2"/>
  <c r="N963" i="2"/>
  <c r="J963" i="2"/>
  <c r="K962" i="2" s="1"/>
  <c r="L962" i="2" s="1"/>
  <c r="M963" i="2" s="1"/>
  <c r="I964" i="2"/>
  <c r="S964" i="2" l="1"/>
  <c r="Q965" i="2"/>
  <c r="R840" i="2"/>
  <c r="T839" i="2"/>
  <c r="N964" i="2"/>
  <c r="J964" i="2"/>
  <c r="K963" i="2" s="1"/>
  <c r="L963" i="2" s="1"/>
  <c r="M964" i="2" s="1"/>
  <c r="I965" i="2"/>
  <c r="S965" i="2" l="1"/>
  <c r="Q966" i="2"/>
  <c r="R841" i="2"/>
  <c r="T840" i="2"/>
  <c r="N965" i="2"/>
  <c r="I966" i="2"/>
  <c r="J965" i="2"/>
  <c r="K964" i="2" s="1"/>
  <c r="L964" i="2" s="1"/>
  <c r="M965" i="2" s="1"/>
  <c r="S966" i="2" l="1"/>
  <c r="Q967" i="2"/>
  <c r="T841" i="2"/>
  <c r="R842" i="2"/>
  <c r="I967" i="2"/>
  <c r="N966" i="2"/>
  <c r="J966" i="2"/>
  <c r="K965" i="2" s="1"/>
  <c r="L965" i="2" s="1"/>
  <c r="M966" i="2" s="1"/>
  <c r="S967" i="2" l="1"/>
  <c r="Q968" i="2"/>
  <c r="T842" i="2"/>
  <c r="R843" i="2"/>
  <c r="I968" i="2"/>
  <c r="N967" i="2"/>
  <c r="J967" i="2"/>
  <c r="K966" i="2" s="1"/>
  <c r="L966" i="2" s="1"/>
  <c r="M967" i="2" s="1"/>
  <c r="S968" i="2" l="1"/>
  <c r="Q969" i="2"/>
  <c r="T843" i="2"/>
  <c r="R844" i="2"/>
  <c r="N968" i="2"/>
  <c r="J968" i="2"/>
  <c r="K967" i="2" s="1"/>
  <c r="L967" i="2" s="1"/>
  <c r="M968" i="2" s="1"/>
  <c r="I969" i="2"/>
  <c r="S969" i="2" l="1"/>
  <c r="Q970" i="2"/>
  <c r="R845" i="2"/>
  <c r="T844" i="2"/>
  <c r="J969" i="2"/>
  <c r="K968" i="2" s="1"/>
  <c r="L968" i="2" s="1"/>
  <c r="M969" i="2" s="1"/>
  <c r="N969" i="2"/>
  <c r="I970" i="2"/>
  <c r="S970" i="2" l="1"/>
  <c r="Q971" i="2"/>
  <c r="T845" i="2"/>
  <c r="R846" i="2"/>
  <c r="I971" i="2"/>
  <c r="J970" i="2"/>
  <c r="K969" i="2" s="1"/>
  <c r="L969" i="2" s="1"/>
  <c r="M970" i="2" s="1"/>
  <c r="N970" i="2"/>
  <c r="S971" i="2" l="1"/>
  <c r="Q972" i="2"/>
  <c r="T846" i="2"/>
  <c r="R847" i="2"/>
  <c r="J971" i="2"/>
  <c r="K970" i="2" s="1"/>
  <c r="L970" i="2" s="1"/>
  <c r="M971" i="2" s="1"/>
  <c r="N971" i="2"/>
  <c r="I972" i="2"/>
  <c r="S972" i="2" l="1"/>
  <c r="Q973" i="2"/>
  <c r="R848" i="2"/>
  <c r="T847" i="2"/>
  <c r="N972" i="2"/>
  <c r="J972" i="2"/>
  <c r="K971" i="2" s="1"/>
  <c r="L971" i="2" s="1"/>
  <c r="M972" i="2" s="1"/>
  <c r="I973" i="2"/>
  <c r="S973" i="2" l="1"/>
  <c r="Q974" i="2"/>
  <c r="T848" i="2"/>
  <c r="R849" i="2"/>
  <c r="N973" i="2"/>
  <c r="I974" i="2"/>
  <c r="J973" i="2"/>
  <c r="K972" i="2" s="1"/>
  <c r="L972" i="2" s="1"/>
  <c r="M973" i="2" s="1"/>
  <c r="S974" i="2" l="1"/>
  <c r="Q975" i="2"/>
  <c r="T849" i="2"/>
  <c r="R850" i="2"/>
  <c r="I975" i="2"/>
  <c r="J974" i="2"/>
  <c r="K973" i="2" s="1"/>
  <c r="L973" i="2" s="1"/>
  <c r="M974" i="2" s="1"/>
  <c r="N974" i="2"/>
  <c r="S975" i="2" l="1"/>
  <c r="Q976" i="2"/>
  <c r="R851" i="2"/>
  <c r="T850" i="2"/>
  <c r="J975" i="2"/>
  <c r="K974" i="2" s="1"/>
  <c r="L974" i="2" s="1"/>
  <c r="M975" i="2" s="1"/>
  <c r="N975" i="2"/>
  <c r="I976" i="2"/>
  <c r="S976" i="2" l="1"/>
  <c r="Q977" i="2"/>
  <c r="T851" i="2"/>
  <c r="R852" i="2"/>
  <c r="J976" i="2"/>
  <c r="K975" i="2" s="1"/>
  <c r="L975" i="2" s="1"/>
  <c r="M976" i="2" s="1"/>
  <c r="N976" i="2"/>
  <c r="I977" i="2"/>
  <c r="S977" i="2" l="1"/>
  <c r="Q978" i="2"/>
  <c r="R853" i="2"/>
  <c r="T852" i="2"/>
  <c r="I978" i="2"/>
  <c r="N977" i="2"/>
  <c r="J977" i="2"/>
  <c r="K976" i="2" s="1"/>
  <c r="L976" i="2" s="1"/>
  <c r="M977" i="2" s="1"/>
  <c r="S978" i="2" l="1"/>
  <c r="Q979" i="2"/>
  <c r="T853" i="2"/>
  <c r="R854" i="2"/>
  <c r="I979" i="2"/>
  <c r="N978" i="2"/>
  <c r="J978" i="2"/>
  <c r="K977" i="2" s="1"/>
  <c r="L977" i="2" s="1"/>
  <c r="M978" i="2" s="1"/>
  <c r="S979" i="2" l="1"/>
  <c r="Q980" i="2"/>
  <c r="T854" i="2"/>
  <c r="R855" i="2"/>
  <c r="N979" i="2"/>
  <c r="J979" i="2"/>
  <c r="K978" i="2" s="1"/>
  <c r="L978" i="2" s="1"/>
  <c r="M979" i="2" s="1"/>
  <c r="I980" i="2"/>
  <c r="S980" i="2" l="1"/>
  <c r="Q981" i="2"/>
  <c r="T855" i="2"/>
  <c r="R856" i="2"/>
  <c r="J980" i="2"/>
  <c r="K979" i="2" s="1"/>
  <c r="L979" i="2" s="1"/>
  <c r="M980" i="2" s="1"/>
  <c r="N980" i="2"/>
  <c r="I981" i="2"/>
  <c r="S981" i="2" l="1"/>
  <c r="Q982" i="2"/>
  <c r="T856" i="2"/>
  <c r="R857" i="2"/>
  <c r="I982" i="2"/>
  <c r="J981" i="2"/>
  <c r="K980" i="2" s="1"/>
  <c r="L980" i="2" s="1"/>
  <c r="M981" i="2" s="1"/>
  <c r="N981" i="2"/>
  <c r="S982" i="2" l="1"/>
  <c r="Q983" i="2"/>
  <c r="T857" i="2"/>
  <c r="R858" i="2"/>
  <c r="I983" i="2"/>
  <c r="N982" i="2"/>
  <c r="J982" i="2"/>
  <c r="K981" i="2" s="1"/>
  <c r="L981" i="2" s="1"/>
  <c r="M982" i="2" s="1"/>
  <c r="S983" i="2" l="1"/>
  <c r="Q984" i="2"/>
  <c r="T858" i="2"/>
  <c r="R859" i="2"/>
  <c r="N983" i="2"/>
  <c r="J983" i="2"/>
  <c r="K982" i="2" s="1"/>
  <c r="L982" i="2" s="1"/>
  <c r="M983" i="2" s="1"/>
  <c r="I984" i="2"/>
  <c r="S984" i="2" l="1"/>
  <c r="Q985" i="2"/>
  <c r="T859" i="2"/>
  <c r="R860" i="2"/>
  <c r="N984" i="2"/>
  <c r="I985" i="2"/>
  <c r="J984" i="2"/>
  <c r="K983" i="2" s="1"/>
  <c r="L983" i="2" s="1"/>
  <c r="M984" i="2" s="1"/>
  <c r="S985" i="2" l="1"/>
  <c r="Q986" i="2"/>
  <c r="T860" i="2"/>
  <c r="R861" i="2"/>
  <c r="I986" i="2"/>
  <c r="J985" i="2"/>
  <c r="K984" i="2" s="1"/>
  <c r="L984" i="2" s="1"/>
  <c r="M985" i="2" s="1"/>
  <c r="N985" i="2"/>
  <c r="S986" i="2" l="1"/>
  <c r="Q987" i="2"/>
  <c r="R862" i="2"/>
  <c r="T861" i="2"/>
  <c r="J986" i="2"/>
  <c r="K985" i="2" s="1"/>
  <c r="L985" i="2" s="1"/>
  <c r="M986" i="2" s="1"/>
  <c r="I987" i="2"/>
  <c r="N986" i="2"/>
  <c r="S987" i="2" l="1"/>
  <c r="Q988" i="2"/>
  <c r="T862" i="2"/>
  <c r="R863" i="2"/>
  <c r="N987" i="2"/>
  <c r="J987" i="2"/>
  <c r="K986" i="2" s="1"/>
  <c r="L986" i="2" s="1"/>
  <c r="M987" i="2" s="1"/>
  <c r="I988" i="2"/>
  <c r="S988" i="2" l="1"/>
  <c r="Q989" i="2"/>
  <c r="R864" i="2"/>
  <c r="T863" i="2"/>
  <c r="I989" i="2"/>
  <c r="N988" i="2"/>
  <c r="J988" i="2"/>
  <c r="K987" i="2" s="1"/>
  <c r="L987" i="2" s="1"/>
  <c r="M988" i="2" s="1"/>
  <c r="S989" i="2" l="1"/>
  <c r="Q990" i="2"/>
  <c r="T864" i="2"/>
  <c r="R865" i="2"/>
  <c r="J989" i="2"/>
  <c r="K988" i="2" s="1"/>
  <c r="L988" i="2" s="1"/>
  <c r="M989" i="2" s="1"/>
  <c r="I990" i="2"/>
  <c r="N989" i="2"/>
  <c r="S990" i="2" l="1"/>
  <c r="Q991" i="2"/>
  <c r="T865" i="2"/>
  <c r="R866" i="2"/>
  <c r="N990" i="2"/>
  <c r="J990" i="2"/>
  <c r="K989" i="2" s="1"/>
  <c r="L989" i="2" s="1"/>
  <c r="M990" i="2" s="1"/>
  <c r="I991" i="2"/>
  <c r="S991" i="2" l="1"/>
  <c r="Q992" i="2"/>
  <c r="T866" i="2"/>
  <c r="R867" i="2"/>
  <c r="J991" i="2"/>
  <c r="K990" i="2" s="1"/>
  <c r="L990" i="2" s="1"/>
  <c r="M991" i="2" s="1"/>
  <c r="N991" i="2"/>
  <c r="I992" i="2"/>
  <c r="S992" i="2" l="1"/>
  <c r="Q993" i="2"/>
  <c r="R868" i="2"/>
  <c r="T867" i="2"/>
  <c r="I993" i="2"/>
  <c r="J992" i="2"/>
  <c r="K991" i="2" s="1"/>
  <c r="L991" i="2" s="1"/>
  <c r="M992" i="2" s="1"/>
  <c r="N992" i="2"/>
  <c r="S993" i="2" l="1"/>
  <c r="Q994" i="2"/>
  <c r="T868" i="2"/>
  <c r="R869" i="2"/>
  <c r="I994" i="2"/>
  <c r="N993" i="2"/>
  <c r="J993" i="2"/>
  <c r="K992" i="2" s="1"/>
  <c r="L992" i="2" s="1"/>
  <c r="M993" i="2" s="1"/>
  <c r="S994" i="2" l="1"/>
  <c r="Q995" i="2"/>
  <c r="T869" i="2"/>
  <c r="R870" i="2"/>
  <c r="N994" i="2"/>
  <c r="J994" i="2"/>
  <c r="K993" i="2" s="1"/>
  <c r="L993" i="2" s="1"/>
  <c r="M994" i="2" s="1"/>
  <c r="I995" i="2"/>
  <c r="S995" i="2" l="1"/>
  <c r="Q996" i="2"/>
  <c r="R871" i="2"/>
  <c r="T870" i="2"/>
  <c r="J995" i="2"/>
  <c r="K994" i="2" s="1"/>
  <c r="L994" i="2" s="1"/>
  <c r="M995" i="2" s="1"/>
  <c r="N995" i="2"/>
  <c r="I996" i="2"/>
  <c r="S996" i="2" l="1"/>
  <c r="Q997" i="2"/>
  <c r="R872" i="2"/>
  <c r="T871" i="2"/>
  <c r="I997" i="2"/>
  <c r="J996" i="2"/>
  <c r="K995" i="2" s="1"/>
  <c r="L995" i="2" s="1"/>
  <c r="M996" i="2" s="1"/>
  <c r="N996" i="2"/>
  <c r="S997" i="2" l="1"/>
  <c r="Q998" i="2"/>
  <c r="T872" i="2"/>
  <c r="R873" i="2"/>
  <c r="J997" i="2"/>
  <c r="K996" i="2" s="1"/>
  <c r="L996" i="2" s="1"/>
  <c r="M997" i="2" s="1"/>
  <c r="I998" i="2"/>
  <c r="N997" i="2"/>
  <c r="S998" i="2" l="1"/>
  <c r="Q999" i="2"/>
  <c r="T873" i="2"/>
  <c r="R874" i="2"/>
  <c r="N998" i="2"/>
  <c r="J998" i="2"/>
  <c r="K997" i="2" s="1"/>
  <c r="L997" i="2" s="1"/>
  <c r="M998" i="2" s="1"/>
  <c r="I999" i="2"/>
  <c r="S999" i="2" l="1"/>
  <c r="Q1000" i="2"/>
  <c r="T874" i="2"/>
  <c r="R875" i="2"/>
  <c r="I1000" i="2"/>
  <c r="N999" i="2"/>
  <c r="J999" i="2"/>
  <c r="K998" i="2" s="1"/>
  <c r="L998" i="2" s="1"/>
  <c r="M999" i="2" s="1"/>
  <c r="S1000" i="2" l="1"/>
  <c r="Q1001" i="2"/>
  <c r="T875" i="2"/>
  <c r="R876" i="2"/>
  <c r="J1000" i="2"/>
  <c r="K999" i="2" s="1"/>
  <c r="L999" i="2" s="1"/>
  <c r="M1000" i="2" s="1"/>
  <c r="I1001" i="2"/>
  <c r="N1000" i="2"/>
  <c r="S1001" i="2" l="1"/>
  <c r="Q1002" i="2"/>
  <c r="T876" i="2"/>
  <c r="R877" i="2"/>
  <c r="N1001" i="2"/>
  <c r="J1001" i="2"/>
  <c r="K1000" i="2" s="1"/>
  <c r="L1000" i="2" s="1"/>
  <c r="M1001" i="2" s="1"/>
  <c r="I1002" i="2"/>
  <c r="S1002" i="2" l="1"/>
  <c r="Q1003" i="2"/>
  <c r="R878" i="2"/>
  <c r="T877" i="2"/>
  <c r="J1002" i="2"/>
  <c r="K1001" i="2" s="1"/>
  <c r="L1001" i="2" s="1"/>
  <c r="M1002" i="2" s="1"/>
  <c r="N1002" i="2"/>
  <c r="I1003" i="2"/>
  <c r="S1003" i="2" l="1"/>
  <c r="Q1004" i="2"/>
  <c r="R879" i="2"/>
  <c r="T878" i="2"/>
  <c r="I1004" i="2"/>
  <c r="N1003" i="2"/>
  <c r="J1003" i="2"/>
  <c r="K1002" i="2" s="1"/>
  <c r="L1002" i="2" s="1"/>
  <c r="M1003" i="2" s="1"/>
  <c r="S1004" i="2" l="1"/>
  <c r="Q1005" i="2"/>
  <c r="R880" i="2"/>
  <c r="T879" i="2"/>
  <c r="I1005" i="2"/>
  <c r="N1004" i="2"/>
  <c r="J1004" i="2"/>
  <c r="K1003" i="2" s="1"/>
  <c r="L1003" i="2" s="1"/>
  <c r="M1004" i="2" s="1"/>
  <c r="S1005" i="2" l="1"/>
  <c r="Q1006" i="2"/>
  <c r="R881" i="2"/>
  <c r="T880" i="2"/>
  <c r="N1005" i="2"/>
  <c r="J1005" i="2"/>
  <c r="K1004" i="2" s="1"/>
  <c r="L1004" i="2" s="1"/>
  <c r="M1005" i="2" s="1"/>
  <c r="I1006" i="2"/>
  <c r="S1006" i="2" l="1"/>
  <c r="Q1007" i="2"/>
  <c r="T881" i="2"/>
  <c r="R882" i="2"/>
  <c r="J1006" i="2"/>
  <c r="K1005" i="2" s="1"/>
  <c r="L1005" i="2" s="1"/>
  <c r="M1006" i="2" s="1"/>
  <c r="N1006" i="2"/>
  <c r="I1007" i="2"/>
  <c r="S1007" i="2" l="1"/>
  <c r="Q1008" i="2"/>
  <c r="R883" i="2"/>
  <c r="T882" i="2"/>
  <c r="I1008" i="2"/>
  <c r="J1007" i="2"/>
  <c r="K1006" i="2" s="1"/>
  <c r="L1006" i="2" s="1"/>
  <c r="M1007" i="2" s="1"/>
  <c r="N1007" i="2"/>
  <c r="S1008" i="2" l="1"/>
  <c r="Q1009" i="2"/>
  <c r="R884" i="2"/>
  <c r="T883" i="2"/>
  <c r="J1008" i="2"/>
  <c r="K1007" i="2" s="1"/>
  <c r="L1007" i="2" s="1"/>
  <c r="M1008" i="2" s="1"/>
  <c r="I1009" i="2"/>
  <c r="N1008" i="2"/>
  <c r="S1009" i="2" l="1"/>
  <c r="Q1010" i="2"/>
  <c r="R885" i="2"/>
  <c r="T884" i="2"/>
  <c r="N1009" i="2"/>
  <c r="J1009" i="2"/>
  <c r="K1008" i="2" s="1"/>
  <c r="L1008" i="2" s="1"/>
  <c r="M1009" i="2" s="1"/>
  <c r="I1010" i="2"/>
  <c r="S1010" i="2" l="1"/>
  <c r="Q1011" i="2"/>
  <c r="R886" i="2"/>
  <c r="T885" i="2"/>
  <c r="N1010" i="2"/>
  <c r="I1011" i="2"/>
  <c r="J1010" i="2"/>
  <c r="K1009" i="2" s="1"/>
  <c r="L1009" i="2" s="1"/>
  <c r="M1010" i="2" s="1"/>
  <c r="S1011" i="2" l="1"/>
  <c r="Q1012" i="2"/>
  <c r="R887" i="2"/>
  <c r="T886" i="2"/>
  <c r="J1011" i="2"/>
  <c r="K1010" i="2" s="1"/>
  <c r="L1010" i="2" s="1"/>
  <c r="M1011" i="2" s="1"/>
  <c r="N1011" i="2"/>
  <c r="I1012" i="2"/>
  <c r="S1012" i="2" l="1"/>
  <c r="Q1013" i="2"/>
  <c r="R888" i="2"/>
  <c r="T887" i="2"/>
  <c r="N1012" i="2"/>
  <c r="J1012" i="2"/>
  <c r="K1011" i="2" s="1"/>
  <c r="L1011" i="2" s="1"/>
  <c r="M1012" i="2" s="1"/>
  <c r="I1013" i="2"/>
  <c r="S1013" i="2" l="1"/>
  <c r="Q1014" i="2"/>
  <c r="R889" i="2"/>
  <c r="T888" i="2"/>
  <c r="I1014" i="2"/>
  <c r="N1013" i="2"/>
  <c r="J1013" i="2"/>
  <c r="K1012" i="2" s="1"/>
  <c r="L1012" i="2" s="1"/>
  <c r="M1013" i="2" s="1"/>
  <c r="S1014" i="2" l="1"/>
  <c r="Q1015" i="2"/>
  <c r="T889" i="2"/>
  <c r="R890" i="2"/>
  <c r="N1014" i="2"/>
  <c r="I1015" i="2"/>
  <c r="J1014" i="2"/>
  <c r="K1013" i="2" s="1"/>
  <c r="L1013" i="2" s="1"/>
  <c r="M1014" i="2" s="1"/>
  <c r="S1015" i="2" l="1"/>
  <c r="Q1016" i="2"/>
  <c r="T890" i="2"/>
  <c r="R891" i="2"/>
  <c r="N1015" i="2"/>
  <c r="I1016" i="2"/>
  <c r="J1015" i="2"/>
  <c r="K1014" i="2" s="1"/>
  <c r="L1014" i="2" s="1"/>
  <c r="M1015" i="2" s="1"/>
  <c r="S1016" i="2" l="1"/>
  <c r="Q1017" i="2"/>
  <c r="T891" i="2"/>
  <c r="R892" i="2"/>
  <c r="I1017" i="2"/>
  <c r="J1016" i="2"/>
  <c r="K1015" i="2" s="1"/>
  <c r="L1015" i="2" s="1"/>
  <c r="M1016" i="2" s="1"/>
  <c r="N1016" i="2"/>
  <c r="S1017" i="2" l="1"/>
  <c r="Q1018" i="2"/>
  <c r="T892" i="2"/>
  <c r="R893" i="2"/>
  <c r="N1017" i="2"/>
  <c r="J1017" i="2"/>
  <c r="K1016" i="2" s="1"/>
  <c r="L1016" i="2" s="1"/>
  <c r="M1017" i="2" s="1"/>
  <c r="I1018" i="2"/>
  <c r="S1018" i="2" l="1"/>
  <c r="Q1019" i="2"/>
  <c r="T893" i="2"/>
  <c r="R894" i="2"/>
  <c r="N1018" i="2"/>
  <c r="J1018" i="2"/>
  <c r="K1017" i="2" s="1"/>
  <c r="L1017" i="2" s="1"/>
  <c r="M1018" i="2" s="1"/>
  <c r="I1019" i="2"/>
  <c r="S1019" i="2" l="1"/>
  <c r="Q1020" i="2"/>
  <c r="T894" i="2"/>
  <c r="R895" i="2"/>
  <c r="I1020" i="2"/>
  <c r="N1019" i="2"/>
  <c r="J1019" i="2"/>
  <c r="K1018" i="2" s="1"/>
  <c r="L1018" i="2" s="1"/>
  <c r="M1019" i="2" s="1"/>
  <c r="S1020" i="2" l="1"/>
  <c r="Q1021" i="2"/>
  <c r="T895" i="2"/>
  <c r="R896" i="2"/>
  <c r="I1021" i="2"/>
  <c r="N1020" i="2"/>
  <c r="J1020" i="2"/>
  <c r="K1019" i="2" s="1"/>
  <c r="L1019" i="2" s="1"/>
  <c r="M1020" i="2" s="1"/>
  <c r="S1021" i="2" l="1"/>
  <c r="Q1022" i="2"/>
  <c r="T896" i="2"/>
  <c r="R897" i="2"/>
  <c r="J1021" i="2"/>
  <c r="K1020" i="2" s="1"/>
  <c r="L1020" i="2" s="1"/>
  <c r="M1021" i="2" s="1"/>
  <c r="I1022" i="2"/>
  <c r="N1021" i="2"/>
  <c r="S1022" i="2" l="1"/>
  <c r="Q1023" i="2"/>
  <c r="R898" i="2"/>
  <c r="T897" i="2"/>
  <c r="N1022" i="2"/>
  <c r="J1022" i="2"/>
  <c r="K1021" i="2" s="1"/>
  <c r="L1021" i="2" s="1"/>
  <c r="M1022" i="2" s="1"/>
  <c r="I1023" i="2"/>
  <c r="S1023" i="2" l="1"/>
  <c r="Q1024" i="2"/>
  <c r="T898" i="2"/>
  <c r="R899" i="2"/>
  <c r="I1024" i="2"/>
  <c r="J1023" i="2"/>
  <c r="K1022" i="2" s="1"/>
  <c r="L1022" i="2" s="1"/>
  <c r="M1023" i="2" s="1"/>
  <c r="N1023" i="2"/>
  <c r="S1024" i="2" l="1"/>
  <c r="Q1025" i="2"/>
  <c r="T899" i="2"/>
  <c r="R900" i="2"/>
  <c r="I1025" i="2"/>
  <c r="J1024" i="2"/>
  <c r="K1023" i="2" s="1"/>
  <c r="L1023" i="2" s="1"/>
  <c r="M1024" i="2" s="1"/>
  <c r="N1024" i="2"/>
  <c r="S1025" i="2" l="1"/>
  <c r="Q1026" i="2"/>
  <c r="T900" i="2"/>
  <c r="R901" i="2"/>
  <c r="N1025" i="2"/>
  <c r="J1025" i="2"/>
  <c r="K1024" i="2" s="1"/>
  <c r="L1024" i="2" s="1"/>
  <c r="M1025" i="2" s="1"/>
  <c r="I1026" i="2"/>
  <c r="S1026" i="2" l="1"/>
  <c r="Q1027" i="2"/>
  <c r="T901" i="2"/>
  <c r="R902" i="2"/>
  <c r="N1026" i="2"/>
  <c r="J1026" i="2"/>
  <c r="K1025" i="2" s="1"/>
  <c r="L1025" i="2" s="1"/>
  <c r="M1026" i="2" s="1"/>
  <c r="I1027" i="2"/>
  <c r="S1027" i="2" l="1"/>
  <c r="Q1028" i="2"/>
  <c r="T902" i="2"/>
  <c r="R903" i="2"/>
  <c r="I1028" i="2"/>
  <c r="J1027" i="2"/>
  <c r="K1026" i="2" s="1"/>
  <c r="L1026" i="2" s="1"/>
  <c r="M1027" i="2" s="1"/>
  <c r="N1027" i="2"/>
  <c r="S1028" i="2" l="1"/>
  <c r="Q1029" i="2"/>
  <c r="R904" i="2"/>
  <c r="T903" i="2"/>
  <c r="I1029" i="2"/>
  <c r="N1028" i="2"/>
  <c r="J1028" i="2"/>
  <c r="K1027" i="2" s="1"/>
  <c r="L1027" i="2" s="1"/>
  <c r="M1028" i="2" s="1"/>
  <c r="S1029" i="2" l="1"/>
  <c r="Q1030" i="2"/>
  <c r="T904" i="2"/>
  <c r="R905" i="2"/>
  <c r="N1029" i="2"/>
  <c r="J1029" i="2"/>
  <c r="K1028" i="2" s="1"/>
  <c r="L1028" i="2" s="1"/>
  <c r="M1029" i="2" s="1"/>
  <c r="I1030" i="2"/>
  <c r="S1030" i="2" l="1"/>
  <c r="Q1031" i="2"/>
  <c r="R906" i="2"/>
  <c r="T905" i="2"/>
  <c r="I1031" i="2"/>
  <c r="J1030" i="2"/>
  <c r="K1029" i="2" s="1"/>
  <c r="L1029" i="2" s="1"/>
  <c r="M1030" i="2" s="1"/>
  <c r="N1030" i="2"/>
  <c r="S1031" i="2" l="1"/>
  <c r="Q1032" i="2"/>
  <c r="T906" i="2"/>
  <c r="R907" i="2"/>
  <c r="I1032" i="2"/>
  <c r="N1031" i="2"/>
  <c r="J1031" i="2"/>
  <c r="K1030" i="2" s="1"/>
  <c r="L1030" i="2" s="1"/>
  <c r="M1031" i="2" s="1"/>
  <c r="S1032" i="2" l="1"/>
  <c r="Q1033" i="2"/>
  <c r="T907" i="2"/>
  <c r="R908" i="2"/>
  <c r="J1032" i="2"/>
  <c r="K1031" i="2" s="1"/>
  <c r="L1031" i="2" s="1"/>
  <c r="M1032" i="2" s="1"/>
  <c r="N1032" i="2"/>
  <c r="I1033" i="2"/>
  <c r="S1033" i="2" l="1"/>
  <c r="Q1034" i="2"/>
  <c r="R909" i="2"/>
  <c r="T908" i="2"/>
  <c r="N1033" i="2"/>
  <c r="J1033" i="2"/>
  <c r="K1032" i="2" s="1"/>
  <c r="L1032" i="2" s="1"/>
  <c r="M1033" i="2" s="1"/>
  <c r="I1034" i="2"/>
  <c r="S1034" i="2" l="1"/>
  <c r="Q1035" i="2"/>
  <c r="R910" i="2"/>
  <c r="T909" i="2"/>
  <c r="I1035" i="2"/>
  <c r="N1034" i="2"/>
  <c r="J1034" i="2"/>
  <c r="K1033" i="2" s="1"/>
  <c r="L1033" i="2" s="1"/>
  <c r="M1034" i="2" s="1"/>
  <c r="S1035" i="2" l="1"/>
  <c r="Q1036" i="2"/>
  <c r="T910" i="2"/>
  <c r="R911" i="2"/>
  <c r="I1036" i="2"/>
  <c r="J1035" i="2"/>
  <c r="K1034" i="2" s="1"/>
  <c r="L1034" i="2" s="1"/>
  <c r="M1035" i="2" s="1"/>
  <c r="N1035" i="2"/>
  <c r="S1036" i="2" l="1"/>
  <c r="Q1037" i="2"/>
  <c r="T911" i="2"/>
  <c r="R912" i="2"/>
  <c r="N1036" i="2"/>
  <c r="J1036" i="2"/>
  <c r="K1035" i="2" s="1"/>
  <c r="L1035" i="2" s="1"/>
  <c r="M1036" i="2" s="1"/>
  <c r="I1037" i="2"/>
  <c r="S1037" i="2" l="1"/>
  <c r="Q1038" i="2"/>
  <c r="T912" i="2"/>
  <c r="R913" i="2"/>
  <c r="J1037" i="2"/>
  <c r="K1036" i="2" s="1"/>
  <c r="L1036" i="2" s="1"/>
  <c r="M1037" i="2" s="1"/>
  <c r="I1038" i="2"/>
  <c r="N1037" i="2"/>
  <c r="S1038" i="2" l="1"/>
  <c r="Q1039" i="2"/>
  <c r="T913" i="2"/>
  <c r="R914" i="2"/>
  <c r="I1039" i="2"/>
  <c r="J1038" i="2"/>
  <c r="K1037" i="2" s="1"/>
  <c r="L1037" i="2" s="1"/>
  <c r="M1038" i="2" s="1"/>
  <c r="N1038" i="2"/>
  <c r="S1039" i="2" l="1"/>
  <c r="Q1040" i="2"/>
  <c r="T914" i="2"/>
  <c r="R915" i="2"/>
  <c r="I1040" i="2"/>
  <c r="J1039" i="2"/>
  <c r="K1038" i="2" s="1"/>
  <c r="L1038" i="2" s="1"/>
  <c r="M1039" i="2" s="1"/>
  <c r="N1039" i="2"/>
  <c r="S1040" i="2" l="1"/>
  <c r="Q1041" i="2"/>
  <c r="T915" i="2"/>
  <c r="R916" i="2"/>
  <c r="N1040" i="2"/>
  <c r="J1040" i="2"/>
  <c r="K1039" i="2" s="1"/>
  <c r="L1039" i="2" s="1"/>
  <c r="M1040" i="2" s="1"/>
  <c r="I1041" i="2"/>
  <c r="S1041" i="2" l="1"/>
  <c r="Q1042" i="2"/>
  <c r="R917" i="2"/>
  <c r="T916" i="2"/>
  <c r="N1041" i="2"/>
  <c r="J1041" i="2"/>
  <c r="K1040" i="2" s="1"/>
  <c r="L1040" i="2" s="1"/>
  <c r="M1041" i="2" s="1"/>
  <c r="I1042" i="2"/>
  <c r="S1042" i="2" l="1"/>
  <c r="Q1043" i="2"/>
  <c r="T917" i="2"/>
  <c r="R918" i="2"/>
  <c r="I1043" i="2"/>
  <c r="J1042" i="2"/>
  <c r="K1041" i="2" s="1"/>
  <c r="L1041" i="2" s="1"/>
  <c r="M1042" i="2" s="1"/>
  <c r="N1042" i="2"/>
  <c r="S1043" i="2" l="1"/>
  <c r="Q1044" i="2"/>
  <c r="T918" i="2"/>
  <c r="R919" i="2"/>
  <c r="N1043" i="2"/>
  <c r="J1043" i="2"/>
  <c r="K1042" i="2" s="1"/>
  <c r="L1042" i="2" s="1"/>
  <c r="M1043" i="2" s="1"/>
  <c r="I1044" i="2"/>
  <c r="S1044" i="2" l="1"/>
  <c r="Q1045" i="2"/>
  <c r="R920" i="2"/>
  <c r="T919" i="2"/>
  <c r="N1044" i="2"/>
  <c r="J1044" i="2"/>
  <c r="K1043" i="2" s="1"/>
  <c r="L1043" i="2" s="1"/>
  <c r="M1044" i="2" s="1"/>
  <c r="I1045" i="2"/>
  <c r="S1045" i="2" l="1"/>
  <c r="Q1046" i="2"/>
  <c r="R921" i="2"/>
  <c r="T920" i="2"/>
  <c r="I1046" i="2"/>
  <c r="N1045" i="2"/>
  <c r="J1045" i="2"/>
  <c r="K1044" i="2" s="1"/>
  <c r="L1044" i="2" s="1"/>
  <c r="M1045" i="2" s="1"/>
  <c r="S1046" i="2" l="1"/>
  <c r="Q1047" i="2"/>
  <c r="R922" i="2"/>
  <c r="T921" i="2"/>
  <c r="I1047" i="2"/>
  <c r="N1046" i="2"/>
  <c r="J1046" i="2"/>
  <c r="K1045" i="2" s="1"/>
  <c r="L1045" i="2" s="1"/>
  <c r="M1046" i="2" s="1"/>
  <c r="S1047" i="2" l="1"/>
  <c r="Q1048" i="2"/>
  <c r="T922" i="2"/>
  <c r="R923" i="2"/>
  <c r="J1047" i="2"/>
  <c r="K1046" i="2" s="1"/>
  <c r="L1046" i="2" s="1"/>
  <c r="M1047" i="2" s="1"/>
  <c r="I1048" i="2"/>
  <c r="N1047" i="2"/>
  <c r="S1048" i="2" l="1"/>
  <c r="Q1049" i="2"/>
  <c r="R924" i="2"/>
  <c r="T923" i="2"/>
  <c r="I1049" i="2"/>
  <c r="J1048" i="2"/>
  <c r="K1047" i="2" s="1"/>
  <c r="L1047" i="2" s="1"/>
  <c r="M1048" i="2" s="1"/>
  <c r="N1048" i="2"/>
  <c r="S1049" i="2" l="1"/>
  <c r="Q1050" i="2"/>
  <c r="R925" i="2"/>
  <c r="T924" i="2"/>
  <c r="I1050" i="2"/>
  <c r="N1049" i="2"/>
  <c r="J1049" i="2"/>
  <c r="K1048" i="2" s="1"/>
  <c r="L1048" i="2" s="1"/>
  <c r="M1049" i="2" s="1"/>
  <c r="S1050" i="2" l="1"/>
  <c r="Q1051" i="2"/>
  <c r="T925" i="2"/>
  <c r="R926" i="2"/>
  <c r="J1050" i="2"/>
  <c r="K1049" i="2" s="1"/>
  <c r="L1049" i="2" s="1"/>
  <c r="M1050" i="2" s="1"/>
  <c r="I1051" i="2"/>
  <c r="N1050" i="2"/>
  <c r="S1051" i="2" l="1"/>
  <c r="Q1052" i="2"/>
  <c r="T926" i="2"/>
  <c r="R927" i="2"/>
  <c r="N1051" i="2"/>
  <c r="J1051" i="2"/>
  <c r="K1050" i="2" s="1"/>
  <c r="L1050" i="2" s="1"/>
  <c r="M1051" i="2" s="1"/>
  <c r="I1052" i="2"/>
  <c r="S1052" i="2" l="1"/>
  <c r="Q1053" i="2"/>
  <c r="T927" i="2"/>
  <c r="R928" i="2"/>
  <c r="N1052" i="2"/>
  <c r="I1053" i="2"/>
  <c r="J1052" i="2"/>
  <c r="K1051" i="2" s="1"/>
  <c r="L1051" i="2" s="1"/>
  <c r="M1052" i="2" s="1"/>
  <c r="S1053" i="2" l="1"/>
  <c r="Q1054" i="2"/>
  <c r="T928" i="2"/>
  <c r="R929" i="2"/>
  <c r="I1054" i="2"/>
  <c r="J1053" i="2"/>
  <c r="K1052" i="2" s="1"/>
  <c r="L1052" i="2" s="1"/>
  <c r="M1053" i="2" s="1"/>
  <c r="N1053" i="2"/>
  <c r="S1054" i="2" l="1"/>
  <c r="Q1055" i="2"/>
  <c r="T929" i="2"/>
  <c r="R930" i="2"/>
  <c r="N1054" i="2"/>
  <c r="I1055" i="2"/>
  <c r="J1054" i="2"/>
  <c r="K1053" i="2" s="1"/>
  <c r="L1053" i="2" s="1"/>
  <c r="M1054" i="2" s="1"/>
  <c r="S1055" i="2" l="1"/>
  <c r="Q1056" i="2"/>
  <c r="T930" i="2"/>
  <c r="R931" i="2"/>
  <c r="N1055" i="2"/>
  <c r="J1055" i="2"/>
  <c r="K1054" i="2" s="1"/>
  <c r="L1054" i="2" s="1"/>
  <c r="M1055" i="2" s="1"/>
  <c r="I1056" i="2"/>
  <c r="S1056" i="2" l="1"/>
  <c r="Q1057" i="2"/>
  <c r="T931" i="2"/>
  <c r="R932" i="2"/>
  <c r="I1057" i="2"/>
  <c r="J1056" i="2"/>
  <c r="K1055" i="2" s="1"/>
  <c r="L1055" i="2" s="1"/>
  <c r="M1056" i="2" s="1"/>
  <c r="N1056" i="2"/>
  <c r="S1057" i="2" l="1"/>
  <c r="Q1058" i="2"/>
  <c r="R933" i="2"/>
  <c r="T932" i="2"/>
  <c r="I1058" i="2"/>
  <c r="N1057" i="2"/>
  <c r="J1057" i="2"/>
  <c r="K1056" i="2" s="1"/>
  <c r="L1056" i="2" s="1"/>
  <c r="M1057" i="2" s="1"/>
  <c r="S1058" i="2" l="1"/>
  <c r="Q1059" i="2"/>
  <c r="T933" i="2"/>
  <c r="R934" i="2"/>
  <c r="J1058" i="2"/>
  <c r="K1057" i="2" s="1"/>
  <c r="L1057" i="2" s="1"/>
  <c r="M1058" i="2" s="1"/>
  <c r="I1059" i="2"/>
  <c r="N1058" i="2"/>
  <c r="S1059" i="2" l="1"/>
  <c r="Q1060" i="2"/>
  <c r="R935" i="2"/>
  <c r="T934" i="2"/>
  <c r="N1059" i="2"/>
  <c r="J1059" i="2"/>
  <c r="K1058" i="2" s="1"/>
  <c r="L1058" i="2" s="1"/>
  <c r="M1059" i="2" s="1"/>
  <c r="I1060" i="2"/>
  <c r="S1060" i="2" l="1"/>
  <c r="Q1061" i="2"/>
  <c r="R936" i="2"/>
  <c r="T935" i="2"/>
  <c r="I1061" i="2"/>
  <c r="J1060" i="2"/>
  <c r="K1059" i="2" s="1"/>
  <c r="L1059" i="2" s="1"/>
  <c r="M1060" i="2" s="1"/>
  <c r="N1060" i="2"/>
  <c r="S1061" i="2" l="1"/>
  <c r="Q1062" i="2"/>
  <c r="R937" i="2"/>
  <c r="T936" i="2"/>
  <c r="N1061" i="2"/>
  <c r="J1061" i="2"/>
  <c r="K1060" i="2" s="1"/>
  <c r="L1060" i="2" s="1"/>
  <c r="M1061" i="2" s="1"/>
  <c r="I1062" i="2"/>
  <c r="S1062" i="2" l="1"/>
  <c r="Q1063" i="2"/>
  <c r="T937" i="2"/>
  <c r="R938" i="2"/>
  <c r="I1063" i="2"/>
  <c r="N1062" i="2"/>
  <c r="J1062" i="2"/>
  <c r="K1061" i="2" s="1"/>
  <c r="L1061" i="2" s="1"/>
  <c r="M1062" i="2" s="1"/>
  <c r="S1063" i="2" l="1"/>
  <c r="Q1064" i="2"/>
  <c r="R939" i="2"/>
  <c r="T938" i="2"/>
  <c r="N1063" i="2"/>
  <c r="J1063" i="2"/>
  <c r="K1062" i="2" s="1"/>
  <c r="L1062" i="2" s="1"/>
  <c r="M1063" i="2" s="1"/>
  <c r="I1064" i="2"/>
  <c r="S1064" i="2" l="1"/>
  <c r="Q1065" i="2"/>
  <c r="T939" i="2"/>
  <c r="R940" i="2"/>
  <c r="J1064" i="2"/>
  <c r="K1063" i="2" s="1"/>
  <c r="L1063" i="2" s="1"/>
  <c r="M1064" i="2" s="1"/>
  <c r="I1065" i="2"/>
  <c r="N1064" i="2"/>
  <c r="S1065" i="2" l="1"/>
  <c r="Q1066" i="2"/>
  <c r="T940" i="2"/>
  <c r="R941" i="2"/>
  <c r="N1065" i="2"/>
  <c r="J1065" i="2"/>
  <c r="K1064" i="2" s="1"/>
  <c r="L1064" i="2" s="1"/>
  <c r="M1065" i="2" s="1"/>
  <c r="I1066" i="2"/>
  <c r="S1066" i="2" l="1"/>
  <c r="Q1067" i="2"/>
  <c r="T941" i="2"/>
  <c r="R942" i="2"/>
  <c r="I1067" i="2"/>
  <c r="J1066" i="2"/>
  <c r="K1065" i="2" s="1"/>
  <c r="L1065" i="2" s="1"/>
  <c r="M1066" i="2" s="1"/>
  <c r="N1066" i="2"/>
  <c r="S1067" i="2" l="1"/>
  <c r="Q1068" i="2"/>
  <c r="T942" i="2"/>
  <c r="R943" i="2"/>
  <c r="N1067" i="2"/>
  <c r="J1067" i="2"/>
  <c r="K1066" i="2" s="1"/>
  <c r="L1066" i="2" s="1"/>
  <c r="M1067" i="2" s="1"/>
  <c r="I1068" i="2"/>
  <c r="S1068" i="2" l="1"/>
  <c r="Q1069" i="2"/>
  <c r="T943" i="2"/>
  <c r="R944" i="2"/>
  <c r="N1068" i="2"/>
  <c r="J1068" i="2"/>
  <c r="K1067" i="2" s="1"/>
  <c r="L1067" i="2" s="1"/>
  <c r="M1068" i="2" s="1"/>
  <c r="I1069" i="2"/>
  <c r="S1069" i="2" l="1"/>
  <c r="Q1070" i="2"/>
  <c r="T944" i="2"/>
  <c r="R945" i="2"/>
  <c r="N1069" i="2"/>
  <c r="J1069" i="2"/>
  <c r="K1068" i="2" s="1"/>
  <c r="L1068" i="2" s="1"/>
  <c r="M1069" i="2" s="1"/>
  <c r="I1070" i="2"/>
  <c r="S1070" i="2" l="1"/>
  <c r="Q1071" i="2"/>
  <c r="T945" i="2"/>
  <c r="R946" i="2"/>
  <c r="I1071" i="2"/>
  <c r="N1070" i="2"/>
  <c r="J1070" i="2"/>
  <c r="K1069" i="2" s="1"/>
  <c r="L1069" i="2" s="1"/>
  <c r="M1070" i="2" s="1"/>
  <c r="S1071" i="2" l="1"/>
  <c r="Q1072" i="2"/>
  <c r="T946" i="2"/>
  <c r="R947" i="2"/>
  <c r="N1071" i="2"/>
  <c r="J1071" i="2"/>
  <c r="K1070" i="2" s="1"/>
  <c r="L1070" i="2" s="1"/>
  <c r="M1071" i="2" s="1"/>
  <c r="I1072" i="2"/>
  <c r="S1072" i="2" l="1"/>
  <c r="Q1073" i="2"/>
  <c r="T947" i="2"/>
  <c r="R948" i="2"/>
  <c r="L1072" i="2"/>
  <c r="J1072" i="2"/>
  <c r="K1071" i="2" s="1"/>
  <c r="L1071" i="2" s="1"/>
  <c r="M1072" i="2" s="1"/>
  <c r="N1072" i="2"/>
  <c r="S1073" i="2" l="1"/>
  <c r="Q1074" i="2"/>
  <c r="R949" i="2"/>
  <c r="T948" i="2"/>
  <c r="S1074" i="2" l="1"/>
  <c r="R950" i="2"/>
  <c r="T949" i="2"/>
  <c r="T950" i="2" l="1"/>
  <c r="R951" i="2"/>
  <c r="T951" i="2" l="1"/>
  <c r="R952" i="2"/>
  <c r="T952" i="2" l="1"/>
  <c r="R953" i="2"/>
  <c r="T953" i="2" l="1"/>
  <c r="R954" i="2"/>
  <c r="T954" i="2" l="1"/>
  <c r="R955" i="2"/>
  <c r="R956" i="2" l="1"/>
  <c r="T955" i="2"/>
  <c r="R957" i="2" l="1"/>
  <c r="T956" i="2"/>
  <c r="R958" i="2" l="1"/>
  <c r="T957" i="2"/>
  <c r="T958" i="2" l="1"/>
  <c r="R959" i="2"/>
  <c r="T959" i="2" l="1"/>
  <c r="R960" i="2"/>
  <c r="R961" i="2" l="1"/>
  <c r="T960" i="2"/>
  <c r="T961" i="2" l="1"/>
  <c r="R962" i="2"/>
  <c r="R963" i="2" l="1"/>
  <c r="T962" i="2"/>
  <c r="T963" i="2" l="1"/>
  <c r="R964" i="2"/>
  <c r="R965" i="2" l="1"/>
  <c r="T964" i="2"/>
  <c r="T965" i="2" l="1"/>
  <c r="R966" i="2"/>
  <c r="T966" i="2" l="1"/>
  <c r="R967" i="2"/>
  <c r="R968" i="2" l="1"/>
  <c r="T967" i="2"/>
  <c r="T968" i="2" l="1"/>
  <c r="R969" i="2"/>
  <c r="T969" i="2" l="1"/>
  <c r="R970" i="2"/>
  <c r="T970" i="2" l="1"/>
  <c r="R971" i="2"/>
  <c r="T971" i="2" l="1"/>
  <c r="R972" i="2"/>
  <c r="T972" i="2" l="1"/>
  <c r="R973" i="2"/>
  <c r="R974" i="2" l="1"/>
  <c r="T973" i="2"/>
  <c r="R975" i="2" l="1"/>
  <c r="T974" i="2"/>
  <c r="R976" i="2" l="1"/>
  <c r="T975" i="2"/>
  <c r="R977" i="2" l="1"/>
  <c r="T976" i="2"/>
  <c r="T977" i="2" l="1"/>
  <c r="R978" i="2"/>
  <c r="R979" i="2" l="1"/>
  <c r="T978" i="2"/>
  <c r="T979" i="2" l="1"/>
  <c r="R980" i="2"/>
  <c r="T980" i="2" l="1"/>
  <c r="R981" i="2"/>
  <c r="T981" i="2" l="1"/>
  <c r="R982" i="2"/>
  <c r="R983" i="2" l="1"/>
  <c r="T982" i="2"/>
  <c r="R984" i="2" l="1"/>
  <c r="T983" i="2"/>
  <c r="T984" i="2" l="1"/>
  <c r="R985" i="2"/>
  <c r="R986" i="2" l="1"/>
  <c r="T985" i="2"/>
  <c r="R987" i="2" l="1"/>
  <c r="T986" i="2"/>
  <c r="T987" i="2" l="1"/>
  <c r="R988" i="2"/>
  <c r="T988" i="2" l="1"/>
  <c r="R989" i="2"/>
  <c r="T989" i="2" l="1"/>
  <c r="R990" i="2"/>
  <c r="T990" i="2" l="1"/>
  <c r="R991" i="2"/>
  <c r="T991" i="2" l="1"/>
  <c r="R992" i="2"/>
  <c r="T992" i="2" l="1"/>
  <c r="R993" i="2"/>
  <c r="T993" i="2" l="1"/>
  <c r="R994" i="2"/>
  <c r="T994" i="2" l="1"/>
  <c r="R995" i="2"/>
  <c r="R996" i="2" l="1"/>
  <c r="T995" i="2"/>
  <c r="R997" i="2" l="1"/>
  <c r="T996" i="2"/>
  <c r="R998" i="2" l="1"/>
  <c r="T997" i="2"/>
  <c r="R999" i="2" l="1"/>
  <c r="T998" i="2"/>
  <c r="R1000" i="2" l="1"/>
  <c r="T999" i="2"/>
  <c r="R1001" i="2" l="1"/>
  <c r="T1000" i="2"/>
  <c r="R1002" i="2" l="1"/>
  <c r="T1001" i="2"/>
  <c r="T1002" i="2" l="1"/>
  <c r="R1003" i="2"/>
  <c r="R1004" i="2" l="1"/>
  <c r="T1003" i="2"/>
  <c r="R1005" i="2" l="1"/>
  <c r="T1004" i="2"/>
  <c r="R1006" i="2" l="1"/>
  <c r="T1005" i="2"/>
  <c r="T1006" i="2" l="1"/>
  <c r="R1007" i="2"/>
  <c r="R1008" i="2" l="1"/>
  <c r="T1007" i="2"/>
  <c r="R1009" i="2" l="1"/>
  <c r="T1008" i="2"/>
  <c r="R1010" i="2" l="1"/>
  <c r="T1009" i="2"/>
  <c r="T1010" i="2" l="1"/>
  <c r="R1011" i="2"/>
  <c r="R1012" i="2" l="1"/>
  <c r="T1011" i="2"/>
  <c r="T1012" i="2" l="1"/>
  <c r="R1013" i="2"/>
  <c r="R1014" i="2" l="1"/>
  <c r="T1013" i="2"/>
  <c r="T1014" i="2" l="1"/>
  <c r="R1015" i="2"/>
  <c r="T1015" i="2" l="1"/>
  <c r="R1016" i="2"/>
  <c r="T1016" i="2" l="1"/>
  <c r="R1017" i="2"/>
  <c r="R1018" i="2" l="1"/>
  <c r="T1017" i="2"/>
  <c r="R1019" i="2" l="1"/>
  <c r="T1018" i="2"/>
  <c r="T1019" i="2" l="1"/>
  <c r="R1020" i="2"/>
  <c r="T1020" i="2" l="1"/>
  <c r="R1021" i="2"/>
  <c r="R1022" i="2" l="1"/>
  <c r="T1021" i="2"/>
  <c r="R1023" i="2" l="1"/>
  <c r="T1022" i="2"/>
  <c r="R1024" i="2" l="1"/>
  <c r="T1023" i="2"/>
  <c r="R1025" i="2" l="1"/>
  <c r="T1024" i="2"/>
  <c r="T1025" i="2" l="1"/>
  <c r="R1026" i="2"/>
  <c r="T1026" i="2" l="1"/>
  <c r="R1027" i="2"/>
  <c r="R1028" i="2" l="1"/>
  <c r="T1027" i="2"/>
  <c r="T1028" i="2" l="1"/>
  <c r="R1029" i="2"/>
  <c r="R1030" i="2" l="1"/>
  <c r="T1029" i="2"/>
  <c r="T1030" i="2" l="1"/>
  <c r="R1031" i="2"/>
  <c r="T1031" i="2" l="1"/>
  <c r="R1032" i="2"/>
  <c r="T1032" i="2" l="1"/>
  <c r="R1033" i="2"/>
  <c r="R1034" i="2" l="1"/>
  <c r="T1033" i="2"/>
  <c r="T1034" i="2" l="1"/>
  <c r="R1035" i="2"/>
  <c r="T1035" i="2" l="1"/>
  <c r="R1036" i="2"/>
  <c r="R1037" i="2" l="1"/>
  <c r="T1036" i="2"/>
  <c r="T1037" i="2" l="1"/>
  <c r="R1038" i="2"/>
  <c r="R1039" i="2" l="1"/>
  <c r="T1038" i="2"/>
  <c r="T1039" i="2" l="1"/>
  <c r="R1040" i="2"/>
  <c r="T1040" i="2" l="1"/>
  <c r="R1041" i="2"/>
  <c r="R1042" i="2" l="1"/>
  <c r="T1041" i="2"/>
  <c r="R1043" i="2" l="1"/>
  <c r="T1042" i="2"/>
  <c r="R1044" i="2" l="1"/>
  <c r="T1043" i="2"/>
  <c r="T1044" i="2" l="1"/>
  <c r="R1045" i="2"/>
  <c r="T1045" i="2" l="1"/>
  <c r="R1046" i="2"/>
  <c r="R1047" i="2" l="1"/>
  <c r="T1046" i="2"/>
  <c r="R1048" i="2" l="1"/>
  <c r="T1047" i="2"/>
  <c r="T1048" i="2" l="1"/>
  <c r="R1049" i="2"/>
  <c r="R1050" i="2" l="1"/>
  <c r="T1049" i="2"/>
  <c r="R1051" i="2" l="1"/>
  <c r="T1050" i="2"/>
  <c r="T1051" i="2" l="1"/>
  <c r="R1052" i="2"/>
  <c r="T1052" i="2" l="1"/>
  <c r="R1053" i="2"/>
  <c r="R1054" i="2" l="1"/>
  <c r="T1053" i="2"/>
  <c r="R1055" i="2" l="1"/>
  <c r="T1054" i="2"/>
  <c r="R1056" i="2" l="1"/>
  <c r="T1055" i="2"/>
  <c r="T1056" i="2" l="1"/>
  <c r="R1057" i="2"/>
  <c r="R1058" i="2" l="1"/>
  <c r="T1057" i="2"/>
  <c r="T1058" i="2" l="1"/>
  <c r="R1059" i="2"/>
  <c r="T1059" i="2" l="1"/>
  <c r="R1060" i="2"/>
  <c r="R1061" i="2" l="1"/>
  <c r="T1060" i="2"/>
  <c r="R1062" i="2" l="1"/>
  <c r="T1061" i="2"/>
  <c r="T1062" i="2" l="1"/>
  <c r="R1063" i="2"/>
  <c r="T1063" i="2" l="1"/>
  <c r="R1064" i="2"/>
  <c r="T1064" i="2" l="1"/>
  <c r="R1065" i="2"/>
  <c r="T1065" i="2" l="1"/>
  <c r="R1066" i="2"/>
  <c r="R1067" i="2" l="1"/>
  <c r="T1066" i="2"/>
  <c r="T1067" i="2" l="1"/>
  <c r="R1068" i="2"/>
  <c r="R1069" i="2" l="1"/>
  <c r="T1068" i="2"/>
  <c r="R1070" i="2" l="1"/>
  <c r="T1069" i="2"/>
  <c r="R1071" i="2" l="1"/>
  <c r="T1070" i="2"/>
  <c r="R1072" i="2" l="1"/>
  <c r="T1071" i="2"/>
  <c r="T1072" i="2" l="1"/>
  <c r="R1073" i="2"/>
  <c r="T1073" i="2" l="1"/>
  <c r="R1074" i="2"/>
  <c r="T1074" i="2" s="1"/>
  <c r="T14" i="2"/>
  <c r="M6" i="2" l="1"/>
  <c r="S8" i="2"/>
  <c r="L10" i="1" s="1"/>
  <c r="L10" i="4" s="1"/>
  <c r="P8" i="2"/>
  <c r="I8" i="4" l="1"/>
  <c r="I10" i="4" s="1"/>
  <c r="F6" i="1"/>
  <c r="F6" i="4"/>
  <c r="I8" i="1"/>
  <c r="I10" i="1" s="1"/>
</calcChain>
</file>

<file path=xl/sharedStrings.xml><?xml version="1.0" encoding="utf-8"?>
<sst xmlns="http://schemas.openxmlformats.org/spreadsheetml/2006/main" count="118" uniqueCount="63">
  <si>
    <t>Seguro de Rentas Vitalicias</t>
  </si>
  <si>
    <t>Moneda</t>
  </si>
  <si>
    <t>Pesos</t>
  </si>
  <si>
    <t>Caso 1</t>
  </si>
  <si>
    <t>Caso 2</t>
  </si>
  <si>
    <t>Edad Contratación</t>
  </si>
  <si>
    <t>Valor Anualidad</t>
  </si>
  <si>
    <t>¿Cuánto pagarás de prima única?</t>
  </si>
  <si>
    <t>¿Cuánto quieres recibir de Renta Mensual?</t>
  </si>
  <si>
    <t>Plazo del Seguro (w-x)</t>
  </si>
  <si>
    <t>Tasa interes técnico</t>
  </si>
  <si>
    <t>Recibirás una Renta Mensual de:</t>
  </si>
  <si>
    <t>¿Cuánto quieres recibir de Renta Anual?</t>
  </si>
  <si>
    <t>Tasa mensual</t>
  </si>
  <si>
    <t>Recibirás una Renta Anual de:</t>
  </si>
  <si>
    <t>Debes pagar como Prima Única:</t>
  </si>
  <si>
    <t>Edad</t>
  </si>
  <si>
    <t xml:space="preserve">CNSF 2000-I </t>
  </si>
  <si>
    <t>qx</t>
  </si>
  <si>
    <t>lx</t>
  </si>
  <si>
    <t>dx</t>
  </si>
  <si>
    <t>px</t>
  </si>
  <si>
    <t>Recibirás de Renta Anual:</t>
  </si>
  <si>
    <t>suma de flujos mensuales</t>
  </si>
  <si>
    <t>t</t>
  </si>
  <si>
    <t>(x)</t>
  </si>
  <si>
    <r>
      <rPr>
        <b/>
        <sz val="10"/>
        <color theme="1"/>
        <rFont val="Arial"/>
        <family val="2"/>
      </rPr>
      <t>q</t>
    </r>
    <r>
      <rPr>
        <b/>
        <sz val="6"/>
        <color theme="1"/>
        <rFont val="Arial"/>
        <family val="2"/>
      </rPr>
      <t>x+t</t>
    </r>
  </si>
  <si>
    <r>
      <rPr>
        <b/>
        <sz val="10"/>
        <color theme="1"/>
        <rFont val="Arial"/>
        <family val="2"/>
      </rPr>
      <t>p</t>
    </r>
    <r>
      <rPr>
        <b/>
        <sz val="6"/>
        <color theme="1"/>
        <rFont val="Arial"/>
        <family val="2"/>
      </rPr>
      <t>x</t>
    </r>
  </si>
  <si>
    <r>
      <rPr>
        <b/>
        <sz val="6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p</t>
    </r>
    <r>
      <rPr>
        <b/>
        <sz val="6"/>
        <color theme="1"/>
        <rFont val="Arial"/>
        <family val="2"/>
      </rPr>
      <t>x</t>
    </r>
  </si>
  <si>
    <t>V^t</t>
  </si>
  <si>
    <t>s</t>
  </si>
  <si>
    <r>
      <rPr>
        <b/>
        <sz val="7"/>
        <color theme="1"/>
        <rFont val="Arial"/>
        <family val="2"/>
      </rPr>
      <t>s</t>
    </r>
    <r>
      <rPr>
        <b/>
        <sz val="10"/>
        <color theme="1"/>
        <rFont val="Arial"/>
        <family val="2"/>
      </rPr>
      <t>p</t>
    </r>
    <r>
      <rPr>
        <b/>
        <sz val="6"/>
        <color theme="1"/>
        <rFont val="Arial"/>
        <family val="2"/>
      </rPr>
      <t>x</t>
    </r>
  </si>
  <si>
    <t>V^s</t>
  </si>
  <si>
    <t>Flujo Anualidad</t>
  </si>
  <si>
    <t>suma flujo anualidad</t>
  </si>
  <si>
    <r>
      <rPr>
        <b/>
        <sz val="10"/>
        <color theme="1"/>
        <rFont val="Arial"/>
        <family val="2"/>
      </rPr>
      <t>q</t>
    </r>
    <r>
      <rPr>
        <b/>
        <sz val="6"/>
        <color theme="1"/>
        <rFont val="Arial"/>
        <family val="2"/>
      </rPr>
      <t>x+t</t>
    </r>
  </si>
  <si>
    <r>
      <rPr>
        <b/>
        <sz val="10"/>
        <color theme="1"/>
        <rFont val="Arial"/>
        <family val="2"/>
      </rPr>
      <t>p</t>
    </r>
    <r>
      <rPr>
        <b/>
        <sz val="6"/>
        <color theme="1"/>
        <rFont val="Arial"/>
        <family val="2"/>
      </rPr>
      <t>x</t>
    </r>
  </si>
  <si>
    <r>
      <rPr>
        <b/>
        <sz val="6"/>
        <color theme="1"/>
        <rFont val="Arial"/>
        <family val="2"/>
      </rPr>
      <t>t</t>
    </r>
    <r>
      <rPr>
        <b/>
        <sz val="10"/>
        <color theme="1"/>
        <rFont val="Arial"/>
        <family val="2"/>
      </rPr>
      <t>p</t>
    </r>
    <r>
      <rPr>
        <b/>
        <sz val="6"/>
        <color theme="1"/>
        <rFont val="Arial"/>
        <family val="2"/>
      </rPr>
      <t>x</t>
    </r>
  </si>
  <si>
    <r>
      <rPr>
        <b/>
        <sz val="7"/>
        <color theme="1"/>
        <rFont val="Arial"/>
        <family val="2"/>
      </rPr>
      <t>s</t>
    </r>
    <r>
      <rPr>
        <b/>
        <sz val="10"/>
        <color theme="1"/>
        <rFont val="Arial"/>
        <family val="2"/>
      </rPr>
      <t>p</t>
    </r>
    <r>
      <rPr>
        <b/>
        <sz val="6"/>
        <color theme="1"/>
        <rFont val="Arial"/>
        <family val="2"/>
      </rPr>
      <t>x</t>
    </r>
  </si>
  <si>
    <t>Recibirás de Renta Mensual:</t>
  </si>
  <si>
    <t>¿Cuánto desea recibir de Renta Mensual?</t>
  </si>
  <si>
    <t>¿Cuánto pagará de prima única?</t>
  </si>
  <si>
    <t>Gastos Administración</t>
  </si>
  <si>
    <t>Gastos Adquisición</t>
  </si>
  <si>
    <t>Margen Utilidades</t>
  </si>
  <si>
    <t>Debes pagar de Prima Tarifa</t>
  </si>
  <si>
    <t>Calculo de Prima Tarifa</t>
  </si>
  <si>
    <t>Calculo de Prima Única de Riesgo</t>
  </si>
  <si>
    <t>Calculo de Renta Anual</t>
  </si>
  <si>
    <t>Calculo de de Renta Mensual</t>
  </si>
  <si>
    <t>G</t>
  </si>
  <si>
    <t>M</t>
  </si>
  <si>
    <t>E</t>
  </si>
  <si>
    <t>N</t>
  </si>
  <si>
    <t>S</t>
  </si>
  <si>
    <t>U</t>
  </si>
  <si>
    <t>A</t>
  </si>
  <si>
    <t>L</t>
  </si>
  <si>
    <t>I</t>
  </si>
  <si>
    <t>D</t>
  </si>
  <si>
    <t>R</t>
  </si>
  <si>
    <t>T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</si>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</sst>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$&quot;* #,##0.00_-;\-&quot;$&quot;* #,##0.00_-;_-&quot;$&quot;* &quot;-&quot;??_-;_-@_-"/>
    <numFmt numFmtId="164" formatCode="0.000000"/>
    <numFmt numFmtId="165" formatCode="0.00000"/>
    <numFmt numFmtId="166" formatCode="_-&quot;$&quot;* #,##0.00_-;\-&quot;$&quot;* #,##0.00_-;_-&quot;$&quot;* &quot;-&quot;??_-;_-@"/>
    <numFmt numFmtId="167" formatCode="0.0000000"/>
    <numFmt numFmtId="168" formatCode="_-* #,##0.000_-;\-* #,##0.000_-;_-* &quot;-&quot;??_-;_-@"/>
    <numFmt numFmtId="169" formatCode="_-* #,##0.00_-;\-* #,##0.00_-;_-* &quot;-&quot;??_-;_-@"/>
    <numFmt numFmtId="170" formatCode="_-* #,##0.000000_-;\-* #,##0.000000_-;_-* &quot;-&quot;??_-;_-@"/>
    <numFmt numFmtId="171" formatCode="0.000"/>
    <numFmt numFmtId="172" formatCode="0.0000"/>
    <numFmt numFmtId="173" formatCode="0.000000000"/>
    <numFmt numFmtId="174" formatCode="_-* #,##0.000000000_-;\-* #,##0.000000000_-;_-* &quot;-&quot;??_-;_-@"/>
    <numFmt numFmtId="175" formatCode="_-* #,##0.000000_-;\-* #,##0.000000_-;_-* &quot;-&quot;???_-;_-@"/>
    <numFmt numFmtId="176" formatCode="_-* #,##0_-;\-* #,##0_-;_-* &quot;-&quot;???_-;_-@"/>
    <numFmt numFmtId="177" formatCode="_-&quot;$&quot;* #,##0_-;\-&quot;$&quot;* #,##0_-;_-&quot;$&quot;* &quot;-&quot;??_-;_-@"/>
  </numFmts>
  <fonts count="32" x14ac:knownFonts="1">
    <font>
      <sz val="11"/>
      <color theme="1"/>
      <name val="aptos narrow"/>
      <scheme val="minor"/>
    </font>
    <font>
      <b/>
      <sz val="18"/>
      <color theme="1"/>
      <name val="Aptos Narrow"/>
      <family val="2"/>
    </font>
    <font>
      <sz val="11"/>
      <color theme="1"/>
      <name val="Aptos Narrow"/>
      <family val="2"/>
    </font>
    <font>
      <sz val="8"/>
      <color theme="0"/>
      <name val="Arial"/>
      <family val="2"/>
    </font>
    <font>
      <sz val="10"/>
      <color theme="1"/>
      <name val="Arial"/>
      <family val="2"/>
    </font>
    <font>
      <b/>
      <sz val="12"/>
      <color theme="1"/>
      <name val="Aptos Narrow"/>
      <family val="2"/>
    </font>
    <font>
      <sz val="11"/>
      <color theme="1"/>
      <name val="Arial"/>
      <family val="2"/>
    </font>
    <font>
      <b/>
      <sz val="7"/>
      <color theme="1"/>
      <name val="Arial"/>
      <family val="2"/>
    </font>
    <font>
      <b/>
      <sz val="7"/>
      <color theme="1"/>
      <name val="Aptos Narrow"/>
      <family val="2"/>
    </font>
    <font>
      <sz val="7"/>
      <color theme="1"/>
      <name val="Aptos Narrow"/>
      <family val="2"/>
    </font>
    <font>
      <sz val="7"/>
      <color theme="1"/>
      <name val="Arial"/>
      <family val="2"/>
    </font>
    <font>
      <sz val="11"/>
      <color theme="0"/>
      <name val="Aptos Narrow"/>
      <family val="2"/>
    </font>
    <font>
      <b/>
      <sz val="10"/>
      <color theme="1"/>
      <name val="Arial"/>
      <family val="2"/>
    </font>
    <font>
      <b/>
      <sz val="8"/>
      <color rgb="FFFF0000"/>
      <name val="Arial"/>
      <family val="2"/>
    </font>
    <font>
      <b/>
      <sz val="10"/>
      <color rgb="FFFF0000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</font>
    <font>
      <b/>
      <sz val="16"/>
      <color theme="1"/>
      <name val="Arial"/>
      <family val="2"/>
    </font>
    <font>
      <b/>
      <sz val="8"/>
      <color theme="0"/>
      <name val="Arial"/>
      <family val="2"/>
    </font>
    <font>
      <b/>
      <sz val="11"/>
      <color theme="1"/>
      <name val="Aptos Narrow"/>
      <family val="2"/>
    </font>
    <font>
      <sz val="11"/>
      <color rgb="FF3A7D22"/>
      <name val="Aptos Narrow"/>
      <family val="2"/>
    </font>
    <font>
      <sz val="11"/>
      <color theme="1"/>
      <name val="aptos narrow"/>
      <family val="2"/>
      <scheme val="minor"/>
    </font>
    <font>
      <b/>
      <sz val="6"/>
      <color theme="1"/>
      <name val="Arial"/>
      <family val="2"/>
    </font>
    <font>
      <b/>
      <sz val="10"/>
      <name val="Arial"/>
      <family val="2"/>
    </font>
    <font>
      <sz val="8"/>
      <color theme="0"/>
      <name val="Arial"/>
      <family val="2"/>
    </font>
    <font>
      <b/>
      <sz val="7"/>
      <color theme="1"/>
      <name val="Arial"/>
      <family val="2"/>
    </font>
    <font>
      <b/>
      <sz val="7"/>
      <color theme="1"/>
      <name val="Aptos Narrow"/>
      <family val="2"/>
    </font>
    <font>
      <b/>
      <sz val="14"/>
      <color theme="4"/>
      <name val="aptos narrow"/>
      <family val="2"/>
      <scheme val="minor"/>
    </font>
    <font>
      <b/>
      <sz val="14"/>
      <color theme="4"/>
      <name val="aptos narrow"/>
      <family val="2"/>
    </font>
    <font>
      <sz val="8"/>
      <color theme="1"/>
      <name val="Aptos Narrow"/>
      <family val="2"/>
    </font>
    <font>
      <sz val="8"/>
      <color rgb="FFFF0000"/>
      <name val="aptos narrow"/>
      <family val="2"/>
      <scheme val="minor"/>
    </font>
    <font>
      <b/>
      <sz val="10"/>
      <color theme="8" tint="-0.249977111117893"/>
      <name val="Aptos Narrow"/>
      <family val="2"/>
    </font>
  </fonts>
  <fills count="19">
    <fill>
      <patternFill patternType="none"/>
    </fill>
    <fill>
      <patternFill patternType="gray125"/>
    </fill>
    <fill>
      <patternFill patternType="solid">
        <fgColor rgb="FF45B0E1"/>
        <bgColor rgb="FF45B0E1"/>
      </patternFill>
    </fill>
    <fill>
      <patternFill patternType="solid">
        <fgColor theme="0"/>
        <bgColor theme="0"/>
      </patternFill>
    </fill>
    <fill>
      <patternFill patternType="solid">
        <fgColor rgb="FF47D45A"/>
        <bgColor rgb="FF47D45A"/>
      </patternFill>
    </fill>
    <fill>
      <patternFill patternType="solid">
        <fgColor rgb="FF84E291"/>
        <bgColor rgb="FF84E291"/>
      </patternFill>
    </fill>
    <fill>
      <patternFill patternType="solid">
        <fgColor rgb="FFC1F0C8"/>
        <bgColor rgb="FFC1F0C8"/>
      </patternFill>
    </fill>
    <fill>
      <patternFill patternType="solid">
        <fgColor rgb="FFD9F2D0"/>
        <bgColor rgb="FFD9F2D0"/>
      </patternFill>
    </fill>
    <fill>
      <patternFill patternType="solid">
        <fgColor theme="1"/>
        <bgColor theme="1"/>
      </patternFill>
    </fill>
    <fill>
      <patternFill patternType="solid">
        <fgColor theme="4" tint="0.39997558519241921"/>
        <bgColor rgb="FF47D45A"/>
      </patternFill>
    </fill>
    <fill>
      <patternFill patternType="solid">
        <fgColor theme="6" tint="0.39997558519241921"/>
        <bgColor rgb="FFC1E4F5"/>
      </patternFill>
    </fill>
    <fill>
      <patternFill patternType="solid">
        <fgColor theme="6" tint="0.39997558519241921"/>
        <bgColor rgb="FFD8D8D8"/>
      </patternFill>
    </fill>
    <fill>
      <patternFill patternType="solid">
        <fgColor theme="6" tint="0.39997558519241921"/>
        <bgColor rgb="FFF2F2F2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1"/>
      </patternFill>
    </fill>
    <fill>
      <patternFill patternType="solid">
        <fgColor theme="0"/>
        <bgColor rgb="FFFF0000"/>
      </patternFill>
    </fill>
    <fill>
      <patternFill patternType="solid">
        <fgColor theme="8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1" fillId="0" borderId="0" applyFont="0" applyFill="0" applyBorder="0" applyAlignment="0" applyProtection="0"/>
  </cellStyleXfs>
  <cellXfs count="142">
    <xf numFmtId="0" fontId="0" fillId="0" borderId="0" xfId="0"/>
    <xf numFmtId="0" fontId="1" fillId="0" borderId="0" xfId="0" applyFont="1"/>
    <xf numFmtId="13" fontId="2" fillId="0" borderId="0" xfId="0" applyNumberFormat="1" applyFont="1"/>
    <xf numFmtId="164" fontId="2" fillId="0" borderId="0" xfId="0" applyNumberFormat="1" applyFont="1"/>
    <xf numFmtId="13" fontId="3" fillId="2" borderId="1" xfId="0" applyNumberFormat="1" applyFont="1" applyFill="1" applyBorder="1" applyAlignment="1">
      <alignment horizontal="center" vertical="center" wrapText="1"/>
    </xf>
    <xf numFmtId="13" fontId="4" fillId="0" borderId="2" xfId="0" applyNumberFormat="1" applyFont="1" applyBorder="1" applyAlignment="1">
      <alignment horizontal="center"/>
    </xf>
    <xf numFmtId="164" fontId="2" fillId="0" borderId="0" xfId="0" applyNumberFormat="1" applyFont="1" applyAlignment="1">
      <alignment horizontal="right"/>
    </xf>
    <xf numFmtId="0" fontId="2" fillId="3" borderId="3" xfId="0" applyFont="1" applyFill="1" applyBorder="1"/>
    <xf numFmtId="13" fontId="3" fillId="4" borderId="4" xfId="0" applyNumberFormat="1" applyFont="1" applyFill="1" applyBorder="1" applyAlignment="1">
      <alignment horizontal="center" vertical="center" wrapText="1"/>
    </xf>
    <xf numFmtId="13" fontId="6" fillId="3" borderId="1" xfId="0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/>
    </xf>
    <xf numFmtId="166" fontId="2" fillId="0" borderId="1" xfId="0" applyNumberFormat="1" applyFont="1" applyBorder="1" applyAlignment="1">
      <alignment vertical="center"/>
    </xf>
    <xf numFmtId="13" fontId="3" fillId="2" borderId="4" xfId="0" applyNumberFormat="1" applyFont="1" applyFill="1" applyBorder="1" applyAlignment="1">
      <alignment horizontal="center" vertical="center" wrapText="1"/>
    </xf>
    <xf numFmtId="13" fontId="2" fillId="0" borderId="1" xfId="0" applyNumberFormat="1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10" fontId="2" fillId="0" borderId="6" xfId="0" applyNumberFormat="1" applyFont="1" applyBorder="1" applyAlignment="1">
      <alignment horizontal="center" vertical="center"/>
    </xf>
    <xf numFmtId="13" fontId="2" fillId="0" borderId="0" xfId="0" applyNumberFormat="1" applyFont="1" applyAlignment="1">
      <alignment horizontal="center"/>
    </xf>
    <xf numFmtId="167" fontId="2" fillId="0" borderId="0" xfId="0" applyNumberFormat="1" applyFont="1"/>
    <xf numFmtId="13" fontId="7" fillId="4" borderId="7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167" fontId="8" fillId="4" borderId="7" xfId="0" applyNumberFormat="1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3" fontId="7" fillId="5" borderId="7" xfId="0" applyNumberFormat="1" applyFont="1" applyFill="1" applyBorder="1" applyAlignment="1">
      <alignment horizontal="center"/>
    </xf>
    <xf numFmtId="168" fontId="7" fillId="5" borderId="7" xfId="0" applyNumberFormat="1" applyFont="1" applyFill="1" applyBorder="1" applyAlignment="1">
      <alignment horizontal="center"/>
    </xf>
    <xf numFmtId="167" fontId="8" fillId="5" borderId="7" xfId="0" applyNumberFormat="1" applyFont="1" applyFill="1" applyBorder="1" applyAlignment="1">
      <alignment horizontal="center"/>
    </xf>
    <xf numFmtId="169" fontId="8" fillId="5" borderId="7" xfId="0" applyNumberFormat="1" applyFont="1" applyFill="1" applyBorder="1" applyAlignment="1">
      <alignment horizontal="center"/>
    </xf>
    <xf numFmtId="170" fontId="8" fillId="5" borderId="7" xfId="0" applyNumberFormat="1" applyFont="1" applyFill="1" applyBorder="1" applyAlignment="1">
      <alignment horizontal="center"/>
    </xf>
    <xf numFmtId="169" fontId="9" fillId="0" borderId="0" xfId="0" applyNumberFormat="1" applyFont="1"/>
    <xf numFmtId="13" fontId="10" fillId="6" borderId="7" xfId="0" applyNumberFormat="1" applyFont="1" applyFill="1" applyBorder="1" applyAlignment="1">
      <alignment horizontal="center"/>
    </xf>
    <xf numFmtId="168" fontId="7" fillId="6" borderId="7" xfId="0" applyNumberFormat="1" applyFont="1" applyFill="1" applyBorder="1" applyAlignment="1">
      <alignment horizontal="center"/>
    </xf>
    <xf numFmtId="167" fontId="9" fillId="6" borderId="7" xfId="0" applyNumberFormat="1" applyFont="1" applyFill="1" applyBorder="1" applyAlignment="1">
      <alignment horizontal="center"/>
    </xf>
    <xf numFmtId="169" fontId="9" fillId="6" borderId="7" xfId="0" applyNumberFormat="1" applyFont="1" applyFill="1" applyBorder="1" applyAlignment="1">
      <alignment horizontal="center"/>
    </xf>
    <xf numFmtId="170" fontId="9" fillId="0" borderId="0" xfId="0" applyNumberFormat="1" applyFont="1"/>
    <xf numFmtId="13" fontId="2" fillId="3" borderId="1" xfId="0" applyNumberFormat="1" applyFont="1" applyFill="1" applyBorder="1" applyAlignment="1">
      <alignment horizontal="center" vertical="center"/>
    </xf>
    <xf numFmtId="171" fontId="2" fillId="3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4" fontId="11" fillId="2" borderId="5" xfId="0" applyNumberFormat="1" applyFont="1" applyFill="1" applyBorder="1"/>
    <xf numFmtId="0" fontId="2" fillId="0" borderId="0" xfId="0" applyFont="1" applyAlignment="1">
      <alignment horizontal="center"/>
    </xf>
    <xf numFmtId="167" fontId="2" fillId="0" borderId="0" xfId="0" applyNumberFormat="1" applyFont="1" applyAlignment="1">
      <alignment horizontal="center"/>
    </xf>
    <xf numFmtId="0" fontId="13" fillId="3" borderId="3" xfId="0" applyFont="1" applyFill="1" applyBorder="1" applyAlignment="1">
      <alignment horizontal="center" vertical="center" wrapText="1"/>
    </xf>
    <xf numFmtId="13" fontId="7" fillId="5" borderId="7" xfId="0" applyNumberFormat="1" applyFont="1" applyFill="1" applyBorder="1" applyAlignment="1">
      <alignment horizontal="center" vertical="center"/>
    </xf>
    <xf numFmtId="168" fontId="7" fillId="5" borderId="7" xfId="0" applyNumberFormat="1" applyFont="1" applyFill="1" applyBorder="1" applyAlignment="1">
      <alignment horizontal="center" vertical="center"/>
    </xf>
    <xf numFmtId="167" fontId="8" fillId="5" borderId="7" xfId="0" applyNumberFormat="1" applyFont="1" applyFill="1" applyBorder="1" applyAlignment="1">
      <alignment horizontal="center" vertical="center"/>
    </xf>
    <xf numFmtId="169" fontId="8" fillId="5" borderId="7" xfId="0" applyNumberFormat="1" applyFont="1" applyFill="1" applyBorder="1" applyAlignment="1">
      <alignment horizontal="center" vertical="center"/>
    </xf>
    <xf numFmtId="169" fontId="9" fillId="0" borderId="0" xfId="0" applyNumberFormat="1" applyFont="1" applyAlignment="1">
      <alignment vertical="center"/>
    </xf>
    <xf numFmtId="13" fontId="16" fillId="0" borderId="7" xfId="0" applyNumberFormat="1" applyFont="1" applyBorder="1" applyAlignment="1">
      <alignment horizontal="right"/>
    </xf>
    <xf numFmtId="13" fontId="16" fillId="0" borderId="7" xfId="0" applyNumberFormat="1" applyFont="1" applyBorder="1" applyAlignment="1">
      <alignment horizontal="center"/>
    </xf>
    <xf numFmtId="167" fontId="16" fillId="0" borderId="7" xfId="0" applyNumberFormat="1" applyFont="1" applyBorder="1" applyAlignment="1">
      <alignment horizontal="center"/>
    </xf>
    <xf numFmtId="164" fontId="16" fillId="0" borderId="7" xfId="0" applyNumberFormat="1" applyFont="1" applyBorder="1" applyAlignment="1">
      <alignment horizontal="center"/>
    </xf>
    <xf numFmtId="0" fontId="16" fillId="3" borderId="8" xfId="0" applyFont="1" applyFill="1" applyBorder="1" applyAlignment="1">
      <alignment horizontal="center"/>
    </xf>
    <xf numFmtId="172" fontId="16" fillId="0" borderId="11" xfId="0" applyNumberFormat="1" applyFont="1" applyBorder="1" applyAlignment="1">
      <alignment horizontal="center"/>
    </xf>
    <xf numFmtId="173" fontId="16" fillId="0" borderId="0" xfId="0" applyNumberFormat="1" applyFont="1"/>
    <xf numFmtId="0" fontId="16" fillId="3" borderId="3" xfId="0" applyFont="1" applyFill="1" applyBorder="1"/>
    <xf numFmtId="172" fontId="16" fillId="0" borderId="7" xfId="0" applyNumberFormat="1" applyFont="1" applyBorder="1" applyAlignment="1">
      <alignment horizontal="center"/>
    </xf>
    <xf numFmtId="172" fontId="16" fillId="0" borderId="12" xfId="0" applyNumberFormat="1" applyFont="1" applyBorder="1" applyAlignment="1">
      <alignment horizontal="center"/>
    </xf>
    <xf numFmtId="0" fontId="16" fillId="0" borderId="0" xfId="0" applyFont="1"/>
    <xf numFmtId="174" fontId="2" fillId="0" borderId="0" xfId="0" applyNumberFormat="1" applyFont="1"/>
    <xf numFmtId="13" fontId="16" fillId="0" borderId="7" xfId="0" applyNumberFormat="1" applyFont="1" applyBorder="1"/>
    <xf numFmtId="167" fontId="16" fillId="0" borderId="7" xfId="0" applyNumberFormat="1" applyFont="1" applyBorder="1"/>
    <xf numFmtId="164" fontId="16" fillId="0" borderId="7" xfId="0" applyNumberFormat="1" applyFont="1" applyBorder="1"/>
    <xf numFmtId="0" fontId="16" fillId="0" borderId="7" xfId="0" applyFont="1" applyBorder="1"/>
    <xf numFmtId="172" fontId="16" fillId="0" borderId="7" xfId="0" applyNumberFormat="1" applyFont="1" applyBorder="1"/>
    <xf numFmtId="0" fontId="17" fillId="0" borderId="0" xfId="0" applyFont="1"/>
    <xf numFmtId="0" fontId="12" fillId="0" borderId="0" xfId="0" applyFont="1"/>
    <xf numFmtId="0" fontId="4" fillId="0" borderId="2" xfId="0" applyFont="1" applyBorder="1" applyAlignment="1">
      <alignment horizontal="center"/>
    </xf>
    <xf numFmtId="0" fontId="2" fillId="0" borderId="0" xfId="0" applyFont="1" applyAlignment="1">
      <alignment horizontal="right"/>
    </xf>
    <xf numFmtId="175" fontId="2" fillId="0" borderId="0" xfId="0" applyNumberFormat="1" applyFont="1"/>
    <xf numFmtId="0" fontId="3" fillId="2" borderId="4" xfId="0" applyFont="1" applyFill="1" applyBorder="1" applyAlignment="1">
      <alignment horizontal="center" vertical="center" wrapText="1"/>
    </xf>
    <xf numFmtId="166" fontId="2" fillId="0" borderId="0" xfId="0" applyNumberFormat="1" applyFont="1"/>
    <xf numFmtId="0" fontId="3" fillId="3" borderId="3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166" fontId="2" fillId="3" borderId="3" xfId="0" applyNumberFormat="1" applyFont="1" applyFill="1" applyBorder="1" applyAlignment="1">
      <alignment vertical="center"/>
    </xf>
    <xf numFmtId="0" fontId="14" fillId="0" borderId="0" xfId="0" applyFont="1"/>
    <xf numFmtId="176" fontId="2" fillId="0" borderId="0" xfId="0" applyNumberFormat="1" applyFont="1"/>
    <xf numFmtId="0" fontId="19" fillId="0" borderId="0" xfId="0" applyFont="1"/>
    <xf numFmtId="0" fontId="20" fillId="0" borderId="0" xfId="0" applyFont="1"/>
    <xf numFmtId="0" fontId="13" fillId="3" borderId="13" xfId="0" applyFont="1" applyFill="1" applyBorder="1" applyAlignment="1">
      <alignment horizontal="center" vertical="center" wrapText="1"/>
    </xf>
    <xf numFmtId="0" fontId="16" fillId="3" borderId="7" xfId="0" applyFont="1" applyFill="1" applyBorder="1"/>
    <xf numFmtId="172" fontId="16" fillId="0" borderId="14" xfId="0" applyNumberFormat="1" applyFont="1" applyBorder="1"/>
    <xf numFmtId="0" fontId="16" fillId="0" borderId="15" xfId="0" applyFont="1" applyBorder="1"/>
    <xf numFmtId="0" fontId="16" fillId="0" borderId="7" xfId="0" applyFont="1" applyBorder="1" applyAlignment="1">
      <alignment horizontal="center"/>
    </xf>
    <xf numFmtId="177" fontId="16" fillId="7" borderId="1" xfId="0" applyNumberFormat="1" applyFont="1" applyFill="1" applyBorder="1" applyAlignment="1">
      <alignment vertical="center"/>
    </xf>
    <xf numFmtId="0" fontId="2" fillId="8" borderId="3" xfId="0" applyFont="1" applyFill="1" applyBorder="1"/>
    <xf numFmtId="13" fontId="12" fillId="10" borderId="7" xfId="0" applyNumberFormat="1" applyFont="1" applyFill="1" applyBorder="1" applyAlignment="1">
      <alignment horizontal="center" vertical="center"/>
    </xf>
    <xf numFmtId="0" fontId="12" fillId="10" borderId="7" xfId="0" applyFont="1" applyFill="1" applyBorder="1" applyAlignment="1">
      <alignment horizontal="center" vertical="center"/>
    </xf>
    <xf numFmtId="164" fontId="12" fillId="10" borderId="7" xfId="0" applyNumberFormat="1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24" fillId="4" borderId="1" xfId="0" applyFont="1" applyFill="1" applyBorder="1" applyAlignment="1">
      <alignment horizontal="center" vertical="center" wrapText="1"/>
    </xf>
    <xf numFmtId="0" fontId="24" fillId="9" borderId="1" xfId="0" applyFont="1" applyFill="1" applyBorder="1" applyAlignment="1">
      <alignment horizontal="center" vertical="center" wrapText="1"/>
    </xf>
    <xf numFmtId="13" fontId="12" fillId="11" borderId="7" xfId="0" applyNumberFormat="1" applyFont="1" applyFill="1" applyBorder="1" applyAlignment="1">
      <alignment horizontal="center" vertical="center"/>
    </xf>
    <xf numFmtId="0" fontId="12" fillId="11" borderId="10" xfId="0" applyFont="1" applyFill="1" applyBorder="1" applyAlignment="1">
      <alignment horizontal="center" vertical="center"/>
    </xf>
    <xf numFmtId="0" fontId="23" fillId="11" borderId="10" xfId="0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 wrapText="1"/>
    </xf>
    <xf numFmtId="0" fontId="12" fillId="11" borderId="7" xfId="0" applyFont="1" applyFill="1" applyBorder="1" applyAlignment="1">
      <alignment horizontal="center" vertical="center"/>
    </xf>
    <xf numFmtId="0" fontId="25" fillId="12" borderId="7" xfId="0" applyFont="1" applyFill="1" applyBorder="1" applyAlignment="1">
      <alignment horizontal="center" vertical="center"/>
    </xf>
    <xf numFmtId="0" fontId="25" fillId="13" borderId="7" xfId="0" applyFont="1" applyFill="1" applyBorder="1" applyAlignment="1">
      <alignment horizontal="center" vertical="center" wrapText="1"/>
    </xf>
    <xf numFmtId="0" fontId="26" fillId="13" borderId="7" xfId="0" applyFont="1" applyFill="1" applyBorder="1" applyAlignment="1">
      <alignment horizontal="center" vertical="center"/>
    </xf>
    <xf numFmtId="0" fontId="25" fillId="14" borderId="7" xfId="0" applyFont="1" applyFill="1" applyBorder="1" applyAlignment="1">
      <alignment horizontal="center"/>
    </xf>
    <xf numFmtId="168" fontId="25" fillId="14" borderId="7" xfId="0" applyNumberFormat="1" applyFont="1" applyFill="1" applyBorder="1" applyAlignment="1">
      <alignment horizontal="center"/>
    </xf>
    <xf numFmtId="175" fontId="26" fillId="14" borderId="7" xfId="0" applyNumberFormat="1" applyFont="1" applyFill="1" applyBorder="1"/>
    <xf numFmtId="0" fontId="25" fillId="14" borderId="7" xfId="0" applyFont="1" applyFill="1" applyBorder="1" applyAlignment="1">
      <alignment horizontal="center" vertical="center"/>
    </xf>
    <xf numFmtId="168" fontId="25" fillId="14" borderId="7" xfId="0" applyNumberFormat="1" applyFont="1" applyFill="1" applyBorder="1" applyAlignment="1">
      <alignment horizontal="center" vertical="center"/>
    </xf>
    <xf numFmtId="175" fontId="26" fillId="14" borderId="7" xfId="0" applyNumberFormat="1" applyFont="1" applyFill="1" applyBorder="1" applyAlignment="1">
      <alignment vertical="center"/>
    </xf>
    <xf numFmtId="9" fontId="4" fillId="0" borderId="2" xfId="1" applyFont="1" applyBorder="1" applyAlignment="1">
      <alignment horizontal="center" vertical="center"/>
    </xf>
    <xf numFmtId="0" fontId="27" fillId="0" borderId="0" xfId="0" applyFont="1"/>
    <xf numFmtId="10" fontId="2" fillId="0" borderId="2" xfId="0" applyNumberFormat="1" applyFont="1" applyBorder="1" applyAlignment="1">
      <alignment horizontal="center" vertical="center"/>
    </xf>
    <xf numFmtId="164" fontId="3" fillId="2" borderId="16" xfId="0" applyNumberFormat="1" applyFont="1" applyFill="1" applyBorder="1" applyAlignment="1">
      <alignment horizontal="center" vertical="center"/>
    </xf>
    <xf numFmtId="13" fontId="28" fillId="0" borderId="0" xfId="0" applyNumberFormat="1" applyFont="1"/>
    <xf numFmtId="0" fontId="0" fillId="0" borderId="3" xfId="0" applyBorder="1"/>
    <xf numFmtId="0" fontId="0" fillId="15" borderId="0" xfId="0" applyFill="1"/>
    <xf numFmtId="0" fontId="16" fillId="15" borderId="7" xfId="0" applyFont="1" applyFill="1" applyBorder="1"/>
    <xf numFmtId="0" fontId="21" fillId="15" borderId="0" xfId="0" applyFont="1" applyFill="1"/>
    <xf numFmtId="172" fontId="16" fillId="15" borderId="7" xfId="0" applyNumberFormat="1" applyFont="1" applyFill="1" applyBorder="1"/>
    <xf numFmtId="167" fontId="16" fillId="15" borderId="7" xfId="0" applyNumberFormat="1" applyFont="1" applyFill="1" applyBorder="1"/>
    <xf numFmtId="0" fontId="2" fillId="16" borderId="3" xfId="0" applyFont="1" applyFill="1" applyBorder="1"/>
    <xf numFmtId="0" fontId="16" fillId="15" borderId="14" xfId="0" applyFont="1" applyFill="1" applyBorder="1"/>
    <xf numFmtId="172" fontId="16" fillId="15" borderId="20" xfId="0" applyNumberFormat="1" applyFont="1" applyFill="1" applyBorder="1"/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0" fontId="21" fillId="15" borderId="19" xfId="0" applyFont="1" applyFill="1" applyBorder="1"/>
    <xf numFmtId="13" fontId="16" fillId="17" borderId="7" xfId="0" applyNumberFormat="1" applyFont="1" applyFill="1" applyBorder="1" applyAlignment="1">
      <alignment horizontal="center"/>
    </xf>
    <xf numFmtId="167" fontId="16" fillId="17" borderId="7" xfId="0" applyNumberFormat="1" applyFont="1" applyFill="1" applyBorder="1" applyAlignment="1">
      <alignment horizontal="center"/>
    </xf>
    <xf numFmtId="164" fontId="16" fillId="17" borderId="7" xfId="0" applyNumberFormat="1" applyFont="1" applyFill="1" applyBorder="1" applyAlignment="1">
      <alignment horizontal="center"/>
    </xf>
    <xf numFmtId="172" fontId="16" fillId="15" borderId="7" xfId="0" applyNumberFormat="1" applyFont="1" applyFill="1" applyBorder="1" applyAlignment="1">
      <alignment horizontal="center"/>
    </xf>
    <xf numFmtId="0" fontId="2" fillId="17" borderId="3" xfId="0" applyFont="1" applyFill="1" applyBorder="1"/>
    <xf numFmtId="44" fontId="0" fillId="0" borderId="0" xfId="0" applyNumberFormat="1"/>
    <xf numFmtId="13" fontId="16" fillId="18" borderId="7" xfId="0" applyNumberFormat="1" applyFont="1" applyFill="1" applyBorder="1" applyAlignment="1">
      <alignment horizontal="center"/>
    </xf>
    <xf numFmtId="167" fontId="16" fillId="18" borderId="7" xfId="0" applyNumberFormat="1" applyFont="1" applyFill="1" applyBorder="1" applyAlignment="1">
      <alignment horizontal="center"/>
    </xf>
    <xf numFmtId="172" fontId="16" fillId="18" borderId="7" xfId="0" applyNumberFormat="1" applyFont="1" applyFill="1" applyBorder="1" applyAlignment="1">
      <alignment horizontal="center"/>
    </xf>
    <xf numFmtId="0" fontId="30" fillId="0" borderId="0" xfId="0" applyFont="1" applyAlignment="1">
      <alignment horizontal="center" vertical="center"/>
    </xf>
    <xf numFmtId="0" fontId="29" fillId="3" borderId="3" xfId="0" applyFont="1" applyFill="1" applyBorder="1"/>
    <xf numFmtId="0" fontId="31" fillId="0" borderId="0" xfId="0" applyFont="1" applyAlignment="1">
      <alignment horizontal="center" vertical="center"/>
    </xf>
    <xf numFmtId="0" fontId="5" fillId="13" borderId="17" xfId="0" applyFont="1" applyFill="1" applyBorder="1" applyAlignment="1">
      <alignment horizontal="center"/>
    </xf>
    <xf numFmtId="0" fontId="0" fillId="13" borderId="18" xfId="0" applyFill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219075</xdr:colOff>
      <xdr:row>10</xdr:row>
      <xdr:rowOff>123825</xdr:rowOff>
    </xdr:from>
    <xdr:ext cx="2324100" cy="295275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4186192" y="3634031"/>
          <a:ext cx="2319617" cy="291939"/>
        </a:xfrm>
        <a:prstGeom prst="rect">
          <a:avLst/>
        </a:prstGeom>
        <a:noFill/>
        <a:ln>
          <a:noFill/>
        </a:ln>
      </xdr:spPr>
      <xdr:txBody>
        <a:bodyPr spcFirstLastPara="1" wrap="square" lIns="0" tIns="0" rIns="0" bIns="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</a:t>
          </a:r>
          <a:endParaRPr sz="16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F7F2E-B735-4B24-8562-D78634574A28}">
  <dimension ref="B2:N1000"/>
  <sheetViews>
    <sheetView tabSelected="1" workbookViewId="0">
      <selection activeCell="C7" sqref="C7"/>
    </sheetView>
  </sheetViews>
  <sheetFormatPr baseColWidth="10" defaultColWidth="12.5703125" defaultRowHeight="15" customHeight="1" x14ac:dyDescent="0.25"/>
  <cols>
    <col min="1" max="1" width="10.5703125" customWidth="1"/>
    <col min="2" max="2" width="11" customWidth="1"/>
    <col min="3" max="3" width="10.5703125" customWidth="1"/>
    <col min="4" max="4" width="12.7109375" customWidth="1"/>
    <col min="5" max="7" width="10.5703125" customWidth="1"/>
    <col min="8" max="9" width="14.140625" customWidth="1"/>
    <col min="10" max="10" width="10.5703125" customWidth="1"/>
    <col min="11" max="11" width="13.42578125" customWidth="1"/>
    <col min="12" max="12" width="15.140625" customWidth="1"/>
    <col min="13" max="26" width="10.5703125" customWidth="1"/>
  </cols>
  <sheetData>
    <row r="2" spans="2:14" ht="24" x14ac:dyDescent="0.4">
      <c r="F2" s="1" t="s">
        <v>0</v>
      </c>
      <c r="J2" s="112" t="s">
        <v>46</v>
      </c>
    </row>
    <row r="3" spans="2:14" ht="16.5" customHeight="1" thickBot="1" x14ac:dyDescent="0.45">
      <c r="B3" s="2"/>
      <c r="C3" s="2"/>
      <c r="E3" s="3"/>
      <c r="F3" s="1"/>
      <c r="J3" s="2"/>
    </row>
    <row r="4" spans="2:14" ht="16.5" thickBot="1" x14ac:dyDescent="0.3">
      <c r="B4" s="4" t="s">
        <v>1</v>
      </c>
      <c r="C4" s="5" t="s">
        <v>2</v>
      </c>
      <c r="E4" s="3"/>
      <c r="H4" s="140" t="s">
        <v>3</v>
      </c>
      <c r="I4" s="141"/>
      <c r="J4" s="2"/>
      <c r="K4" s="140" t="s">
        <v>4</v>
      </c>
      <c r="L4" s="141"/>
      <c r="N4" s="116"/>
    </row>
    <row r="5" spans="2:14" ht="15.75" thickBot="1" x14ac:dyDescent="0.3">
      <c r="B5" s="2"/>
      <c r="C5" s="2"/>
      <c r="E5" s="6"/>
      <c r="J5" s="2"/>
      <c r="N5" s="7"/>
    </row>
    <row r="6" spans="2:14" ht="34.5" thickBot="1" x14ac:dyDescent="0.3">
      <c r="B6" s="8" t="s">
        <v>5</v>
      </c>
      <c r="C6" s="9">
        <v>65</v>
      </c>
      <c r="D6" s="137" t="str">
        <f>IF(C6&gt;100,"FUERA DE RANGO","")</f>
        <v/>
      </c>
      <c r="E6" s="10" t="s">
        <v>6</v>
      </c>
      <c r="F6" s="11">
        <f>Anual!K4+Mensual!M6</f>
        <v>20.37034600891478</v>
      </c>
      <c r="H6" s="95" t="s">
        <v>41</v>
      </c>
      <c r="I6" s="12">
        <v>1000000</v>
      </c>
      <c r="J6" s="2"/>
      <c r="K6" s="95" t="s">
        <v>40</v>
      </c>
      <c r="L6" s="12">
        <v>15000</v>
      </c>
      <c r="N6" s="116"/>
    </row>
    <row r="7" spans="2:14" ht="15.75" thickBot="1" x14ac:dyDescent="0.3">
      <c r="B7" s="2"/>
      <c r="C7" s="2"/>
      <c r="E7" s="3"/>
      <c r="J7" s="2"/>
    </row>
    <row r="8" spans="2:14" ht="23.25" thickBot="1" x14ac:dyDescent="0.3">
      <c r="B8" s="13" t="s">
        <v>9</v>
      </c>
      <c r="C8" s="14">
        <f>Anual!H6</f>
        <v>35</v>
      </c>
      <c r="E8" s="15" t="s">
        <v>10</v>
      </c>
      <c r="F8" s="16">
        <v>9.4700000000000006E-2</v>
      </c>
      <c r="H8" s="17" t="s">
        <v>11</v>
      </c>
      <c r="I8" s="18">
        <f>(I6-(C12+C13+C14)*I6)/(Mensual!M6+0.5*Anual!K4)</f>
        <v>43287.630695220701</v>
      </c>
      <c r="J8" s="2"/>
      <c r="K8" s="96" t="s">
        <v>22</v>
      </c>
      <c r="L8" s="12">
        <f>0.5*L6</f>
        <v>7500</v>
      </c>
    </row>
    <row r="9" spans="2:14" ht="15.75" thickBot="1" x14ac:dyDescent="0.3">
      <c r="B9" s="2"/>
      <c r="C9" s="2"/>
      <c r="E9" s="3"/>
      <c r="J9" s="2"/>
    </row>
    <row r="10" spans="2:14" ht="29.25" customHeight="1" thickBot="1" x14ac:dyDescent="0.3">
      <c r="B10" s="2"/>
      <c r="C10" s="2"/>
      <c r="E10" s="114" t="s">
        <v>13</v>
      </c>
      <c r="F10" s="113">
        <f>12*(((1+F8)^(1/12))-1)</f>
        <v>9.0822324341650607E-2</v>
      </c>
      <c r="H10" s="17" t="s">
        <v>14</v>
      </c>
      <c r="I10" s="18">
        <f>0.5*I8</f>
        <v>21643.815347610351</v>
      </c>
      <c r="J10" s="2"/>
      <c r="K10" s="17" t="s">
        <v>45</v>
      </c>
      <c r="L10" s="12">
        <f>'Prima Riesgo'!L10/(1-(C12+C13+C14))</f>
        <v>346519.31184711662</v>
      </c>
    </row>
    <row r="11" spans="2:14" ht="15" customHeight="1" thickBot="1" x14ac:dyDescent="0.3"/>
    <row r="12" spans="2:14" ht="34.5" thickBot="1" x14ac:dyDescent="0.3">
      <c r="B12" s="4" t="s">
        <v>42</v>
      </c>
      <c r="C12" s="111">
        <v>0.1</v>
      </c>
    </row>
    <row r="13" spans="2:14" ht="23.25" thickBot="1" x14ac:dyDescent="0.3">
      <c r="B13" s="4" t="s">
        <v>43</v>
      </c>
      <c r="C13" s="111">
        <v>0.12</v>
      </c>
    </row>
    <row r="14" spans="2:14" ht="23.25" thickBot="1" x14ac:dyDescent="0.3">
      <c r="B14" s="4" t="s">
        <v>44</v>
      </c>
      <c r="C14" s="111">
        <v>0.08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H4:I4"/>
    <mergeCell ref="K4:L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N1000"/>
  <sheetViews>
    <sheetView workbookViewId="0">
      <selection activeCell="F10" sqref="F10"/>
    </sheetView>
  </sheetViews>
  <sheetFormatPr baseColWidth="10" defaultColWidth="12.5703125" defaultRowHeight="15" customHeight="1" x14ac:dyDescent="0.25"/>
  <cols>
    <col min="1" max="7" width="10.5703125" customWidth="1"/>
    <col min="8" max="9" width="14.140625" customWidth="1"/>
    <col min="10" max="10" width="10.5703125" customWidth="1"/>
    <col min="11" max="11" width="13.42578125" customWidth="1"/>
    <col min="12" max="12" width="15.140625" customWidth="1"/>
    <col min="13" max="26" width="10.5703125" customWidth="1"/>
  </cols>
  <sheetData>
    <row r="2" spans="2:14" ht="24" x14ac:dyDescent="0.4">
      <c r="F2" s="1" t="s">
        <v>0</v>
      </c>
      <c r="J2" s="112" t="s">
        <v>47</v>
      </c>
    </row>
    <row r="3" spans="2:14" ht="16.5" customHeight="1" thickBot="1" x14ac:dyDescent="0.45">
      <c r="B3" s="2"/>
      <c r="C3" s="2"/>
      <c r="E3" s="3"/>
      <c r="F3" s="1"/>
      <c r="J3" s="2"/>
    </row>
    <row r="4" spans="2:14" ht="16.5" thickBot="1" x14ac:dyDescent="0.3">
      <c r="B4" s="4" t="s">
        <v>1</v>
      </c>
      <c r="C4" s="5" t="s">
        <v>2</v>
      </c>
      <c r="E4" s="3"/>
      <c r="H4" s="140" t="s">
        <v>3</v>
      </c>
      <c r="I4" s="141"/>
      <c r="J4" s="2"/>
      <c r="K4" s="140" t="s">
        <v>4</v>
      </c>
      <c r="L4" s="141"/>
    </row>
    <row r="5" spans="2:14" ht="15.75" thickBot="1" x14ac:dyDescent="0.3">
      <c r="B5" s="2"/>
      <c r="C5" s="2"/>
      <c r="E5" s="6"/>
      <c r="J5" s="2"/>
      <c r="N5" s="7"/>
    </row>
    <row r="6" spans="2:14" ht="33.75" x14ac:dyDescent="0.25">
      <c r="B6" s="8" t="s">
        <v>5</v>
      </c>
      <c r="C6" s="9">
        <f>'Prima Tarifa'!C6</f>
        <v>65</v>
      </c>
      <c r="E6" s="10" t="s">
        <v>6</v>
      </c>
      <c r="F6" s="11">
        <f>Anual!K4+Mensual!M6</f>
        <v>20.37034600891478</v>
      </c>
      <c r="H6" s="95" t="s">
        <v>41</v>
      </c>
      <c r="I6" s="12">
        <f>'Prima Tarifa'!I6</f>
        <v>1000000</v>
      </c>
      <c r="J6" s="2"/>
      <c r="K6" s="95" t="s">
        <v>40</v>
      </c>
      <c r="L6" s="12">
        <f>'Prima Tarifa'!L6</f>
        <v>15000</v>
      </c>
    </row>
    <row r="7" spans="2:14" x14ac:dyDescent="0.25">
      <c r="B7" s="2"/>
      <c r="C7" s="2"/>
      <c r="E7" s="3"/>
      <c r="J7" s="2"/>
    </row>
    <row r="8" spans="2:14" ht="22.5" x14ac:dyDescent="0.25">
      <c r="B8" s="13" t="s">
        <v>9</v>
      </c>
      <c r="C8" s="14">
        <f>Anual!H6</f>
        <v>35</v>
      </c>
      <c r="E8" s="15" t="s">
        <v>10</v>
      </c>
      <c r="F8" s="16">
        <f>'Prima Tarifa'!F8</f>
        <v>9.4700000000000006E-2</v>
      </c>
      <c r="H8" s="17" t="s">
        <v>11</v>
      </c>
      <c r="I8" s="18">
        <f>I6/(Mensual!M6+0.5*Anual!K4)</f>
        <v>61839.472421743863</v>
      </c>
      <c r="J8" s="2"/>
      <c r="K8" s="96" t="s">
        <v>22</v>
      </c>
      <c r="L8" s="12">
        <f>0.5*L6</f>
        <v>7500</v>
      </c>
    </row>
    <row r="9" spans="2:14" x14ac:dyDescent="0.25">
      <c r="B9" s="2"/>
      <c r="C9" s="2"/>
      <c r="E9" s="3"/>
      <c r="J9" s="2"/>
    </row>
    <row r="10" spans="2:14" ht="33.75" x14ac:dyDescent="0.25">
      <c r="B10" s="2"/>
      <c r="C10" s="2"/>
      <c r="E10" s="114" t="s">
        <v>13</v>
      </c>
      <c r="F10" s="113">
        <f>12*(((1+F8)^(1/12))-1)</f>
        <v>9.0822324341650607E-2</v>
      </c>
      <c r="H10" s="17" t="s">
        <v>14</v>
      </c>
      <c r="I10" s="18">
        <f>0.5*I8</f>
        <v>30919.736210871932</v>
      </c>
      <c r="J10" s="2"/>
      <c r="K10" s="17" t="s">
        <v>15</v>
      </c>
      <c r="L10" s="12">
        <f>Anual!Q6+Mensual!S8</f>
        <v>242563.51829298161</v>
      </c>
    </row>
    <row r="14" spans="2:14" ht="15" customHeight="1" x14ac:dyDescent="0.25">
      <c r="L14" s="133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H4:I4"/>
    <mergeCell ref="K4:L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1074"/>
  <sheetViews>
    <sheetView zoomScale="85" zoomScaleNormal="85" workbookViewId="0">
      <selection activeCell="T6" sqref="T6"/>
    </sheetView>
  </sheetViews>
  <sheetFormatPr baseColWidth="10" defaultColWidth="12.5703125" defaultRowHeight="15" customHeight="1" x14ac:dyDescent="0.25"/>
  <cols>
    <col min="1" max="1" width="1.85546875" customWidth="1"/>
    <col min="2" max="2" width="10" customWidth="1"/>
    <col min="3" max="3" width="11.5703125" customWidth="1"/>
    <col min="4" max="4" width="11.42578125" customWidth="1"/>
    <col min="5" max="5" width="14.28515625" customWidth="1"/>
    <col min="6" max="7" width="10.5703125" customWidth="1"/>
    <col min="8" max="8" width="5.28515625" customWidth="1"/>
    <col min="9" max="10" width="11.42578125" customWidth="1"/>
    <col min="11" max="11" width="12.5703125" customWidth="1"/>
    <col min="12" max="12" width="11.28515625" customWidth="1"/>
    <col min="13" max="14" width="10.5703125" customWidth="1"/>
    <col min="15" max="15" width="11.7109375" customWidth="1"/>
    <col min="16" max="16" width="14.5703125" customWidth="1"/>
    <col min="17" max="17" width="11.42578125" customWidth="1"/>
    <col min="18" max="18" width="10.5703125" customWidth="1"/>
    <col min="19" max="19" width="14.42578125" customWidth="1"/>
    <col min="20" max="20" width="14" customWidth="1"/>
    <col min="21" max="21" width="10.5703125" customWidth="1"/>
    <col min="22" max="22" width="13.140625" customWidth="1"/>
    <col min="23" max="26" width="10.5703125" customWidth="1"/>
  </cols>
  <sheetData>
    <row r="1" spans="2:20" x14ac:dyDescent="0.25">
      <c r="B1" s="20"/>
      <c r="D1" s="21"/>
      <c r="I1" s="2"/>
      <c r="J1" s="2"/>
      <c r="L1" s="3"/>
      <c r="Q1" s="2"/>
    </row>
    <row r="2" spans="2:20" x14ac:dyDescent="0.25">
      <c r="B2" s="20"/>
      <c r="D2" s="21"/>
      <c r="I2" s="2"/>
      <c r="J2" s="2"/>
      <c r="L2" s="3"/>
      <c r="Q2" s="2"/>
    </row>
    <row r="3" spans="2:20" ht="24" x14ac:dyDescent="0.4">
      <c r="B3" s="22" t="s">
        <v>16</v>
      </c>
      <c r="C3" s="23" t="s">
        <v>17</v>
      </c>
      <c r="D3" s="24" t="s">
        <v>18</v>
      </c>
      <c r="E3" s="25" t="s">
        <v>19</v>
      </c>
      <c r="F3" s="25" t="s">
        <v>20</v>
      </c>
      <c r="G3" s="25" t="s">
        <v>21</v>
      </c>
      <c r="H3" s="26"/>
      <c r="I3" s="2"/>
      <c r="J3" s="2"/>
      <c r="L3" s="3"/>
      <c r="M3" s="1" t="s">
        <v>0</v>
      </c>
      <c r="Q3" s="115" t="s">
        <v>49</v>
      </c>
    </row>
    <row r="4" spans="2:20" x14ac:dyDescent="0.25">
      <c r="B4" s="27">
        <v>12</v>
      </c>
      <c r="C4" s="28">
        <v>0.39599999999999996</v>
      </c>
      <c r="D4" s="29">
        <f>C4/1000</f>
        <v>3.9599999999999998E-4</v>
      </c>
      <c r="E4" s="30">
        <v>1000000</v>
      </c>
      <c r="F4" s="30">
        <f>D4*E4</f>
        <v>396</v>
      </c>
      <c r="G4" s="31">
        <f t="shared" ref="G4:G258" si="0">1-D4</f>
        <v>0.99960400000000005</v>
      </c>
      <c r="H4" s="32"/>
      <c r="I4" s="4" t="s">
        <v>1</v>
      </c>
      <c r="J4" s="5" t="s">
        <v>2</v>
      </c>
      <c r="L4" s="3"/>
      <c r="Q4" s="2"/>
    </row>
    <row r="5" spans="2:20" x14ac:dyDescent="0.25">
      <c r="B5" s="33">
        <f t="shared" ref="B5:B15" si="1">B4+1/12</f>
        <v>12.083333333333334</v>
      </c>
      <c r="C5" s="34"/>
      <c r="D5" s="35">
        <f>F5/E5</f>
        <v>3.3001089035938186E-5</v>
      </c>
      <c r="E5" s="36">
        <f>E4-(1/12)*F4</f>
        <v>999967</v>
      </c>
      <c r="F5" s="36">
        <f t="shared" ref="F5:F15" si="2">E5-E6</f>
        <v>33</v>
      </c>
      <c r="G5" s="31">
        <f t="shared" si="0"/>
        <v>0.99996699891096408</v>
      </c>
      <c r="H5" s="37"/>
      <c r="I5" s="2"/>
      <c r="J5" s="2"/>
      <c r="L5" s="6"/>
      <c r="Q5" s="2"/>
    </row>
    <row r="6" spans="2:20" ht="56.25" x14ac:dyDescent="0.25">
      <c r="B6" s="33">
        <f t="shared" si="1"/>
        <v>12.166666666666668</v>
      </c>
      <c r="C6" s="34"/>
      <c r="D6" s="35">
        <f t="shared" ref="D6:D15" si="3">(B6-$B$4)*$D$4</f>
        <v>6.6000000000000466E-5</v>
      </c>
      <c r="E6" s="36">
        <f>E4-(2/12)*F4</f>
        <v>999934</v>
      </c>
      <c r="F6" s="36">
        <f t="shared" si="2"/>
        <v>33</v>
      </c>
      <c r="G6" s="31">
        <f t="shared" si="0"/>
        <v>0.99993399999999999</v>
      </c>
      <c r="H6" s="37"/>
      <c r="I6" s="13" t="s">
        <v>5</v>
      </c>
      <c r="J6" s="38">
        <f>'Prima Riesgo'!C6</f>
        <v>65</v>
      </c>
      <c r="L6" s="10" t="s">
        <v>6</v>
      </c>
      <c r="M6" s="39">
        <f>T14</f>
        <v>11.971456430149436</v>
      </c>
      <c r="O6" s="17" t="s">
        <v>7</v>
      </c>
      <c r="P6" s="12">
        <f>'Prima Riesgo'!I6</f>
        <v>1000000</v>
      </c>
      <c r="Q6" s="2"/>
      <c r="R6" s="17" t="s">
        <v>8</v>
      </c>
      <c r="S6" s="12">
        <f>'Prima Riesgo'!L6</f>
        <v>15000</v>
      </c>
    </row>
    <row r="7" spans="2:20" ht="18.75" customHeight="1" x14ac:dyDescent="0.25">
      <c r="B7" s="33">
        <f t="shared" si="1"/>
        <v>12.250000000000002</v>
      </c>
      <c r="C7" s="34"/>
      <c r="D7" s="35">
        <f t="shared" si="3"/>
        <v>9.9000000000000699E-5</v>
      </c>
      <c r="E7" s="36">
        <f>E4-(3/12)*F4</f>
        <v>999901</v>
      </c>
      <c r="F7" s="36">
        <f t="shared" si="2"/>
        <v>33</v>
      </c>
      <c r="G7" s="31">
        <f t="shared" si="0"/>
        <v>0.99990100000000004</v>
      </c>
      <c r="H7" s="37"/>
      <c r="I7" s="2"/>
      <c r="J7" s="2"/>
      <c r="L7" s="3"/>
      <c r="Q7" s="2"/>
    </row>
    <row r="8" spans="2:20" ht="38.25" customHeight="1" x14ac:dyDescent="0.25">
      <c r="B8" s="33">
        <f t="shared" si="1"/>
        <v>12.333333333333336</v>
      </c>
      <c r="C8" s="34"/>
      <c r="D8" s="35">
        <f t="shared" si="3"/>
        <v>1.3200000000000093E-4</v>
      </c>
      <c r="E8" s="36">
        <f>E4-(4/12)*F4</f>
        <v>999868</v>
      </c>
      <c r="F8" s="36">
        <f t="shared" si="2"/>
        <v>33</v>
      </c>
      <c r="G8" s="31">
        <f t="shared" si="0"/>
        <v>0.99986799999999998</v>
      </c>
      <c r="H8" s="37"/>
      <c r="I8" s="13" t="s">
        <v>9</v>
      </c>
      <c r="J8" s="14">
        <f>B1060-J6</f>
        <v>35</v>
      </c>
      <c r="L8" s="40" t="s">
        <v>10</v>
      </c>
      <c r="M8" s="16">
        <f>'Prima Riesgo'!F8</f>
        <v>9.4700000000000006E-2</v>
      </c>
      <c r="O8" s="17" t="s">
        <v>39</v>
      </c>
      <c r="P8" s="18">
        <f>P6/T14</f>
        <v>83532.025182964091</v>
      </c>
      <c r="Q8" s="2"/>
      <c r="R8" s="17" t="s">
        <v>15</v>
      </c>
      <c r="S8" s="12">
        <f>S6*T14</f>
        <v>179571.84645224153</v>
      </c>
    </row>
    <row r="9" spans="2:20" x14ac:dyDescent="0.25">
      <c r="B9" s="33">
        <f t="shared" si="1"/>
        <v>12.41666666666667</v>
      </c>
      <c r="C9" s="34"/>
      <c r="D9" s="35">
        <f t="shared" si="3"/>
        <v>1.6500000000000116E-4</v>
      </c>
      <c r="E9" s="36">
        <f>E4-(5/12)*F4</f>
        <v>999835</v>
      </c>
      <c r="F9" s="36">
        <f t="shared" si="2"/>
        <v>33</v>
      </c>
      <c r="G9" s="31">
        <f t="shared" si="0"/>
        <v>0.99983500000000003</v>
      </c>
      <c r="H9" s="37"/>
      <c r="I9" s="2"/>
      <c r="J9" s="2"/>
      <c r="L9" s="3"/>
      <c r="Q9" s="2"/>
    </row>
    <row r="10" spans="2:20" x14ac:dyDescent="0.25">
      <c r="B10" s="33">
        <f t="shared" si="1"/>
        <v>12.500000000000004</v>
      </c>
      <c r="C10" s="34"/>
      <c r="D10" s="35">
        <f t="shared" si="3"/>
        <v>1.980000000000014E-4</v>
      </c>
      <c r="E10" s="36">
        <f>E4-(6/12)*F4</f>
        <v>999802</v>
      </c>
      <c r="F10" s="36">
        <f t="shared" si="2"/>
        <v>33</v>
      </c>
      <c r="G10" s="31">
        <f t="shared" si="0"/>
        <v>0.99980199999999997</v>
      </c>
      <c r="H10" s="37"/>
      <c r="I10" s="2"/>
      <c r="J10" s="2"/>
      <c r="L10" s="41" t="s">
        <v>13</v>
      </c>
      <c r="M10" s="19">
        <f>12*(((1+M8)^(1/12))-1)</f>
        <v>9.0822324341650607E-2</v>
      </c>
      <c r="Q10" s="2"/>
    </row>
    <row r="11" spans="2:20" x14ac:dyDescent="0.25">
      <c r="B11" s="33">
        <f t="shared" si="1"/>
        <v>12.583333333333337</v>
      </c>
      <c r="C11" s="34"/>
      <c r="D11" s="35">
        <f t="shared" si="3"/>
        <v>2.3100000000000163E-4</v>
      </c>
      <c r="E11" s="36">
        <f>E4-(7/12)*F4</f>
        <v>999769</v>
      </c>
      <c r="F11" s="36">
        <f t="shared" si="2"/>
        <v>33</v>
      </c>
      <c r="G11" s="31">
        <f t="shared" si="0"/>
        <v>0.99976900000000002</v>
      </c>
      <c r="H11" s="37"/>
      <c r="I11" s="2"/>
      <c r="J11" s="2"/>
      <c r="L11" s="3"/>
      <c r="Q11" s="2"/>
    </row>
    <row r="12" spans="2:20" x14ac:dyDescent="0.25">
      <c r="B12" s="33">
        <f t="shared" si="1"/>
        <v>12.666666666666671</v>
      </c>
      <c r="C12" s="34"/>
      <c r="D12" s="35">
        <f t="shared" si="3"/>
        <v>2.6400000000000186E-4</v>
      </c>
      <c r="E12" s="36">
        <f>E4-(8/12)*F4</f>
        <v>999736</v>
      </c>
      <c r="F12" s="36">
        <f t="shared" si="2"/>
        <v>33</v>
      </c>
      <c r="G12" s="31">
        <f t="shared" si="0"/>
        <v>0.99973599999999996</v>
      </c>
      <c r="H12" s="37"/>
      <c r="I12" s="2"/>
      <c r="J12" s="2"/>
      <c r="L12" s="3"/>
      <c r="Q12" s="2"/>
    </row>
    <row r="13" spans="2:20" x14ac:dyDescent="0.25">
      <c r="B13" s="33">
        <f t="shared" si="1"/>
        <v>12.750000000000005</v>
      </c>
      <c r="C13" s="34"/>
      <c r="D13" s="35">
        <f t="shared" si="3"/>
        <v>2.9700000000000207E-4</v>
      </c>
      <c r="E13" s="36">
        <f>E4-(9/12)*F4</f>
        <v>999703</v>
      </c>
      <c r="F13" s="36">
        <f t="shared" si="2"/>
        <v>33</v>
      </c>
      <c r="G13" s="31">
        <f t="shared" si="0"/>
        <v>0.99970300000000001</v>
      </c>
      <c r="H13" s="37"/>
      <c r="I13" s="2"/>
      <c r="J13" s="2"/>
      <c r="L13" s="3"/>
      <c r="Q13" s="2"/>
    </row>
    <row r="14" spans="2:20" x14ac:dyDescent="0.25">
      <c r="B14" s="33">
        <f t="shared" si="1"/>
        <v>12.833333333333339</v>
      </c>
      <c r="C14" s="34"/>
      <c r="D14" s="35">
        <f t="shared" si="3"/>
        <v>3.3000000000000233E-4</v>
      </c>
      <c r="E14" s="36">
        <f>E4-(10/12)*F4</f>
        <v>999670</v>
      </c>
      <c r="F14" s="36">
        <f t="shared" si="2"/>
        <v>33</v>
      </c>
      <c r="G14" s="31">
        <f t="shared" si="0"/>
        <v>0.99966999999999995</v>
      </c>
      <c r="H14" s="37"/>
      <c r="I14" s="2"/>
      <c r="J14" s="2"/>
      <c r="L14" s="3"/>
      <c r="Q14" s="20"/>
      <c r="R14" s="42" t="s">
        <v>23</v>
      </c>
      <c r="S14" s="42"/>
      <c r="T14" s="43">
        <f>SUM(T16:T1074)</f>
        <v>11.971456430149436</v>
      </c>
    </row>
    <row r="15" spans="2:20" ht="29.25" customHeight="1" x14ac:dyDescent="0.25">
      <c r="B15" s="33">
        <f t="shared" si="1"/>
        <v>12.916666666666673</v>
      </c>
      <c r="C15" s="34"/>
      <c r="D15" s="35">
        <f t="shared" si="3"/>
        <v>3.6300000000000254E-4</v>
      </c>
      <c r="E15" s="36">
        <f>E4-(11/12)*F4</f>
        <v>999637</v>
      </c>
      <c r="F15" s="36">
        <f t="shared" si="2"/>
        <v>33</v>
      </c>
      <c r="G15" s="31">
        <f t="shared" si="0"/>
        <v>0.999637</v>
      </c>
      <c r="H15" s="37"/>
      <c r="I15" s="89" t="s">
        <v>24</v>
      </c>
      <c r="J15" s="89" t="s">
        <v>25</v>
      </c>
      <c r="K15" s="90" t="s">
        <v>26</v>
      </c>
      <c r="L15" s="91" t="s">
        <v>27</v>
      </c>
      <c r="M15" s="92" t="s">
        <v>28</v>
      </c>
      <c r="N15" s="93" t="s">
        <v>29</v>
      </c>
      <c r="O15" s="44"/>
      <c r="P15" s="44"/>
      <c r="Q15" s="97" t="s">
        <v>30</v>
      </c>
      <c r="R15" s="98" t="s">
        <v>31</v>
      </c>
      <c r="S15" s="99" t="s">
        <v>32</v>
      </c>
      <c r="T15" s="100" t="s">
        <v>33</v>
      </c>
    </row>
    <row r="16" spans="2:20" x14ac:dyDescent="0.25">
      <c r="B16" s="45">
        <v>13</v>
      </c>
      <c r="C16" s="46">
        <v>0.42700000000000005</v>
      </c>
      <c r="D16" s="47">
        <f>C16/1000</f>
        <v>4.2700000000000002E-4</v>
      </c>
      <c r="E16" s="48">
        <f>E4-F4</f>
        <v>999604</v>
      </c>
      <c r="F16" s="48">
        <f>D16*E16</f>
        <v>426.83090800000002</v>
      </c>
      <c r="G16" s="31">
        <f t="shared" si="0"/>
        <v>0.99957300000000004</v>
      </c>
      <c r="H16" s="49"/>
      <c r="I16" s="50">
        <v>0</v>
      </c>
      <c r="J16" s="51">
        <f>J6</f>
        <v>65</v>
      </c>
      <c r="K16" s="52">
        <f t="shared" ref="K16:K27" si="4">IFERROR(VLOOKUP(J16,$B$3:$F$1060,3,FALSE),"")</f>
        <v>1.9980000000000001E-2</v>
      </c>
      <c r="L16" s="53">
        <f t="shared" ref="L16:L270" si="5">IF(I16&lt;&gt;"",1-K16,"")</f>
        <v>0.98002</v>
      </c>
      <c r="M16" s="54">
        <f>IF(I16&lt;&gt;"",1,"")</f>
        <v>1</v>
      </c>
      <c r="N16" s="55">
        <f t="shared" ref="N16:N270" si="6">IF(I16&lt;&gt;"",(1+$M$10)^-(1+I16),"")</f>
        <v>0.91673958048441573</v>
      </c>
      <c r="O16" s="56"/>
      <c r="P16" s="138"/>
      <c r="Q16" s="134">
        <v>0</v>
      </c>
      <c r="R16" s="135">
        <f>IF(Q16&lt;&gt;"",1,"")</f>
        <v>1</v>
      </c>
      <c r="S16" s="136">
        <f>IF(Q16&lt;&gt;"",(1+$M$10)^-(12*Q16),"")</f>
        <v>1</v>
      </c>
      <c r="T16" s="135">
        <f>IFERROR(S16,"")</f>
        <v>1</v>
      </c>
    </row>
    <row r="17" spans="2:20" x14ac:dyDescent="0.25">
      <c r="B17" s="33">
        <f t="shared" ref="B17:B27" si="7">B16+1/12</f>
        <v>13.083333333333334</v>
      </c>
      <c r="C17" s="34"/>
      <c r="D17" s="35">
        <f>F17/E17</f>
        <v>3.5584599552078662E-5</v>
      </c>
      <c r="E17" s="36">
        <f>E16-(1/12)*F16</f>
        <v>999568.43075766671</v>
      </c>
      <c r="F17" s="36">
        <f t="shared" ref="F17:F27" si="8">E17-E18</f>
        <v>35.569242333411239</v>
      </c>
      <c r="G17" s="31">
        <f t="shared" si="0"/>
        <v>0.99996441540044789</v>
      </c>
      <c r="H17" s="37"/>
      <c r="I17" s="51">
        <f t="shared" ref="I17:I271" si="9">IFERROR(IF(I16+1/12&lt;$J$8,I16+1/12,""),"")</f>
        <v>8.3333333333333329E-2</v>
      </c>
      <c r="J17" s="51">
        <f t="shared" ref="J17:J271" si="10">IF(I17&lt;&gt;"",J16+1/12,"")</f>
        <v>65.083333333333329</v>
      </c>
      <c r="K17" s="52">
        <f t="shared" si="4"/>
        <v>1.665E-3</v>
      </c>
      <c r="L17" s="53">
        <f t="shared" si="5"/>
        <v>0.99833499999999997</v>
      </c>
      <c r="M17" s="52">
        <f t="shared" ref="M17:M271" si="11">IF(I17&lt;&gt;"",M16*L16,"")</f>
        <v>0.98002</v>
      </c>
      <c r="N17" s="59">
        <f t="shared" si="6"/>
        <v>0.91012242311554059</v>
      </c>
      <c r="O17" s="60"/>
      <c r="P17" s="139" t="s">
        <v>51</v>
      </c>
      <c r="Q17" s="134">
        <f t="shared" ref="Q17:Q271" si="12">IFERROR(IF(Q16+1/12&lt;$J$8,Q16+1/12,""),"")</f>
        <v>8.3333333333333329E-2</v>
      </c>
      <c r="R17" s="135">
        <f t="shared" ref="R17:R271" si="13">IF(Q17&lt;&gt;"",R16*L16,"")</f>
        <v>0.98002</v>
      </c>
      <c r="S17" s="136">
        <f>IF(Q17&lt;&gt;"",(1+$M$10)^-(12*Q17),"")</f>
        <v>0.91673958048441573</v>
      </c>
      <c r="T17" s="135">
        <f t="shared" ref="T17:T75" si="14">IFERROR(S17,"")</f>
        <v>0.91673958048441573</v>
      </c>
    </row>
    <row r="18" spans="2:20" x14ac:dyDescent="0.25">
      <c r="B18" s="33">
        <f t="shared" si="7"/>
        <v>13.166666666666668</v>
      </c>
      <c r="C18" s="34"/>
      <c r="D18" s="35">
        <f t="shared" ref="D18:D27" si="15">(B18-$B$16)*$D$16</f>
        <v>7.1166666666667172E-5</v>
      </c>
      <c r="E18" s="36">
        <f>E16-(2/12)*F16</f>
        <v>999532.86151533329</v>
      </c>
      <c r="F18" s="36">
        <f t="shared" si="8"/>
        <v>35.569242333294824</v>
      </c>
      <c r="G18" s="31">
        <f t="shared" si="0"/>
        <v>0.99992883333333338</v>
      </c>
      <c r="H18" s="32"/>
      <c r="I18" s="51">
        <f t="shared" si="9"/>
        <v>0.16666666666666666</v>
      </c>
      <c r="J18" s="51">
        <f t="shared" si="10"/>
        <v>65.166666666666657</v>
      </c>
      <c r="K18" s="52">
        <f t="shared" si="4"/>
        <v>3.3300000000000001E-3</v>
      </c>
      <c r="L18" s="53">
        <f t="shared" si="5"/>
        <v>0.99666999999999994</v>
      </c>
      <c r="M18" s="52">
        <f t="shared" si="11"/>
        <v>0.97838826670000001</v>
      </c>
      <c r="N18" s="58">
        <f t="shared" si="6"/>
        <v>0.90355302933468606</v>
      </c>
      <c r="O18" s="60"/>
      <c r="P18" s="139" t="s">
        <v>52</v>
      </c>
      <c r="Q18" s="134">
        <f t="shared" si="12"/>
        <v>0.16666666666666666</v>
      </c>
      <c r="R18" s="135">
        <f t="shared" si="13"/>
        <v>0.97838826670000001</v>
      </c>
      <c r="S18" s="136">
        <f t="shared" ref="S18:S81" si="16">IF(Q18&lt;&gt;"",(1+$M$10)^-(12*Q18),"")</f>
        <v>0.84041145842674236</v>
      </c>
      <c r="T18" s="135">
        <f t="shared" si="14"/>
        <v>0.84041145842674236</v>
      </c>
    </row>
    <row r="19" spans="2:20" x14ac:dyDescent="0.25">
      <c r="B19" s="33">
        <f t="shared" si="7"/>
        <v>13.250000000000002</v>
      </c>
      <c r="C19" s="34"/>
      <c r="D19" s="35">
        <f t="shared" si="15"/>
        <v>1.0675000000000077E-4</v>
      </c>
      <c r="E19" s="36">
        <f>E16-(3/12)*F16</f>
        <v>999497.292273</v>
      </c>
      <c r="F19" s="36">
        <f t="shared" si="8"/>
        <v>35.569242333294824</v>
      </c>
      <c r="G19" s="31">
        <f t="shared" si="0"/>
        <v>0.99989324999999996</v>
      </c>
      <c r="H19" s="32"/>
      <c r="I19" s="51">
        <f t="shared" si="9"/>
        <v>0.25</v>
      </c>
      <c r="J19" s="51">
        <f t="shared" si="10"/>
        <v>65.249999999999986</v>
      </c>
      <c r="K19" s="52">
        <f t="shared" si="4"/>
        <v>4.9950000000000003E-3</v>
      </c>
      <c r="L19" s="53">
        <f t="shared" si="5"/>
        <v>0.99500500000000003</v>
      </c>
      <c r="M19" s="52">
        <f t="shared" si="11"/>
        <v>0.97513023377188901</v>
      </c>
      <c r="N19" s="58">
        <f t="shared" si="6"/>
        <v>0.89703105437744435</v>
      </c>
      <c r="O19" s="60"/>
      <c r="P19" s="139" t="s">
        <v>53</v>
      </c>
      <c r="Q19" s="134">
        <f t="shared" si="12"/>
        <v>0.25</v>
      </c>
      <c r="R19" s="135">
        <f t="shared" si="13"/>
        <v>0.97513023377188901</v>
      </c>
      <c r="S19" s="136">
        <f t="shared" si="16"/>
        <v>0.77043844783242788</v>
      </c>
      <c r="T19" s="135">
        <f t="shared" si="14"/>
        <v>0.77043844783242788</v>
      </c>
    </row>
    <row r="20" spans="2:20" x14ac:dyDescent="0.25">
      <c r="B20" s="33">
        <f t="shared" si="7"/>
        <v>13.333333333333336</v>
      </c>
      <c r="C20" s="34"/>
      <c r="D20" s="35">
        <f t="shared" si="15"/>
        <v>1.4233333333333434E-4</v>
      </c>
      <c r="E20" s="36">
        <f>E16-(4/12)*F16</f>
        <v>999461.7230306667</v>
      </c>
      <c r="F20" s="36">
        <f t="shared" si="8"/>
        <v>35.569242333411239</v>
      </c>
      <c r="G20" s="31">
        <f t="shared" si="0"/>
        <v>0.99985766666666664</v>
      </c>
      <c r="H20" s="32"/>
      <c r="I20" s="51">
        <f t="shared" si="9"/>
        <v>0.33333333333333331</v>
      </c>
      <c r="J20" s="51">
        <f t="shared" si="10"/>
        <v>65.333333333333314</v>
      </c>
      <c r="K20" s="52">
        <f t="shared" si="4"/>
        <v>6.6600000000000001E-3</v>
      </c>
      <c r="L20" s="53">
        <f t="shared" si="5"/>
        <v>0.99334</v>
      </c>
      <c r="M20" s="52">
        <f t="shared" si="11"/>
        <v>0.97025945825419846</v>
      </c>
      <c r="N20" s="58">
        <f t="shared" si="6"/>
        <v>0.890556155967967</v>
      </c>
      <c r="O20" s="60"/>
      <c r="P20" s="139" t="s">
        <v>54</v>
      </c>
      <c r="Q20" s="134">
        <f t="shared" si="12"/>
        <v>0.33333333333333331</v>
      </c>
      <c r="R20" s="135">
        <f t="shared" si="13"/>
        <v>0.97025945825419846</v>
      </c>
      <c r="S20" s="136">
        <f t="shared" si="16"/>
        <v>0.70629141945496421</v>
      </c>
      <c r="T20" s="135">
        <f t="shared" si="14"/>
        <v>0.70629141945496421</v>
      </c>
    </row>
    <row r="21" spans="2:20" ht="15.75" customHeight="1" x14ac:dyDescent="0.25">
      <c r="B21" s="33">
        <f t="shared" si="7"/>
        <v>13.41666666666667</v>
      </c>
      <c r="C21" s="34"/>
      <c r="D21" s="35">
        <f t="shared" si="15"/>
        <v>1.7791666666666794E-4</v>
      </c>
      <c r="E21" s="36">
        <f>E16-(5/12)*F16</f>
        <v>999426.15378833329</v>
      </c>
      <c r="F21" s="36">
        <f t="shared" si="8"/>
        <v>35.569242333294824</v>
      </c>
      <c r="G21" s="31">
        <f t="shared" si="0"/>
        <v>0.99982208333333333</v>
      </c>
      <c r="H21" s="32"/>
      <c r="I21" s="51">
        <f t="shared" si="9"/>
        <v>0.41666666666666663</v>
      </c>
      <c r="J21" s="51">
        <f t="shared" si="10"/>
        <v>65.416666666666643</v>
      </c>
      <c r="K21" s="52">
        <f t="shared" si="4"/>
        <v>8.3250000000000008E-3</v>
      </c>
      <c r="L21" s="53">
        <f t="shared" si="5"/>
        <v>0.99167499999999997</v>
      </c>
      <c r="M21" s="52">
        <f t="shared" si="11"/>
        <v>0.96379753026222548</v>
      </c>
      <c r="N21" s="58">
        <f t="shared" si="6"/>
        <v>0.88412799430100086</v>
      </c>
      <c r="O21" s="60"/>
      <c r="P21" s="139" t="s">
        <v>55</v>
      </c>
      <c r="Q21" s="134">
        <f t="shared" si="12"/>
        <v>0.41666666666666663</v>
      </c>
      <c r="R21" s="135">
        <f t="shared" si="13"/>
        <v>0.96379753026222548</v>
      </c>
      <c r="S21" s="136">
        <f t="shared" si="16"/>
        <v>0.64748529957088641</v>
      </c>
      <c r="T21" s="135">
        <f t="shared" si="14"/>
        <v>0.64748529957088641</v>
      </c>
    </row>
    <row r="22" spans="2:20" ht="15.75" customHeight="1" x14ac:dyDescent="0.25">
      <c r="B22" s="33">
        <f t="shared" si="7"/>
        <v>13.500000000000004</v>
      </c>
      <c r="C22" s="34"/>
      <c r="D22" s="35">
        <f t="shared" si="15"/>
        <v>2.1350000000000153E-4</v>
      </c>
      <c r="E22" s="36">
        <f>E16-(6/12)*F16</f>
        <v>999390.584546</v>
      </c>
      <c r="F22" s="36">
        <f t="shared" si="8"/>
        <v>35.569242333294824</v>
      </c>
      <c r="G22" s="31">
        <f t="shared" si="0"/>
        <v>0.99978650000000002</v>
      </c>
      <c r="H22" s="32"/>
      <c r="I22" s="51">
        <f t="shared" si="9"/>
        <v>0.49999999999999994</v>
      </c>
      <c r="J22" s="51">
        <f t="shared" si="10"/>
        <v>65.499999999999972</v>
      </c>
      <c r="K22" s="52">
        <f t="shared" si="4"/>
        <v>9.9900000000000006E-3</v>
      </c>
      <c r="L22" s="53">
        <f t="shared" si="5"/>
        <v>0.99000999999999995</v>
      </c>
      <c r="M22" s="52">
        <f t="shared" si="11"/>
        <v>0.95577391582279247</v>
      </c>
      <c r="N22" s="58">
        <f t="shared" si="6"/>
        <v>0.87774623202405588</v>
      </c>
      <c r="O22" s="60"/>
      <c r="P22" s="139" t="s">
        <v>56</v>
      </c>
      <c r="Q22" s="134">
        <f t="shared" si="12"/>
        <v>0.49999999999999994</v>
      </c>
      <c r="R22" s="135">
        <f t="shared" si="13"/>
        <v>0.95577391582279247</v>
      </c>
      <c r="S22" s="136">
        <f t="shared" si="16"/>
        <v>0.59357540189844071</v>
      </c>
      <c r="T22" s="135">
        <f t="shared" si="14"/>
        <v>0.59357540189844071</v>
      </c>
    </row>
    <row r="23" spans="2:20" ht="15.75" customHeight="1" x14ac:dyDescent="0.25">
      <c r="B23" s="33">
        <f t="shared" si="7"/>
        <v>13.583333333333337</v>
      </c>
      <c r="C23" s="34"/>
      <c r="D23" s="35">
        <f t="shared" si="15"/>
        <v>2.490833333333351E-4</v>
      </c>
      <c r="E23" s="36">
        <f>E16-(7/12)*F16</f>
        <v>999355.0153036667</v>
      </c>
      <c r="F23" s="36">
        <f t="shared" si="8"/>
        <v>35.569242333411239</v>
      </c>
      <c r="G23" s="31">
        <f t="shared" si="0"/>
        <v>0.99975091666666671</v>
      </c>
      <c r="H23" s="32"/>
      <c r="I23" s="51">
        <f t="shared" si="9"/>
        <v>0.58333333333333326</v>
      </c>
      <c r="J23" s="51">
        <f t="shared" si="10"/>
        <v>65.5833333333333</v>
      </c>
      <c r="K23" s="52">
        <f t="shared" si="4"/>
        <v>1.1655000000000002E-2</v>
      </c>
      <c r="L23" s="53">
        <f t="shared" si="5"/>
        <v>0.98834500000000003</v>
      </c>
      <c r="M23" s="52">
        <f t="shared" si="11"/>
        <v>0.94622573440372271</v>
      </c>
      <c r="N23" s="58">
        <f t="shared" si="6"/>
        <v>0.87141053421970094</v>
      </c>
      <c r="O23" s="60"/>
      <c r="P23" s="139" t="s">
        <v>57</v>
      </c>
      <c r="Q23" s="134">
        <f t="shared" si="12"/>
        <v>0.58333333333333326</v>
      </c>
      <c r="R23" s="135">
        <f t="shared" si="13"/>
        <v>0.94622573440372271</v>
      </c>
      <c r="S23" s="136">
        <f t="shared" si="16"/>
        <v>0.54415406492224505</v>
      </c>
      <c r="T23" s="135">
        <f t="shared" si="14"/>
        <v>0.54415406492224505</v>
      </c>
    </row>
    <row r="24" spans="2:20" ht="15.75" customHeight="1" x14ac:dyDescent="0.25">
      <c r="B24" s="33">
        <f t="shared" si="7"/>
        <v>13.666666666666671</v>
      </c>
      <c r="C24" s="34"/>
      <c r="D24" s="35">
        <f t="shared" si="15"/>
        <v>2.8466666666666869E-4</v>
      </c>
      <c r="E24" s="36">
        <f>E16-(8/12)*F16</f>
        <v>999319.44606133329</v>
      </c>
      <c r="F24" s="36">
        <f t="shared" si="8"/>
        <v>35.569242333294824</v>
      </c>
      <c r="G24" s="31">
        <f t="shared" si="0"/>
        <v>0.99971533333333329</v>
      </c>
      <c r="H24" s="32"/>
      <c r="I24" s="51">
        <f t="shared" si="9"/>
        <v>0.66666666666666663</v>
      </c>
      <c r="J24" s="51">
        <f t="shared" si="10"/>
        <v>65.666666666666629</v>
      </c>
      <c r="K24" s="52">
        <f t="shared" si="4"/>
        <v>1.332E-2</v>
      </c>
      <c r="L24" s="53">
        <f t="shared" si="5"/>
        <v>0.98668</v>
      </c>
      <c r="M24" s="52">
        <f t="shared" si="11"/>
        <v>0.93519747346924731</v>
      </c>
      <c r="N24" s="58">
        <f t="shared" si="6"/>
        <v>0.86512056838798634</v>
      </c>
      <c r="O24" s="60"/>
      <c r="P24" s="139" t="s">
        <v>58</v>
      </c>
      <c r="Q24" s="134">
        <f t="shared" si="12"/>
        <v>0.66666666666666663</v>
      </c>
      <c r="R24" s="135">
        <f t="shared" si="13"/>
        <v>0.93519747346924731</v>
      </c>
      <c r="S24" s="136">
        <f t="shared" si="16"/>
        <v>0.49884756919570827</v>
      </c>
      <c r="T24" s="135">
        <f t="shared" si="14"/>
        <v>0.49884756919570827</v>
      </c>
    </row>
    <row r="25" spans="2:20" ht="15.75" customHeight="1" x14ac:dyDescent="0.25">
      <c r="B25" s="33">
        <f t="shared" si="7"/>
        <v>13.750000000000005</v>
      </c>
      <c r="C25" s="34"/>
      <c r="D25" s="35">
        <f t="shared" si="15"/>
        <v>3.2025000000000228E-4</v>
      </c>
      <c r="E25" s="36">
        <f>E16-(9/12)*F16</f>
        <v>999283.876819</v>
      </c>
      <c r="F25" s="36">
        <f t="shared" si="8"/>
        <v>35.569242333294824</v>
      </c>
      <c r="G25" s="31">
        <f t="shared" si="0"/>
        <v>0.99967974999999998</v>
      </c>
      <c r="H25" s="32"/>
      <c r="I25" s="51">
        <f t="shared" si="9"/>
        <v>0.75</v>
      </c>
      <c r="J25" s="51">
        <f t="shared" si="10"/>
        <v>65.749999999999957</v>
      </c>
      <c r="K25" s="52">
        <f t="shared" si="4"/>
        <v>1.4985000000000002E-2</v>
      </c>
      <c r="L25" s="53">
        <f t="shared" si="5"/>
        <v>0.98501499999999997</v>
      </c>
      <c r="M25" s="52">
        <f t="shared" si="11"/>
        <v>0.92274064312263693</v>
      </c>
      <c r="N25" s="58">
        <f t="shared" si="6"/>
        <v>0.85887600442899481</v>
      </c>
      <c r="O25" s="60"/>
      <c r="P25" s="139" t="s">
        <v>59</v>
      </c>
      <c r="Q25" s="134">
        <f t="shared" si="12"/>
        <v>0.75</v>
      </c>
      <c r="R25" s="135">
        <f t="shared" si="13"/>
        <v>0.92274064312263693</v>
      </c>
      <c r="S25" s="136">
        <f t="shared" si="16"/>
        <v>0.45731331131014413</v>
      </c>
      <c r="T25" s="135">
        <f t="shared" si="14"/>
        <v>0.45731331131014413</v>
      </c>
    </row>
    <row r="26" spans="2:20" ht="15.75" customHeight="1" x14ac:dyDescent="0.25">
      <c r="B26" s="33">
        <f t="shared" si="7"/>
        <v>13.833333333333339</v>
      </c>
      <c r="C26" s="34"/>
      <c r="D26" s="35">
        <f t="shared" si="15"/>
        <v>3.5583333333333587E-4</v>
      </c>
      <c r="E26" s="36">
        <f>E16-(10/12)*F16</f>
        <v>999248.3075766667</v>
      </c>
      <c r="F26" s="36">
        <f t="shared" si="8"/>
        <v>35.569242333411239</v>
      </c>
      <c r="G26" s="31">
        <f t="shared" si="0"/>
        <v>0.99964416666666667</v>
      </c>
      <c r="H26" s="32"/>
      <c r="I26" s="51">
        <f t="shared" si="9"/>
        <v>0.83333333333333337</v>
      </c>
      <c r="J26" s="51">
        <f t="shared" si="10"/>
        <v>65.833333333333286</v>
      </c>
      <c r="K26" s="52">
        <f t="shared" si="4"/>
        <v>1.6650000000000002E-2</v>
      </c>
      <c r="L26" s="53">
        <f t="shared" si="5"/>
        <v>0.98334999999999995</v>
      </c>
      <c r="M26" s="52">
        <f t="shared" si="11"/>
        <v>0.90891337458544419</v>
      </c>
      <c r="N26" s="58">
        <f t="shared" si="6"/>
        <v>0.85267651462551719</v>
      </c>
      <c r="O26" s="60"/>
      <c r="P26" s="139" t="s">
        <v>56</v>
      </c>
      <c r="Q26" s="134">
        <f t="shared" si="12"/>
        <v>0.83333333333333337</v>
      </c>
      <c r="R26" s="135">
        <f t="shared" si="13"/>
        <v>0.90891337458544419</v>
      </c>
      <c r="S26" s="136">
        <f t="shared" si="16"/>
        <v>0.41923721316040047</v>
      </c>
      <c r="T26" s="135">
        <f t="shared" si="14"/>
        <v>0.41923721316040047</v>
      </c>
    </row>
    <row r="27" spans="2:20" ht="15.75" customHeight="1" x14ac:dyDescent="0.25">
      <c r="B27" s="33">
        <f t="shared" si="7"/>
        <v>13.916666666666673</v>
      </c>
      <c r="C27" s="34"/>
      <c r="D27" s="35">
        <f t="shared" si="15"/>
        <v>3.9141666666666947E-4</v>
      </c>
      <c r="E27" s="36">
        <f>E16-(11/12)*F16</f>
        <v>999212.73833433329</v>
      </c>
      <c r="F27" s="36">
        <f t="shared" si="8"/>
        <v>35.569242333294824</v>
      </c>
      <c r="G27" s="31">
        <f t="shared" si="0"/>
        <v>0.99960858333333336</v>
      </c>
      <c r="H27" s="32"/>
      <c r="I27" s="51">
        <f t="shared" si="9"/>
        <v>0.91666666666666674</v>
      </c>
      <c r="J27" s="51">
        <f t="shared" si="10"/>
        <v>65.916666666666615</v>
      </c>
      <c r="K27" s="52">
        <f t="shared" si="4"/>
        <v>1.8315000000000001E-2</v>
      </c>
      <c r="L27" s="53">
        <f t="shared" si="5"/>
        <v>0.98168500000000003</v>
      </c>
      <c r="M27" s="52">
        <f t="shared" si="11"/>
        <v>0.89377996689859651</v>
      </c>
      <c r="N27" s="58">
        <f t="shared" si="6"/>
        <v>0.84652177362585468</v>
      </c>
      <c r="O27" s="60"/>
      <c r="P27" s="139" t="s">
        <v>59</v>
      </c>
      <c r="Q27" s="134">
        <f t="shared" si="12"/>
        <v>0.91666666666666674</v>
      </c>
      <c r="R27" s="135">
        <f t="shared" si="13"/>
        <v>0.89377996689859651</v>
      </c>
      <c r="S27" s="136">
        <f t="shared" si="16"/>
        <v>0.38433134691612109</v>
      </c>
      <c r="T27" s="135">
        <f t="shared" si="14"/>
        <v>0.38433134691612109</v>
      </c>
    </row>
    <row r="28" spans="2:20" ht="15.75" customHeight="1" x14ac:dyDescent="0.25">
      <c r="B28" s="27">
        <v>14</v>
      </c>
      <c r="C28" s="28">
        <v>0.46</v>
      </c>
      <c r="D28" s="29">
        <f>C28/1000</f>
        <v>4.6000000000000001E-4</v>
      </c>
      <c r="E28" s="30">
        <f>E16-F16</f>
        <v>999177.169092</v>
      </c>
      <c r="F28" s="48">
        <f>D28*E28</f>
        <v>459.62149778232003</v>
      </c>
      <c r="G28" s="31">
        <f t="shared" si="0"/>
        <v>0.99953999999999998</v>
      </c>
      <c r="H28" s="49"/>
      <c r="I28" s="51">
        <f t="shared" si="9"/>
        <v>1</v>
      </c>
      <c r="J28" s="51">
        <f t="shared" si="10"/>
        <v>65.999999999999943</v>
      </c>
      <c r="K28" s="52">
        <f t="shared" ref="K28:K99" si="17">IFERROR(VLOOKUP(J28,$B$3:$F$1060,3,TRUE),"")</f>
        <v>1.8315000000000001E-2</v>
      </c>
      <c r="L28" s="53">
        <f t="shared" si="5"/>
        <v>0.98168500000000003</v>
      </c>
      <c r="M28" s="52">
        <f t="shared" si="11"/>
        <v>0.87741038680484873</v>
      </c>
      <c r="N28" s="58">
        <f t="shared" si="6"/>
        <v>0.84041145842674236</v>
      </c>
      <c r="O28" s="60"/>
      <c r="P28" s="139" t="s">
        <v>52</v>
      </c>
      <c r="Q28" s="134">
        <f t="shared" si="12"/>
        <v>1</v>
      </c>
      <c r="R28" s="135">
        <f t="shared" si="13"/>
        <v>0.87741038680484873</v>
      </c>
      <c r="S28" s="136">
        <f t="shared" si="16"/>
        <v>0.3523317577388953</v>
      </c>
      <c r="T28" s="135">
        <f t="shared" si="14"/>
        <v>0.3523317577388953</v>
      </c>
    </row>
    <row r="29" spans="2:20" ht="15.75" customHeight="1" x14ac:dyDescent="0.25">
      <c r="B29" s="33">
        <f t="shared" ref="B29:B39" si="18">B28+1/12</f>
        <v>14.083333333333334</v>
      </c>
      <c r="C29" s="34"/>
      <c r="D29" s="35">
        <f t="shared" ref="D29:D39" si="19">(B29-$B$28)*$D$28</f>
        <v>3.8333333333333606E-5</v>
      </c>
      <c r="E29" s="36">
        <f>E28-(1/12)*F28</f>
        <v>999138.86730051809</v>
      </c>
      <c r="F29" s="36">
        <f t="shared" ref="F29:F39" si="20">E29-E30</f>
        <v>38.301791481790133</v>
      </c>
      <c r="G29" s="31">
        <f t="shared" si="0"/>
        <v>0.99996166666666664</v>
      </c>
      <c r="H29" s="37"/>
      <c r="I29" s="51">
        <f t="shared" si="9"/>
        <v>1.0833333333333333</v>
      </c>
      <c r="J29" s="51">
        <f t="shared" si="10"/>
        <v>66.083333333333272</v>
      </c>
      <c r="K29" s="52">
        <f t="shared" si="17"/>
        <v>2.1489999999999999E-2</v>
      </c>
      <c r="L29" s="53">
        <f t="shared" si="5"/>
        <v>0.97850999999999999</v>
      </c>
      <c r="M29" s="52">
        <f t="shared" si="11"/>
        <v>0.861340615570518</v>
      </c>
      <c r="N29" s="58">
        <f t="shared" si="6"/>
        <v>0.83434524835640056</v>
      </c>
      <c r="O29" s="60"/>
      <c r="P29" s="139" t="s">
        <v>54</v>
      </c>
      <c r="Q29" s="134">
        <f t="shared" si="12"/>
        <v>1.0833333333333333</v>
      </c>
      <c r="R29" s="135">
        <f t="shared" si="13"/>
        <v>0.861340615570518</v>
      </c>
      <c r="S29" s="136">
        <f t="shared" si="16"/>
        <v>0.32299646778089169</v>
      </c>
      <c r="T29" s="135">
        <f t="shared" si="14"/>
        <v>0.32299646778089169</v>
      </c>
    </row>
    <row r="30" spans="2:20" ht="15.75" customHeight="1" x14ac:dyDescent="0.25">
      <c r="B30" s="33">
        <f t="shared" si="18"/>
        <v>14.166666666666668</v>
      </c>
      <c r="C30" s="34"/>
      <c r="D30" s="35">
        <f t="shared" si="19"/>
        <v>7.6666666666667211E-5</v>
      </c>
      <c r="E30" s="36">
        <f>E28-(2/12)*F28</f>
        <v>999100.5655090363</v>
      </c>
      <c r="F30" s="36">
        <f t="shared" si="20"/>
        <v>38.301791481906548</v>
      </c>
      <c r="G30" s="31">
        <f t="shared" si="0"/>
        <v>0.99992333333333339</v>
      </c>
      <c r="H30" s="32"/>
      <c r="I30" s="51">
        <f t="shared" si="9"/>
        <v>1.1666666666666665</v>
      </c>
      <c r="J30" s="51">
        <f t="shared" si="10"/>
        <v>66.1666666666666</v>
      </c>
      <c r="K30" s="52">
        <f t="shared" si="17"/>
        <v>1.7908333333333331E-3</v>
      </c>
      <c r="L30" s="53">
        <f t="shared" si="5"/>
        <v>0.9982091666666667</v>
      </c>
      <c r="M30" s="52">
        <f t="shared" si="11"/>
        <v>0.8428304057419076</v>
      </c>
      <c r="N30" s="58">
        <f t="shared" si="6"/>
        <v>0.82832282505770294</v>
      </c>
      <c r="O30" s="60"/>
      <c r="P30" s="139"/>
      <c r="Q30" s="134">
        <f t="shared" si="12"/>
        <v>1.1666666666666665</v>
      </c>
      <c r="R30" s="135">
        <f t="shared" si="13"/>
        <v>0.8428304057419076</v>
      </c>
      <c r="S30" s="136">
        <f t="shared" si="16"/>
        <v>0.29610364637140285</v>
      </c>
      <c r="T30" s="135">
        <f t="shared" si="14"/>
        <v>0.29610364637140285</v>
      </c>
    </row>
    <row r="31" spans="2:20" ht="15.75" customHeight="1" x14ac:dyDescent="0.25">
      <c r="B31" s="33">
        <f t="shared" si="18"/>
        <v>14.250000000000002</v>
      </c>
      <c r="C31" s="34"/>
      <c r="D31" s="35">
        <f t="shared" si="19"/>
        <v>1.1500000000000082E-4</v>
      </c>
      <c r="E31" s="36">
        <f>E28-(3/12)*F28</f>
        <v>999062.26371755439</v>
      </c>
      <c r="F31" s="36">
        <f t="shared" si="20"/>
        <v>38.301791481790133</v>
      </c>
      <c r="G31" s="31">
        <f t="shared" si="0"/>
        <v>0.99988500000000002</v>
      </c>
      <c r="H31" s="32"/>
      <c r="I31" s="51">
        <f t="shared" si="9"/>
        <v>1.2499999999999998</v>
      </c>
      <c r="J31" s="51">
        <f t="shared" si="10"/>
        <v>66.249999999999929</v>
      </c>
      <c r="K31" s="52">
        <f t="shared" si="17"/>
        <v>3.5816666666666662E-3</v>
      </c>
      <c r="L31" s="53">
        <f t="shared" si="5"/>
        <v>0.99641833333333329</v>
      </c>
      <c r="M31" s="52">
        <f t="shared" si="11"/>
        <v>0.84132103695695815</v>
      </c>
      <c r="N31" s="58">
        <f t="shared" si="6"/>
        <v>0.82234387247147156</v>
      </c>
      <c r="O31" s="60"/>
      <c r="P31" s="139" t="s">
        <v>50</v>
      </c>
      <c r="Q31" s="134">
        <f t="shared" si="12"/>
        <v>1.2499999999999998</v>
      </c>
      <c r="R31" s="135">
        <f t="shared" si="13"/>
        <v>0.84132103695695815</v>
      </c>
      <c r="S31" s="136">
        <f t="shared" si="16"/>
        <v>0.27144993255442562</v>
      </c>
      <c r="T31" s="135">
        <f t="shared" si="14"/>
        <v>0.27144993255442562</v>
      </c>
    </row>
    <row r="32" spans="2:20" ht="15.75" customHeight="1" x14ac:dyDescent="0.25">
      <c r="B32" s="33">
        <f t="shared" si="18"/>
        <v>14.333333333333336</v>
      </c>
      <c r="C32" s="34"/>
      <c r="D32" s="35">
        <f t="shared" si="19"/>
        <v>1.5333333333333442E-4</v>
      </c>
      <c r="E32" s="36">
        <f>E28-(4/12)*F28</f>
        <v>999023.9619260726</v>
      </c>
      <c r="F32" s="36">
        <f t="shared" si="20"/>
        <v>38.301791481906548</v>
      </c>
      <c r="G32" s="31">
        <f t="shared" si="0"/>
        <v>0.99984666666666666</v>
      </c>
      <c r="H32" s="32"/>
      <c r="I32" s="51">
        <f t="shared" si="9"/>
        <v>1.333333333333333</v>
      </c>
      <c r="J32" s="51">
        <f t="shared" si="10"/>
        <v>66.333333333333258</v>
      </c>
      <c r="K32" s="52">
        <f t="shared" si="17"/>
        <v>5.3724999999999997E-3</v>
      </c>
      <c r="L32" s="53">
        <f t="shared" si="5"/>
        <v>0.9946275</v>
      </c>
      <c r="M32" s="52">
        <f t="shared" si="11"/>
        <v>0.83830770544292399</v>
      </c>
      <c r="N32" s="58">
        <f t="shared" si="6"/>
        <v>0.81640807681988792</v>
      </c>
      <c r="O32" s="60"/>
      <c r="P32" s="139" t="s">
        <v>56</v>
      </c>
      <c r="Q32" s="134">
        <f t="shared" si="12"/>
        <v>1.333333333333333</v>
      </c>
      <c r="R32" s="135">
        <f t="shared" si="13"/>
        <v>0.83830770544292399</v>
      </c>
      <c r="S32" s="136">
        <f t="shared" si="16"/>
        <v>0.24884889729246706</v>
      </c>
      <c r="T32" s="135">
        <f t="shared" si="14"/>
        <v>0.24884889729246706</v>
      </c>
    </row>
    <row r="33" spans="2:20" ht="15.75" customHeight="1" x14ac:dyDescent="0.25">
      <c r="B33" s="33">
        <f t="shared" si="18"/>
        <v>14.41666666666667</v>
      </c>
      <c r="C33" s="34"/>
      <c r="D33" s="35">
        <f t="shared" si="19"/>
        <v>1.9166666666666803E-4</v>
      </c>
      <c r="E33" s="36">
        <f>E28-(5/12)*F28</f>
        <v>998985.6601345907</v>
      </c>
      <c r="F33" s="36">
        <f t="shared" si="20"/>
        <v>38.301791481906548</v>
      </c>
      <c r="G33" s="31">
        <f t="shared" si="0"/>
        <v>0.9998083333333333</v>
      </c>
      <c r="H33" s="32"/>
      <c r="I33" s="51">
        <f t="shared" si="9"/>
        <v>1.4166666666666663</v>
      </c>
      <c r="J33" s="51">
        <f t="shared" si="10"/>
        <v>66.416666666666586</v>
      </c>
      <c r="K33" s="52">
        <f t="shared" si="17"/>
        <v>7.1633333333333323E-3</v>
      </c>
      <c r="L33" s="53">
        <f t="shared" si="5"/>
        <v>0.9928366666666667</v>
      </c>
      <c r="M33" s="52">
        <f t="shared" si="11"/>
        <v>0.83380389729543192</v>
      </c>
      <c r="N33" s="58">
        <f t="shared" si="6"/>
        <v>0.81051512659002733</v>
      </c>
      <c r="O33" s="60"/>
      <c r="P33" s="139" t="s">
        <v>60</v>
      </c>
      <c r="Q33" s="134">
        <f t="shared" si="12"/>
        <v>1.4166666666666663</v>
      </c>
      <c r="R33" s="135">
        <f t="shared" si="13"/>
        <v>0.83380389729543192</v>
      </c>
      <c r="S33" s="136">
        <f t="shared" si="16"/>
        <v>0.2281296337079057</v>
      </c>
      <c r="T33" s="135">
        <f t="shared" si="14"/>
        <v>0.2281296337079057</v>
      </c>
    </row>
    <row r="34" spans="2:20" ht="15.75" customHeight="1" x14ac:dyDescent="0.25">
      <c r="B34" s="33">
        <f t="shared" si="18"/>
        <v>14.500000000000004</v>
      </c>
      <c r="C34" s="34"/>
      <c r="D34" s="35">
        <f t="shared" si="19"/>
        <v>2.3000000000000163E-4</v>
      </c>
      <c r="E34" s="36">
        <f>E28-(6/12)*F28</f>
        <v>998947.35834310879</v>
      </c>
      <c r="F34" s="36">
        <f t="shared" si="20"/>
        <v>38.301791481790133</v>
      </c>
      <c r="G34" s="31">
        <f t="shared" si="0"/>
        <v>0.99977000000000005</v>
      </c>
      <c r="H34" s="32"/>
      <c r="I34" s="51">
        <f t="shared" si="9"/>
        <v>1.4999999999999996</v>
      </c>
      <c r="J34" s="51">
        <f t="shared" si="10"/>
        <v>66.499999999999915</v>
      </c>
      <c r="K34" s="52">
        <f t="shared" si="17"/>
        <v>8.9541666666666658E-3</v>
      </c>
      <c r="L34" s="53">
        <f t="shared" si="5"/>
        <v>0.99104583333333329</v>
      </c>
      <c r="M34" s="52">
        <f t="shared" si="11"/>
        <v>0.82783108204447231</v>
      </c>
      <c r="N34" s="58">
        <f t="shared" si="6"/>
        <v>0.80466471251750971</v>
      </c>
      <c r="O34" s="60"/>
      <c r="P34" s="139" t="s">
        <v>56</v>
      </c>
      <c r="Q34" s="134">
        <f t="shared" si="12"/>
        <v>1.4999999999999996</v>
      </c>
      <c r="R34" s="135">
        <f t="shared" si="13"/>
        <v>0.82783108204447231</v>
      </c>
      <c r="S34" s="136">
        <f t="shared" si="16"/>
        <v>0.20913546470144898</v>
      </c>
      <c r="T34" s="135">
        <f t="shared" si="14"/>
        <v>0.20913546470144898</v>
      </c>
    </row>
    <row r="35" spans="2:20" ht="15.75" customHeight="1" x14ac:dyDescent="0.25">
      <c r="B35" s="33">
        <f t="shared" si="18"/>
        <v>14.583333333333337</v>
      </c>
      <c r="C35" s="34"/>
      <c r="D35" s="35">
        <f t="shared" si="19"/>
        <v>2.6833333333333527E-4</v>
      </c>
      <c r="E35" s="36">
        <f>E28-(7/12)*F28</f>
        <v>998909.056551627</v>
      </c>
      <c r="F35" s="36">
        <f t="shared" si="20"/>
        <v>38.301791481906548</v>
      </c>
      <c r="G35" s="31">
        <f t="shared" si="0"/>
        <v>0.99973166666666669</v>
      </c>
      <c r="H35" s="32"/>
      <c r="I35" s="51">
        <f t="shared" si="9"/>
        <v>1.5833333333333328</v>
      </c>
      <c r="J35" s="51">
        <f t="shared" si="10"/>
        <v>66.583333333333243</v>
      </c>
      <c r="K35" s="52">
        <f t="shared" si="17"/>
        <v>1.0744999999999999E-2</v>
      </c>
      <c r="L35" s="53">
        <f t="shared" si="5"/>
        <v>0.989255</v>
      </c>
      <c r="M35" s="52">
        <f t="shared" si="11"/>
        <v>0.8204185445639991</v>
      </c>
      <c r="N35" s="58">
        <f t="shared" si="6"/>
        <v>0.79885652757026926</v>
      </c>
      <c r="O35" s="60"/>
      <c r="P35" s="139" t="s">
        <v>53</v>
      </c>
      <c r="Q35" s="134">
        <f t="shared" si="12"/>
        <v>1.5833333333333328</v>
      </c>
      <c r="R35" s="135">
        <f t="shared" si="13"/>
        <v>0.8204185445639991</v>
      </c>
      <c r="S35" s="136">
        <f t="shared" si="16"/>
        <v>0.19172275817481962</v>
      </c>
      <c r="T35" s="135">
        <f t="shared" si="14"/>
        <v>0.19172275817481962</v>
      </c>
    </row>
    <row r="36" spans="2:20" ht="15.75" customHeight="1" x14ac:dyDescent="0.25">
      <c r="B36" s="33">
        <f t="shared" si="18"/>
        <v>14.666666666666671</v>
      </c>
      <c r="C36" s="34"/>
      <c r="D36" s="35">
        <f t="shared" si="19"/>
        <v>3.0666666666666884E-4</v>
      </c>
      <c r="E36" s="36">
        <f>E28-(8/12)*F28</f>
        <v>998870.75476014509</v>
      </c>
      <c r="F36" s="36">
        <f t="shared" si="20"/>
        <v>38.301791481790133</v>
      </c>
      <c r="G36" s="31">
        <f t="shared" si="0"/>
        <v>0.99969333333333332</v>
      </c>
      <c r="H36" s="32"/>
      <c r="I36" s="51">
        <f t="shared" si="9"/>
        <v>1.6666666666666661</v>
      </c>
      <c r="J36" s="51">
        <f t="shared" si="10"/>
        <v>66.666666666666572</v>
      </c>
      <c r="K36" s="52">
        <f t="shared" si="17"/>
        <v>1.2535833333333333E-2</v>
      </c>
      <c r="L36" s="53">
        <f t="shared" si="5"/>
        <v>0.9874641666666667</v>
      </c>
      <c r="M36" s="52">
        <f t="shared" si="11"/>
        <v>0.81160314730265892</v>
      </c>
      <c r="N36" s="58">
        <f t="shared" si="6"/>
        <v>0.79309026693244189</v>
      </c>
      <c r="O36" s="60"/>
      <c r="P36" s="139" t="s">
        <v>61</v>
      </c>
      <c r="Q36" s="134">
        <f t="shared" si="12"/>
        <v>1.6666666666666661</v>
      </c>
      <c r="R36" s="135">
        <f t="shared" si="13"/>
        <v>0.81160314730265892</v>
      </c>
      <c r="S36" s="136">
        <f t="shared" si="16"/>
        <v>0.17575984089849922</v>
      </c>
      <c r="T36" s="135">
        <f t="shared" si="14"/>
        <v>0.17575984089849922</v>
      </c>
    </row>
    <row r="37" spans="2:20" ht="15.75" customHeight="1" x14ac:dyDescent="0.25">
      <c r="B37" s="33">
        <f t="shared" si="18"/>
        <v>14.750000000000005</v>
      </c>
      <c r="C37" s="34"/>
      <c r="D37" s="35">
        <f t="shared" si="19"/>
        <v>3.4500000000000248E-4</v>
      </c>
      <c r="E37" s="36">
        <f>E28-(9/12)*F28</f>
        <v>998832.4529686633</v>
      </c>
      <c r="F37" s="36">
        <f t="shared" si="20"/>
        <v>38.301791481906548</v>
      </c>
      <c r="G37" s="31">
        <f t="shared" si="0"/>
        <v>0.99965499999999996</v>
      </c>
      <c r="H37" s="32"/>
      <c r="I37" s="51">
        <f t="shared" si="9"/>
        <v>1.7499999999999993</v>
      </c>
      <c r="J37" s="51">
        <f t="shared" si="10"/>
        <v>66.749999999999901</v>
      </c>
      <c r="K37" s="52">
        <f t="shared" si="17"/>
        <v>1.4326666666666665E-2</v>
      </c>
      <c r="L37" s="53">
        <f t="shared" si="5"/>
        <v>0.98567333333333329</v>
      </c>
      <c r="M37" s="52">
        <f t="shared" si="11"/>
        <v>0.80142902551526407</v>
      </c>
      <c r="N37" s="58">
        <f t="shared" si="6"/>
        <v>0.78736562798836784</v>
      </c>
      <c r="O37" s="60"/>
      <c r="P37" s="139" t="s">
        <v>58</v>
      </c>
      <c r="Q37" s="134">
        <f t="shared" si="12"/>
        <v>1.7499999999999993</v>
      </c>
      <c r="R37" s="135">
        <f t="shared" si="13"/>
        <v>0.80142902551526407</v>
      </c>
      <c r="S37" s="136">
        <f t="shared" si="16"/>
        <v>0.16112600281129788</v>
      </c>
      <c r="T37" s="135">
        <f t="shared" si="14"/>
        <v>0.16112600281129788</v>
      </c>
    </row>
    <row r="38" spans="2:20" ht="15.75" customHeight="1" x14ac:dyDescent="0.25">
      <c r="B38" s="33">
        <f t="shared" si="18"/>
        <v>14.833333333333339</v>
      </c>
      <c r="C38" s="34"/>
      <c r="D38" s="35">
        <f t="shared" si="19"/>
        <v>3.8333333333333606E-4</v>
      </c>
      <c r="E38" s="36">
        <f>E28-(10/12)*F28</f>
        <v>998794.1511771814</v>
      </c>
      <c r="F38" s="36">
        <f t="shared" si="20"/>
        <v>38.301791481906548</v>
      </c>
      <c r="G38" s="31">
        <f t="shared" si="0"/>
        <v>0.99961666666666671</v>
      </c>
      <c r="H38" s="32"/>
      <c r="I38" s="51">
        <f t="shared" si="9"/>
        <v>1.8333333333333326</v>
      </c>
      <c r="J38" s="51">
        <f t="shared" si="10"/>
        <v>66.833333333333229</v>
      </c>
      <c r="K38" s="52">
        <f t="shared" si="17"/>
        <v>1.61175E-2</v>
      </c>
      <c r="L38" s="53">
        <f t="shared" si="5"/>
        <v>0.98388249999999999</v>
      </c>
      <c r="M38" s="52">
        <f t="shared" si="11"/>
        <v>0.78994721900971532</v>
      </c>
      <c r="N38" s="58">
        <f t="shared" si="6"/>
        <v>0.78168231030671054</v>
      </c>
      <c r="O38" s="60"/>
      <c r="P38" s="139" t="s">
        <v>62</v>
      </c>
      <c r="Q38" s="134">
        <f t="shared" si="12"/>
        <v>1.8333333333333326</v>
      </c>
      <c r="R38" s="135">
        <f t="shared" si="13"/>
        <v>0.78994721900971532</v>
      </c>
      <c r="S38" s="136">
        <f t="shared" si="16"/>
        <v>0.14771058422235997</v>
      </c>
      <c r="T38" s="135">
        <f t="shared" si="14"/>
        <v>0.14771058422235997</v>
      </c>
    </row>
    <row r="39" spans="2:20" ht="15.75" customHeight="1" x14ac:dyDescent="0.25">
      <c r="B39" s="33">
        <f t="shared" si="18"/>
        <v>14.916666666666673</v>
      </c>
      <c r="C39" s="34"/>
      <c r="D39" s="35">
        <f t="shared" si="19"/>
        <v>4.2166666666666969E-4</v>
      </c>
      <c r="E39" s="36">
        <f>E28-(11/12)*F28</f>
        <v>998755.84938569949</v>
      </c>
      <c r="F39" s="36">
        <f t="shared" si="20"/>
        <v>38.301791481790133</v>
      </c>
      <c r="G39" s="31">
        <f t="shared" si="0"/>
        <v>0.99957833333333335</v>
      </c>
      <c r="H39" s="32"/>
      <c r="I39" s="51">
        <f t="shared" si="9"/>
        <v>1.9166666666666659</v>
      </c>
      <c r="J39" s="51">
        <f t="shared" si="10"/>
        <v>66.916666666666558</v>
      </c>
      <c r="K39" s="52">
        <f t="shared" si="17"/>
        <v>1.7908333333333332E-2</v>
      </c>
      <c r="L39" s="53">
        <f t="shared" si="5"/>
        <v>0.9820916666666667</v>
      </c>
      <c r="M39" s="52">
        <f t="shared" si="11"/>
        <v>0.77721524470732628</v>
      </c>
      <c r="N39" s="58">
        <f t="shared" si="6"/>
        <v>0.77604001562468949</v>
      </c>
      <c r="O39" s="60"/>
      <c r="P39" s="139" t="s">
        <v>56</v>
      </c>
      <c r="Q39" s="134">
        <f t="shared" si="12"/>
        <v>1.9166666666666659</v>
      </c>
      <c r="R39" s="135">
        <f t="shared" si="13"/>
        <v>0.77721524470732628</v>
      </c>
      <c r="S39" s="136">
        <f t="shared" si="16"/>
        <v>0.13541213901311427</v>
      </c>
      <c r="T39" s="135">
        <f t="shared" si="14"/>
        <v>0.13541213901311427</v>
      </c>
    </row>
    <row r="40" spans="2:20" ht="15.75" customHeight="1" x14ac:dyDescent="0.25">
      <c r="B40" s="27">
        <v>15</v>
      </c>
      <c r="C40" s="28">
        <v>0.495</v>
      </c>
      <c r="D40" s="29">
        <f>C40/1000</f>
        <v>4.95E-4</v>
      </c>
      <c r="E40" s="30">
        <f>E28-F28</f>
        <v>998717.5475942177</v>
      </c>
      <c r="F40" s="48">
        <f>D40*E40</f>
        <v>494.36518605913778</v>
      </c>
      <c r="G40" s="31">
        <f t="shared" si="0"/>
        <v>0.99950499999999998</v>
      </c>
      <c r="H40" s="49"/>
      <c r="I40" s="51">
        <f t="shared" si="9"/>
        <v>1.9999999999999991</v>
      </c>
      <c r="J40" s="51">
        <f t="shared" si="10"/>
        <v>66.999999999999886</v>
      </c>
      <c r="K40" s="52">
        <f t="shared" si="17"/>
        <v>1.9699166666666663E-2</v>
      </c>
      <c r="L40" s="53">
        <f t="shared" si="5"/>
        <v>0.98030083333333329</v>
      </c>
      <c r="M40" s="52">
        <f t="shared" si="11"/>
        <v>0.76329661503335922</v>
      </c>
      <c r="N40" s="58">
        <f t="shared" si="6"/>
        <v>0.77043844783242799</v>
      </c>
      <c r="O40" s="60"/>
      <c r="P40" s="139" t="s">
        <v>59</v>
      </c>
      <c r="Q40" s="134">
        <f t="shared" si="12"/>
        <v>1.9999999999999991</v>
      </c>
      <c r="R40" s="135">
        <f t="shared" si="13"/>
        <v>0.76329661503335922</v>
      </c>
      <c r="S40" s="136">
        <f t="shared" si="16"/>
        <v>0.12413766751137977</v>
      </c>
      <c r="T40" s="135">
        <f t="shared" si="14"/>
        <v>0.12413766751137977</v>
      </c>
    </row>
    <row r="41" spans="2:20" ht="15.75" customHeight="1" x14ac:dyDescent="0.25">
      <c r="B41" s="33">
        <f t="shared" ref="B41:B51" si="21">B40+1/12</f>
        <v>15.083333333333334</v>
      </c>
      <c r="C41" s="34"/>
      <c r="D41" s="35">
        <f t="shared" ref="D41:D51" si="22">(B41-$B$40)*$D$40</f>
        <v>4.1250000000000291E-5</v>
      </c>
      <c r="E41" s="36">
        <f>E40-(1/12)*F40</f>
        <v>998676.35049537942</v>
      </c>
      <c r="F41" s="36">
        <f t="shared" ref="F41:F51" si="23">E41-E42</f>
        <v>41.197098838281818</v>
      </c>
      <c r="G41" s="31">
        <f t="shared" si="0"/>
        <v>0.99995875000000001</v>
      </c>
      <c r="H41" s="37"/>
      <c r="I41" s="51">
        <f t="shared" si="9"/>
        <v>2.0833333333333326</v>
      </c>
      <c r="J41" s="51">
        <f t="shared" si="10"/>
        <v>67.083333333333215</v>
      </c>
      <c r="K41" s="52">
        <f t="shared" si="17"/>
        <v>2.3111E-2</v>
      </c>
      <c r="L41" s="53">
        <f t="shared" si="5"/>
        <v>0.97688900000000001</v>
      </c>
      <c r="M41" s="52">
        <f t="shared" si="11"/>
        <v>0.74826030779771457</v>
      </c>
      <c r="N41" s="58">
        <f t="shared" si="6"/>
        <v>0.76487731295741224</v>
      </c>
      <c r="O41" s="60"/>
      <c r="P41" s="139" t="s">
        <v>56</v>
      </c>
      <c r="Q41" s="134">
        <f t="shared" si="12"/>
        <v>2.0833333333333326</v>
      </c>
      <c r="R41" s="135">
        <f t="shared" si="13"/>
        <v>0.74826030779771457</v>
      </c>
      <c r="S41" s="136">
        <f t="shared" si="16"/>
        <v>0.1138019132366961</v>
      </c>
      <c r="T41" s="135">
        <f t="shared" si="14"/>
        <v>0.1138019132366961</v>
      </c>
    </row>
    <row r="42" spans="2:20" ht="15.75" customHeight="1" x14ac:dyDescent="0.25">
      <c r="B42" s="33">
        <f t="shared" si="21"/>
        <v>15.166666666666668</v>
      </c>
      <c r="C42" s="34"/>
      <c r="D42" s="35">
        <f t="shared" si="22"/>
        <v>8.2500000000000582E-5</v>
      </c>
      <c r="E42" s="36">
        <f>E40-(2/12)*F40</f>
        <v>998635.15339654114</v>
      </c>
      <c r="F42" s="36">
        <f t="shared" si="23"/>
        <v>41.197098838165402</v>
      </c>
      <c r="G42" s="31">
        <f t="shared" si="0"/>
        <v>0.99991750000000001</v>
      </c>
      <c r="H42" s="32"/>
      <c r="I42" s="51">
        <f t="shared" si="9"/>
        <v>2.1666666666666661</v>
      </c>
      <c r="J42" s="51">
        <f t="shared" si="10"/>
        <v>67.166666666666544</v>
      </c>
      <c r="K42" s="52">
        <f t="shared" si="17"/>
        <v>1.9259166666666665E-3</v>
      </c>
      <c r="L42" s="53">
        <f t="shared" si="5"/>
        <v>0.99807408333333336</v>
      </c>
      <c r="M42" s="52">
        <f t="shared" si="11"/>
        <v>0.73096726382420163</v>
      </c>
      <c r="N42" s="58">
        <f t="shared" si="6"/>
        <v>0.75935631914906465</v>
      </c>
      <c r="O42" s="60"/>
      <c r="P42" s="139" t="s">
        <v>54</v>
      </c>
      <c r="Q42" s="134">
        <f t="shared" si="12"/>
        <v>2.1666666666666661</v>
      </c>
      <c r="R42" s="135">
        <f t="shared" si="13"/>
        <v>0.73096726382420163</v>
      </c>
      <c r="S42" s="136">
        <f t="shared" si="16"/>
        <v>0.1043267181989327</v>
      </c>
      <c r="T42" s="135">
        <f t="shared" si="14"/>
        <v>0.1043267181989327</v>
      </c>
    </row>
    <row r="43" spans="2:20" ht="15.75" customHeight="1" x14ac:dyDescent="0.25">
      <c r="B43" s="33">
        <f t="shared" si="21"/>
        <v>15.250000000000002</v>
      </c>
      <c r="C43" s="34"/>
      <c r="D43" s="35">
        <f t="shared" si="22"/>
        <v>1.2375000000000087E-4</v>
      </c>
      <c r="E43" s="36">
        <f>E40-(3/12)*F40</f>
        <v>998593.95629770297</v>
      </c>
      <c r="F43" s="36">
        <f t="shared" si="23"/>
        <v>41.197098838281818</v>
      </c>
      <c r="G43" s="31">
        <f t="shared" si="0"/>
        <v>0.99987625000000002</v>
      </c>
      <c r="H43" s="32"/>
      <c r="I43" s="51">
        <f t="shared" si="9"/>
        <v>2.2499999999999996</v>
      </c>
      <c r="J43" s="51">
        <f t="shared" si="10"/>
        <v>67.249999999999872</v>
      </c>
      <c r="K43" s="52">
        <f t="shared" si="17"/>
        <v>3.851833333333333E-3</v>
      </c>
      <c r="L43" s="53">
        <f t="shared" si="5"/>
        <v>0.99614816666666661</v>
      </c>
      <c r="M43" s="52">
        <f t="shared" si="11"/>
        <v>0.72955948178801489</v>
      </c>
      <c r="N43" s="58">
        <f t="shared" si="6"/>
        <v>0.75387517666342663</v>
      </c>
      <c r="O43" s="60"/>
      <c r="P43" s="60"/>
      <c r="Q43" s="134">
        <f t="shared" si="12"/>
        <v>2.2499999999999996</v>
      </c>
      <c r="R43" s="135">
        <f t="shared" si="13"/>
        <v>0.72955948178801489</v>
      </c>
      <c r="S43" s="136">
        <f t="shared" si="16"/>
        <v>9.5640431875005399E-2</v>
      </c>
      <c r="T43" s="135">
        <f t="shared" si="14"/>
        <v>9.5640431875005399E-2</v>
      </c>
    </row>
    <row r="44" spans="2:20" ht="15.75" customHeight="1" x14ac:dyDescent="0.25">
      <c r="B44" s="33">
        <f t="shared" si="21"/>
        <v>15.333333333333336</v>
      </c>
      <c r="C44" s="34"/>
      <c r="D44" s="35">
        <f t="shared" si="22"/>
        <v>1.6500000000000116E-4</v>
      </c>
      <c r="E44" s="36">
        <f>E40-(4/12)*F40</f>
        <v>998552.75919886469</v>
      </c>
      <c r="F44" s="36">
        <f t="shared" si="23"/>
        <v>41.197098838281818</v>
      </c>
      <c r="G44" s="31">
        <f t="shared" si="0"/>
        <v>0.99983500000000003</v>
      </c>
      <c r="H44" s="32"/>
      <c r="I44" s="51">
        <f t="shared" si="9"/>
        <v>2.333333333333333</v>
      </c>
      <c r="J44" s="51">
        <f t="shared" si="10"/>
        <v>67.333333333333201</v>
      </c>
      <c r="K44" s="52">
        <f t="shared" si="17"/>
        <v>5.7777499999999999E-3</v>
      </c>
      <c r="L44" s="53">
        <f t="shared" si="5"/>
        <v>0.99422224999999997</v>
      </c>
      <c r="M44" s="52">
        <f t="shared" si="11"/>
        <v>0.72674934025741433</v>
      </c>
      <c r="N44" s="58">
        <f t="shared" si="6"/>
        <v>0.74843359784795271</v>
      </c>
      <c r="O44" s="60"/>
      <c r="P44" s="60"/>
      <c r="Q44" s="134">
        <f t="shared" si="12"/>
        <v>2.333333333333333</v>
      </c>
      <c r="R44" s="135">
        <f t="shared" si="13"/>
        <v>0.72674934025741433</v>
      </c>
      <c r="S44" s="136">
        <f t="shared" si="16"/>
        <v>8.7677369394440777E-2</v>
      </c>
      <c r="T44" s="135">
        <f t="shared" si="14"/>
        <v>8.7677369394440777E-2</v>
      </c>
    </row>
    <row r="45" spans="2:20" ht="15.75" customHeight="1" x14ac:dyDescent="0.25">
      <c r="B45" s="33">
        <f t="shared" si="21"/>
        <v>15.41666666666667</v>
      </c>
      <c r="C45" s="34"/>
      <c r="D45" s="35">
        <f t="shared" si="22"/>
        <v>2.0625000000000146E-4</v>
      </c>
      <c r="E45" s="36">
        <f>E40-(5/12)*F40</f>
        <v>998511.56210002641</v>
      </c>
      <c r="F45" s="36">
        <f t="shared" si="23"/>
        <v>41.197098838281818</v>
      </c>
      <c r="G45" s="31">
        <f t="shared" si="0"/>
        <v>0.99979375000000004</v>
      </c>
      <c r="H45" s="32"/>
      <c r="I45" s="51">
        <f t="shared" si="9"/>
        <v>2.4166666666666665</v>
      </c>
      <c r="J45" s="51">
        <f t="shared" si="10"/>
        <v>67.416666666666529</v>
      </c>
      <c r="K45" s="52">
        <f t="shared" si="17"/>
        <v>7.703666666666666E-3</v>
      </c>
      <c r="L45" s="53">
        <f t="shared" si="5"/>
        <v>0.99229633333333334</v>
      </c>
      <c r="M45" s="52">
        <f t="shared" si="11"/>
        <v>0.72255036425674202</v>
      </c>
      <c r="N45" s="58">
        <f t="shared" si="6"/>
        <v>0.7430312971264148</v>
      </c>
      <c r="O45" s="60"/>
      <c r="P45" s="60"/>
      <c r="Q45" s="134">
        <f t="shared" si="12"/>
        <v>2.4166666666666665</v>
      </c>
      <c r="R45" s="135">
        <f t="shared" si="13"/>
        <v>0.72255036425674202</v>
      </c>
      <c r="S45" s="136">
        <f t="shared" si="16"/>
        <v>8.037731483663671E-2</v>
      </c>
      <c r="T45" s="135">
        <f t="shared" si="14"/>
        <v>8.037731483663671E-2</v>
      </c>
    </row>
    <row r="46" spans="2:20" ht="15.75" customHeight="1" x14ac:dyDescent="0.25">
      <c r="B46" s="33">
        <f t="shared" si="21"/>
        <v>15.500000000000004</v>
      </c>
      <c r="C46" s="34"/>
      <c r="D46" s="35">
        <f t="shared" si="22"/>
        <v>2.4750000000000173E-4</v>
      </c>
      <c r="E46" s="36">
        <f>E40-(6/12)*F40</f>
        <v>998470.36500118813</v>
      </c>
      <c r="F46" s="36">
        <f t="shared" si="23"/>
        <v>41.197098838281818</v>
      </c>
      <c r="G46" s="31">
        <f t="shared" si="0"/>
        <v>0.99975250000000004</v>
      </c>
      <c r="H46" s="32"/>
      <c r="I46" s="51">
        <f t="shared" si="9"/>
        <v>2.5</v>
      </c>
      <c r="J46" s="51">
        <f t="shared" si="10"/>
        <v>67.499999999999858</v>
      </c>
      <c r="K46" s="52">
        <f t="shared" si="17"/>
        <v>9.6295833333333337E-3</v>
      </c>
      <c r="L46" s="53">
        <f t="shared" si="5"/>
        <v>0.9903704166666667</v>
      </c>
      <c r="M46" s="52">
        <f t="shared" si="11"/>
        <v>0.7169840771006295</v>
      </c>
      <c r="N46" s="58">
        <f t="shared" si="6"/>
        <v>0.73766799098391467</v>
      </c>
      <c r="O46" s="60"/>
      <c r="P46" s="60"/>
      <c r="Q46" s="134">
        <f t="shared" si="12"/>
        <v>2.5</v>
      </c>
      <c r="R46" s="135">
        <f t="shared" si="13"/>
        <v>0.7169840771006295</v>
      </c>
      <c r="S46" s="136">
        <f t="shared" si="16"/>
        <v>7.368506588380215E-2</v>
      </c>
      <c r="T46" s="135">
        <f t="shared" si="14"/>
        <v>7.368506588380215E-2</v>
      </c>
    </row>
    <row r="47" spans="2:20" ht="15.75" customHeight="1" x14ac:dyDescent="0.25">
      <c r="B47" s="33">
        <f t="shared" si="21"/>
        <v>15.583333333333337</v>
      </c>
      <c r="C47" s="34"/>
      <c r="D47" s="35">
        <f t="shared" si="22"/>
        <v>2.8875000000000206E-4</v>
      </c>
      <c r="E47" s="36">
        <f>E40-(7/12)*F40</f>
        <v>998429.16790234984</v>
      </c>
      <c r="F47" s="36">
        <f t="shared" si="23"/>
        <v>41.197098838281818</v>
      </c>
      <c r="G47" s="31">
        <f t="shared" si="0"/>
        <v>0.99971125000000005</v>
      </c>
      <c r="H47" s="32"/>
      <c r="I47" s="51">
        <f t="shared" si="9"/>
        <v>2.5833333333333335</v>
      </c>
      <c r="J47" s="51">
        <f t="shared" si="10"/>
        <v>67.583333333333186</v>
      </c>
      <c r="K47" s="52">
        <f t="shared" si="17"/>
        <v>1.15555E-2</v>
      </c>
      <c r="L47" s="53">
        <f t="shared" si="5"/>
        <v>0.98844449999999995</v>
      </c>
      <c r="M47" s="52">
        <f t="shared" si="11"/>
        <v>0.71007981918151597</v>
      </c>
      <c r="N47" s="58">
        <f t="shared" si="6"/>
        <v>0.73234339795200565</v>
      </c>
      <c r="O47" s="60"/>
      <c r="P47" s="60"/>
      <c r="Q47" s="134">
        <f t="shared" si="12"/>
        <v>2.5833333333333335</v>
      </c>
      <c r="R47" s="135">
        <f t="shared" si="13"/>
        <v>0.71007981918151597</v>
      </c>
      <c r="S47" s="136">
        <f t="shared" si="16"/>
        <v>6.7550016386283301E-2</v>
      </c>
      <c r="T47" s="135">
        <f t="shared" si="14"/>
        <v>6.7550016386283301E-2</v>
      </c>
    </row>
    <row r="48" spans="2:20" ht="15.75" customHeight="1" x14ac:dyDescent="0.25">
      <c r="B48" s="33">
        <f t="shared" si="21"/>
        <v>15.666666666666671</v>
      </c>
      <c r="C48" s="34"/>
      <c r="D48" s="35">
        <f t="shared" si="22"/>
        <v>3.3000000000000233E-4</v>
      </c>
      <c r="E48" s="36">
        <f>E40-(8/12)*F40</f>
        <v>998387.97080351156</v>
      </c>
      <c r="F48" s="36">
        <f t="shared" si="23"/>
        <v>41.197098838165402</v>
      </c>
      <c r="G48" s="31">
        <f t="shared" si="0"/>
        <v>0.99966999999999995</v>
      </c>
      <c r="H48" s="32"/>
      <c r="I48" s="51">
        <f t="shared" si="9"/>
        <v>2.666666666666667</v>
      </c>
      <c r="J48" s="51">
        <f t="shared" si="10"/>
        <v>67.666666666666515</v>
      </c>
      <c r="K48" s="52">
        <f t="shared" si="17"/>
        <v>1.3481416666666668E-2</v>
      </c>
      <c r="L48" s="53">
        <f t="shared" si="5"/>
        <v>0.98651858333333331</v>
      </c>
      <c r="M48" s="52">
        <f t="shared" si="11"/>
        <v>0.70187449183096395</v>
      </c>
      <c r="N48" s="58">
        <f t="shared" si="6"/>
        <v>0.72705723859392002</v>
      </c>
      <c r="O48" s="60"/>
      <c r="P48" s="60"/>
      <c r="Q48" s="134">
        <f t="shared" si="12"/>
        <v>2.666666666666667</v>
      </c>
      <c r="R48" s="135">
        <f t="shared" si="13"/>
        <v>0.70187449183096395</v>
      </c>
      <c r="S48" s="136">
        <f t="shared" si="16"/>
        <v>6.1925773683676764E-2</v>
      </c>
      <c r="T48" s="135">
        <f t="shared" si="14"/>
        <v>6.1925773683676764E-2</v>
      </c>
    </row>
    <row r="49" spans="2:20" ht="15.75" customHeight="1" x14ac:dyDescent="0.25">
      <c r="B49" s="33">
        <f t="shared" si="21"/>
        <v>15.750000000000005</v>
      </c>
      <c r="C49" s="34"/>
      <c r="D49" s="35">
        <f t="shared" si="22"/>
        <v>3.7125000000000265E-4</v>
      </c>
      <c r="E49" s="36">
        <f>E40-(9/12)*F40</f>
        <v>998346.7737046734</v>
      </c>
      <c r="F49" s="36">
        <f t="shared" si="23"/>
        <v>41.197098838281818</v>
      </c>
      <c r="G49" s="31">
        <f t="shared" si="0"/>
        <v>0.99962874999999995</v>
      </c>
      <c r="H49" s="32"/>
      <c r="I49" s="51">
        <f t="shared" si="9"/>
        <v>2.7500000000000004</v>
      </c>
      <c r="J49" s="51">
        <f t="shared" si="10"/>
        <v>67.749999999999844</v>
      </c>
      <c r="K49" s="52">
        <f t="shared" si="17"/>
        <v>1.5407333333333332E-2</v>
      </c>
      <c r="L49" s="53">
        <f t="shared" si="5"/>
        <v>0.98459266666666667</v>
      </c>
      <c r="M49" s="52">
        <f t="shared" si="11"/>
        <v>0.6924122293588858</v>
      </c>
      <c r="N49" s="58">
        <f t="shared" si="6"/>
        <v>0.72180923548990483</v>
      </c>
      <c r="O49" s="60"/>
      <c r="P49" s="60"/>
      <c r="Q49" s="134">
        <f t="shared" si="12"/>
        <v>2.7500000000000004</v>
      </c>
      <c r="R49" s="135">
        <f t="shared" si="13"/>
        <v>0.6924122293588858</v>
      </c>
      <c r="S49" s="136">
        <f t="shared" si="16"/>
        <v>5.6769807787946693E-2</v>
      </c>
      <c r="T49" s="135">
        <f t="shared" si="14"/>
        <v>5.6769807787946693E-2</v>
      </c>
    </row>
    <row r="50" spans="2:20" ht="15.75" customHeight="1" x14ac:dyDescent="0.25">
      <c r="B50" s="33">
        <f t="shared" si="21"/>
        <v>15.833333333333339</v>
      </c>
      <c r="C50" s="34"/>
      <c r="D50" s="35">
        <f t="shared" si="22"/>
        <v>4.1250000000000293E-4</v>
      </c>
      <c r="E50" s="36">
        <f>E40-(10/12)*F40</f>
        <v>998305.57660583511</v>
      </c>
      <c r="F50" s="36">
        <f t="shared" si="23"/>
        <v>41.197098838281818</v>
      </c>
      <c r="G50" s="31">
        <f t="shared" si="0"/>
        <v>0.99958749999999996</v>
      </c>
      <c r="H50" s="32"/>
      <c r="I50" s="51">
        <f t="shared" si="9"/>
        <v>2.8333333333333339</v>
      </c>
      <c r="J50" s="51">
        <f t="shared" si="10"/>
        <v>67.833333333333172</v>
      </c>
      <c r="K50" s="52">
        <f t="shared" si="17"/>
        <v>1.7333250000000001E-2</v>
      </c>
      <c r="L50" s="53">
        <f t="shared" si="5"/>
        <v>0.98266675000000003</v>
      </c>
      <c r="M50" s="52">
        <f t="shared" si="11"/>
        <v>0.68174400333707696</v>
      </c>
      <c r="N50" s="58">
        <f t="shared" si="6"/>
        <v>0.71659911322266256</v>
      </c>
      <c r="O50" s="60"/>
      <c r="P50" s="60"/>
      <c r="Q50" s="134">
        <f t="shared" si="12"/>
        <v>2.8333333333333339</v>
      </c>
      <c r="R50" s="135">
        <f t="shared" si="13"/>
        <v>0.68174400333707696</v>
      </c>
      <c r="S50" s="136">
        <f t="shared" si="16"/>
        <v>5.2043129775703162E-2</v>
      </c>
      <c r="T50" s="135">
        <f t="shared" si="14"/>
        <v>5.2043129775703162E-2</v>
      </c>
    </row>
    <row r="51" spans="2:20" ht="15.75" customHeight="1" x14ac:dyDescent="0.25">
      <c r="B51" s="33">
        <f t="shared" si="21"/>
        <v>15.916666666666673</v>
      </c>
      <c r="C51" s="34"/>
      <c r="D51" s="35">
        <f t="shared" si="22"/>
        <v>4.537500000000032E-4</v>
      </c>
      <c r="E51" s="36">
        <f>E40-(11/12)*F40</f>
        <v>998264.37950699683</v>
      </c>
      <c r="F51" s="36">
        <f t="shared" si="23"/>
        <v>41.197098838281818</v>
      </c>
      <c r="G51" s="31">
        <f t="shared" si="0"/>
        <v>0.99954624999999997</v>
      </c>
      <c r="H51" s="32"/>
      <c r="I51" s="51">
        <f t="shared" si="9"/>
        <v>2.9166666666666674</v>
      </c>
      <c r="J51" s="51">
        <f t="shared" si="10"/>
        <v>67.916666666666501</v>
      </c>
      <c r="K51" s="52">
        <f t="shared" si="17"/>
        <v>1.9259166666666667E-2</v>
      </c>
      <c r="L51" s="53">
        <f t="shared" si="5"/>
        <v>0.98074083333333328</v>
      </c>
      <c r="M51" s="52">
        <f t="shared" si="11"/>
        <v>0.66992716409123465</v>
      </c>
      <c r="N51" s="58">
        <f t="shared" si="6"/>
        <v>0.71142659836289723</v>
      </c>
      <c r="O51" s="60"/>
      <c r="P51" s="60"/>
      <c r="Q51" s="134">
        <f t="shared" si="12"/>
        <v>2.9166666666666674</v>
      </c>
      <c r="R51" s="135">
        <f t="shared" si="13"/>
        <v>0.66992716409123465</v>
      </c>
      <c r="S51" s="136">
        <f t="shared" si="16"/>
        <v>4.7709996957674118E-2</v>
      </c>
      <c r="T51" s="135">
        <f t="shared" si="14"/>
        <v>4.7709996957674118E-2</v>
      </c>
    </row>
    <row r="52" spans="2:20" ht="15.75" customHeight="1" x14ac:dyDescent="0.25">
      <c r="B52" s="27">
        <v>16</v>
      </c>
      <c r="C52" s="28">
        <v>0.53300000000000003</v>
      </c>
      <c r="D52" s="29">
        <f>C52/1000</f>
        <v>5.3300000000000005E-4</v>
      </c>
      <c r="E52" s="30">
        <f>E40-F40</f>
        <v>998223.18240815855</v>
      </c>
      <c r="F52" s="48">
        <f>D52*E52</f>
        <v>532.05295622354856</v>
      </c>
      <c r="G52" s="31">
        <f t="shared" si="0"/>
        <v>0.99946699999999999</v>
      </c>
      <c r="H52" s="49"/>
      <c r="I52" s="51">
        <f t="shared" si="9"/>
        <v>3.0000000000000009</v>
      </c>
      <c r="J52" s="51">
        <f t="shared" si="10"/>
        <v>67.999999999999829</v>
      </c>
      <c r="K52" s="52">
        <f t="shared" si="17"/>
        <v>2.1185083333333334E-2</v>
      </c>
      <c r="L52" s="53">
        <f t="shared" si="5"/>
        <v>0.97881491666666665</v>
      </c>
      <c r="M52" s="52">
        <f t="shared" si="11"/>
        <v>0.65702492518347422</v>
      </c>
      <c r="N52" s="58">
        <f t="shared" si="6"/>
        <v>0.70629141945496421</v>
      </c>
      <c r="O52" s="60"/>
      <c r="P52" s="60"/>
      <c r="Q52" s="134">
        <f t="shared" si="12"/>
        <v>3.0000000000000009</v>
      </c>
      <c r="R52" s="135">
        <f t="shared" si="13"/>
        <v>0.65702492518347422</v>
      </c>
      <c r="S52" s="136">
        <f t="shared" si="16"/>
        <v>4.3737642595890885E-2</v>
      </c>
      <c r="T52" s="135">
        <f t="shared" si="14"/>
        <v>4.3737642595890885E-2</v>
      </c>
    </row>
    <row r="53" spans="2:20" ht="15.75" customHeight="1" x14ac:dyDescent="0.25">
      <c r="B53" s="33">
        <f t="shared" ref="B53:B63" si="24">B52+1/12</f>
        <v>16.083333333333332</v>
      </c>
      <c r="C53" s="34"/>
      <c r="D53" s="35">
        <f t="shared" ref="D53:D63" si="25">(B53-$B$52)*$D$52</f>
        <v>4.4416666666666041E-5</v>
      </c>
      <c r="E53" s="36">
        <f>E52-(1/12)*F52</f>
        <v>998178.84466180659</v>
      </c>
      <c r="F53" s="36">
        <f t="shared" ref="F53:F63" si="26">E53-E54</f>
        <v>44.337746351957321</v>
      </c>
      <c r="G53" s="31">
        <f t="shared" si="0"/>
        <v>0.99995558333333334</v>
      </c>
      <c r="H53" s="37"/>
      <c r="I53" s="51">
        <f t="shared" si="9"/>
        <v>3.0833333333333344</v>
      </c>
      <c r="J53" s="51">
        <f t="shared" si="10"/>
        <v>68.083333333333158</v>
      </c>
      <c r="K53" s="52">
        <f t="shared" si="17"/>
        <v>2.4851000000000002E-2</v>
      </c>
      <c r="L53" s="53">
        <f t="shared" si="5"/>
        <v>0.97514900000000004</v>
      </c>
      <c r="M53" s="52">
        <f t="shared" si="11"/>
        <v>0.64310579739138518</v>
      </c>
      <c r="N53" s="58">
        <f t="shared" si="6"/>
        <v>0.70119330700262517</v>
      </c>
      <c r="O53" s="60"/>
      <c r="P53" s="60"/>
      <c r="Q53" s="134">
        <f t="shared" si="12"/>
        <v>3.0833333333333344</v>
      </c>
      <c r="R53" s="135">
        <f t="shared" si="13"/>
        <v>0.64310579739138518</v>
      </c>
      <c r="S53" s="136">
        <f t="shared" si="16"/>
        <v>4.009602812473434E-2</v>
      </c>
      <c r="T53" s="135">
        <f t="shared" si="14"/>
        <v>4.009602812473434E-2</v>
      </c>
    </row>
    <row r="54" spans="2:20" ht="15.75" customHeight="1" x14ac:dyDescent="0.25">
      <c r="B54" s="33">
        <f t="shared" si="24"/>
        <v>16.166666666666664</v>
      </c>
      <c r="C54" s="34"/>
      <c r="D54" s="35">
        <f t="shared" si="25"/>
        <v>8.8833333333332082E-5</v>
      </c>
      <c r="E54" s="36">
        <f>E52-(2/12)*F52</f>
        <v>998134.50691545464</v>
      </c>
      <c r="F54" s="36">
        <f t="shared" si="26"/>
        <v>44.337746351957321</v>
      </c>
      <c r="G54" s="31">
        <f t="shared" si="0"/>
        <v>0.99991116666666668</v>
      </c>
      <c r="H54" s="32"/>
      <c r="I54" s="51">
        <f t="shared" si="9"/>
        <v>3.1666666666666679</v>
      </c>
      <c r="J54" s="51">
        <f t="shared" si="10"/>
        <v>68.166666666666487</v>
      </c>
      <c r="K54" s="52">
        <f t="shared" si="17"/>
        <v>2.0709166666666667E-3</v>
      </c>
      <c r="L54" s="53">
        <f t="shared" si="5"/>
        <v>0.9979290833333333</v>
      </c>
      <c r="M54" s="52">
        <f t="shared" si="11"/>
        <v>0.62712397522041186</v>
      </c>
      <c r="N54" s="58">
        <f t="shared" si="6"/>
        <v>0.69613199345490351</v>
      </c>
      <c r="O54" s="60"/>
      <c r="P54" s="60"/>
      <c r="Q54" s="134">
        <f t="shared" si="12"/>
        <v>3.1666666666666679</v>
      </c>
      <c r="R54" s="135">
        <f t="shared" si="13"/>
        <v>0.62712397522041186</v>
      </c>
      <c r="S54" s="136">
        <f t="shared" si="16"/>
        <v>3.6757616002160286E-2</v>
      </c>
      <c r="T54" s="135">
        <f t="shared" si="14"/>
        <v>3.6757616002160286E-2</v>
      </c>
    </row>
    <row r="55" spans="2:20" ht="15.75" customHeight="1" x14ac:dyDescent="0.25">
      <c r="B55" s="33">
        <f t="shared" si="24"/>
        <v>16.249999999999996</v>
      </c>
      <c r="C55" s="34"/>
      <c r="D55" s="35">
        <f t="shared" si="25"/>
        <v>1.3324999999999812E-4</v>
      </c>
      <c r="E55" s="36">
        <f>E52-(3/12)*F52</f>
        <v>998090.16916910268</v>
      </c>
      <c r="F55" s="36">
        <f t="shared" si="26"/>
        <v>44.337746351957321</v>
      </c>
      <c r="G55" s="31">
        <f t="shared" si="0"/>
        <v>0.99986675000000003</v>
      </c>
      <c r="H55" s="32"/>
      <c r="I55" s="51">
        <f t="shared" si="9"/>
        <v>3.2500000000000013</v>
      </c>
      <c r="J55" s="51">
        <f t="shared" si="10"/>
        <v>68.249999999999815</v>
      </c>
      <c r="K55" s="52">
        <f t="shared" si="17"/>
        <v>4.1418333333333333E-3</v>
      </c>
      <c r="L55" s="53">
        <f t="shared" si="5"/>
        <v>0.99585816666666671</v>
      </c>
      <c r="M55" s="52">
        <f t="shared" si="11"/>
        <v>0.62582525372806164</v>
      </c>
      <c r="N55" s="58">
        <f t="shared" si="6"/>
        <v>0.69110721319204438</v>
      </c>
      <c r="O55" s="60"/>
      <c r="P55" s="60"/>
      <c r="Q55" s="134">
        <f t="shared" si="12"/>
        <v>3.2500000000000013</v>
      </c>
      <c r="R55" s="135">
        <f t="shared" si="13"/>
        <v>0.62582525372806164</v>
      </c>
      <c r="S55" s="136">
        <f t="shared" si="16"/>
        <v>3.3697161473427661E-2</v>
      </c>
      <c r="T55" s="135">
        <f t="shared" si="14"/>
        <v>3.3697161473427661E-2</v>
      </c>
    </row>
    <row r="56" spans="2:20" ht="15.75" customHeight="1" x14ac:dyDescent="0.25">
      <c r="B56" s="33">
        <f t="shared" si="24"/>
        <v>16.333333333333329</v>
      </c>
      <c r="C56" s="34"/>
      <c r="D56" s="35">
        <f t="shared" si="25"/>
        <v>1.7766666666666416E-4</v>
      </c>
      <c r="E56" s="36">
        <f>E52-(4/12)*F52</f>
        <v>998045.83142275072</v>
      </c>
      <c r="F56" s="36">
        <f t="shared" si="26"/>
        <v>44.337746351957321</v>
      </c>
      <c r="G56" s="31">
        <f t="shared" si="0"/>
        <v>0.99982233333333337</v>
      </c>
      <c r="H56" s="32"/>
      <c r="I56" s="51">
        <f t="shared" si="9"/>
        <v>3.3333333333333348</v>
      </c>
      <c r="J56" s="51">
        <f t="shared" si="10"/>
        <v>68.333333333333144</v>
      </c>
      <c r="K56" s="52">
        <f t="shared" si="17"/>
        <v>6.2127500000000004E-3</v>
      </c>
      <c r="L56" s="53">
        <f t="shared" si="5"/>
        <v>0.99378725000000001</v>
      </c>
      <c r="M56" s="52">
        <f t="shared" si="11"/>
        <v>0.62323318983132903</v>
      </c>
      <c r="N56" s="58">
        <f t="shared" si="6"/>
        <v>0.68611870251157392</v>
      </c>
      <c r="O56" s="60"/>
      <c r="P56" s="60"/>
      <c r="Q56" s="134">
        <f t="shared" si="12"/>
        <v>3.3333333333333348</v>
      </c>
      <c r="R56" s="135">
        <f t="shared" si="13"/>
        <v>0.62323318983132903</v>
      </c>
      <c r="S56" s="136">
        <f t="shared" si="16"/>
        <v>3.0891521672665685E-2</v>
      </c>
      <c r="T56" s="135">
        <f t="shared" si="14"/>
        <v>3.0891521672665685E-2</v>
      </c>
    </row>
    <row r="57" spans="2:20" ht="15.75" customHeight="1" x14ac:dyDescent="0.25">
      <c r="B57" s="33">
        <f t="shared" si="24"/>
        <v>16.416666666666661</v>
      </c>
      <c r="C57" s="34"/>
      <c r="D57" s="35">
        <f t="shared" si="25"/>
        <v>2.2208333333333021E-4</v>
      </c>
      <c r="E57" s="36">
        <f>E52-(5/12)*F52</f>
        <v>998001.49367639876</v>
      </c>
      <c r="F57" s="36">
        <f t="shared" si="26"/>
        <v>44.337746351957321</v>
      </c>
      <c r="G57" s="31">
        <f t="shared" si="0"/>
        <v>0.99977791666666671</v>
      </c>
      <c r="H57" s="32"/>
      <c r="I57" s="51">
        <f t="shared" si="9"/>
        <v>3.4166666666666683</v>
      </c>
      <c r="J57" s="51">
        <f t="shared" si="10"/>
        <v>68.416666666666472</v>
      </c>
      <c r="K57" s="52">
        <f t="shared" si="17"/>
        <v>8.2836666666666666E-3</v>
      </c>
      <c r="L57" s="53">
        <f t="shared" si="5"/>
        <v>0.99171633333333331</v>
      </c>
      <c r="M57" s="52">
        <f t="shared" si="11"/>
        <v>0.61936119783120447</v>
      </c>
      <c r="N57" s="58">
        <f t="shared" si="6"/>
        <v>0.68116619961446057</v>
      </c>
      <c r="O57" s="60"/>
      <c r="P57" s="60"/>
      <c r="Q57" s="134">
        <f t="shared" si="12"/>
        <v>3.4166666666666683</v>
      </c>
      <c r="R57" s="135">
        <f t="shared" si="13"/>
        <v>0.61936119783120447</v>
      </c>
      <c r="S57" s="136">
        <f t="shared" si="16"/>
        <v>2.831948061872476E-2</v>
      </c>
      <c r="T57" s="135">
        <f t="shared" si="14"/>
        <v>2.831948061872476E-2</v>
      </c>
    </row>
    <row r="58" spans="2:20" ht="15.75" customHeight="1" x14ac:dyDescent="0.25">
      <c r="B58" s="33">
        <f t="shared" si="24"/>
        <v>16.499999999999993</v>
      </c>
      <c r="C58" s="34"/>
      <c r="D58" s="35">
        <f t="shared" si="25"/>
        <v>2.6649999999999623E-4</v>
      </c>
      <c r="E58" s="36">
        <f>E52-(6/12)*F52</f>
        <v>997957.15593004681</v>
      </c>
      <c r="F58" s="36">
        <f t="shared" si="26"/>
        <v>44.337746351957321</v>
      </c>
      <c r="G58" s="31">
        <f t="shared" si="0"/>
        <v>0.99973350000000005</v>
      </c>
      <c r="H58" s="32"/>
      <c r="I58" s="51">
        <f t="shared" si="9"/>
        <v>3.5000000000000018</v>
      </c>
      <c r="J58" s="51">
        <f t="shared" si="10"/>
        <v>68.499999999999801</v>
      </c>
      <c r="K58" s="52">
        <f t="shared" si="17"/>
        <v>1.0354583333333334E-2</v>
      </c>
      <c r="L58" s="53">
        <f t="shared" si="5"/>
        <v>0.98964541666666661</v>
      </c>
      <c r="M58" s="52">
        <f t="shared" si="11"/>
        <v>0.61423061612210339</v>
      </c>
      <c r="N58" s="58">
        <f t="shared" si="6"/>
        <v>0.6762494445913757</v>
      </c>
      <c r="O58" s="60"/>
      <c r="P58" s="60"/>
      <c r="Q58" s="134">
        <f t="shared" si="12"/>
        <v>3.5000000000000018</v>
      </c>
      <c r="R58" s="135">
        <f t="shared" si="13"/>
        <v>0.61423061612210339</v>
      </c>
      <c r="S58" s="136">
        <f t="shared" si="16"/>
        <v>2.5961588781946286E-2</v>
      </c>
      <c r="T58" s="135">
        <f t="shared" si="14"/>
        <v>2.5961588781946286E-2</v>
      </c>
    </row>
    <row r="59" spans="2:20" ht="15.75" customHeight="1" x14ac:dyDescent="0.25">
      <c r="B59" s="33">
        <f t="shared" si="24"/>
        <v>16.583333333333325</v>
      </c>
      <c r="C59" s="34"/>
      <c r="D59" s="35">
        <f t="shared" si="25"/>
        <v>3.1091666666666225E-4</v>
      </c>
      <c r="E59" s="36">
        <f>E52-(7/12)*F52</f>
        <v>997912.81818369485</v>
      </c>
      <c r="F59" s="36">
        <f t="shared" si="26"/>
        <v>44.337746351957321</v>
      </c>
      <c r="G59" s="31">
        <f t="shared" si="0"/>
        <v>0.99968908333333328</v>
      </c>
      <c r="H59" s="32"/>
      <c r="I59" s="51">
        <f t="shared" si="9"/>
        <v>3.5833333333333353</v>
      </c>
      <c r="J59" s="51">
        <f t="shared" si="10"/>
        <v>68.58333333333313</v>
      </c>
      <c r="K59" s="52">
        <f t="shared" si="17"/>
        <v>1.2425500000000001E-2</v>
      </c>
      <c r="L59" s="53">
        <f t="shared" si="5"/>
        <v>0.98757450000000002</v>
      </c>
      <c r="M59" s="52">
        <f t="shared" si="11"/>
        <v>0.60787051402158232</v>
      </c>
      <c r="N59" s="58">
        <f t="shared" si="6"/>
        <v>0.67136817940905302</v>
      </c>
      <c r="O59" s="60"/>
      <c r="P59" s="60"/>
      <c r="Q59" s="134">
        <f t="shared" si="12"/>
        <v>3.5833333333333353</v>
      </c>
      <c r="R59" s="135">
        <f t="shared" si="13"/>
        <v>0.60787051402158232</v>
      </c>
      <c r="S59" s="136">
        <f t="shared" si="16"/>
        <v>2.3800016008670346E-2</v>
      </c>
      <c r="T59" s="135">
        <f t="shared" si="14"/>
        <v>2.3800016008670346E-2</v>
      </c>
    </row>
    <row r="60" spans="2:20" ht="15.75" customHeight="1" x14ac:dyDescent="0.25">
      <c r="B60" s="33">
        <f t="shared" si="24"/>
        <v>16.666666666666657</v>
      </c>
      <c r="C60" s="34"/>
      <c r="D60" s="35">
        <f t="shared" si="25"/>
        <v>3.5533333333332833E-4</v>
      </c>
      <c r="E60" s="36">
        <f>E52-(8/12)*F52</f>
        <v>997868.48043734289</v>
      </c>
      <c r="F60" s="36">
        <f t="shared" si="26"/>
        <v>44.337746351957321</v>
      </c>
      <c r="G60" s="31">
        <f t="shared" si="0"/>
        <v>0.99964466666666663</v>
      </c>
      <c r="H60" s="32"/>
      <c r="I60" s="51">
        <f t="shared" si="9"/>
        <v>3.6666666666666687</v>
      </c>
      <c r="J60" s="51">
        <f t="shared" si="10"/>
        <v>68.666666666666458</v>
      </c>
      <c r="K60" s="52">
        <f t="shared" si="17"/>
        <v>1.4496416666666668E-2</v>
      </c>
      <c r="L60" s="53">
        <f t="shared" si="5"/>
        <v>0.98550358333333332</v>
      </c>
      <c r="M60" s="52">
        <f t="shared" si="11"/>
        <v>0.60031741894960711</v>
      </c>
      <c r="N60" s="58">
        <f t="shared" si="6"/>
        <v>0.66652214789674791</v>
      </c>
      <c r="O60" s="60"/>
      <c r="P60" s="60"/>
      <c r="Q60" s="134">
        <f t="shared" si="12"/>
        <v>3.6666666666666687</v>
      </c>
      <c r="R60" s="135">
        <f t="shared" si="13"/>
        <v>0.60031741894960711</v>
      </c>
      <c r="S60" s="136">
        <f t="shared" si="16"/>
        <v>2.1818416691310821E-2</v>
      </c>
      <c r="T60" s="135">
        <f t="shared" si="14"/>
        <v>2.1818416691310821E-2</v>
      </c>
    </row>
    <row r="61" spans="2:20" ht="15.75" customHeight="1" x14ac:dyDescent="0.25">
      <c r="B61" s="33">
        <f t="shared" si="24"/>
        <v>16.749999999999989</v>
      </c>
      <c r="C61" s="34"/>
      <c r="D61" s="35">
        <f t="shared" si="25"/>
        <v>3.9974999999999435E-4</v>
      </c>
      <c r="E61" s="36">
        <f>E52-(9/12)*F52</f>
        <v>997824.14269099094</v>
      </c>
      <c r="F61" s="36">
        <f t="shared" si="26"/>
        <v>44.337746351957321</v>
      </c>
      <c r="G61" s="31">
        <f t="shared" si="0"/>
        <v>0.99960024999999997</v>
      </c>
      <c r="H61" s="32"/>
      <c r="I61" s="51">
        <f t="shared" si="9"/>
        <v>3.7500000000000022</v>
      </c>
      <c r="J61" s="51">
        <f t="shared" si="10"/>
        <v>68.749999999999787</v>
      </c>
      <c r="K61" s="52">
        <f t="shared" si="17"/>
        <v>1.6567333333333333E-2</v>
      </c>
      <c r="L61" s="53">
        <f t="shared" si="5"/>
        <v>0.98343266666666662</v>
      </c>
      <c r="M61" s="52">
        <f t="shared" si="11"/>
        <v>0.59161496751225573</v>
      </c>
      <c r="N61" s="58">
        <f t="shared" si="6"/>
        <v>0.66171109573279208</v>
      </c>
      <c r="O61" s="60"/>
      <c r="P61" s="60"/>
      <c r="Q61" s="134">
        <f t="shared" si="12"/>
        <v>3.7500000000000022</v>
      </c>
      <c r="R61" s="135">
        <f t="shared" si="13"/>
        <v>0.59161496751225573</v>
      </c>
      <c r="S61" s="136">
        <f t="shared" si="16"/>
        <v>2.0001806164426452E-2</v>
      </c>
      <c r="T61" s="135">
        <f t="shared" si="14"/>
        <v>2.0001806164426452E-2</v>
      </c>
    </row>
    <row r="62" spans="2:20" ht="15.75" customHeight="1" x14ac:dyDescent="0.25">
      <c r="B62" s="33">
        <f t="shared" si="24"/>
        <v>16.833333333333321</v>
      </c>
      <c r="C62" s="34"/>
      <c r="D62" s="35">
        <f t="shared" si="25"/>
        <v>4.4416666666666042E-4</v>
      </c>
      <c r="E62" s="36">
        <f>E52-(10/12)*F52</f>
        <v>997779.80494463898</v>
      </c>
      <c r="F62" s="36">
        <f t="shared" si="26"/>
        <v>44.337746351957321</v>
      </c>
      <c r="G62" s="31">
        <f t="shared" si="0"/>
        <v>0.99955583333333331</v>
      </c>
      <c r="H62" s="32"/>
      <c r="I62" s="51">
        <f t="shared" si="9"/>
        <v>3.8333333333333357</v>
      </c>
      <c r="J62" s="51">
        <f t="shared" si="10"/>
        <v>68.833333333333115</v>
      </c>
      <c r="K62" s="52">
        <f t="shared" si="17"/>
        <v>1.8638250000000002E-2</v>
      </c>
      <c r="L62" s="53">
        <f t="shared" si="5"/>
        <v>0.98136175000000003</v>
      </c>
      <c r="M62" s="52">
        <f t="shared" si="11"/>
        <v>0.58181348514049103</v>
      </c>
      <c r="N62" s="58">
        <f t="shared" si="6"/>
        <v>0.65693477043124793</v>
      </c>
      <c r="O62" s="60"/>
      <c r="P62" s="60"/>
      <c r="Q62" s="134">
        <f t="shared" si="12"/>
        <v>3.8333333333333357</v>
      </c>
      <c r="R62" s="135">
        <f t="shared" si="13"/>
        <v>0.58181348514049103</v>
      </c>
      <c r="S62" s="136">
        <f t="shared" si="16"/>
        <v>1.8336447392106901E-2</v>
      </c>
      <c r="T62" s="135">
        <f t="shared" si="14"/>
        <v>1.8336447392106901E-2</v>
      </c>
    </row>
    <row r="63" spans="2:20" ht="15.75" customHeight="1" x14ac:dyDescent="0.25">
      <c r="B63" s="33">
        <f t="shared" si="24"/>
        <v>16.916666666666654</v>
      </c>
      <c r="C63" s="34"/>
      <c r="D63" s="35">
        <f t="shared" si="25"/>
        <v>4.8858333333332644E-4</v>
      </c>
      <c r="E63" s="36">
        <f>E52-(11/12)*F52</f>
        <v>997735.46719828702</v>
      </c>
      <c r="F63" s="36">
        <f t="shared" si="26"/>
        <v>44.337746352073736</v>
      </c>
      <c r="G63" s="31">
        <f t="shared" si="0"/>
        <v>0.99951141666666665</v>
      </c>
      <c r="H63" s="32"/>
      <c r="I63" s="51">
        <f t="shared" si="9"/>
        <v>3.9166666666666692</v>
      </c>
      <c r="J63" s="51">
        <f t="shared" si="10"/>
        <v>68.916666666666444</v>
      </c>
      <c r="K63" s="52">
        <f t="shared" si="17"/>
        <v>2.0709166666666667E-2</v>
      </c>
      <c r="L63" s="53">
        <f t="shared" si="5"/>
        <v>0.97929083333333333</v>
      </c>
      <c r="M63" s="52">
        <f t="shared" si="11"/>
        <v>0.57096949995107127</v>
      </c>
      <c r="N63" s="58">
        <f t="shared" si="6"/>
        <v>0.65219292132865714</v>
      </c>
      <c r="O63" s="60"/>
      <c r="P63" s="60"/>
      <c r="Q63" s="134">
        <f t="shared" si="12"/>
        <v>3.9166666666666692</v>
      </c>
      <c r="R63" s="135">
        <f t="shared" si="13"/>
        <v>0.57096949995107127</v>
      </c>
      <c r="S63" s="136">
        <f t="shared" si="16"/>
        <v>1.6809747089814645E-2</v>
      </c>
      <c r="T63" s="135">
        <f t="shared" si="14"/>
        <v>1.6809747089814645E-2</v>
      </c>
    </row>
    <row r="64" spans="2:20" ht="15.75" customHeight="1" x14ac:dyDescent="0.25">
      <c r="B64" s="27">
        <v>17</v>
      </c>
      <c r="C64" s="28">
        <v>0.57499999999999996</v>
      </c>
      <c r="D64" s="29">
        <f>C64/1000</f>
        <v>5.7499999999999999E-4</v>
      </c>
      <c r="E64" s="30">
        <f>E52-F52</f>
        <v>997691.12945193495</v>
      </c>
      <c r="F64" s="48">
        <f>D64*E64</f>
        <v>573.67239943486254</v>
      </c>
      <c r="G64" s="31">
        <f t="shared" si="0"/>
        <v>0.99942500000000001</v>
      </c>
      <c r="H64" s="49"/>
      <c r="I64" s="51">
        <f t="shared" si="9"/>
        <v>4.0000000000000027</v>
      </c>
      <c r="J64" s="51">
        <f t="shared" si="10"/>
        <v>68.999999999999773</v>
      </c>
      <c r="K64" s="52">
        <f t="shared" si="17"/>
        <v>2.2780083333333333E-2</v>
      </c>
      <c r="L64" s="53">
        <f t="shared" si="5"/>
        <v>0.97721991666666663</v>
      </c>
      <c r="M64" s="52">
        <f t="shared" si="11"/>
        <v>0.55914519741500124</v>
      </c>
      <c r="N64" s="58">
        <f t="shared" si="6"/>
        <v>0.6474852995708863</v>
      </c>
      <c r="O64" s="60"/>
      <c r="P64" s="60"/>
      <c r="Q64" s="134">
        <f t="shared" si="12"/>
        <v>4.0000000000000027</v>
      </c>
      <c r="R64" s="135">
        <f t="shared" si="13"/>
        <v>0.55914519741500124</v>
      </c>
      <c r="S64" s="136">
        <f t="shared" si="16"/>
        <v>1.5410160495165803E-2</v>
      </c>
      <c r="T64" s="135">
        <f t="shared" si="14"/>
        <v>1.5410160495165803E-2</v>
      </c>
    </row>
    <row r="65" spans="2:20" ht="15.75" customHeight="1" x14ac:dyDescent="0.25">
      <c r="B65" s="33">
        <f t="shared" ref="B65:B75" si="27">B64+1/12</f>
        <v>17.083333333333332</v>
      </c>
      <c r="C65" s="34"/>
      <c r="D65" s="35">
        <f t="shared" ref="D65:D75" si="28">(B65-$B$64)*$D$64</f>
        <v>4.7916666666665984E-5</v>
      </c>
      <c r="E65" s="36">
        <f>E64-(1/12)*F64</f>
        <v>997643.32341864868</v>
      </c>
      <c r="F65" s="36">
        <f t="shared" ref="F65:F75" si="29">E65-E66</f>
        <v>47.806033286266029</v>
      </c>
      <c r="G65" s="31">
        <f t="shared" si="0"/>
        <v>0.9999520833333333</v>
      </c>
      <c r="H65" s="37"/>
      <c r="I65" s="51">
        <f t="shared" si="9"/>
        <v>4.0833333333333357</v>
      </c>
      <c r="J65" s="51">
        <f t="shared" si="10"/>
        <v>69.083333333333101</v>
      </c>
      <c r="K65" s="52">
        <f t="shared" si="17"/>
        <v>2.6719999999999997E-2</v>
      </c>
      <c r="L65" s="53">
        <f t="shared" si="5"/>
        <v>0.97328000000000003</v>
      </c>
      <c r="M65" s="52">
        <f t="shared" si="11"/>
        <v>0.5464078232224544</v>
      </c>
      <c r="N65" s="58">
        <f t="shared" si="6"/>
        <v>0.64281165810006657</v>
      </c>
      <c r="O65" s="60"/>
      <c r="P65" s="60"/>
      <c r="Q65" s="134">
        <f t="shared" si="12"/>
        <v>4.0833333333333357</v>
      </c>
      <c r="R65" s="135">
        <f t="shared" si="13"/>
        <v>0.5464078232224544</v>
      </c>
      <c r="S65" s="136">
        <f t="shared" si="16"/>
        <v>1.4127104067535812E-2</v>
      </c>
      <c r="T65" s="135">
        <f t="shared" si="14"/>
        <v>1.4127104067535812E-2</v>
      </c>
    </row>
    <row r="66" spans="2:20" ht="15.75" customHeight="1" x14ac:dyDescent="0.25">
      <c r="B66" s="33">
        <f t="shared" si="27"/>
        <v>17.166666666666664</v>
      </c>
      <c r="C66" s="34"/>
      <c r="D66" s="35">
        <f t="shared" si="28"/>
        <v>9.5833333333331967E-5</v>
      </c>
      <c r="E66" s="36">
        <f>E64-(2/12)*F64</f>
        <v>997595.51738536241</v>
      </c>
      <c r="F66" s="36">
        <f t="shared" si="29"/>
        <v>47.806033286149614</v>
      </c>
      <c r="G66" s="31">
        <f t="shared" si="0"/>
        <v>0.9999041666666667</v>
      </c>
      <c r="H66" s="32"/>
      <c r="I66" s="51">
        <f t="shared" si="9"/>
        <v>4.1666666666666687</v>
      </c>
      <c r="J66" s="51">
        <f t="shared" si="10"/>
        <v>69.16666666666643</v>
      </c>
      <c r="K66" s="52">
        <f t="shared" si="17"/>
        <v>2.2266666666666663E-3</v>
      </c>
      <c r="L66" s="53">
        <f t="shared" si="5"/>
        <v>0.99777333333333329</v>
      </c>
      <c r="M66" s="52">
        <f t="shared" si="11"/>
        <v>0.53180780618595047</v>
      </c>
      <c r="N66" s="58">
        <f t="shared" si="6"/>
        <v>0.6381717516416282</v>
      </c>
      <c r="O66" s="60"/>
      <c r="P66" s="60"/>
      <c r="Q66" s="134">
        <f t="shared" si="12"/>
        <v>4.1666666666666687</v>
      </c>
      <c r="R66" s="135">
        <f t="shared" si="13"/>
        <v>0.53180780618595047</v>
      </c>
      <c r="S66" s="136">
        <f t="shared" si="16"/>
        <v>1.295087545633246E-2</v>
      </c>
      <c r="T66" s="135">
        <f t="shared" si="14"/>
        <v>1.295087545633246E-2</v>
      </c>
    </row>
    <row r="67" spans="2:20" ht="15.75" customHeight="1" x14ac:dyDescent="0.25">
      <c r="B67" s="33">
        <f t="shared" si="27"/>
        <v>17.249999999999996</v>
      </c>
      <c r="C67" s="34"/>
      <c r="D67" s="35">
        <f t="shared" si="28"/>
        <v>1.4374999999999796E-4</v>
      </c>
      <c r="E67" s="36">
        <f>E64-(3/12)*F64</f>
        <v>997547.71135207627</v>
      </c>
      <c r="F67" s="36">
        <f t="shared" si="29"/>
        <v>47.806033286266029</v>
      </c>
      <c r="G67" s="31">
        <f t="shared" si="0"/>
        <v>0.99985625</v>
      </c>
      <c r="H67" s="32"/>
      <c r="I67" s="51">
        <f t="shared" si="9"/>
        <v>4.2500000000000018</v>
      </c>
      <c r="J67" s="51">
        <f t="shared" si="10"/>
        <v>69.249999999999758</v>
      </c>
      <c r="K67" s="52">
        <f t="shared" si="17"/>
        <v>4.4533333333333326E-3</v>
      </c>
      <c r="L67" s="53">
        <f t="shared" si="5"/>
        <v>0.99554666666666669</v>
      </c>
      <c r="M67" s="52">
        <f t="shared" si="11"/>
        <v>0.53062364747084312</v>
      </c>
      <c r="N67" s="58">
        <f t="shared" si="6"/>
        <v>0.63356533669142834</v>
      </c>
      <c r="O67" s="60"/>
      <c r="P67" s="60"/>
      <c r="Q67" s="134">
        <f t="shared" si="12"/>
        <v>4.2500000000000018</v>
      </c>
      <c r="R67" s="135">
        <f t="shared" si="13"/>
        <v>0.53062364747084312</v>
      </c>
      <c r="S67" s="136">
        <f t="shared" si="16"/>
        <v>1.1872580132744144E-2</v>
      </c>
      <c r="T67" s="135">
        <f t="shared" si="14"/>
        <v>1.1872580132744144E-2</v>
      </c>
    </row>
    <row r="68" spans="2:20" ht="15.75" customHeight="1" x14ac:dyDescent="0.25">
      <c r="B68" s="33">
        <f t="shared" si="27"/>
        <v>17.333333333333329</v>
      </c>
      <c r="C68" s="34"/>
      <c r="D68" s="35">
        <f t="shared" si="28"/>
        <v>1.9166666666666393E-4</v>
      </c>
      <c r="E68" s="36">
        <f>E64-(4/12)*F64</f>
        <v>997499.90531879</v>
      </c>
      <c r="F68" s="36">
        <f t="shared" si="29"/>
        <v>47.806033286266029</v>
      </c>
      <c r="G68" s="31">
        <f t="shared" si="0"/>
        <v>0.9998083333333333</v>
      </c>
      <c r="H68" s="32"/>
      <c r="I68" s="51">
        <f t="shared" si="9"/>
        <v>4.3333333333333348</v>
      </c>
      <c r="J68" s="51">
        <f t="shared" si="10"/>
        <v>69.333333333333087</v>
      </c>
      <c r="K68" s="52">
        <f t="shared" si="17"/>
        <v>6.6799999999999993E-3</v>
      </c>
      <c r="L68" s="53">
        <f t="shared" si="5"/>
        <v>0.99331999999999998</v>
      </c>
      <c r="M68" s="52">
        <f t="shared" si="11"/>
        <v>0.52826060349410631</v>
      </c>
      <c r="N68" s="58">
        <f t="shared" si="6"/>
        <v>0.62899217150297182</v>
      </c>
      <c r="O68" s="60"/>
      <c r="P68" s="60"/>
      <c r="Q68" s="134">
        <f t="shared" si="12"/>
        <v>4.3333333333333348</v>
      </c>
      <c r="R68" s="135">
        <f t="shared" si="13"/>
        <v>0.52826060349410631</v>
      </c>
      <c r="S68" s="136">
        <f t="shared" si="16"/>
        <v>1.0884064130159484E-2</v>
      </c>
      <c r="T68" s="135">
        <f t="shared" si="14"/>
        <v>1.0884064130159484E-2</v>
      </c>
    </row>
    <row r="69" spans="2:20" ht="15.75" customHeight="1" x14ac:dyDescent="0.25">
      <c r="B69" s="33">
        <f t="shared" si="27"/>
        <v>17.416666666666661</v>
      </c>
      <c r="C69" s="34"/>
      <c r="D69" s="35">
        <f t="shared" si="28"/>
        <v>2.3958333333332993E-4</v>
      </c>
      <c r="E69" s="36">
        <f>E64-(5/12)*F64</f>
        <v>997452.09928550373</v>
      </c>
      <c r="F69" s="36">
        <f t="shared" si="29"/>
        <v>47.806033286266029</v>
      </c>
      <c r="G69" s="31">
        <f t="shared" si="0"/>
        <v>0.99976041666666671</v>
      </c>
      <c r="H69" s="32"/>
      <c r="I69" s="51">
        <f t="shared" si="9"/>
        <v>4.4166666666666679</v>
      </c>
      <c r="J69" s="51">
        <f t="shared" si="10"/>
        <v>69.416666666666416</v>
      </c>
      <c r="K69" s="52">
        <f t="shared" si="17"/>
        <v>8.9066666666666652E-3</v>
      </c>
      <c r="L69" s="53">
        <f t="shared" si="5"/>
        <v>0.99109333333333338</v>
      </c>
      <c r="M69" s="52">
        <f t="shared" si="11"/>
        <v>0.52473182266276563</v>
      </c>
      <c r="N69" s="58">
        <f t="shared" si="6"/>
        <v>0.62445201607472445</v>
      </c>
      <c r="O69" s="60"/>
      <c r="P69" s="60"/>
      <c r="Q69" s="134">
        <f t="shared" si="12"/>
        <v>4.4166666666666679</v>
      </c>
      <c r="R69" s="135">
        <f t="shared" si="13"/>
        <v>0.52473182266276563</v>
      </c>
      <c r="S69" s="136">
        <f t="shared" si="16"/>
        <v>9.9778523846478819E-3</v>
      </c>
      <c r="T69" s="135">
        <f t="shared" si="14"/>
        <v>9.9778523846478819E-3</v>
      </c>
    </row>
    <row r="70" spans="2:20" ht="15.75" customHeight="1" x14ac:dyDescent="0.25">
      <c r="B70" s="33">
        <f t="shared" si="27"/>
        <v>17.499999999999993</v>
      </c>
      <c r="C70" s="34"/>
      <c r="D70" s="35">
        <f t="shared" si="28"/>
        <v>2.8749999999999593E-4</v>
      </c>
      <c r="E70" s="36">
        <f>E64-(6/12)*F64</f>
        <v>997404.29325221747</v>
      </c>
      <c r="F70" s="36">
        <f t="shared" si="29"/>
        <v>47.806033286149614</v>
      </c>
      <c r="G70" s="31">
        <f t="shared" si="0"/>
        <v>0.9997125</v>
      </c>
      <c r="H70" s="32"/>
      <c r="I70" s="51">
        <f t="shared" si="9"/>
        <v>4.5000000000000009</v>
      </c>
      <c r="J70" s="51">
        <f t="shared" si="10"/>
        <v>69.499999999999744</v>
      </c>
      <c r="K70" s="52">
        <f t="shared" si="17"/>
        <v>1.1133333333333332E-2</v>
      </c>
      <c r="L70" s="53">
        <f t="shared" si="5"/>
        <v>0.98886666666666667</v>
      </c>
      <c r="M70" s="52">
        <f t="shared" si="11"/>
        <v>0.52005821122891593</v>
      </c>
      <c r="N70" s="58">
        <f t="shared" si="6"/>
        <v>0.61994463213751683</v>
      </c>
      <c r="O70" s="60"/>
      <c r="P70" s="60"/>
      <c r="Q70" s="134">
        <f t="shared" si="12"/>
        <v>4.5000000000000009</v>
      </c>
      <c r="R70" s="135">
        <f t="shared" si="13"/>
        <v>0.52005821122891593</v>
      </c>
      <c r="S70" s="136">
        <f t="shared" si="16"/>
        <v>9.1470922092375239E-3</v>
      </c>
      <c r="T70" s="135">
        <f t="shared" si="14"/>
        <v>9.1470922092375239E-3</v>
      </c>
    </row>
    <row r="71" spans="2:20" ht="15.75" customHeight="1" x14ac:dyDescent="0.25">
      <c r="B71" s="33">
        <f t="shared" si="27"/>
        <v>17.583333333333325</v>
      </c>
      <c r="C71" s="34"/>
      <c r="D71" s="35">
        <f t="shared" si="28"/>
        <v>3.3541666666666187E-4</v>
      </c>
      <c r="E71" s="36">
        <f>E64-(7/12)*F64</f>
        <v>997356.48721893132</v>
      </c>
      <c r="F71" s="36">
        <f t="shared" si="29"/>
        <v>47.806033286266029</v>
      </c>
      <c r="G71" s="31">
        <f t="shared" si="0"/>
        <v>0.9996645833333333</v>
      </c>
      <c r="H71" s="32"/>
      <c r="I71" s="51">
        <f t="shared" si="9"/>
        <v>4.5833333333333339</v>
      </c>
      <c r="J71" s="51">
        <f t="shared" si="10"/>
        <v>69.583333333333073</v>
      </c>
      <c r="K71" s="52">
        <f t="shared" si="17"/>
        <v>1.3359999999999999E-2</v>
      </c>
      <c r="L71" s="53">
        <f t="shared" si="5"/>
        <v>0.98663999999999996</v>
      </c>
      <c r="M71" s="52">
        <f t="shared" si="11"/>
        <v>0.5142682298105673</v>
      </c>
      <c r="N71" s="58">
        <f t="shared" si="6"/>
        <v>0.61546978314204126</v>
      </c>
      <c r="O71" s="60"/>
      <c r="P71" s="60"/>
      <c r="Q71" s="134">
        <f t="shared" si="12"/>
        <v>4.5833333333333339</v>
      </c>
      <c r="R71" s="135">
        <f t="shared" si="13"/>
        <v>0.5142682298105673</v>
      </c>
      <c r="S71" s="136">
        <f t="shared" si="16"/>
        <v>8.3855014745486817E-3</v>
      </c>
      <c r="T71" s="135">
        <f t="shared" si="14"/>
        <v>8.3855014745486817E-3</v>
      </c>
    </row>
    <row r="72" spans="2:20" ht="15.75" customHeight="1" x14ac:dyDescent="0.25">
      <c r="B72" s="33">
        <f t="shared" si="27"/>
        <v>17.666666666666657</v>
      </c>
      <c r="C72" s="34"/>
      <c r="D72" s="35">
        <f t="shared" si="28"/>
        <v>3.8333333333332787E-4</v>
      </c>
      <c r="E72" s="36">
        <f>E64-(8/12)*F64</f>
        <v>997308.68118564505</v>
      </c>
      <c r="F72" s="36">
        <f t="shared" si="29"/>
        <v>47.806033286266029</v>
      </c>
      <c r="G72" s="31">
        <f t="shared" si="0"/>
        <v>0.99961666666666671</v>
      </c>
      <c r="H72" s="32"/>
      <c r="I72" s="51">
        <f t="shared" si="9"/>
        <v>4.666666666666667</v>
      </c>
      <c r="J72" s="51">
        <f t="shared" si="10"/>
        <v>69.666666666666401</v>
      </c>
      <c r="K72" s="52">
        <f t="shared" si="17"/>
        <v>1.5586666666666665E-2</v>
      </c>
      <c r="L72" s="53">
        <f t="shared" si="5"/>
        <v>0.98441333333333336</v>
      </c>
      <c r="M72" s="52">
        <f t="shared" si="11"/>
        <v>0.50739760626029806</v>
      </c>
      <c r="N72" s="58">
        <f t="shared" si="6"/>
        <v>0.61102723424643646</v>
      </c>
      <c r="O72" s="60"/>
      <c r="P72" s="60"/>
      <c r="Q72" s="134">
        <f t="shared" si="12"/>
        <v>4.666666666666667</v>
      </c>
      <c r="R72" s="135">
        <f t="shared" si="13"/>
        <v>0.50739760626029806</v>
      </c>
      <c r="S72" s="136">
        <f t="shared" si="16"/>
        <v>7.6873211039292068E-3</v>
      </c>
      <c r="T72" s="135">
        <f t="shared" si="14"/>
        <v>7.6873211039292068E-3</v>
      </c>
    </row>
    <row r="73" spans="2:20" ht="15.75" customHeight="1" x14ac:dyDescent="0.25">
      <c r="B73" s="33">
        <f t="shared" si="27"/>
        <v>17.749999999999989</v>
      </c>
      <c r="C73" s="34"/>
      <c r="D73" s="35">
        <f t="shared" si="28"/>
        <v>4.3124999999999387E-4</v>
      </c>
      <c r="E73" s="36">
        <f>E64-(9/12)*F64</f>
        <v>997260.87515235879</v>
      </c>
      <c r="F73" s="36">
        <f t="shared" si="29"/>
        <v>47.806033286266029</v>
      </c>
      <c r="G73" s="31">
        <f t="shared" si="0"/>
        <v>0.99956875000000001</v>
      </c>
      <c r="H73" s="32"/>
      <c r="I73" s="51">
        <f t="shared" si="9"/>
        <v>4.75</v>
      </c>
      <c r="J73" s="51">
        <f t="shared" si="10"/>
        <v>69.74999999999973</v>
      </c>
      <c r="K73" s="52">
        <f t="shared" si="17"/>
        <v>1.781333333333333E-2</v>
      </c>
      <c r="L73" s="53">
        <f t="shared" si="5"/>
        <v>0.98218666666666665</v>
      </c>
      <c r="M73" s="52">
        <f t="shared" si="11"/>
        <v>0.49948896890405425</v>
      </c>
      <c r="N73" s="58">
        <f t="shared" si="6"/>
        <v>0.60661675230396295</v>
      </c>
      <c r="O73" s="60"/>
      <c r="P73" s="60"/>
      <c r="Q73" s="134">
        <f t="shared" si="12"/>
        <v>4.75</v>
      </c>
      <c r="R73" s="135">
        <f t="shared" si="13"/>
        <v>0.49948896890405425</v>
      </c>
      <c r="S73" s="136">
        <f t="shared" si="16"/>
        <v>7.0472715238650563E-3</v>
      </c>
      <c r="T73" s="135">
        <f t="shared" si="14"/>
        <v>7.0472715238650563E-3</v>
      </c>
    </row>
    <row r="74" spans="2:20" ht="15.75" customHeight="1" x14ac:dyDescent="0.25">
      <c r="B74" s="33">
        <f t="shared" si="27"/>
        <v>17.833333333333321</v>
      </c>
      <c r="C74" s="34"/>
      <c r="D74" s="35">
        <f t="shared" si="28"/>
        <v>4.7916666666665986E-4</v>
      </c>
      <c r="E74" s="36">
        <f>E64-(10/12)*F64</f>
        <v>997213.06911907252</v>
      </c>
      <c r="F74" s="36">
        <f t="shared" si="29"/>
        <v>47.806033286149614</v>
      </c>
      <c r="G74" s="31">
        <f t="shared" si="0"/>
        <v>0.9995208333333333</v>
      </c>
      <c r="H74" s="32"/>
      <c r="I74" s="51">
        <f t="shared" si="9"/>
        <v>4.833333333333333</v>
      </c>
      <c r="J74" s="51">
        <f t="shared" si="10"/>
        <v>69.833333333333059</v>
      </c>
      <c r="K74" s="52">
        <f t="shared" si="17"/>
        <v>2.0039999999999999E-2</v>
      </c>
      <c r="L74" s="53">
        <f t="shared" si="5"/>
        <v>0.97996000000000005</v>
      </c>
      <c r="M74" s="52">
        <f t="shared" si="11"/>
        <v>0.49059140540464335</v>
      </c>
      <c r="N74" s="58">
        <f t="shared" si="6"/>
        <v>0.60223810585076831</v>
      </c>
      <c r="O74" s="60"/>
      <c r="P74" s="60"/>
      <c r="Q74" s="134">
        <f t="shared" si="12"/>
        <v>4.833333333333333</v>
      </c>
      <c r="R74" s="135">
        <f t="shared" si="13"/>
        <v>0.49059140540464335</v>
      </c>
      <c r="S74" s="136">
        <f t="shared" si="16"/>
        <v>6.4605127403478202E-3</v>
      </c>
      <c r="T74" s="135">
        <f t="shared" si="14"/>
        <v>6.4605127403478202E-3</v>
      </c>
    </row>
    <row r="75" spans="2:20" ht="15.75" customHeight="1" x14ac:dyDescent="0.25">
      <c r="B75" s="33">
        <f t="shared" si="27"/>
        <v>17.916666666666654</v>
      </c>
      <c r="C75" s="34"/>
      <c r="D75" s="35">
        <f t="shared" si="28"/>
        <v>5.2708333333332581E-4</v>
      </c>
      <c r="E75" s="36">
        <f>E64-(11/12)*F64</f>
        <v>997165.26308578637</v>
      </c>
      <c r="F75" s="36">
        <f t="shared" si="29"/>
        <v>47.806033286266029</v>
      </c>
      <c r="G75" s="31">
        <f t="shared" si="0"/>
        <v>0.99947291666666671</v>
      </c>
      <c r="H75" s="32"/>
      <c r="I75" s="51">
        <f t="shared" si="9"/>
        <v>4.9166666666666661</v>
      </c>
      <c r="J75" s="51">
        <f t="shared" si="10"/>
        <v>69.916666666666387</v>
      </c>
      <c r="K75" s="52">
        <f t="shared" si="17"/>
        <v>2.2266666666666664E-2</v>
      </c>
      <c r="L75" s="53">
        <f t="shared" si="5"/>
        <v>0.97773333333333334</v>
      </c>
      <c r="M75" s="52">
        <f t="shared" si="11"/>
        <v>0.4807599536403343</v>
      </c>
      <c r="N75" s="58">
        <f t="shared" si="6"/>
        <v>0.5978910650937389</v>
      </c>
      <c r="O75" s="60"/>
      <c r="P75" s="60"/>
      <c r="Q75" s="134">
        <f t="shared" si="12"/>
        <v>4.9166666666666661</v>
      </c>
      <c r="R75" s="135">
        <f t="shared" si="13"/>
        <v>0.4807599536403343</v>
      </c>
      <c r="S75" s="136">
        <f t="shared" si="16"/>
        <v>5.9226077393006926E-3</v>
      </c>
      <c r="T75" s="135">
        <f t="shared" si="14"/>
        <v>5.9226077393006926E-3</v>
      </c>
    </row>
    <row r="76" spans="2:20" ht="15.75" customHeight="1" x14ac:dyDescent="0.25">
      <c r="B76" s="27">
        <v>18</v>
      </c>
      <c r="C76" s="28">
        <v>0.61899999999999999</v>
      </c>
      <c r="D76" s="29">
        <f>C76/1000</f>
        <v>6.1899999999999998E-4</v>
      </c>
      <c r="E76" s="30">
        <f>E64-F64</f>
        <v>997117.4570525001</v>
      </c>
      <c r="F76" s="48">
        <f>D76*E76</f>
        <v>617.21570591549755</v>
      </c>
      <c r="G76" s="31">
        <f t="shared" si="0"/>
        <v>0.99938099999999996</v>
      </c>
      <c r="H76" s="49"/>
      <c r="I76" s="51">
        <f t="shared" si="9"/>
        <v>4.9999999999999991</v>
      </c>
      <c r="J76" s="51">
        <f t="shared" si="10"/>
        <v>69.999999999999716</v>
      </c>
      <c r="K76" s="52">
        <f t="shared" si="17"/>
        <v>2.4493333333333329E-2</v>
      </c>
      <c r="L76" s="53">
        <f t="shared" si="5"/>
        <v>0.97550666666666663</v>
      </c>
      <c r="M76" s="52">
        <f t="shared" si="11"/>
        <v>0.47005503200594284</v>
      </c>
      <c r="N76" s="58">
        <f t="shared" si="6"/>
        <v>0.59357540189844071</v>
      </c>
      <c r="O76" s="60"/>
      <c r="P76" s="60"/>
      <c r="Q76" s="51">
        <f t="shared" si="12"/>
        <v>4.9999999999999991</v>
      </c>
      <c r="R76" s="52">
        <f t="shared" si="13"/>
        <v>0.47005503200594284</v>
      </c>
      <c r="S76" s="58">
        <f t="shared" si="16"/>
        <v>5.4294889343002748E-3</v>
      </c>
      <c r="T76" s="52">
        <f t="shared" ref="T76:T270" si="30">IFERROR(S76*R76,"")</f>
        <v>2.5521585947884283E-3</v>
      </c>
    </row>
    <row r="77" spans="2:20" ht="15.75" customHeight="1" x14ac:dyDescent="0.25">
      <c r="B77" s="33">
        <f t="shared" ref="B77:B87" si="31">B76+1/12</f>
        <v>18.083333333333332</v>
      </c>
      <c r="C77" s="34"/>
      <c r="D77" s="35">
        <f t="shared" ref="D77:D87" si="32">(B77-$B$76)*$D$76</f>
        <v>5.1583333333332599E-5</v>
      </c>
      <c r="E77" s="36">
        <f>E76-(1/12)*F76</f>
        <v>997066.02241034049</v>
      </c>
      <c r="F77" s="36">
        <f t="shared" ref="F77:F87" si="33">E77-E78</f>
        <v>51.434642159612849</v>
      </c>
      <c r="G77" s="31">
        <f t="shared" si="0"/>
        <v>0.99994841666666667</v>
      </c>
      <c r="H77" s="37"/>
      <c r="I77" s="51">
        <f t="shared" si="9"/>
        <v>5.0833333333333321</v>
      </c>
      <c r="J77" s="51">
        <f t="shared" si="10"/>
        <v>70.083333333333044</v>
      </c>
      <c r="K77" s="52">
        <f t="shared" si="17"/>
        <v>2.8724E-2</v>
      </c>
      <c r="L77" s="53">
        <f t="shared" si="5"/>
        <v>0.97127600000000003</v>
      </c>
      <c r="M77" s="52">
        <f t="shared" si="11"/>
        <v>0.45854181742201061</v>
      </c>
      <c r="N77" s="58">
        <f t="shared" si="6"/>
        <v>0.58929088977714683</v>
      </c>
      <c r="O77" s="60"/>
      <c r="P77" s="60"/>
      <c r="Q77" s="51">
        <f t="shared" si="12"/>
        <v>5.0833333333333321</v>
      </c>
      <c r="R77" s="52">
        <f t="shared" si="13"/>
        <v>0.45854181742201061</v>
      </c>
      <c r="S77" s="58">
        <f t="shared" si="16"/>
        <v>4.9774274078752106E-3</v>
      </c>
      <c r="T77" s="52">
        <f t="shared" si="30"/>
        <v>2.2823586096932264E-3</v>
      </c>
    </row>
    <row r="78" spans="2:20" ht="15.75" customHeight="1" x14ac:dyDescent="0.25">
      <c r="B78" s="33">
        <f t="shared" si="31"/>
        <v>18.166666666666664</v>
      </c>
      <c r="C78" s="34"/>
      <c r="D78" s="35">
        <f t="shared" si="32"/>
        <v>1.031666666666652E-4</v>
      </c>
      <c r="E78" s="36">
        <f>E76-(2/12)*F76</f>
        <v>997014.58776818088</v>
      </c>
      <c r="F78" s="36">
        <f t="shared" si="33"/>
        <v>51.434642159612849</v>
      </c>
      <c r="G78" s="31">
        <f t="shared" si="0"/>
        <v>0.99989683333333335</v>
      </c>
      <c r="H78" s="32"/>
      <c r="I78" s="51">
        <f t="shared" si="9"/>
        <v>5.1666666666666652</v>
      </c>
      <c r="J78" s="51">
        <f t="shared" si="10"/>
        <v>70.166666666666373</v>
      </c>
      <c r="K78" s="52">
        <f t="shared" si="17"/>
        <v>2.3936666666666663E-3</v>
      </c>
      <c r="L78" s="53">
        <f t="shared" si="5"/>
        <v>0.99760633333333337</v>
      </c>
      <c r="M78" s="52">
        <f t="shared" si="11"/>
        <v>0.44537066225838079</v>
      </c>
      <c r="N78" s="58">
        <f t="shared" si="6"/>
        <v>0.58503730387695119</v>
      </c>
      <c r="O78" s="60"/>
      <c r="P78" s="60"/>
      <c r="Q78" s="51">
        <f t="shared" si="12"/>
        <v>5.1666666666666652</v>
      </c>
      <c r="R78" s="52">
        <f t="shared" si="13"/>
        <v>0.44537066225838079</v>
      </c>
      <c r="S78" s="58">
        <f t="shared" si="16"/>
        <v>4.5630047137871525E-3</v>
      </c>
      <c r="T78" s="52">
        <f t="shared" si="30"/>
        <v>2.0322284312674975E-3</v>
      </c>
    </row>
    <row r="79" spans="2:20" ht="15.75" customHeight="1" x14ac:dyDescent="0.25">
      <c r="B79" s="33">
        <f t="shared" si="31"/>
        <v>18.249999999999996</v>
      </c>
      <c r="C79" s="34"/>
      <c r="D79" s="35">
        <f t="shared" si="32"/>
        <v>1.547499999999978E-4</v>
      </c>
      <c r="E79" s="36">
        <f>E76-(3/12)*F76</f>
        <v>996963.15312602127</v>
      </c>
      <c r="F79" s="36">
        <f t="shared" si="33"/>
        <v>51.434642159612849</v>
      </c>
      <c r="G79" s="31">
        <f t="shared" si="0"/>
        <v>0.99984525000000002</v>
      </c>
      <c r="H79" s="32"/>
      <c r="I79" s="51">
        <f t="shared" si="9"/>
        <v>5.2499999999999982</v>
      </c>
      <c r="J79" s="51">
        <f t="shared" si="10"/>
        <v>70.249999999999702</v>
      </c>
      <c r="K79" s="52">
        <f t="shared" si="17"/>
        <v>4.7873333333333327E-3</v>
      </c>
      <c r="L79" s="53">
        <f t="shared" si="5"/>
        <v>0.99521266666666663</v>
      </c>
      <c r="M79" s="52">
        <f t="shared" si="11"/>
        <v>0.44430459334982164</v>
      </c>
      <c r="N79" s="58">
        <f t="shared" si="6"/>
        <v>0.58081442096796776</v>
      </c>
      <c r="O79" s="60"/>
      <c r="P79" s="60"/>
      <c r="Q79" s="51">
        <f t="shared" si="12"/>
        <v>5.2499999999999982</v>
      </c>
      <c r="R79" s="52">
        <f t="shared" si="13"/>
        <v>0.44430459334982164</v>
      </c>
      <c r="S79" s="58">
        <f t="shared" si="16"/>
        <v>4.1830870270656486E-3</v>
      </c>
      <c r="T79" s="52">
        <f t="shared" si="30"/>
        <v>1.8585647805073172E-3</v>
      </c>
    </row>
    <row r="80" spans="2:20" ht="15.75" customHeight="1" x14ac:dyDescent="0.25">
      <c r="B80" s="33">
        <f t="shared" si="31"/>
        <v>18.333333333333329</v>
      </c>
      <c r="C80" s="34"/>
      <c r="D80" s="35">
        <f t="shared" si="32"/>
        <v>2.063333333333304E-4</v>
      </c>
      <c r="E80" s="36">
        <f>E76-(4/12)*F76</f>
        <v>996911.71848386165</v>
      </c>
      <c r="F80" s="36">
        <f t="shared" si="33"/>
        <v>51.434642159729265</v>
      </c>
      <c r="G80" s="31">
        <f t="shared" si="0"/>
        <v>0.99979366666666669</v>
      </c>
      <c r="H80" s="32"/>
      <c r="I80" s="51">
        <f t="shared" si="9"/>
        <v>5.3333333333333313</v>
      </c>
      <c r="J80" s="51">
        <f t="shared" si="10"/>
        <v>70.33333333333303</v>
      </c>
      <c r="K80" s="52">
        <f t="shared" si="17"/>
        <v>7.1809999999999999E-3</v>
      </c>
      <c r="L80" s="53">
        <f t="shared" si="5"/>
        <v>0.99281900000000001</v>
      </c>
      <c r="M80" s="52">
        <f t="shared" si="11"/>
        <v>0.4421775591599249</v>
      </c>
      <c r="N80" s="58">
        <f t="shared" si="6"/>
        <v>0.57662201943161628</v>
      </c>
      <c r="O80" s="60"/>
      <c r="P80" s="60"/>
      <c r="Q80" s="51">
        <f t="shared" si="12"/>
        <v>5.3333333333333313</v>
      </c>
      <c r="R80" s="52">
        <f t="shared" si="13"/>
        <v>0.4421775591599249</v>
      </c>
      <c r="S80" s="58">
        <f t="shared" si="16"/>
        <v>3.8348014463219669E-3</v>
      </c>
      <c r="T80" s="52">
        <f t="shared" si="30"/>
        <v>1.695663143397597E-3</v>
      </c>
    </row>
    <row r="81" spans="2:20" ht="15.75" customHeight="1" x14ac:dyDescent="0.25">
      <c r="B81" s="33">
        <f t="shared" si="31"/>
        <v>18.416666666666661</v>
      </c>
      <c r="C81" s="34"/>
      <c r="D81" s="35">
        <f t="shared" si="32"/>
        <v>2.5791666666666297E-4</v>
      </c>
      <c r="E81" s="36">
        <f>E76-(5/12)*F76</f>
        <v>996860.28384170192</v>
      </c>
      <c r="F81" s="36">
        <f t="shared" si="33"/>
        <v>51.434642159612849</v>
      </c>
      <c r="G81" s="31">
        <f t="shared" si="0"/>
        <v>0.99974208333333336</v>
      </c>
      <c r="H81" s="32"/>
      <c r="I81" s="51">
        <f t="shared" si="9"/>
        <v>5.4166666666666643</v>
      </c>
      <c r="J81" s="51">
        <f t="shared" si="10"/>
        <v>70.416666666666359</v>
      </c>
      <c r="K81" s="52">
        <f t="shared" si="17"/>
        <v>9.5746666666666654E-3</v>
      </c>
      <c r="L81" s="53">
        <f t="shared" si="5"/>
        <v>0.99042533333333338</v>
      </c>
      <c r="M81" s="52">
        <f t="shared" si="11"/>
        <v>0.43900228210759751</v>
      </c>
      <c r="N81" s="58">
        <f t="shared" si="6"/>
        <v>0.57245987924899056</v>
      </c>
      <c r="O81" s="60"/>
      <c r="P81" s="60"/>
      <c r="Q81" s="51">
        <f t="shared" si="12"/>
        <v>5.4166666666666643</v>
      </c>
      <c r="R81" s="52">
        <f t="shared" si="13"/>
        <v>0.43900228210759751</v>
      </c>
      <c r="S81" s="58">
        <f t="shared" si="16"/>
        <v>3.5155142691422297E-3</v>
      </c>
      <c r="T81" s="52">
        <f t="shared" si="30"/>
        <v>1.5433187869352616E-3</v>
      </c>
    </row>
    <row r="82" spans="2:20" ht="15.75" customHeight="1" x14ac:dyDescent="0.25">
      <c r="B82" s="33">
        <f t="shared" si="31"/>
        <v>18.499999999999993</v>
      </c>
      <c r="C82" s="34"/>
      <c r="D82" s="35">
        <f t="shared" si="32"/>
        <v>3.094999999999956E-4</v>
      </c>
      <c r="E82" s="36">
        <f>E76-(6/12)*F76</f>
        <v>996808.84919954231</v>
      </c>
      <c r="F82" s="36">
        <f t="shared" si="33"/>
        <v>51.434642159612849</v>
      </c>
      <c r="G82" s="31">
        <f t="shared" si="0"/>
        <v>0.99969050000000004</v>
      </c>
      <c r="H82" s="32"/>
      <c r="I82" s="51">
        <f t="shared" si="9"/>
        <v>5.4999999999999973</v>
      </c>
      <c r="J82" s="51">
        <f t="shared" si="10"/>
        <v>70.499999999999687</v>
      </c>
      <c r="K82" s="52">
        <f t="shared" si="17"/>
        <v>1.1968333333333334E-2</v>
      </c>
      <c r="L82" s="53">
        <f t="shared" si="5"/>
        <v>0.98803166666666664</v>
      </c>
      <c r="M82" s="52">
        <f t="shared" si="11"/>
        <v>0.43479898159051134</v>
      </c>
      <c r="N82" s="58">
        <f t="shared" si="6"/>
        <v>0.56832778198931277</v>
      </c>
      <c r="O82" s="60"/>
      <c r="P82" s="60"/>
      <c r="Q82" s="51">
        <f t="shared" si="12"/>
        <v>5.4999999999999973</v>
      </c>
      <c r="R82" s="52">
        <f t="shared" si="13"/>
        <v>0.43479898159051134</v>
      </c>
      <c r="S82" s="58">
        <f t="shared" ref="S82:S145" si="34">IF(Q82&lt;&gt;"",(1+$M$10)^-(12*Q82),"")</f>
        <v>3.222811076280425E-3</v>
      </c>
      <c r="T82" s="52">
        <f t="shared" si="30"/>
        <v>1.4012749738253486E-3</v>
      </c>
    </row>
    <row r="83" spans="2:20" ht="15.75" customHeight="1" x14ac:dyDescent="0.25">
      <c r="B83" s="33">
        <f t="shared" si="31"/>
        <v>18.583333333333325</v>
      </c>
      <c r="C83" s="34"/>
      <c r="D83" s="35">
        <f t="shared" si="32"/>
        <v>3.6108333333332817E-4</v>
      </c>
      <c r="E83" s="36">
        <f>E76-(7/12)*F76</f>
        <v>996757.4145573827</v>
      </c>
      <c r="F83" s="36">
        <f t="shared" si="33"/>
        <v>51.434642159612849</v>
      </c>
      <c r="G83" s="31">
        <f t="shared" si="0"/>
        <v>0.99963891666666671</v>
      </c>
      <c r="H83" s="32"/>
      <c r="I83" s="51">
        <f t="shared" si="9"/>
        <v>5.5833333333333304</v>
      </c>
      <c r="J83" s="51">
        <f t="shared" si="10"/>
        <v>70.583333333333016</v>
      </c>
      <c r="K83" s="52">
        <f t="shared" si="17"/>
        <v>1.4362E-2</v>
      </c>
      <c r="L83" s="53">
        <f t="shared" si="5"/>
        <v>0.98563800000000001</v>
      </c>
      <c r="M83" s="52">
        <f t="shared" si="11"/>
        <v>0.42959516244584223</v>
      </c>
      <c r="N83" s="58">
        <f t="shared" si="6"/>
        <v>0.5642255107984695</v>
      </c>
      <c r="O83" s="60"/>
      <c r="P83" s="60"/>
      <c r="Q83" s="51">
        <f t="shared" si="12"/>
        <v>5.5833333333333304</v>
      </c>
      <c r="R83" s="52">
        <f t="shared" si="13"/>
        <v>0.42959516244584223</v>
      </c>
      <c r="S83" s="58">
        <f t="shared" si="34"/>
        <v>2.9544784740498445E-3</v>
      </c>
      <c r="T83" s="52">
        <f t="shared" si="30"/>
        <v>1.269229660002187E-3</v>
      </c>
    </row>
    <row r="84" spans="2:20" ht="15.75" customHeight="1" x14ac:dyDescent="0.25">
      <c r="B84" s="33">
        <f t="shared" si="31"/>
        <v>18.666666666666657</v>
      </c>
      <c r="C84" s="34"/>
      <c r="D84" s="35">
        <f t="shared" si="32"/>
        <v>4.126666666666608E-4</v>
      </c>
      <c r="E84" s="36">
        <f>E76-(8/12)*F76</f>
        <v>996705.97991522308</v>
      </c>
      <c r="F84" s="36">
        <f t="shared" si="33"/>
        <v>51.434642159612849</v>
      </c>
      <c r="G84" s="31">
        <f t="shared" si="0"/>
        <v>0.99958733333333338</v>
      </c>
      <c r="H84" s="32"/>
      <c r="I84" s="51">
        <f t="shared" si="9"/>
        <v>5.6666666666666634</v>
      </c>
      <c r="J84" s="51">
        <f t="shared" si="10"/>
        <v>70.666666666666345</v>
      </c>
      <c r="K84" s="52">
        <f t="shared" si="17"/>
        <v>1.6755666666666669E-2</v>
      </c>
      <c r="L84" s="53">
        <f t="shared" si="5"/>
        <v>0.98324433333333339</v>
      </c>
      <c r="M84" s="52">
        <f t="shared" si="11"/>
        <v>0.42342531672279504</v>
      </c>
      <c r="N84" s="58">
        <f t="shared" si="6"/>
        <v>0.56015285038763107</v>
      </c>
      <c r="O84" s="60"/>
      <c r="P84" s="60"/>
      <c r="Q84" s="51">
        <f t="shared" si="12"/>
        <v>5.6666666666666634</v>
      </c>
      <c r="R84" s="52">
        <f t="shared" si="13"/>
        <v>0.42342531672279504</v>
      </c>
      <c r="S84" s="58">
        <f t="shared" si="34"/>
        <v>2.7084873568506956E-3</v>
      </c>
      <c r="T84" s="52">
        <f t="shared" si="30"/>
        <v>1.1468421169141918E-3</v>
      </c>
    </row>
    <row r="85" spans="2:20" ht="15.75" customHeight="1" x14ac:dyDescent="0.25">
      <c r="B85" s="33">
        <f t="shared" si="31"/>
        <v>18.749999999999989</v>
      </c>
      <c r="C85" s="34"/>
      <c r="D85" s="35">
        <f t="shared" si="32"/>
        <v>4.6424999999999337E-4</v>
      </c>
      <c r="E85" s="36">
        <f>E76-(9/12)*F76</f>
        <v>996654.54527306347</v>
      </c>
      <c r="F85" s="36">
        <f t="shared" si="33"/>
        <v>51.434642159612849</v>
      </c>
      <c r="G85" s="31">
        <f t="shared" si="0"/>
        <v>0.99953575000000006</v>
      </c>
      <c r="H85" s="32"/>
      <c r="I85" s="51">
        <f t="shared" si="9"/>
        <v>5.7499999999999964</v>
      </c>
      <c r="J85" s="51">
        <f t="shared" si="10"/>
        <v>70.749999999999673</v>
      </c>
      <c r="K85" s="52">
        <f t="shared" si="17"/>
        <v>1.9149333333333331E-2</v>
      </c>
      <c r="L85" s="53">
        <f t="shared" si="5"/>
        <v>0.98085066666666665</v>
      </c>
      <c r="M85" s="52">
        <f t="shared" si="11"/>
        <v>0.41633054325756014</v>
      </c>
      <c r="N85" s="58">
        <f t="shared" si="6"/>
        <v>0.5561095870219539</v>
      </c>
      <c r="O85" s="60"/>
      <c r="P85" s="60"/>
      <c r="Q85" s="51">
        <f t="shared" si="12"/>
        <v>5.7499999999999964</v>
      </c>
      <c r="R85" s="52">
        <f t="shared" si="13"/>
        <v>0.41633054325756014</v>
      </c>
      <c r="S85" s="58">
        <f t="shared" si="34"/>
        <v>2.4829775632666503E-3</v>
      </c>
      <c r="T85" s="52">
        <f t="shared" si="30"/>
        <v>1.0337393978111374E-3</v>
      </c>
    </row>
    <row r="86" spans="2:20" ht="15.75" customHeight="1" x14ac:dyDescent="0.25">
      <c r="B86" s="33">
        <f t="shared" si="31"/>
        <v>18.833333333333321</v>
      </c>
      <c r="C86" s="34"/>
      <c r="D86" s="35">
        <f t="shared" si="32"/>
        <v>5.1583333333332594E-4</v>
      </c>
      <c r="E86" s="36">
        <f>E76-(10/12)*F76</f>
        <v>996603.11063090386</v>
      </c>
      <c r="F86" s="36">
        <f t="shared" si="33"/>
        <v>51.434642159612849</v>
      </c>
      <c r="G86" s="31">
        <f t="shared" si="0"/>
        <v>0.99948416666666673</v>
      </c>
      <c r="H86" s="32"/>
      <c r="I86" s="51">
        <f t="shared" si="9"/>
        <v>5.8333333333333295</v>
      </c>
      <c r="J86" s="51">
        <f t="shared" si="10"/>
        <v>70.833333333333002</v>
      </c>
      <c r="K86" s="52">
        <f t="shared" si="17"/>
        <v>2.1543E-2</v>
      </c>
      <c r="L86" s="53">
        <f t="shared" si="5"/>
        <v>0.97845700000000002</v>
      </c>
      <c r="M86" s="52">
        <f t="shared" si="11"/>
        <v>0.40835809090787334</v>
      </c>
      <c r="N86" s="58">
        <f t="shared" si="6"/>
        <v>0.55209550850936262</v>
      </c>
      <c r="O86" s="60"/>
      <c r="P86" s="60"/>
      <c r="Q86" s="51">
        <f t="shared" si="12"/>
        <v>5.8333333333333295</v>
      </c>
      <c r="R86" s="52">
        <f t="shared" si="13"/>
        <v>0.40835809090787334</v>
      </c>
      <c r="S86" s="58">
        <f t="shared" si="34"/>
        <v>2.2762438097012855E-3</v>
      </c>
      <c r="T86" s="52">
        <f t="shared" si="30"/>
        <v>9.2952257657048147E-4</v>
      </c>
    </row>
    <row r="87" spans="2:20" ht="15.75" customHeight="1" x14ac:dyDescent="0.25">
      <c r="B87" s="33">
        <f t="shared" si="31"/>
        <v>18.916666666666654</v>
      </c>
      <c r="C87" s="34"/>
      <c r="D87" s="35">
        <f t="shared" si="32"/>
        <v>5.6741666666665857E-4</v>
      </c>
      <c r="E87" s="36">
        <f>E76-(11/12)*F76</f>
        <v>996551.67598874425</v>
      </c>
      <c r="F87" s="36">
        <f t="shared" si="33"/>
        <v>51.434642159612849</v>
      </c>
      <c r="G87" s="31">
        <f t="shared" si="0"/>
        <v>0.99943258333333329</v>
      </c>
      <c r="H87" s="32"/>
      <c r="I87" s="51">
        <f t="shared" si="9"/>
        <v>5.9166666666666625</v>
      </c>
      <c r="J87" s="51">
        <f t="shared" si="10"/>
        <v>70.91666666666633</v>
      </c>
      <c r="K87" s="52">
        <f t="shared" si="17"/>
        <v>2.3936666666666669E-2</v>
      </c>
      <c r="L87" s="53">
        <f t="shared" si="5"/>
        <v>0.97606333333333328</v>
      </c>
      <c r="M87" s="52">
        <f t="shared" si="11"/>
        <v>0.39956083255544506</v>
      </c>
      <c r="N87" s="58">
        <f t="shared" si="6"/>
        <v>0.54811040418941481</v>
      </c>
      <c r="O87" s="60"/>
      <c r="P87" s="60"/>
      <c r="Q87" s="51">
        <f t="shared" si="12"/>
        <v>5.9166666666666625</v>
      </c>
      <c r="R87" s="52">
        <f t="shared" si="13"/>
        <v>0.39956083255544506</v>
      </c>
      <c r="S87" s="58">
        <f t="shared" si="34"/>
        <v>2.0867227951858079E-3</v>
      </c>
      <c r="T87" s="52">
        <f t="shared" si="30"/>
        <v>8.337726973568669E-4</v>
      </c>
    </row>
    <row r="88" spans="2:20" ht="15.75" customHeight="1" x14ac:dyDescent="0.25">
      <c r="B88" s="27">
        <v>19</v>
      </c>
      <c r="C88" s="28">
        <v>0.66699999999999993</v>
      </c>
      <c r="D88" s="29">
        <f>C88/1000</f>
        <v>6.6699999999999995E-4</v>
      </c>
      <c r="E88" s="30">
        <f>E76-F76</f>
        <v>996500.24134658463</v>
      </c>
      <c r="F88" s="48">
        <f>D88*E88</f>
        <v>664.6656609781719</v>
      </c>
      <c r="G88" s="31">
        <f t="shared" si="0"/>
        <v>0.99933300000000003</v>
      </c>
      <c r="H88" s="49"/>
      <c r="I88" s="51">
        <f t="shared" si="9"/>
        <v>5.9999999999999956</v>
      </c>
      <c r="J88" s="51">
        <f t="shared" si="10"/>
        <v>70.999999999999659</v>
      </c>
      <c r="K88" s="52">
        <f t="shared" si="17"/>
        <v>2.6330333333333331E-2</v>
      </c>
      <c r="L88" s="53">
        <f t="shared" si="5"/>
        <v>0.97366966666666666</v>
      </c>
      <c r="M88" s="52">
        <f t="shared" si="11"/>
        <v>0.38999667809350952</v>
      </c>
      <c r="N88" s="58">
        <f t="shared" si="6"/>
        <v>0.54415406492224516</v>
      </c>
      <c r="O88" s="60"/>
      <c r="P88" s="60"/>
      <c r="Q88" s="51">
        <f t="shared" si="12"/>
        <v>5.9999999999999956</v>
      </c>
      <c r="R88" s="52">
        <f t="shared" si="13"/>
        <v>0.38999667809350952</v>
      </c>
      <c r="S88" s="58">
        <f t="shared" si="34"/>
        <v>1.9129813798459047E-3</v>
      </c>
      <c r="T88" s="52">
        <f t="shared" si="30"/>
        <v>7.4605638339464095E-4</v>
      </c>
    </row>
    <row r="89" spans="2:20" ht="15.75" customHeight="1" x14ac:dyDescent="0.25">
      <c r="B89" s="33">
        <f t="shared" ref="B89:B99" si="35">B88+1/12</f>
        <v>19.083333333333332</v>
      </c>
      <c r="C89" s="34"/>
      <c r="D89" s="35">
        <f t="shared" ref="D89:D99" si="36">(B89-$B$88)*$D$88</f>
        <v>5.5583333333332541E-5</v>
      </c>
      <c r="E89" s="36">
        <f>E88-(1/12)*F88</f>
        <v>996444.85254150315</v>
      </c>
      <c r="F89" s="36">
        <f t="shared" ref="F89:F99" si="37">E89-E90</f>
        <v>55.388805081485771</v>
      </c>
      <c r="G89" s="31">
        <f t="shared" si="0"/>
        <v>0.99994441666666667</v>
      </c>
      <c r="H89" s="37"/>
      <c r="I89" s="51">
        <f t="shared" si="9"/>
        <v>6.0833333333333286</v>
      </c>
      <c r="J89" s="51">
        <f t="shared" si="10"/>
        <v>71.083333333332988</v>
      </c>
      <c r="K89" s="52">
        <f t="shared" si="17"/>
        <v>3.0873999999999999E-2</v>
      </c>
      <c r="L89" s="53">
        <f t="shared" si="5"/>
        <v>0.96912600000000004</v>
      </c>
      <c r="M89" s="52">
        <f t="shared" si="11"/>
        <v>0.37972793556041473</v>
      </c>
      <c r="N89" s="58">
        <f t="shared" si="6"/>
        <v>0.5402262830775898</v>
      </c>
      <c r="O89" s="60"/>
      <c r="P89" s="60"/>
      <c r="Q89" s="51">
        <f t="shared" si="12"/>
        <v>6.0833333333333286</v>
      </c>
      <c r="R89" s="52">
        <f t="shared" si="13"/>
        <v>0.37972793556041473</v>
      </c>
      <c r="S89" s="58">
        <f t="shared" si="34"/>
        <v>1.7537057476344328E-3</v>
      </c>
      <c r="T89" s="52">
        <f t="shared" si="30"/>
        <v>6.6593106312965681E-4</v>
      </c>
    </row>
    <row r="90" spans="2:20" ht="15.75" customHeight="1" x14ac:dyDescent="0.25">
      <c r="B90" s="33">
        <f t="shared" si="35"/>
        <v>19.166666666666664</v>
      </c>
      <c r="C90" s="34"/>
      <c r="D90" s="35">
        <f t="shared" si="36"/>
        <v>1.1116666666666508E-4</v>
      </c>
      <c r="E90" s="36">
        <f>E88-(2/12)*F88</f>
        <v>996389.46373642166</v>
      </c>
      <c r="F90" s="36">
        <f t="shared" si="37"/>
        <v>55.388805081602186</v>
      </c>
      <c r="G90" s="31">
        <f t="shared" si="0"/>
        <v>0.99988883333333334</v>
      </c>
      <c r="H90" s="32"/>
      <c r="I90" s="51">
        <f t="shared" si="9"/>
        <v>6.1666666666666616</v>
      </c>
      <c r="J90" s="51">
        <f t="shared" si="10"/>
        <v>71.166666666666316</v>
      </c>
      <c r="K90" s="52">
        <f t="shared" si="17"/>
        <v>2.5728333333333332E-3</v>
      </c>
      <c r="L90" s="53">
        <f t="shared" si="5"/>
        <v>0.99742716666666664</v>
      </c>
      <c r="M90" s="52">
        <f t="shared" si="11"/>
        <v>0.36800421527792249</v>
      </c>
      <c r="N90" s="58">
        <f t="shared" si="6"/>
        <v>0.53632685252389001</v>
      </c>
      <c r="O90" s="60"/>
      <c r="P90" s="60"/>
      <c r="Q90" s="51">
        <f t="shared" si="12"/>
        <v>6.1666666666666616</v>
      </c>
      <c r="R90" s="52">
        <f t="shared" si="13"/>
        <v>0.36800421527792249</v>
      </c>
      <c r="S90" s="58">
        <f t="shared" si="34"/>
        <v>1.6076914713794984E-3</v>
      </c>
      <c r="T90" s="52">
        <f t="shared" si="30"/>
        <v>5.9163723833402092E-4</v>
      </c>
    </row>
    <row r="91" spans="2:20" ht="15.75" customHeight="1" x14ac:dyDescent="0.25">
      <c r="B91" s="33">
        <f t="shared" si="35"/>
        <v>19.249999999999996</v>
      </c>
      <c r="C91" s="34"/>
      <c r="D91" s="35">
        <f t="shared" si="36"/>
        <v>1.6674999999999763E-4</v>
      </c>
      <c r="E91" s="36">
        <f>E88-(3/12)*F88</f>
        <v>996334.07493134006</v>
      </c>
      <c r="F91" s="36">
        <f t="shared" si="37"/>
        <v>55.388805081485771</v>
      </c>
      <c r="G91" s="31">
        <f t="shared" si="0"/>
        <v>0.99983325000000001</v>
      </c>
      <c r="H91" s="32"/>
      <c r="I91" s="51">
        <f t="shared" si="9"/>
        <v>6.2499999999999947</v>
      </c>
      <c r="J91" s="51">
        <f t="shared" si="10"/>
        <v>71.249999999999645</v>
      </c>
      <c r="K91" s="52">
        <f t="shared" si="17"/>
        <v>5.1456666666666664E-3</v>
      </c>
      <c r="L91" s="53">
        <f t="shared" si="5"/>
        <v>0.99485433333333328</v>
      </c>
      <c r="M91" s="52">
        <f t="shared" si="11"/>
        <v>0.36705740176604829</v>
      </c>
      <c r="N91" s="58">
        <f t="shared" si="6"/>
        <v>0.53245556861747378</v>
      </c>
      <c r="O91" s="60"/>
      <c r="P91" s="60"/>
      <c r="Q91" s="51">
        <f t="shared" si="12"/>
        <v>6.2499999999999947</v>
      </c>
      <c r="R91" s="52">
        <f t="shared" si="13"/>
        <v>0.36705740176604829</v>
      </c>
      <c r="S91" s="58">
        <f t="shared" si="34"/>
        <v>1.4738344050208145E-3</v>
      </c>
      <c r="T91" s="52">
        <f t="shared" si="30"/>
        <v>5.4098182734034982E-4</v>
      </c>
    </row>
    <row r="92" spans="2:20" ht="15.75" customHeight="1" x14ac:dyDescent="0.25">
      <c r="B92" s="33">
        <f t="shared" si="35"/>
        <v>19.333333333333329</v>
      </c>
      <c r="C92" s="34"/>
      <c r="D92" s="35">
        <f t="shared" si="36"/>
        <v>2.2233333333333016E-4</v>
      </c>
      <c r="E92" s="36">
        <f>E88-(4/12)*F88</f>
        <v>996278.68612625857</v>
      </c>
      <c r="F92" s="36">
        <f t="shared" si="37"/>
        <v>55.388805081485771</v>
      </c>
      <c r="G92" s="31">
        <f t="shared" si="0"/>
        <v>0.99977766666666668</v>
      </c>
      <c r="H92" s="32"/>
      <c r="I92" s="51">
        <f t="shared" si="9"/>
        <v>6.3333333333333277</v>
      </c>
      <c r="J92" s="51">
        <f t="shared" si="10"/>
        <v>71.333333333332973</v>
      </c>
      <c r="K92" s="52">
        <f t="shared" si="17"/>
        <v>7.7184999999999997E-3</v>
      </c>
      <c r="L92" s="53">
        <f t="shared" si="5"/>
        <v>0.99228150000000004</v>
      </c>
      <c r="M92" s="52">
        <f t="shared" si="11"/>
        <v>0.36516864672902744</v>
      </c>
      <c r="N92" s="58">
        <f t="shared" si="6"/>
        <v>0.52861222819181664</v>
      </c>
      <c r="O92" s="60"/>
      <c r="P92" s="60"/>
      <c r="Q92" s="51">
        <f t="shared" si="12"/>
        <v>6.3333333333333277</v>
      </c>
      <c r="R92" s="52">
        <f t="shared" si="13"/>
        <v>0.36516864672902744</v>
      </c>
      <c r="S92" s="58">
        <f t="shared" si="34"/>
        <v>1.3511223341622818E-3</v>
      </c>
      <c r="T92" s="52">
        <f t="shared" si="30"/>
        <v>4.9338751433140524E-4</v>
      </c>
    </row>
    <row r="93" spans="2:20" ht="15.75" customHeight="1" x14ac:dyDescent="0.25">
      <c r="B93" s="33">
        <f t="shared" si="35"/>
        <v>19.416666666666661</v>
      </c>
      <c r="C93" s="34"/>
      <c r="D93" s="35">
        <f t="shared" si="36"/>
        <v>2.779166666666627E-4</v>
      </c>
      <c r="E93" s="36">
        <f>E88-(5/12)*F88</f>
        <v>996223.29732117709</v>
      </c>
      <c r="F93" s="36">
        <f t="shared" si="37"/>
        <v>55.388805081485771</v>
      </c>
      <c r="G93" s="31">
        <f t="shared" si="0"/>
        <v>0.99972208333333334</v>
      </c>
      <c r="H93" s="32"/>
      <c r="I93" s="51">
        <f t="shared" si="9"/>
        <v>6.4166666666666607</v>
      </c>
      <c r="J93" s="51">
        <f t="shared" si="10"/>
        <v>71.416666666666302</v>
      </c>
      <c r="K93" s="52">
        <f t="shared" si="17"/>
        <v>1.0291333333333333E-2</v>
      </c>
      <c r="L93" s="53">
        <f t="shared" si="5"/>
        <v>0.98970866666666668</v>
      </c>
      <c r="M93" s="52">
        <f t="shared" si="11"/>
        <v>0.36235009252924943</v>
      </c>
      <c r="N93" s="58">
        <f t="shared" si="6"/>
        <v>0.52479662954687911</v>
      </c>
      <c r="O93" s="60"/>
      <c r="P93" s="60"/>
      <c r="Q93" s="51">
        <f t="shared" si="12"/>
        <v>6.4166666666666607</v>
      </c>
      <c r="R93" s="52">
        <f t="shared" si="13"/>
        <v>0.36235009252924943</v>
      </c>
      <c r="S93" s="58">
        <f t="shared" si="34"/>
        <v>1.2386273218030546E-3</v>
      </c>
      <c r="T93" s="52">
        <f t="shared" si="30"/>
        <v>4.4881672466459325E-4</v>
      </c>
    </row>
    <row r="94" spans="2:20" ht="15.75" customHeight="1" x14ac:dyDescent="0.25">
      <c r="B94" s="33">
        <f t="shared" si="35"/>
        <v>19.499999999999993</v>
      </c>
      <c r="C94" s="34"/>
      <c r="D94" s="35">
        <f t="shared" si="36"/>
        <v>3.3349999999999526E-4</v>
      </c>
      <c r="E94" s="36">
        <f>E88-(6/12)*F88</f>
        <v>996167.9085160956</v>
      </c>
      <c r="F94" s="36">
        <f t="shared" si="37"/>
        <v>55.388805081602186</v>
      </c>
      <c r="G94" s="31">
        <f t="shared" si="0"/>
        <v>0.99966650000000001</v>
      </c>
      <c r="H94" s="32"/>
      <c r="I94" s="51">
        <f t="shared" si="9"/>
        <v>6.4999999999999938</v>
      </c>
      <c r="J94" s="51">
        <f t="shared" si="10"/>
        <v>71.499999999999631</v>
      </c>
      <c r="K94" s="52">
        <f t="shared" si="17"/>
        <v>1.2864166666666666E-2</v>
      </c>
      <c r="L94" s="53">
        <f t="shared" si="5"/>
        <v>0.98713583333333332</v>
      </c>
      <c r="M94" s="52">
        <f t="shared" si="11"/>
        <v>0.35862102694366677</v>
      </c>
      <c r="N94" s="58">
        <f t="shared" si="6"/>
        <v>0.52100857243852128</v>
      </c>
      <c r="O94" s="60"/>
      <c r="P94" s="60"/>
      <c r="Q94" s="51">
        <f t="shared" si="12"/>
        <v>6.4999999999999938</v>
      </c>
      <c r="R94" s="52">
        <f t="shared" si="13"/>
        <v>0.35862102694366677</v>
      </c>
      <c r="S94" s="58">
        <f t="shared" si="34"/>
        <v>1.1354986913662676E-3</v>
      </c>
      <c r="T94" s="52">
        <f t="shared" si="30"/>
        <v>4.0721370679096063E-4</v>
      </c>
    </row>
    <row r="95" spans="2:20" ht="15.75" customHeight="1" x14ac:dyDescent="0.25">
      <c r="B95" s="33">
        <f t="shared" si="35"/>
        <v>19.583333333333325</v>
      </c>
      <c r="C95" s="34"/>
      <c r="D95" s="35">
        <f t="shared" si="36"/>
        <v>3.8908333333332777E-4</v>
      </c>
      <c r="E95" s="36">
        <f>E88-(7/12)*F88</f>
        <v>996112.519711014</v>
      </c>
      <c r="F95" s="36">
        <f t="shared" si="37"/>
        <v>55.388805081485771</v>
      </c>
      <c r="G95" s="31">
        <f t="shared" si="0"/>
        <v>0.99961091666666668</v>
      </c>
      <c r="H95" s="32"/>
      <c r="I95" s="51">
        <f t="shared" si="9"/>
        <v>6.5833333333333268</v>
      </c>
      <c r="J95" s="51">
        <f t="shared" si="10"/>
        <v>71.583333333332959</v>
      </c>
      <c r="K95" s="52">
        <f t="shared" si="17"/>
        <v>1.5436999999999999E-2</v>
      </c>
      <c r="L95" s="53">
        <f t="shared" si="5"/>
        <v>0.98456299999999997</v>
      </c>
      <c r="M95" s="52">
        <f t="shared" si="11"/>
        <v>0.35400766628289226</v>
      </c>
      <c r="N95" s="58">
        <f t="shared" si="6"/>
        <v>0.51724785806799423</v>
      </c>
      <c r="O95" s="60"/>
      <c r="P95" s="60"/>
      <c r="Q95" s="51">
        <f t="shared" si="12"/>
        <v>6.5833333333333268</v>
      </c>
      <c r="R95" s="52">
        <f t="shared" si="13"/>
        <v>0.35400766628289226</v>
      </c>
      <c r="S95" s="58">
        <f t="shared" si="34"/>
        <v>1.0409565939637161E-3</v>
      </c>
      <c r="T95" s="52">
        <f t="shared" si="30"/>
        <v>3.6850661453088337E-4</v>
      </c>
    </row>
    <row r="96" spans="2:20" ht="15.75" customHeight="1" x14ac:dyDescent="0.25">
      <c r="B96" s="33">
        <f t="shared" si="35"/>
        <v>19.666666666666657</v>
      </c>
      <c r="C96" s="34"/>
      <c r="D96" s="35">
        <f t="shared" si="36"/>
        <v>4.4466666666666033E-4</v>
      </c>
      <c r="E96" s="36">
        <f>E88-(8/12)*F88</f>
        <v>996057.13090593251</v>
      </c>
      <c r="F96" s="36">
        <f t="shared" si="37"/>
        <v>55.388805081485771</v>
      </c>
      <c r="G96" s="31">
        <f t="shared" si="0"/>
        <v>0.99955533333333335</v>
      </c>
      <c r="H96" s="32"/>
      <c r="I96" s="51">
        <f t="shared" si="9"/>
        <v>6.6666666666666599</v>
      </c>
      <c r="J96" s="51">
        <f t="shared" si="10"/>
        <v>71.666666666666288</v>
      </c>
      <c r="K96" s="52">
        <f t="shared" si="17"/>
        <v>1.8009833333333333E-2</v>
      </c>
      <c r="L96" s="53">
        <f t="shared" si="5"/>
        <v>0.98199016666666672</v>
      </c>
      <c r="M96" s="52">
        <f t="shared" si="11"/>
        <v>0.34854284993848322</v>
      </c>
      <c r="N96" s="58">
        <f t="shared" si="6"/>
        <v>0.51351428907150676</v>
      </c>
      <c r="O96" s="60"/>
      <c r="P96" s="60"/>
      <c r="Q96" s="51">
        <f t="shared" si="12"/>
        <v>6.6666666666666599</v>
      </c>
      <c r="R96" s="52">
        <f t="shared" si="13"/>
        <v>0.34854284993848322</v>
      </c>
      <c r="S96" s="58">
        <f t="shared" si="34"/>
        <v>9.5428611125278394E-4</v>
      </c>
      <c r="T96" s="52">
        <f t="shared" si="30"/>
        <v>3.3260960087275779E-4</v>
      </c>
    </row>
    <row r="97" spans="2:20" ht="15.75" customHeight="1" x14ac:dyDescent="0.25">
      <c r="B97" s="33">
        <f t="shared" si="35"/>
        <v>19.749999999999989</v>
      </c>
      <c r="C97" s="34"/>
      <c r="D97" s="35">
        <f t="shared" si="36"/>
        <v>5.0024999999999289E-4</v>
      </c>
      <c r="E97" s="36">
        <f>E88-(9/12)*F88</f>
        <v>996001.74210085103</v>
      </c>
      <c r="F97" s="36">
        <f t="shared" si="37"/>
        <v>55.388805081485771</v>
      </c>
      <c r="G97" s="31">
        <f t="shared" si="0"/>
        <v>0.99949975000000002</v>
      </c>
      <c r="H97" s="32"/>
      <c r="I97" s="51">
        <f t="shared" si="9"/>
        <v>6.7499999999999929</v>
      </c>
      <c r="J97" s="51">
        <f t="shared" si="10"/>
        <v>71.749999999999616</v>
      </c>
      <c r="K97" s="52">
        <f t="shared" si="17"/>
        <v>2.0582666666666666E-2</v>
      </c>
      <c r="L97" s="53">
        <f t="shared" si="5"/>
        <v>0.97941733333333336</v>
      </c>
      <c r="M97" s="52">
        <f t="shared" si="11"/>
        <v>0.34226565130156617</v>
      </c>
      <c r="N97" s="58">
        <f t="shared" si="6"/>
        <v>0.50980766950986778</v>
      </c>
      <c r="O97" s="60"/>
      <c r="P97" s="60"/>
      <c r="Q97" s="51">
        <f t="shared" si="12"/>
        <v>6.7499999999999929</v>
      </c>
      <c r="R97" s="52">
        <f t="shared" si="13"/>
        <v>0.34226565130156617</v>
      </c>
      <c r="S97" s="58">
        <f t="shared" si="34"/>
        <v>8.7483184929198143E-4</v>
      </c>
      <c r="T97" s="52">
        <f t="shared" si="30"/>
        <v>2.9942489267727358E-4</v>
      </c>
    </row>
    <row r="98" spans="2:20" ht="15.75" customHeight="1" x14ac:dyDescent="0.25">
      <c r="B98" s="33">
        <f t="shared" si="35"/>
        <v>19.833333333333321</v>
      </c>
      <c r="C98" s="34"/>
      <c r="D98" s="35">
        <f t="shared" si="36"/>
        <v>5.5583333333332539E-4</v>
      </c>
      <c r="E98" s="36">
        <f>E88-(10/12)*F88</f>
        <v>995946.35329576954</v>
      </c>
      <c r="F98" s="36">
        <f t="shared" si="37"/>
        <v>55.388805081602186</v>
      </c>
      <c r="G98" s="31">
        <f t="shared" si="0"/>
        <v>0.99944416666666669</v>
      </c>
      <c r="H98" s="32"/>
      <c r="I98" s="51">
        <f t="shared" si="9"/>
        <v>6.8333333333333259</v>
      </c>
      <c r="J98" s="51">
        <f t="shared" si="10"/>
        <v>71.833333333332945</v>
      </c>
      <c r="K98" s="52">
        <f t="shared" si="17"/>
        <v>2.3155499999999999E-2</v>
      </c>
      <c r="L98" s="53">
        <f t="shared" si="5"/>
        <v>0.9768445</v>
      </c>
      <c r="M98" s="52">
        <f t="shared" si="11"/>
        <v>0.33522091148937649</v>
      </c>
      <c r="N98" s="58">
        <f t="shared" si="6"/>
        <v>0.50612780485820341</v>
      </c>
      <c r="O98" s="60"/>
      <c r="P98" s="60"/>
      <c r="Q98" s="51">
        <f t="shared" si="12"/>
        <v>6.8333333333333259</v>
      </c>
      <c r="R98" s="52">
        <f t="shared" si="13"/>
        <v>0.33522091148937649</v>
      </c>
      <c r="S98" s="58">
        <f t="shared" si="34"/>
        <v>8.0199298251433645E-4</v>
      </c>
      <c r="T98" s="52">
        <f t="shared" si="30"/>
        <v>2.6884481860653945E-4</v>
      </c>
    </row>
    <row r="99" spans="2:20" ht="15.75" customHeight="1" x14ac:dyDescent="0.25">
      <c r="B99" s="33">
        <f t="shared" si="35"/>
        <v>19.916666666666654</v>
      </c>
      <c r="C99" s="34"/>
      <c r="D99" s="35">
        <f t="shared" si="36"/>
        <v>6.114166666666579E-4</v>
      </c>
      <c r="E99" s="36">
        <f>E88-(11/12)*F88</f>
        <v>995890.96449068794</v>
      </c>
      <c r="F99" s="36">
        <f t="shared" si="37"/>
        <v>55.388805081485771</v>
      </c>
      <c r="G99" s="31">
        <f t="shared" si="0"/>
        <v>0.99938858333333336</v>
      </c>
      <c r="H99" s="32"/>
      <c r="I99" s="51">
        <f t="shared" si="9"/>
        <v>6.916666666666659</v>
      </c>
      <c r="J99" s="51">
        <f t="shared" si="10"/>
        <v>71.916666666666273</v>
      </c>
      <c r="K99" s="52">
        <f t="shared" si="17"/>
        <v>2.5728333333333332E-2</v>
      </c>
      <c r="L99" s="53">
        <f t="shared" si="5"/>
        <v>0.97427166666666665</v>
      </c>
      <c r="M99" s="52">
        <f t="shared" si="11"/>
        <v>0.32745870367338425</v>
      </c>
      <c r="N99" s="58">
        <f t="shared" si="6"/>
        <v>0.50247450199574784</v>
      </c>
      <c r="O99" s="60"/>
      <c r="P99" s="60"/>
      <c r="Q99" s="51">
        <f t="shared" si="12"/>
        <v>6.916666666666659</v>
      </c>
      <c r="R99" s="52">
        <f t="shared" si="13"/>
        <v>0.32745870367338425</v>
      </c>
      <c r="S99" s="58">
        <f t="shared" si="34"/>
        <v>7.3521871034163821E-4</v>
      </c>
      <c r="T99" s="52">
        <f t="shared" si="30"/>
        <v>2.4075376580489025E-4</v>
      </c>
    </row>
    <row r="100" spans="2:20" ht="15.75" customHeight="1" x14ac:dyDescent="0.25">
      <c r="B100" s="27">
        <v>20</v>
      </c>
      <c r="C100" s="28">
        <v>0.71799999999999997</v>
      </c>
      <c r="D100" s="29">
        <f>C100/1000</f>
        <v>7.18E-4</v>
      </c>
      <c r="E100" s="30">
        <f>E88-F88</f>
        <v>995835.57568560645</v>
      </c>
      <c r="F100" s="48">
        <f>D100*E100</f>
        <v>715.00994334226539</v>
      </c>
      <c r="G100" s="31">
        <f t="shared" si="0"/>
        <v>0.999282</v>
      </c>
      <c r="H100" s="49"/>
      <c r="I100" s="51">
        <f t="shared" si="9"/>
        <v>6.999999999999992</v>
      </c>
      <c r="J100" s="51">
        <f t="shared" si="10"/>
        <v>71.999999999999602</v>
      </c>
      <c r="K100" s="52">
        <f t="shared" ref="K100:K338" si="38">IFERROR(VLOOKUP(J101,$B$3:$F$1060,3,TRUE),"")</f>
        <v>3.3180000000000001E-2</v>
      </c>
      <c r="L100" s="53">
        <f t="shared" si="5"/>
        <v>0.96682000000000001</v>
      </c>
      <c r="M100" s="52">
        <f t="shared" si="11"/>
        <v>0.3190337369923742</v>
      </c>
      <c r="N100" s="58">
        <f t="shared" si="6"/>
        <v>0.49884756919570861</v>
      </c>
      <c r="O100" s="60"/>
      <c r="P100" s="60"/>
      <c r="Q100" s="51">
        <f t="shared" si="12"/>
        <v>6.999999999999992</v>
      </c>
      <c r="R100" s="52">
        <f t="shared" si="13"/>
        <v>0.3190337369923742</v>
      </c>
      <c r="S100" s="58">
        <f t="shared" si="34"/>
        <v>6.7400409208288761E-4</v>
      </c>
      <c r="T100" s="52">
        <f t="shared" si="30"/>
        <v>2.1503004424535592E-4</v>
      </c>
    </row>
    <row r="101" spans="2:20" ht="15.75" customHeight="1" x14ac:dyDescent="0.25">
      <c r="B101" s="33">
        <f t="shared" ref="B101:B111" si="39">B100+1/12</f>
        <v>20.083333333333332</v>
      </c>
      <c r="C101" s="34"/>
      <c r="D101" s="35">
        <f t="shared" ref="D101:D111" si="40">(B101-$B$100)*$D$100</f>
        <v>5.9833333333332482E-5</v>
      </c>
      <c r="E101" s="36">
        <f>E100-(1/12)*F100</f>
        <v>995775.9915236613</v>
      </c>
      <c r="F101" s="36">
        <f t="shared" ref="F101:F111" si="41">E101-E102</f>
        <v>59.584161945269443</v>
      </c>
      <c r="G101" s="31">
        <f t="shared" si="0"/>
        <v>0.99994016666666663</v>
      </c>
      <c r="H101" s="37"/>
      <c r="I101" s="51">
        <f t="shared" si="9"/>
        <v>7.083333333333325</v>
      </c>
      <c r="J101" s="51">
        <f t="shared" si="10"/>
        <v>72.083333333332931</v>
      </c>
      <c r="K101" s="52">
        <f t="shared" si="38"/>
        <v>2.7650000000000001E-3</v>
      </c>
      <c r="L101" s="53">
        <f t="shared" si="5"/>
        <v>0.99723499999999998</v>
      </c>
      <c r="M101" s="52">
        <f t="shared" si="11"/>
        <v>0.30844819759896724</v>
      </c>
      <c r="N101" s="58">
        <f t="shared" si="6"/>
        <v>0.4952468161152051</v>
      </c>
      <c r="O101" s="60"/>
      <c r="P101" s="60"/>
      <c r="Q101" s="51">
        <f t="shared" si="12"/>
        <v>7.083333333333325</v>
      </c>
      <c r="R101" s="52">
        <f t="shared" si="13"/>
        <v>0.30844819759896724</v>
      </c>
      <c r="S101" s="58">
        <f t="shared" si="34"/>
        <v>6.1788622862084578E-4</v>
      </c>
      <c r="T101" s="52">
        <f t="shared" si="30"/>
        <v>1.9058589353932329E-4</v>
      </c>
    </row>
    <row r="102" spans="2:20" ht="15.75" customHeight="1" x14ac:dyDescent="0.25">
      <c r="B102" s="33">
        <f t="shared" si="39"/>
        <v>20.166666666666664</v>
      </c>
      <c r="C102" s="34"/>
      <c r="D102" s="35">
        <f t="shared" si="40"/>
        <v>1.1966666666666496E-4</v>
      </c>
      <c r="E102" s="36">
        <f>E100-(2/12)*F100</f>
        <v>995716.40736171603</v>
      </c>
      <c r="F102" s="36">
        <f t="shared" si="41"/>
        <v>59.584161945153028</v>
      </c>
      <c r="G102" s="31">
        <f t="shared" si="0"/>
        <v>0.99988033333333337</v>
      </c>
      <c r="H102" s="32"/>
      <c r="I102" s="51">
        <f t="shared" si="9"/>
        <v>7.1666666666666581</v>
      </c>
      <c r="J102" s="51">
        <f t="shared" si="10"/>
        <v>72.166666666666259</v>
      </c>
      <c r="K102" s="52">
        <f t="shared" si="38"/>
        <v>5.5300000000000002E-3</v>
      </c>
      <c r="L102" s="53">
        <f t="shared" si="5"/>
        <v>0.99446999999999997</v>
      </c>
      <c r="M102" s="52">
        <f t="shared" si="11"/>
        <v>0.30759533833260611</v>
      </c>
      <c r="N102" s="58">
        <f t="shared" si="6"/>
        <v>0.49167205378527812</v>
      </c>
      <c r="O102" s="60"/>
      <c r="P102" s="60"/>
      <c r="Q102" s="51">
        <f t="shared" si="12"/>
        <v>7.1666666666666581</v>
      </c>
      <c r="R102" s="52">
        <f t="shared" si="13"/>
        <v>0.30759533833260611</v>
      </c>
      <c r="S102" s="58">
        <f t="shared" si="34"/>
        <v>5.664407620129718E-4</v>
      </c>
      <c r="T102" s="52">
        <f t="shared" si="30"/>
        <v>1.7423453783675929E-4</v>
      </c>
    </row>
    <row r="103" spans="2:20" ht="15.75" customHeight="1" x14ac:dyDescent="0.25">
      <c r="B103" s="33">
        <f t="shared" si="39"/>
        <v>20.249999999999996</v>
      </c>
      <c r="C103" s="34"/>
      <c r="D103" s="35">
        <f t="shared" si="40"/>
        <v>1.7949999999999745E-4</v>
      </c>
      <c r="E103" s="36">
        <f>E100-(3/12)*F100</f>
        <v>995656.82319977088</v>
      </c>
      <c r="F103" s="36">
        <f t="shared" si="41"/>
        <v>59.584161945153028</v>
      </c>
      <c r="G103" s="31">
        <f t="shared" si="0"/>
        <v>0.9998205</v>
      </c>
      <c r="H103" s="32"/>
      <c r="I103" s="51">
        <f t="shared" si="9"/>
        <v>7.2499999999999911</v>
      </c>
      <c r="J103" s="51">
        <f t="shared" si="10"/>
        <v>72.249999999999588</v>
      </c>
      <c r="K103" s="52">
        <f t="shared" si="38"/>
        <v>8.2950000000000003E-3</v>
      </c>
      <c r="L103" s="53">
        <f t="shared" si="5"/>
        <v>0.99170499999999995</v>
      </c>
      <c r="M103" s="52">
        <f t="shared" si="11"/>
        <v>0.30589433611162681</v>
      </c>
      <c r="N103" s="58">
        <f t="shared" si="6"/>
        <v>0.48812309460097408</v>
      </c>
      <c r="O103" s="60"/>
      <c r="P103" s="60"/>
      <c r="Q103" s="51">
        <f t="shared" si="12"/>
        <v>7.2499999999999911</v>
      </c>
      <c r="R103" s="52">
        <f t="shared" si="13"/>
        <v>0.30589433611162681</v>
      </c>
      <c r="S103" s="58">
        <f t="shared" si="34"/>
        <v>5.1927866653704493E-4</v>
      </c>
      <c r="T103" s="52">
        <f t="shared" si="30"/>
        <v>1.588444029572802E-4</v>
      </c>
    </row>
    <row r="104" spans="2:20" ht="15.75" customHeight="1" x14ac:dyDescent="0.25">
      <c r="B104" s="33">
        <f t="shared" si="39"/>
        <v>20.333333333333329</v>
      </c>
      <c r="C104" s="34"/>
      <c r="D104" s="35">
        <f t="shared" si="40"/>
        <v>2.3933333333332993E-4</v>
      </c>
      <c r="E104" s="36">
        <f>E100-(4/12)*F100</f>
        <v>995597.23903782573</v>
      </c>
      <c r="F104" s="36">
        <f t="shared" si="41"/>
        <v>59.584161945269443</v>
      </c>
      <c r="G104" s="31">
        <f t="shared" si="0"/>
        <v>0.99976066666666663</v>
      </c>
      <c r="H104" s="32"/>
      <c r="I104" s="51">
        <f t="shared" si="9"/>
        <v>7.3333333333333242</v>
      </c>
      <c r="J104" s="51">
        <f t="shared" si="10"/>
        <v>72.333333333332916</v>
      </c>
      <c r="K104" s="52">
        <f t="shared" si="38"/>
        <v>1.106E-2</v>
      </c>
      <c r="L104" s="53">
        <f t="shared" si="5"/>
        <v>0.98894000000000004</v>
      </c>
      <c r="M104" s="52">
        <f t="shared" si="11"/>
        <v>0.30335694259358087</v>
      </c>
      <c r="N104" s="58">
        <f t="shared" si="6"/>
        <v>0.48459975231149827</v>
      </c>
      <c r="O104" s="60"/>
      <c r="P104" s="60"/>
      <c r="Q104" s="51">
        <f t="shared" si="12"/>
        <v>7.3333333333333242</v>
      </c>
      <c r="R104" s="52">
        <f t="shared" si="13"/>
        <v>0.30335694259358087</v>
      </c>
      <c r="S104" s="58">
        <f t="shared" si="34"/>
        <v>4.7604330691567776E-4</v>
      </c>
      <c r="T104" s="52">
        <f t="shared" si="30"/>
        <v>1.4441104212807766E-4</v>
      </c>
    </row>
    <row r="105" spans="2:20" ht="15.75" customHeight="1" x14ac:dyDescent="0.25">
      <c r="B105" s="33">
        <f t="shared" si="39"/>
        <v>20.416666666666661</v>
      </c>
      <c r="C105" s="34"/>
      <c r="D105" s="35">
        <f t="shared" si="40"/>
        <v>2.9916666666666243E-4</v>
      </c>
      <c r="E105" s="36">
        <f>E100-(5/12)*F100</f>
        <v>995537.65487588046</v>
      </c>
      <c r="F105" s="36">
        <f t="shared" si="41"/>
        <v>59.584161945153028</v>
      </c>
      <c r="G105" s="31">
        <f t="shared" si="0"/>
        <v>0.99970083333333337</v>
      </c>
      <c r="H105" s="32"/>
      <c r="I105" s="51">
        <f t="shared" si="9"/>
        <v>7.4166666666666572</v>
      </c>
      <c r="J105" s="51">
        <f t="shared" si="10"/>
        <v>72.416666666666245</v>
      </c>
      <c r="K105" s="52">
        <f t="shared" si="38"/>
        <v>1.3825E-2</v>
      </c>
      <c r="L105" s="53">
        <f t="shared" si="5"/>
        <v>0.98617500000000002</v>
      </c>
      <c r="M105" s="52">
        <f t="shared" si="11"/>
        <v>0.30000181480849586</v>
      </c>
      <c r="N105" s="58">
        <f t="shared" si="6"/>
        <v>0.48110184201044137</v>
      </c>
      <c r="O105" s="60"/>
      <c r="P105" s="60"/>
      <c r="Q105" s="51">
        <f t="shared" si="12"/>
        <v>7.4166666666666572</v>
      </c>
      <c r="R105" s="52">
        <f t="shared" si="13"/>
        <v>0.30000181480849586</v>
      </c>
      <c r="S105" s="58">
        <f t="shared" si="34"/>
        <v>4.3640774147429232E-4</v>
      </c>
      <c r="T105" s="52">
        <f t="shared" si="30"/>
        <v>1.3092311443876458E-4</v>
      </c>
    </row>
    <row r="106" spans="2:20" ht="15.75" customHeight="1" x14ac:dyDescent="0.25">
      <c r="B106" s="33">
        <f t="shared" si="39"/>
        <v>20.499999999999993</v>
      </c>
      <c r="C106" s="34"/>
      <c r="D106" s="35">
        <f t="shared" si="40"/>
        <v>3.589999999999949E-4</v>
      </c>
      <c r="E106" s="36">
        <f>E100-(6/12)*F100</f>
        <v>995478.0707139353</v>
      </c>
      <c r="F106" s="36">
        <f t="shared" si="41"/>
        <v>59.584161945153028</v>
      </c>
      <c r="G106" s="31">
        <f t="shared" si="0"/>
        <v>0.999641</v>
      </c>
      <c r="H106" s="32"/>
      <c r="I106" s="51">
        <f t="shared" si="9"/>
        <v>7.4999999999999902</v>
      </c>
      <c r="J106" s="51">
        <f t="shared" si="10"/>
        <v>72.499999999999574</v>
      </c>
      <c r="K106" s="52">
        <f t="shared" si="38"/>
        <v>1.6590000000000001E-2</v>
      </c>
      <c r="L106" s="53">
        <f t="shared" si="5"/>
        <v>0.98341000000000001</v>
      </c>
      <c r="M106" s="52">
        <f t="shared" si="11"/>
        <v>0.29585428971876843</v>
      </c>
      <c r="N106" s="58">
        <f t="shared" si="6"/>
        <v>0.47762918012607447</v>
      </c>
      <c r="O106" s="60"/>
      <c r="P106" s="60"/>
      <c r="Q106" s="51">
        <f t="shared" si="12"/>
        <v>7.4999999999999902</v>
      </c>
      <c r="R106" s="52">
        <f t="shared" si="13"/>
        <v>0.29585428971876843</v>
      </c>
      <c r="S106" s="58">
        <f t="shared" si="34"/>
        <v>4.0007224983929402E-4</v>
      </c>
      <c r="T106" s="52">
        <f t="shared" si="30"/>
        <v>1.18363091312394E-4</v>
      </c>
    </row>
    <row r="107" spans="2:20" ht="15.75" customHeight="1" x14ac:dyDescent="0.25">
      <c r="B107" s="33">
        <f t="shared" si="39"/>
        <v>20.583333333333325</v>
      </c>
      <c r="C107" s="34"/>
      <c r="D107" s="35">
        <f t="shared" si="40"/>
        <v>4.1883333333332738E-4</v>
      </c>
      <c r="E107" s="36">
        <f>E100-(7/12)*F100</f>
        <v>995418.48655199015</v>
      </c>
      <c r="F107" s="36">
        <f t="shared" si="41"/>
        <v>59.584161945153028</v>
      </c>
      <c r="G107" s="31">
        <f t="shared" si="0"/>
        <v>0.99958116666666663</v>
      </c>
      <c r="H107" s="32"/>
      <c r="I107" s="51">
        <f t="shared" si="9"/>
        <v>7.5833333333333233</v>
      </c>
      <c r="J107" s="51">
        <f t="shared" si="10"/>
        <v>72.583333333332902</v>
      </c>
      <c r="K107" s="52">
        <f t="shared" si="38"/>
        <v>1.9355000000000001E-2</v>
      </c>
      <c r="L107" s="53">
        <f t="shared" si="5"/>
        <v>0.98064499999999999</v>
      </c>
      <c r="M107" s="52">
        <f t="shared" si="11"/>
        <v>0.29094606705233406</v>
      </c>
      <c r="N107" s="58">
        <f t="shared" si="6"/>
        <v>0.47418158441171576</v>
      </c>
      <c r="Q107" s="51">
        <f t="shared" si="12"/>
        <v>7.5833333333333233</v>
      </c>
      <c r="R107" s="52">
        <f t="shared" si="13"/>
        <v>0.29094606705233406</v>
      </c>
      <c r="S107" s="58">
        <f t="shared" si="34"/>
        <v>3.6676206648113068E-4</v>
      </c>
      <c r="T107" s="52">
        <f t="shared" si="30"/>
        <v>1.0670798078667165E-4</v>
      </c>
    </row>
    <row r="108" spans="2:20" ht="15.75" customHeight="1" x14ac:dyDescent="0.25">
      <c r="B108" s="33">
        <f t="shared" si="39"/>
        <v>20.666666666666657</v>
      </c>
      <c r="C108" s="34"/>
      <c r="D108" s="35">
        <f t="shared" si="40"/>
        <v>4.7866666666665985E-4</v>
      </c>
      <c r="E108" s="36">
        <f>E100-(8/12)*F100</f>
        <v>995358.902390045</v>
      </c>
      <c r="F108" s="36">
        <f t="shared" si="41"/>
        <v>59.584161945269443</v>
      </c>
      <c r="G108" s="31">
        <f t="shared" si="0"/>
        <v>0.99952133333333337</v>
      </c>
      <c r="H108" s="32"/>
      <c r="I108" s="51">
        <f t="shared" si="9"/>
        <v>7.6666666666666563</v>
      </c>
      <c r="J108" s="51">
        <f t="shared" si="10"/>
        <v>72.666666666666231</v>
      </c>
      <c r="K108" s="52">
        <f t="shared" si="38"/>
        <v>2.2120000000000001E-2</v>
      </c>
      <c r="L108" s="53">
        <f t="shared" si="5"/>
        <v>0.97787999999999997</v>
      </c>
      <c r="M108" s="52">
        <f t="shared" si="11"/>
        <v>0.28531480592453612</v>
      </c>
      <c r="N108" s="58">
        <f t="shared" si="6"/>
        <v>0.47075887393616617</v>
      </c>
      <c r="Q108" s="51">
        <f t="shared" si="12"/>
        <v>7.6666666666666563</v>
      </c>
      <c r="R108" s="52">
        <f t="shared" si="13"/>
        <v>0.28531480592453612</v>
      </c>
      <c r="S108" s="58">
        <f t="shared" si="34"/>
        <v>3.3622530296350937E-4</v>
      </c>
      <c r="T108" s="52">
        <f t="shared" si="30"/>
        <v>9.5930057061952031E-5</v>
      </c>
    </row>
    <row r="109" spans="2:20" ht="15.75" customHeight="1" x14ac:dyDescent="0.25">
      <c r="B109" s="33">
        <f t="shared" si="39"/>
        <v>20.749999999999989</v>
      </c>
      <c r="C109" s="34"/>
      <c r="D109" s="35">
        <f t="shared" si="40"/>
        <v>5.3849999999999233E-4</v>
      </c>
      <c r="E109" s="36">
        <f>E100-(9/12)*F100</f>
        <v>995299.31822809973</v>
      </c>
      <c r="F109" s="36">
        <f t="shared" si="41"/>
        <v>59.584161945153028</v>
      </c>
      <c r="G109" s="31">
        <f t="shared" si="0"/>
        <v>0.9994615</v>
      </c>
      <c r="H109" s="32"/>
      <c r="I109" s="51">
        <f t="shared" si="9"/>
        <v>7.7499999999999893</v>
      </c>
      <c r="J109" s="51">
        <f t="shared" si="10"/>
        <v>72.749999999999559</v>
      </c>
      <c r="K109" s="52">
        <f t="shared" si="38"/>
        <v>2.4885000000000001E-2</v>
      </c>
      <c r="L109" s="53">
        <f t="shared" si="5"/>
        <v>0.97511499999999995</v>
      </c>
      <c r="M109" s="52">
        <f t="shared" si="11"/>
        <v>0.27900364241748538</v>
      </c>
      <c r="N109" s="58">
        <f t="shared" si="6"/>
        <v>0.46736086907421404</v>
      </c>
      <c r="Q109" s="51">
        <f t="shared" si="12"/>
        <v>7.7499999999999893</v>
      </c>
      <c r="R109" s="52">
        <f t="shared" si="13"/>
        <v>0.27900364241748538</v>
      </c>
      <c r="S109" s="58">
        <f t="shared" si="34"/>
        <v>3.0823104318701311E-4</v>
      </c>
      <c r="T109" s="52">
        <f t="shared" si="30"/>
        <v>8.5997583755317898E-5</v>
      </c>
    </row>
    <row r="110" spans="2:20" ht="15.75" customHeight="1" x14ac:dyDescent="0.25">
      <c r="B110" s="33">
        <f t="shared" si="39"/>
        <v>20.833333333333321</v>
      </c>
      <c r="C110" s="34"/>
      <c r="D110" s="35">
        <f t="shared" si="40"/>
        <v>5.9833333333332486E-4</v>
      </c>
      <c r="E110" s="36">
        <f>E100-(10/12)*F100</f>
        <v>995239.73406615457</v>
      </c>
      <c r="F110" s="36">
        <f t="shared" si="41"/>
        <v>59.584161945153028</v>
      </c>
      <c r="G110" s="31">
        <f t="shared" si="0"/>
        <v>0.99940166666666663</v>
      </c>
      <c r="H110" s="32"/>
      <c r="I110" s="51">
        <f t="shared" si="9"/>
        <v>7.8333333333333224</v>
      </c>
      <c r="J110" s="51">
        <f t="shared" si="10"/>
        <v>72.833333333332888</v>
      </c>
      <c r="K110" s="52">
        <f t="shared" si="38"/>
        <v>2.7650000000000001E-2</v>
      </c>
      <c r="L110" s="53">
        <f t="shared" si="5"/>
        <v>0.97235000000000005</v>
      </c>
      <c r="M110" s="52">
        <f t="shared" si="11"/>
        <v>0.27206063677592623</v>
      </c>
      <c r="N110" s="58">
        <f t="shared" si="6"/>
        <v>0.46398739149720775</v>
      </c>
      <c r="Q110" s="51">
        <f t="shared" si="12"/>
        <v>7.8333333333333224</v>
      </c>
      <c r="R110" s="52">
        <f t="shared" si="13"/>
        <v>0.27206063677592623</v>
      </c>
      <c r="S110" s="58">
        <f t="shared" si="34"/>
        <v>2.8256759722353647E-4</v>
      </c>
      <c r="T110" s="52">
        <f t="shared" si="30"/>
        <v>7.6875520432878784E-5</v>
      </c>
    </row>
    <row r="111" spans="2:20" ht="15.75" customHeight="1" x14ac:dyDescent="0.25">
      <c r="B111" s="33">
        <f t="shared" si="39"/>
        <v>20.916666666666654</v>
      </c>
      <c r="C111" s="34"/>
      <c r="D111" s="35">
        <f t="shared" si="40"/>
        <v>6.5816666666665728E-4</v>
      </c>
      <c r="E111" s="36">
        <f>E100-(11/12)*F100</f>
        <v>995180.14990420942</v>
      </c>
      <c r="F111" s="36">
        <f t="shared" si="41"/>
        <v>59.584161945269443</v>
      </c>
      <c r="G111" s="31">
        <f t="shared" si="0"/>
        <v>0.99934183333333337</v>
      </c>
      <c r="H111" s="32"/>
      <c r="I111" s="51">
        <f t="shared" si="9"/>
        <v>7.9166666666666554</v>
      </c>
      <c r="J111" s="51">
        <f t="shared" si="10"/>
        <v>72.916666666666217</v>
      </c>
      <c r="K111" s="52">
        <f t="shared" si="38"/>
        <v>3.0415000000000001E-2</v>
      </c>
      <c r="L111" s="53">
        <f t="shared" si="5"/>
        <v>0.96958500000000003</v>
      </c>
      <c r="M111" s="52">
        <f t="shared" si="11"/>
        <v>0.26453816016907189</v>
      </c>
      <c r="N111" s="58">
        <f t="shared" si="6"/>
        <v>0.46063826416369774</v>
      </c>
      <c r="Q111" s="51">
        <f t="shared" si="12"/>
        <v>7.9166666666666554</v>
      </c>
      <c r="R111" s="52">
        <f t="shared" si="13"/>
        <v>0.26453816016907189</v>
      </c>
      <c r="S111" s="58">
        <f t="shared" si="34"/>
        <v>2.5904090053719433E-4</v>
      </c>
      <c r="T111" s="52">
        <f t="shared" si="30"/>
        <v>6.8526203236648933E-5</v>
      </c>
    </row>
    <row r="112" spans="2:20" ht="15.75" customHeight="1" x14ac:dyDescent="0.25">
      <c r="B112" s="27">
        <v>21</v>
      </c>
      <c r="C112" s="28">
        <v>0.77300000000000002</v>
      </c>
      <c r="D112" s="29">
        <f>C112/1000</f>
        <v>7.7300000000000003E-4</v>
      </c>
      <c r="E112" s="30">
        <f>E100-F100</f>
        <v>995120.56574226415</v>
      </c>
      <c r="F112" s="48">
        <f>D112*E112</f>
        <v>769.22819731877019</v>
      </c>
      <c r="G112" s="31">
        <f t="shared" si="0"/>
        <v>0.99922699999999998</v>
      </c>
      <c r="H112" s="49"/>
      <c r="I112" s="51">
        <f t="shared" si="9"/>
        <v>7.9999999999999885</v>
      </c>
      <c r="J112" s="51">
        <f t="shared" si="10"/>
        <v>72.999999999999545</v>
      </c>
      <c r="K112" s="52">
        <f t="shared" si="38"/>
        <v>3.5651000000000002E-2</v>
      </c>
      <c r="L112" s="53">
        <f t="shared" si="5"/>
        <v>0.96434900000000001</v>
      </c>
      <c r="M112" s="52">
        <f t="shared" si="11"/>
        <v>0.25649223202752958</v>
      </c>
      <c r="N112" s="58">
        <f t="shared" si="6"/>
        <v>0.45731331131014458</v>
      </c>
      <c r="Q112" s="51">
        <f t="shared" si="12"/>
        <v>7.9999999999999885</v>
      </c>
      <c r="R112" s="52">
        <f t="shared" si="13"/>
        <v>0.25649223202752958</v>
      </c>
      <c r="S112" s="58">
        <f t="shared" si="34"/>
        <v>2.3747304648677296E-4</v>
      </c>
      <c r="T112" s="52">
        <f t="shared" si="30"/>
        <v>6.0909991739769689E-5</v>
      </c>
    </row>
    <row r="113" spans="2:20" ht="15.75" customHeight="1" x14ac:dyDescent="0.25">
      <c r="B113" s="33">
        <f t="shared" ref="B113:B123" si="42">B112+1/12</f>
        <v>21.083333333333332</v>
      </c>
      <c r="C113" s="34"/>
      <c r="D113" s="35">
        <f t="shared" ref="D113:D123" si="43">(B113-$B$112)*$D$112</f>
        <v>6.4416666666665748E-5</v>
      </c>
      <c r="E113" s="36">
        <f>E112-(1/12)*F112</f>
        <v>995056.46339248761</v>
      </c>
      <c r="F113" s="36">
        <f t="shared" ref="F113:F123" si="44">E113-E114</f>
        <v>64.102349776541814</v>
      </c>
      <c r="G113" s="31">
        <f t="shared" si="0"/>
        <v>0.99993558333333332</v>
      </c>
      <c r="H113" s="37"/>
      <c r="I113" s="51">
        <f t="shared" si="9"/>
        <v>8.0833333333333215</v>
      </c>
      <c r="J113" s="51">
        <f t="shared" si="10"/>
        <v>73.083333333332874</v>
      </c>
      <c r="K113" s="52">
        <f t="shared" si="38"/>
        <v>2.9709166666666668E-3</v>
      </c>
      <c r="L113" s="53">
        <f t="shared" si="5"/>
        <v>0.99702908333333329</v>
      </c>
      <c r="M113" s="52">
        <f t="shared" si="11"/>
        <v>0.24734802746351611</v>
      </c>
      <c r="N113" s="58">
        <f t="shared" si="6"/>
        <v>0.45401235844169585</v>
      </c>
      <c r="Q113" s="51">
        <f t="shared" si="12"/>
        <v>8.0833333333333215</v>
      </c>
      <c r="R113" s="52">
        <f t="shared" si="13"/>
        <v>0.24734802746351611</v>
      </c>
      <c r="S113" s="58">
        <f t="shared" si="34"/>
        <v>2.1770094101264021E-4</v>
      </c>
      <c r="T113" s="52">
        <f t="shared" si="30"/>
        <v>5.384789833642783E-5</v>
      </c>
    </row>
    <row r="114" spans="2:20" ht="15.75" customHeight="1" x14ac:dyDescent="0.25">
      <c r="B114" s="33">
        <f t="shared" si="42"/>
        <v>21.166666666666664</v>
      </c>
      <c r="C114" s="34"/>
      <c r="D114" s="35">
        <f t="shared" si="43"/>
        <v>1.288333333333315E-4</v>
      </c>
      <c r="E114" s="36">
        <f>E112-(2/12)*F112</f>
        <v>994992.36104271107</v>
      </c>
      <c r="F114" s="36">
        <f t="shared" si="44"/>
        <v>64.10234977665823</v>
      </c>
      <c r="G114" s="31">
        <f t="shared" si="0"/>
        <v>0.99987116666666664</v>
      </c>
      <c r="H114" s="32"/>
      <c r="I114" s="51">
        <f t="shared" si="9"/>
        <v>8.1666666666666554</v>
      </c>
      <c r="J114" s="51">
        <f t="shared" si="10"/>
        <v>73.166666666666202</v>
      </c>
      <c r="K114" s="52">
        <f t="shared" si="38"/>
        <v>5.9418333333333337E-3</v>
      </c>
      <c r="L114" s="53">
        <f t="shared" si="5"/>
        <v>0.99405816666666669</v>
      </c>
      <c r="M114" s="52">
        <f t="shared" si="11"/>
        <v>0.24661317708625763</v>
      </c>
      <c r="N114" s="58">
        <f t="shared" si="6"/>
        <v>0.45073523232302709</v>
      </c>
      <c r="Q114" s="51">
        <f t="shared" si="12"/>
        <v>8.1666666666666554</v>
      </c>
      <c r="R114" s="52">
        <f t="shared" si="13"/>
        <v>0.24661317708625763</v>
      </c>
      <c r="S114" s="58">
        <f t="shared" si="34"/>
        <v>1.9957506933499045E-4</v>
      </c>
      <c r="T114" s="52">
        <f t="shared" si="30"/>
        <v>4.9217841915912142E-5</v>
      </c>
    </row>
    <row r="115" spans="2:20" ht="15.75" customHeight="1" x14ac:dyDescent="0.25">
      <c r="B115" s="33">
        <f t="shared" si="42"/>
        <v>21.249999999999996</v>
      </c>
      <c r="C115" s="34"/>
      <c r="D115" s="35">
        <f t="shared" si="43"/>
        <v>1.9324999999999727E-4</v>
      </c>
      <c r="E115" s="36">
        <f>E112-(3/12)*F112</f>
        <v>994928.25869293441</v>
      </c>
      <c r="F115" s="36">
        <f t="shared" si="44"/>
        <v>64.102349776541814</v>
      </c>
      <c r="G115" s="31">
        <f t="shared" si="0"/>
        <v>0.99980674999999997</v>
      </c>
      <c r="H115" s="32"/>
      <c r="I115" s="51">
        <f t="shared" si="9"/>
        <v>8.2499999999999893</v>
      </c>
      <c r="J115" s="51">
        <f t="shared" si="10"/>
        <v>73.249999999999531</v>
      </c>
      <c r="K115" s="52">
        <f t="shared" si="38"/>
        <v>8.9127500000000005E-3</v>
      </c>
      <c r="L115" s="53">
        <f t="shared" si="5"/>
        <v>0.99108724999999998</v>
      </c>
      <c r="M115" s="52">
        <f t="shared" si="11"/>
        <v>0.24514784269020728</v>
      </c>
      <c r="N115" s="58">
        <f t="shared" si="6"/>
        <v>0.44748176096925185</v>
      </c>
      <c r="Q115" s="51">
        <f t="shared" si="12"/>
        <v>8.2499999999999893</v>
      </c>
      <c r="R115" s="52">
        <f t="shared" si="13"/>
        <v>0.24514784269020728</v>
      </c>
      <c r="S115" s="58">
        <f t="shared" si="34"/>
        <v>1.8295836533730711E-4</v>
      </c>
      <c r="T115" s="52">
        <f t="shared" si="30"/>
        <v>4.485184856456764E-5</v>
      </c>
    </row>
    <row r="116" spans="2:20" ht="15.75" customHeight="1" x14ac:dyDescent="0.25">
      <c r="B116" s="33">
        <f t="shared" si="42"/>
        <v>21.333333333333329</v>
      </c>
      <c r="C116" s="34"/>
      <c r="D116" s="35">
        <f t="shared" si="43"/>
        <v>2.5766666666666299E-4</v>
      </c>
      <c r="E116" s="36">
        <f>E112-(4/12)*F112</f>
        <v>994864.15634315787</v>
      </c>
      <c r="F116" s="36">
        <f t="shared" si="44"/>
        <v>64.102349776541814</v>
      </c>
      <c r="G116" s="31">
        <f t="shared" si="0"/>
        <v>0.99974233333333329</v>
      </c>
      <c r="H116" s="32"/>
      <c r="I116" s="51">
        <f t="shared" si="9"/>
        <v>8.3333333333333233</v>
      </c>
      <c r="J116" s="51">
        <f t="shared" si="10"/>
        <v>73.33333333333286</v>
      </c>
      <c r="K116" s="52">
        <f t="shared" si="38"/>
        <v>1.1883666666666667E-2</v>
      </c>
      <c r="L116" s="53">
        <f t="shared" si="5"/>
        <v>0.98811633333333337</v>
      </c>
      <c r="M116" s="52">
        <f t="shared" si="11"/>
        <v>0.24296290125527015</v>
      </c>
      <c r="N116" s="58">
        <f t="shared" si="6"/>
        <v>0.44425177363689478</v>
      </c>
      <c r="Q116" s="51">
        <f t="shared" si="12"/>
        <v>8.3333333333333233</v>
      </c>
      <c r="R116" s="52">
        <f t="shared" si="13"/>
        <v>0.24296290125527015</v>
      </c>
      <c r="S116" s="58">
        <f t="shared" si="34"/>
        <v>1.6772517508543722E-4</v>
      </c>
      <c r="T116" s="52">
        <f t="shared" si="30"/>
        <v>4.075099515230598E-5</v>
      </c>
    </row>
    <row r="117" spans="2:20" ht="15.75" customHeight="1" x14ac:dyDescent="0.25">
      <c r="B117" s="33">
        <f t="shared" si="42"/>
        <v>21.416666666666661</v>
      </c>
      <c r="C117" s="34"/>
      <c r="D117" s="35">
        <f t="shared" si="43"/>
        <v>3.2208333333332879E-4</v>
      </c>
      <c r="E117" s="36">
        <f>E112-(5/12)*F112</f>
        <v>994800.05399338133</v>
      </c>
      <c r="F117" s="36">
        <f t="shared" si="44"/>
        <v>64.102349776541814</v>
      </c>
      <c r="G117" s="31">
        <f t="shared" si="0"/>
        <v>0.99967791666666672</v>
      </c>
      <c r="H117" s="32"/>
      <c r="I117" s="51">
        <f t="shared" si="9"/>
        <v>8.4166666666666572</v>
      </c>
      <c r="J117" s="51">
        <f t="shared" si="10"/>
        <v>73.416666666666188</v>
      </c>
      <c r="K117" s="52">
        <f t="shared" si="38"/>
        <v>1.4854583333333334E-2</v>
      </c>
      <c r="L117" s="53">
        <f t="shared" si="5"/>
        <v>0.98514541666666666</v>
      </c>
      <c r="M117" s="52">
        <f t="shared" si="11"/>
        <v>0.24007561112438627</v>
      </c>
      <c r="N117" s="58">
        <f t="shared" si="6"/>
        <v>0.4410451008149317</v>
      </c>
      <c r="Q117" s="51">
        <f t="shared" si="12"/>
        <v>8.4166666666666572</v>
      </c>
      <c r="R117" s="52">
        <f t="shared" si="13"/>
        <v>0.24007561112438627</v>
      </c>
      <c r="S117" s="58">
        <f t="shared" si="34"/>
        <v>1.5376030664449874E-4</v>
      </c>
      <c r="T117" s="52">
        <f t="shared" si="30"/>
        <v>3.6914099584351066E-5</v>
      </c>
    </row>
    <row r="118" spans="2:20" ht="15.75" customHeight="1" x14ac:dyDescent="0.25">
      <c r="B118" s="33">
        <f t="shared" si="42"/>
        <v>21.499999999999993</v>
      </c>
      <c r="C118" s="34"/>
      <c r="D118" s="35">
        <f t="shared" si="43"/>
        <v>3.8649999999999454E-4</v>
      </c>
      <c r="E118" s="36">
        <f>E112-(6/12)*F112</f>
        <v>994735.95164360479</v>
      </c>
      <c r="F118" s="36">
        <f t="shared" si="44"/>
        <v>64.102349776541814</v>
      </c>
      <c r="G118" s="31">
        <f t="shared" si="0"/>
        <v>0.99961350000000004</v>
      </c>
      <c r="H118" s="32"/>
      <c r="I118" s="51">
        <f t="shared" si="9"/>
        <v>8.4999999999999911</v>
      </c>
      <c r="J118" s="51">
        <f t="shared" si="10"/>
        <v>73.499999999999517</v>
      </c>
      <c r="K118" s="52">
        <f t="shared" si="38"/>
        <v>1.7825500000000001E-2</v>
      </c>
      <c r="L118" s="53">
        <f t="shared" si="5"/>
        <v>0.98217449999999995</v>
      </c>
      <c r="M118" s="52">
        <f t="shared" si="11"/>
        <v>0.23650938795263815</v>
      </c>
      <c r="N118" s="58">
        <f t="shared" si="6"/>
        <v>0.43786157421589289</v>
      </c>
      <c r="Q118" s="51">
        <f t="shared" si="12"/>
        <v>8.4999999999999911</v>
      </c>
      <c r="R118" s="52">
        <f t="shared" si="13"/>
        <v>0.23650938795263815</v>
      </c>
      <c r="S118" s="58">
        <f t="shared" si="34"/>
        <v>1.40958159008433E-4</v>
      </c>
      <c r="T118" s="52">
        <f t="shared" si="30"/>
        <v>3.3337927914015132E-5</v>
      </c>
    </row>
    <row r="119" spans="2:20" ht="15.75" customHeight="1" x14ac:dyDescent="0.25">
      <c r="B119" s="33">
        <f t="shared" si="42"/>
        <v>21.583333333333325</v>
      </c>
      <c r="C119" s="34"/>
      <c r="D119" s="35">
        <f t="shared" si="43"/>
        <v>4.5091666666666029E-4</v>
      </c>
      <c r="E119" s="36">
        <f>E112-(7/12)*F112</f>
        <v>994671.84929382824</v>
      </c>
      <c r="F119" s="36">
        <f t="shared" si="44"/>
        <v>64.10234977665823</v>
      </c>
      <c r="G119" s="31">
        <f t="shared" si="0"/>
        <v>0.99954908333333337</v>
      </c>
      <c r="H119" s="32"/>
      <c r="I119" s="51">
        <f t="shared" si="9"/>
        <v>8.583333333333325</v>
      </c>
      <c r="J119" s="51">
        <f t="shared" si="10"/>
        <v>73.583333333332845</v>
      </c>
      <c r="K119" s="52">
        <f t="shared" si="38"/>
        <v>2.0796416666666668E-2</v>
      </c>
      <c r="L119" s="53">
        <f t="shared" si="5"/>
        <v>0.97920358333333335</v>
      </c>
      <c r="M119" s="52">
        <f t="shared" si="11"/>
        <v>0.23229348985768838</v>
      </c>
      <c r="N119" s="58">
        <f t="shared" si="6"/>
        <v>0.43470102676703176</v>
      </c>
      <c r="Q119" s="51">
        <f t="shared" si="12"/>
        <v>8.583333333333325</v>
      </c>
      <c r="R119" s="52">
        <f t="shared" si="13"/>
        <v>0.23229348985768838</v>
      </c>
      <c r="S119" s="58">
        <f t="shared" si="34"/>
        <v>1.2922192355524631E-4</v>
      </c>
      <c r="T119" s="52">
        <f t="shared" si="30"/>
        <v>3.001741158877159E-5</v>
      </c>
    </row>
    <row r="120" spans="2:20" ht="15.75" customHeight="1" x14ac:dyDescent="0.25">
      <c r="B120" s="33">
        <f t="shared" si="42"/>
        <v>21.666666666666657</v>
      </c>
      <c r="C120" s="34"/>
      <c r="D120" s="35">
        <f t="shared" si="43"/>
        <v>5.1533333333332598E-4</v>
      </c>
      <c r="E120" s="36">
        <f>E112-(8/12)*F112</f>
        <v>994607.74694405159</v>
      </c>
      <c r="F120" s="36">
        <f t="shared" si="44"/>
        <v>64.102349776541814</v>
      </c>
      <c r="G120" s="31">
        <f t="shared" si="0"/>
        <v>0.99948466666666669</v>
      </c>
      <c r="H120" s="32"/>
      <c r="I120" s="51">
        <f t="shared" si="9"/>
        <v>8.666666666666659</v>
      </c>
      <c r="J120" s="51">
        <f t="shared" si="10"/>
        <v>73.666666666666174</v>
      </c>
      <c r="K120" s="52">
        <f t="shared" si="38"/>
        <v>2.3767333333333335E-2</v>
      </c>
      <c r="L120" s="53">
        <f t="shared" si="5"/>
        <v>0.97623266666666664</v>
      </c>
      <c r="M120" s="52">
        <f t="shared" si="11"/>
        <v>0.2274626176536538</v>
      </c>
      <c r="N120" s="58">
        <f t="shared" si="6"/>
        <v>0.4315632926015569</v>
      </c>
      <c r="Q120" s="51">
        <f t="shared" si="12"/>
        <v>8.666666666666659</v>
      </c>
      <c r="R120" s="52">
        <f t="shared" si="13"/>
        <v>0.2274626176536538</v>
      </c>
      <c r="S120" s="58">
        <f t="shared" si="34"/>
        <v>1.1846285198942539E-4</v>
      </c>
      <c r="T120" s="52">
        <f t="shared" si="30"/>
        <v>2.6945870408232049E-5</v>
      </c>
    </row>
    <row r="121" spans="2:20" ht="15.75" customHeight="1" x14ac:dyDescent="0.25">
      <c r="B121" s="33">
        <f t="shared" si="42"/>
        <v>21.749999999999989</v>
      </c>
      <c r="C121" s="34"/>
      <c r="D121" s="35">
        <f t="shared" si="43"/>
        <v>5.7974999999999184E-4</v>
      </c>
      <c r="E121" s="36">
        <f>E112-(9/12)*F112</f>
        <v>994543.64459427504</v>
      </c>
      <c r="F121" s="36">
        <f t="shared" si="44"/>
        <v>64.102349776541814</v>
      </c>
      <c r="G121" s="31">
        <f t="shared" si="0"/>
        <v>0.99942025000000001</v>
      </c>
      <c r="H121" s="32"/>
      <c r="I121" s="51">
        <f t="shared" si="9"/>
        <v>8.7499999999999929</v>
      </c>
      <c r="J121" s="51">
        <f t="shared" si="10"/>
        <v>73.749999999999503</v>
      </c>
      <c r="K121" s="52">
        <f t="shared" si="38"/>
        <v>2.6738250000000002E-2</v>
      </c>
      <c r="L121" s="53">
        <f t="shared" si="5"/>
        <v>0.97326175000000004</v>
      </c>
      <c r="M121" s="52">
        <f t="shared" si="11"/>
        <v>0.22205643779900686</v>
      </c>
      <c r="N121" s="58">
        <f t="shared" si="6"/>
        <v>0.42844820704992675</v>
      </c>
      <c r="Q121" s="51">
        <f t="shared" si="12"/>
        <v>8.7499999999999929</v>
      </c>
      <c r="R121" s="52">
        <f t="shared" si="13"/>
        <v>0.22205643779900686</v>
      </c>
      <c r="S121" s="58">
        <f t="shared" si="34"/>
        <v>1.0859958523577334E-4</v>
      </c>
      <c r="T121" s="52">
        <f t="shared" si="30"/>
        <v>2.4115237043905448E-5</v>
      </c>
    </row>
    <row r="122" spans="2:20" ht="15.75" customHeight="1" x14ac:dyDescent="0.25">
      <c r="B122" s="33">
        <f t="shared" si="42"/>
        <v>21.833333333333321</v>
      </c>
      <c r="C122" s="34"/>
      <c r="D122" s="35">
        <f t="shared" si="43"/>
        <v>6.4416666666665759E-4</v>
      </c>
      <c r="E122" s="36">
        <f>E112-(10/12)*F112</f>
        <v>994479.5422444985</v>
      </c>
      <c r="F122" s="36">
        <f t="shared" si="44"/>
        <v>64.102349776541814</v>
      </c>
      <c r="G122" s="31">
        <f t="shared" si="0"/>
        <v>0.99935583333333333</v>
      </c>
      <c r="H122" s="32"/>
      <c r="I122" s="51">
        <f t="shared" si="9"/>
        <v>8.8333333333333268</v>
      </c>
      <c r="J122" s="51">
        <f t="shared" si="10"/>
        <v>73.833333333332831</v>
      </c>
      <c r="K122" s="52">
        <f t="shared" si="38"/>
        <v>2.9709166666666668E-2</v>
      </c>
      <c r="L122" s="53">
        <f t="shared" si="5"/>
        <v>0.97029083333333332</v>
      </c>
      <c r="M122" s="52">
        <f t="shared" si="11"/>
        <v>0.21611903725102757</v>
      </c>
      <c r="N122" s="58">
        <f t="shared" si="6"/>
        <v>0.42535560663120842</v>
      </c>
      <c r="Q122" s="51">
        <f t="shared" si="12"/>
        <v>8.8333333333333268</v>
      </c>
      <c r="R122" s="52">
        <f t="shared" si="13"/>
        <v>0.21611903725102757</v>
      </c>
      <c r="S122" s="58">
        <f t="shared" si="34"/>
        <v>9.9557538209824482E-5</v>
      </c>
      <c r="T122" s="52">
        <f t="shared" si="30"/>
        <v>2.1516279308989659E-5</v>
      </c>
    </row>
    <row r="123" spans="2:20" ht="15.75" customHeight="1" x14ac:dyDescent="0.25">
      <c r="B123" s="33">
        <f t="shared" si="42"/>
        <v>21.916666666666654</v>
      </c>
      <c r="C123" s="34"/>
      <c r="D123" s="35">
        <f t="shared" si="43"/>
        <v>7.0858333333332333E-4</v>
      </c>
      <c r="E123" s="36">
        <f>E112-(11/12)*F112</f>
        <v>994415.43989472196</v>
      </c>
      <c r="F123" s="36">
        <f t="shared" si="44"/>
        <v>64.102349776541814</v>
      </c>
      <c r="G123" s="31">
        <f t="shared" si="0"/>
        <v>0.99929141666666665</v>
      </c>
      <c r="H123" s="32"/>
      <c r="I123" s="51">
        <f t="shared" si="9"/>
        <v>8.9166666666666607</v>
      </c>
      <c r="J123" s="51">
        <f t="shared" si="10"/>
        <v>73.91666666666616</v>
      </c>
      <c r="K123" s="52">
        <f t="shared" si="38"/>
        <v>3.2680083333333332E-2</v>
      </c>
      <c r="L123" s="53">
        <f t="shared" si="5"/>
        <v>0.96731991666666661</v>
      </c>
      <c r="M123" s="52">
        <f t="shared" si="11"/>
        <v>0.20969832075349726</v>
      </c>
      <c r="N123" s="58">
        <f t="shared" si="6"/>
        <v>0.42228532904449745</v>
      </c>
      <c r="Q123" s="51">
        <f t="shared" si="12"/>
        <v>8.9166666666666607</v>
      </c>
      <c r="R123" s="52">
        <f t="shared" si="13"/>
        <v>0.20969832075349726</v>
      </c>
      <c r="S123" s="58">
        <f t="shared" si="34"/>
        <v>9.1268335812535583E-5</v>
      </c>
      <c r="T123" s="52">
        <f t="shared" si="30"/>
        <v>1.9138816757854988E-5</v>
      </c>
    </row>
    <row r="124" spans="2:20" ht="15.75" customHeight="1" x14ac:dyDescent="0.25">
      <c r="B124" s="27">
        <v>22</v>
      </c>
      <c r="C124" s="28">
        <v>0.83299999999999996</v>
      </c>
      <c r="D124" s="29">
        <f>C124/1000</f>
        <v>8.3299999999999997E-4</v>
      </c>
      <c r="E124" s="30">
        <f>E112-F112</f>
        <v>994351.33754494542</v>
      </c>
      <c r="F124" s="48">
        <f>D124*E124</f>
        <v>828.2946641749395</v>
      </c>
      <c r="G124" s="31">
        <f t="shared" si="0"/>
        <v>0.99916700000000003</v>
      </c>
      <c r="H124" s="49"/>
      <c r="I124" s="51">
        <f t="shared" si="9"/>
        <v>8.9999999999999947</v>
      </c>
      <c r="J124" s="51">
        <f t="shared" si="10"/>
        <v>73.999999999999488</v>
      </c>
      <c r="K124" s="52">
        <f t="shared" si="38"/>
        <v>3.8299999999999994E-2</v>
      </c>
      <c r="L124" s="53">
        <f t="shared" si="5"/>
        <v>0.9617</v>
      </c>
      <c r="M124" s="52">
        <f t="shared" si="11"/>
        <v>0.20284536215641288</v>
      </c>
      <c r="N124" s="58">
        <f t="shared" si="6"/>
        <v>0.41923721316040075</v>
      </c>
      <c r="Q124" s="51">
        <f t="shared" si="12"/>
        <v>8.9999999999999947</v>
      </c>
      <c r="R124" s="52">
        <f t="shared" si="13"/>
        <v>0.20284536215641288</v>
      </c>
      <c r="S124" s="58">
        <f t="shared" si="34"/>
        <v>8.3669295884294403E-5</v>
      </c>
      <c r="T124" s="52">
        <f t="shared" si="30"/>
        <v>1.6971928625021765E-5</v>
      </c>
    </row>
    <row r="125" spans="2:20" ht="15.75" customHeight="1" x14ac:dyDescent="0.25">
      <c r="B125" s="33">
        <f t="shared" ref="B125:B135" si="45">B124+1/12</f>
        <v>22.083333333333332</v>
      </c>
      <c r="C125" s="34"/>
      <c r="D125" s="35">
        <f t="shared" ref="D125:D135" si="46">(B125-$B$124)*$D$124</f>
        <v>6.941666666666568E-5</v>
      </c>
      <c r="E125" s="36">
        <f>E124-(1/12)*F124</f>
        <v>994282.31298959756</v>
      </c>
      <c r="F125" s="36">
        <f t="shared" ref="F125:F135" si="47">E125-E126</f>
        <v>69.024555347976275</v>
      </c>
      <c r="G125" s="31">
        <f t="shared" si="0"/>
        <v>0.99993058333333329</v>
      </c>
      <c r="H125" s="37"/>
      <c r="I125" s="51">
        <f t="shared" si="9"/>
        <v>9.0833333333333286</v>
      </c>
      <c r="J125" s="51">
        <f t="shared" si="10"/>
        <v>74.083333333332817</v>
      </c>
      <c r="K125" s="52">
        <f t="shared" si="38"/>
        <v>3.191666666666666E-3</v>
      </c>
      <c r="L125" s="53">
        <f t="shared" si="5"/>
        <v>0.9968083333333333</v>
      </c>
      <c r="M125" s="52">
        <f t="shared" si="11"/>
        <v>0.19507638478582226</v>
      </c>
      <c r="N125" s="58">
        <f t="shared" si="6"/>
        <v>0.41621109901258008</v>
      </c>
      <c r="Q125" s="51">
        <f t="shared" si="12"/>
        <v>9.0833333333333286</v>
      </c>
      <c r="R125" s="52">
        <f t="shared" si="13"/>
        <v>0.19507638478582226</v>
      </c>
      <c r="S125" s="58">
        <f t="shared" si="34"/>
        <v>7.6702955208394572E-5</v>
      </c>
      <c r="T125" s="52">
        <f t="shared" si="30"/>
        <v>1.4962935204442469E-5</v>
      </c>
    </row>
    <row r="126" spans="2:20" ht="15.75" customHeight="1" x14ac:dyDescent="0.25">
      <c r="B126" s="33">
        <f t="shared" si="45"/>
        <v>22.166666666666664</v>
      </c>
      <c r="C126" s="34"/>
      <c r="D126" s="35">
        <f t="shared" si="46"/>
        <v>1.3883333333333136E-4</v>
      </c>
      <c r="E126" s="36">
        <f>E124-(2/12)*F124</f>
        <v>994213.28843424958</v>
      </c>
      <c r="F126" s="36">
        <f t="shared" si="47"/>
        <v>69.024555347859859</v>
      </c>
      <c r="G126" s="31">
        <f t="shared" si="0"/>
        <v>0.99986116666666669</v>
      </c>
      <c r="H126" s="32"/>
      <c r="I126" s="51">
        <f t="shared" si="9"/>
        <v>9.1666666666666625</v>
      </c>
      <c r="J126" s="51">
        <f t="shared" si="10"/>
        <v>74.166666666666146</v>
      </c>
      <c r="K126" s="52">
        <f t="shared" si="38"/>
        <v>6.383333333333332E-3</v>
      </c>
      <c r="L126" s="53">
        <f t="shared" si="5"/>
        <v>0.9936166666666667</v>
      </c>
      <c r="M126" s="52">
        <f t="shared" si="11"/>
        <v>0.19445376599104749</v>
      </c>
      <c r="N126" s="58">
        <f t="shared" si="6"/>
        <v>0.41320682778935719</v>
      </c>
      <c r="Q126" s="51">
        <f t="shared" si="12"/>
        <v>9.1666666666666625</v>
      </c>
      <c r="R126" s="52">
        <f t="shared" si="13"/>
        <v>0.19445376599104749</v>
      </c>
      <c r="S126" s="58">
        <f t="shared" si="34"/>
        <v>7.0316634979658612E-5</v>
      </c>
      <c r="T126" s="52">
        <f t="shared" si="30"/>
        <v>1.3673334483612441E-5</v>
      </c>
    </row>
    <row r="127" spans="2:20" ht="15.75" customHeight="1" x14ac:dyDescent="0.25">
      <c r="B127" s="33">
        <f t="shared" si="45"/>
        <v>22.249999999999996</v>
      </c>
      <c r="C127" s="34"/>
      <c r="D127" s="35">
        <f t="shared" si="46"/>
        <v>2.0824999999999704E-4</v>
      </c>
      <c r="E127" s="36">
        <f>E124-(3/12)*F124</f>
        <v>994144.26387890172</v>
      </c>
      <c r="F127" s="36">
        <f t="shared" si="47"/>
        <v>69.024555347976275</v>
      </c>
      <c r="G127" s="31">
        <f t="shared" si="0"/>
        <v>0.99979174999999998</v>
      </c>
      <c r="H127" s="32"/>
      <c r="I127" s="51">
        <f t="shared" si="9"/>
        <v>9.2499999999999964</v>
      </c>
      <c r="J127" s="51">
        <f t="shared" si="10"/>
        <v>74.249999999999474</v>
      </c>
      <c r="K127" s="52">
        <f t="shared" si="38"/>
        <v>9.5749999999999984E-3</v>
      </c>
      <c r="L127" s="53">
        <f t="shared" si="5"/>
        <v>0.990425</v>
      </c>
      <c r="M127" s="52">
        <f t="shared" si="11"/>
        <v>0.19321250278480465</v>
      </c>
      <c r="N127" s="58">
        <f t="shared" si="6"/>
        <v>0.4102242418253792</v>
      </c>
      <c r="Q127" s="51">
        <f t="shared" si="12"/>
        <v>9.2499999999999964</v>
      </c>
      <c r="R127" s="52">
        <f t="shared" si="13"/>
        <v>0.19321250278480465</v>
      </c>
      <c r="S127" s="58">
        <f t="shared" si="34"/>
        <v>6.4462042452327847E-5</v>
      </c>
      <c r="T127" s="52">
        <f t="shared" si="30"/>
        <v>1.2454872556834589E-5</v>
      </c>
    </row>
    <row r="128" spans="2:20" ht="15.75" customHeight="1" x14ac:dyDescent="0.25">
      <c r="B128" s="33">
        <f t="shared" si="45"/>
        <v>22.333333333333329</v>
      </c>
      <c r="C128" s="34"/>
      <c r="D128" s="35">
        <f t="shared" si="46"/>
        <v>2.7766666666666272E-4</v>
      </c>
      <c r="E128" s="36">
        <f>E124-(4/12)*F124</f>
        <v>994075.23932355375</v>
      </c>
      <c r="F128" s="36">
        <f t="shared" si="47"/>
        <v>69.024555347859859</v>
      </c>
      <c r="G128" s="31">
        <f t="shared" si="0"/>
        <v>0.99972233333333338</v>
      </c>
      <c r="H128" s="32"/>
      <c r="I128" s="51">
        <f t="shared" si="9"/>
        <v>9.3333333333333304</v>
      </c>
      <c r="J128" s="51">
        <f t="shared" si="10"/>
        <v>74.333333333332803</v>
      </c>
      <c r="K128" s="52">
        <f t="shared" si="38"/>
        <v>1.2766666666666664E-2</v>
      </c>
      <c r="L128" s="53">
        <f t="shared" si="5"/>
        <v>0.9872333333333333</v>
      </c>
      <c r="M128" s="52">
        <f t="shared" si="11"/>
        <v>0.19136249307064016</v>
      </c>
      <c r="N128" s="58">
        <f t="shared" si="6"/>
        <v>0.40726318459334426</v>
      </c>
      <c r="Q128" s="51">
        <f t="shared" si="12"/>
        <v>9.3333333333333304</v>
      </c>
      <c r="R128" s="52">
        <f t="shared" si="13"/>
        <v>0.19136249307064016</v>
      </c>
      <c r="S128" s="58">
        <f t="shared" si="34"/>
        <v>5.9094905754915569E-5</v>
      </c>
      <c r="T128" s="52">
        <f t="shared" si="30"/>
        <v>1.1308548493035164E-5</v>
      </c>
    </row>
    <row r="129" spans="2:20" ht="15.75" customHeight="1" x14ac:dyDescent="0.25">
      <c r="B129" s="33">
        <f t="shared" si="45"/>
        <v>22.416666666666661</v>
      </c>
      <c r="C129" s="34"/>
      <c r="D129" s="35">
        <f t="shared" si="46"/>
        <v>3.4708333333332837E-4</v>
      </c>
      <c r="E129" s="36">
        <f>E124-(5/12)*F124</f>
        <v>994006.21476820589</v>
      </c>
      <c r="F129" s="36">
        <f t="shared" si="47"/>
        <v>69.024555347976275</v>
      </c>
      <c r="G129" s="31">
        <f t="shared" si="0"/>
        <v>0.99965291666666667</v>
      </c>
      <c r="H129" s="32"/>
      <c r="I129" s="51">
        <f t="shared" si="9"/>
        <v>9.4166666666666643</v>
      </c>
      <c r="J129" s="51">
        <f t="shared" si="10"/>
        <v>74.416666666666131</v>
      </c>
      <c r="K129" s="52">
        <f t="shared" si="38"/>
        <v>1.5958333333333331E-2</v>
      </c>
      <c r="L129" s="53">
        <f t="shared" si="5"/>
        <v>0.9840416666666667</v>
      </c>
      <c r="M129" s="52">
        <f t="shared" si="11"/>
        <v>0.18891943190910498</v>
      </c>
      <c r="N129" s="58">
        <f t="shared" si="6"/>
        <v>0.40432350069578699</v>
      </c>
      <c r="Q129" s="51">
        <f t="shared" si="12"/>
        <v>9.4166666666666643</v>
      </c>
      <c r="R129" s="52">
        <f t="shared" si="13"/>
        <v>0.18891943190910498</v>
      </c>
      <c r="S129" s="58">
        <f t="shared" si="34"/>
        <v>5.4174639110527413E-5</v>
      </c>
      <c r="T129" s="52">
        <f t="shared" si="30"/>
        <v>1.023464204464162E-5</v>
      </c>
    </row>
    <row r="130" spans="2:20" ht="15.75" customHeight="1" x14ac:dyDescent="0.25">
      <c r="B130" s="33">
        <f t="shared" si="45"/>
        <v>22.499999999999993</v>
      </c>
      <c r="C130" s="34"/>
      <c r="D130" s="35">
        <f t="shared" si="46"/>
        <v>4.1649999999999408E-4</v>
      </c>
      <c r="E130" s="36">
        <f>E124-(6/12)*F124</f>
        <v>993937.19021285791</v>
      </c>
      <c r="F130" s="36">
        <f t="shared" si="47"/>
        <v>69.024555347859859</v>
      </c>
      <c r="G130" s="31">
        <f t="shared" si="0"/>
        <v>0.99958349999999996</v>
      </c>
      <c r="H130" s="32"/>
      <c r="I130" s="51">
        <f t="shared" si="9"/>
        <v>9.4999999999999982</v>
      </c>
      <c r="J130" s="51">
        <f t="shared" si="10"/>
        <v>74.49999999999946</v>
      </c>
      <c r="K130" s="52">
        <f t="shared" si="38"/>
        <v>1.9149999999999997E-2</v>
      </c>
      <c r="L130" s="53">
        <f t="shared" si="5"/>
        <v>0.98085</v>
      </c>
      <c r="M130" s="52">
        <f t="shared" si="11"/>
        <v>0.18590459264155551</v>
      </c>
      <c r="N130" s="58">
        <f t="shared" si="6"/>
        <v>0.40140503585692316</v>
      </c>
      <c r="Q130" s="51">
        <f t="shared" si="12"/>
        <v>9.4999999999999982</v>
      </c>
      <c r="R130" s="52">
        <f t="shared" si="13"/>
        <v>0.18590459264155551</v>
      </c>
      <c r="S130" s="58">
        <f t="shared" si="34"/>
        <v>4.9664035931079473E-5</v>
      </c>
      <c r="T130" s="52">
        <f t="shared" si="30"/>
        <v>9.2327723687029057E-6</v>
      </c>
    </row>
    <row r="131" spans="2:20" ht="15.75" customHeight="1" x14ac:dyDescent="0.25">
      <c r="B131" s="33">
        <f t="shared" si="45"/>
        <v>22.583333333333325</v>
      </c>
      <c r="C131" s="34"/>
      <c r="D131" s="35">
        <f t="shared" si="46"/>
        <v>4.8591666666665973E-4</v>
      </c>
      <c r="E131" s="36">
        <f>E124-(7/12)*F124</f>
        <v>993868.16565751005</v>
      </c>
      <c r="F131" s="36">
        <f t="shared" si="47"/>
        <v>69.024555347976275</v>
      </c>
      <c r="G131" s="31">
        <f t="shared" si="0"/>
        <v>0.99951408333333336</v>
      </c>
      <c r="H131" s="32"/>
      <c r="I131" s="51">
        <f t="shared" si="9"/>
        <v>9.5833333333333321</v>
      </c>
      <c r="J131" s="51">
        <f t="shared" si="10"/>
        <v>74.583333333332789</v>
      </c>
      <c r="K131" s="52">
        <f t="shared" si="38"/>
        <v>2.2341666666666666E-2</v>
      </c>
      <c r="L131" s="53">
        <f t="shared" si="5"/>
        <v>0.9776583333333333</v>
      </c>
      <c r="M131" s="52">
        <f t="shared" si="11"/>
        <v>0.18234451969246973</v>
      </c>
      <c r="N131" s="58">
        <f t="shared" si="6"/>
        <v>0.39850763691455321</v>
      </c>
      <c r="Q131" s="51">
        <f t="shared" si="12"/>
        <v>9.5833333333333321</v>
      </c>
      <c r="R131" s="52">
        <f t="shared" si="13"/>
        <v>0.18234451969246973</v>
      </c>
      <c r="S131" s="58">
        <f t="shared" si="34"/>
        <v>4.5528987464620701E-5</v>
      </c>
      <c r="T131" s="52">
        <f t="shared" si="30"/>
        <v>8.3019613513207362E-6</v>
      </c>
    </row>
    <row r="132" spans="2:20" ht="15.75" customHeight="1" x14ac:dyDescent="0.25">
      <c r="B132" s="33">
        <f t="shared" si="45"/>
        <v>22.666666666666657</v>
      </c>
      <c r="C132" s="34"/>
      <c r="D132" s="35">
        <f t="shared" si="46"/>
        <v>5.5533333333332544E-4</v>
      </c>
      <c r="E132" s="36">
        <f>E124-(8/12)*F124</f>
        <v>993799.14110216207</v>
      </c>
      <c r="F132" s="36">
        <f t="shared" si="47"/>
        <v>69.024555347859859</v>
      </c>
      <c r="G132" s="31">
        <f t="shared" si="0"/>
        <v>0.99944466666666665</v>
      </c>
      <c r="H132" s="32"/>
      <c r="I132" s="51">
        <f t="shared" si="9"/>
        <v>9.6666666666666661</v>
      </c>
      <c r="J132" s="51">
        <f t="shared" si="10"/>
        <v>74.666666666666117</v>
      </c>
      <c r="K132" s="52">
        <f t="shared" si="38"/>
        <v>2.5533333333333328E-2</v>
      </c>
      <c r="L132" s="53">
        <f t="shared" si="5"/>
        <v>0.9744666666666667</v>
      </c>
      <c r="M132" s="52">
        <f t="shared" si="11"/>
        <v>0.17827063921500713</v>
      </c>
      <c r="N132" s="58">
        <f t="shared" si="6"/>
        <v>0.39563115181202413</v>
      </c>
      <c r="Q132" s="51">
        <f t="shared" si="12"/>
        <v>9.6666666666666661</v>
      </c>
      <c r="R132" s="52">
        <f t="shared" si="13"/>
        <v>0.17827063921500713</v>
      </c>
      <c r="S132" s="58">
        <f t="shared" si="34"/>
        <v>4.1738224868196511E-5</v>
      </c>
      <c r="T132" s="52">
        <f t="shared" si="30"/>
        <v>7.4407000269530989E-6</v>
      </c>
    </row>
    <row r="133" spans="2:20" ht="15.75" customHeight="1" x14ac:dyDescent="0.25">
      <c r="B133" s="33">
        <f t="shared" si="45"/>
        <v>22.749999999999989</v>
      </c>
      <c r="C133" s="34"/>
      <c r="D133" s="35">
        <f t="shared" si="46"/>
        <v>6.2474999999999109E-4</v>
      </c>
      <c r="E133" s="36">
        <f>E124-(9/12)*F124</f>
        <v>993730.11654681421</v>
      </c>
      <c r="F133" s="36">
        <f t="shared" si="47"/>
        <v>69.024555347859859</v>
      </c>
      <c r="G133" s="31">
        <f t="shared" si="0"/>
        <v>0.99937525000000005</v>
      </c>
      <c r="H133" s="32"/>
      <c r="I133" s="51">
        <f t="shared" si="9"/>
        <v>9.75</v>
      </c>
      <c r="J133" s="51">
        <f t="shared" si="10"/>
        <v>74.749999999999446</v>
      </c>
      <c r="K133" s="52">
        <f t="shared" si="38"/>
        <v>2.8724999999999994E-2</v>
      </c>
      <c r="L133" s="53">
        <f t="shared" si="5"/>
        <v>0.971275</v>
      </c>
      <c r="M133" s="52">
        <f t="shared" si="11"/>
        <v>0.17371879556038394</v>
      </c>
      <c r="N133" s="58">
        <f t="shared" si="6"/>
        <v>0.39277542959024969</v>
      </c>
      <c r="Q133" s="51">
        <f t="shared" si="12"/>
        <v>9.75</v>
      </c>
      <c r="R133" s="52">
        <f t="shared" si="13"/>
        <v>0.17371879556038394</v>
      </c>
      <c r="S133" s="58">
        <f t="shared" si="34"/>
        <v>3.8263082755834672E-5</v>
      </c>
      <c r="T133" s="52">
        <f t="shared" si="30"/>
        <v>6.6470166507708958E-6</v>
      </c>
    </row>
    <row r="134" spans="2:20" ht="15.75" customHeight="1" x14ac:dyDescent="0.25">
      <c r="B134" s="33">
        <f t="shared" si="45"/>
        <v>22.833333333333321</v>
      </c>
      <c r="C134" s="34"/>
      <c r="D134" s="35">
        <f t="shared" si="46"/>
        <v>6.9416666666665674E-4</v>
      </c>
      <c r="E134" s="36">
        <f>E124-(10/12)*F124</f>
        <v>993661.09199146635</v>
      </c>
      <c r="F134" s="36">
        <f t="shared" si="47"/>
        <v>69.024555347976275</v>
      </c>
      <c r="G134" s="31">
        <f t="shared" si="0"/>
        <v>0.99930583333333334</v>
      </c>
      <c r="H134" s="32"/>
      <c r="I134" s="51">
        <f t="shared" si="9"/>
        <v>9.8333333333333339</v>
      </c>
      <c r="J134" s="51">
        <f t="shared" si="10"/>
        <v>74.833333333332774</v>
      </c>
      <c r="K134" s="52">
        <f t="shared" si="38"/>
        <v>3.1916666666666663E-2</v>
      </c>
      <c r="L134" s="53">
        <f t="shared" si="5"/>
        <v>0.9680833333333333</v>
      </c>
      <c r="M134" s="52">
        <f t="shared" si="11"/>
        <v>0.1687287231579119</v>
      </c>
      <c r="N134" s="58">
        <f t="shared" si="6"/>
        <v>0.38994032037978787</v>
      </c>
      <c r="Q134" s="51">
        <f t="shared" si="12"/>
        <v>9.8333333333333339</v>
      </c>
      <c r="R134" s="52">
        <f t="shared" si="13"/>
        <v>0.1687287231579119</v>
      </c>
      <c r="S134" s="58">
        <f t="shared" si="34"/>
        <v>3.5077282433624356E-5</v>
      </c>
      <c r="T134" s="52">
        <f t="shared" si="30"/>
        <v>5.9185450768748899E-6</v>
      </c>
    </row>
    <row r="135" spans="2:20" ht="15.75" customHeight="1" x14ac:dyDescent="0.25">
      <c r="B135" s="33">
        <f t="shared" si="45"/>
        <v>22.916666666666654</v>
      </c>
      <c r="C135" s="34"/>
      <c r="D135" s="35">
        <f t="shared" si="46"/>
        <v>7.635833333333225E-4</v>
      </c>
      <c r="E135" s="36">
        <f>E124-(11/12)*F124</f>
        <v>993592.06743611838</v>
      </c>
      <c r="F135" s="36">
        <f t="shared" si="47"/>
        <v>69.024555347859859</v>
      </c>
      <c r="G135" s="31">
        <f t="shared" si="0"/>
        <v>0.99923641666666663</v>
      </c>
      <c r="H135" s="32"/>
      <c r="I135" s="51">
        <f t="shared" si="9"/>
        <v>9.9166666666666679</v>
      </c>
      <c r="J135" s="51">
        <f t="shared" si="10"/>
        <v>74.916666666666103</v>
      </c>
      <c r="K135" s="52">
        <f t="shared" si="38"/>
        <v>3.5108333333333325E-2</v>
      </c>
      <c r="L135" s="53">
        <f t="shared" si="5"/>
        <v>0.9648916666666667</v>
      </c>
      <c r="M135" s="52">
        <f t="shared" si="11"/>
        <v>0.16334346474378855</v>
      </c>
      <c r="N135" s="58">
        <f t="shared" si="6"/>
        <v>0.38712567539297577</v>
      </c>
      <c r="Q135" s="51">
        <f t="shared" si="12"/>
        <v>9.9166666666666679</v>
      </c>
      <c r="R135" s="52">
        <f t="shared" si="13"/>
        <v>0.16334346474378855</v>
      </c>
      <c r="S135" s="58">
        <f t="shared" si="34"/>
        <v>3.2156733182734158E-5</v>
      </c>
      <c r="T135" s="52">
        <f t="shared" si="30"/>
        <v>5.2525922129093522E-6</v>
      </c>
    </row>
    <row r="136" spans="2:20" ht="15.75" customHeight="1" x14ac:dyDescent="0.25">
      <c r="B136" s="27">
        <v>23</v>
      </c>
      <c r="C136" s="28">
        <v>0.89700000000000002</v>
      </c>
      <c r="D136" s="29">
        <f>C136/1000</f>
        <v>8.9700000000000001E-4</v>
      </c>
      <c r="E136" s="30">
        <f>E124-F124</f>
        <v>993523.04288077052</v>
      </c>
      <c r="F136" s="48">
        <f>D136*E136</f>
        <v>891.19016946405111</v>
      </c>
      <c r="G136" s="31">
        <f t="shared" si="0"/>
        <v>0.99910299999999996</v>
      </c>
      <c r="H136" s="49"/>
      <c r="I136" s="51">
        <f t="shared" si="9"/>
        <v>10.000000000000002</v>
      </c>
      <c r="J136" s="51">
        <f t="shared" si="10"/>
        <v>74.999999999999432</v>
      </c>
      <c r="K136" s="52">
        <f t="shared" si="38"/>
        <v>4.1135999999999999E-2</v>
      </c>
      <c r="L136" s="53">
        <f t="shared" si="5"/>
        <v>0.95886400000000005</v>
      </c>
      <c r="M136" s="52">
        <f t="shared" si="11"/>
        <v>0.15760874793574206</v>
      </c>
      <c r="N136" s="58">
        <f t="shared" si="6"/>
        <v>0.38433134691612109</v>
      </c>
      <c r="Q136" s="51">
        <f t="shared" si="12"/>
        <v>10.000000000000002</v>
      </c>
      <c r="R136" s="52">
        <f t="shared" si="13"/>
        <v>0.15760874793574206</v>
      </c>
      <c r="S136" s="58">
        <f t="shared" si="34"/>
        <v>2.9479350087688968E-5</v>
      </c>
      <c r="T136" s="52">
        <f t="shared" si="30"/>
        <v>4.6462034572800662E-6</v>
      </c>
    </row>
    <row r="137" spans="2:20" ht="15.75" customHeight="1" x14ac:dyDescent="0.25">
      <c r="B137" s="33">
        <f t="shared" ref="B137:B147" si="48">B136+1/12</f>
        <v>23.083333333333332</v>
      </c>
      <c r="C137" s="34"/>
      <c r="D137" s="35">
        <f t="shared" ref="D137:D147" si="49">(B137-$B$136)*$D$136</f>
        <v>7.4749999999998944E-5</v>
      </c>
      <c r="E137" s="36">
        <f>E136-(1/12)*F136</f>
        <v>993448.77703331516</v>
      </c>
      <c r="F137" s="36">
        <f t="shared" ref="F137:F147" si="50">E137-E138</f>
        <v>74.265847455360927</v>
      </c>
      <c r="G137" s="31">
        <f t="shared" si="0"/>
        <v>0.99992524999999999</v>
      </c>
      <c r="H137" s="37"/>
      <c r="I137" s="51">
        <f t="shared" si="9"/>
        <v>10.083333333333336</v>
      </c>
      <c r="J137" s="51">
        <f t="shared" si="10"/>
        <v>75.08333333333276</v>
      </c>
      <c r="K137" s="52">
        <f t="shared" si="38"/>
        <v>3.4279999999999996E-3</v>
      </c>
      <c r="L137" s="53">
        <f t="shared" si="5"/>
        <v>0.99657200000000001</v>
      </c>
      <c r="M137" s="52">
        <f t="shared" si="11"/>
        <v>0.15112535448065739</v>
      </c>
      <c r="N137" s="58">
        <f t="shared" si="6"/>
        <v>0.38155718830175012</v>
      </c>
      <c r="Q137" s="51">
        <f t="shared" si="12"/>
        <v>10.083333333333336</v>
      </c>
      <c r="R137" s="52">
        <f t="shared" si="13"/>
        <v>0.15112535448065739</v>
      </c>
      <c r="S137" s="58">
        <f t="shared" si="34"/>
        <v>2.702488703234123E-5</v>
      </c>
      <c r="T137" s="52">
        <f t="shared" si="30"/>
        <v>4.0841456325622892E-6</v>
      </c>
    </row>
    <row r="138" spans="2:20" ht="15.75" customHeight="1" x14ac:dyDescent="0.25">
      <c r="B138" s="33">
        <f t="shared" si="48"/>
        <v>23.166666666666664</v>
      </c>
      <c r="C138" s="34"/>
      <c r="D138" s="35">
        <f t="shared" si="49"/>
        <v>1.4949999999999789E-4</v>
      </c>
      <c r="E138" s="36">
        <f>E136-(2/12)*F136</f>
        <v>993374.5111858598</v>
      </c>
      <c r="F138" s="36">
        <f t="shared" si="50"/>
        <v>74.265847455244511</v>
      </c>
      <c r="G138" s="31">
        <f t="shared" si="0"/>
        <v>0.99985049999999998</v>
      </c>
      <c r="H138" s="32"/>
      <c r="I138" s="51">
        <f t="shared" si="9"/>
        <v>10.16666666666667</v>
      </c>
      <c r="J138" s="51">
        <f t="shared" si="10"/>
        <v>75.166666666666089</v>
      </c>
      <c r="K138" s="52">
        <f t="shared" si="38"/>
        <v>6.8559999999999992E-3</v>
      </c>
      <c r="L138" s="53">
        <f t="shared" si="5"/>
        <v>0.99314400000000003</v>
      </c>
      <c r="M138" s="52">
        <f t="shared" si="11"/>
        <v>0.15060729676549769</v>
      </c>
      <c r="N138" s="58">
        <f t="shared" si="6"/>
        <v>0.37880305396091135</v>
      </c>
      <c r="Q138" s="51">
        <f t="shared" si="12"/>
        <v>10.16666666666667</v>
      </c>
      <c r="R138" s="52">
        <f t="shared" si="13"/>
        <v>0.15060729676549769</v>
      </c>
      <c r="S138" s="58">
        <f t="shared" si="34"/>
        <v>2.47747836006672E-5</v>
      </c>
      <c r="T138" s="52">
        <f t="shared" si="30"/>
        <v>3.7312631860466705E-6</v>
      </c>
    </row>
    <row r="139" spans="2:20" ht="15.75" customHeight="1" x14ac:dyDescent="0.25">
      <c r="B139" s="33">
        <f t="shared" si="48"/>
        <v>23.249999999999996</v>
      </c>
      <c r="C139" s="34"/>
      <c r="D139" s="35">
        <f t="shared" si="49"/>
        <v>2.242499999999968E-4</v>
      </c>
      <c r="E139" s="36">
        <f>E136-(3/12)*F136</f>
        <v>993300.24533840455</v>
      </c>
      <c r="F139" s="36">
        <f t="shared" si="50"/>
        <v>74.265847455360927</v>
      </c>
      <c r="G139" s="31">
        <f t="shared" si="0"/>
        <v>0.99977574999999996</v>
      </c>
      <c r="H139" s="32"/>
      <c r="I139" s="51">
        <f t="shared" si="9"/>
        <v>10.250000000000004</v>
      </c>
      <c r="J139" s="51">
        <f t="shared" si="10"/>
        <v>75.249999999999417</v>
      </c>
      <c r="K139" s="52">
        <f t="shared" si="38"/>
        <v>1.0284E-2</v>
      </c>
      <c r="L139" s="53">
        <f t="shared" si="5"/>
        <v>0.98971600000000004</v>
      </c>
      <c r="M139" s="52">
        <f t="shared" si="11"/>
        <v>0.14957473313887346</v>
      </c>
      <c r="N139" s="58">
        <f t="shared" si="6"/>
        <v>0.37606879935553539</v>
      </c>
      <c r="Q139" s="51">
        <f t="shared" si="12"/>
        <v>10.250000000000004</v>
      </c>
      <c r="R139" s="52">
        <f t="shared" si="13"/>
        <v>0.14957473313887346</v>
      </c>
      <c r="S139" s="58">
        <f t="shared" si="34"/>
        <v>2.2712024724667807E-5</v>
      </c>
      <c r="T139" s="52">
        <f t="shared" si="30"/>
        <v>3.3971450372356834E-6</v>
      </c>
    </row>
    <row r="140" spans="2:20" ht="15.75" customHeight="1" x14ac:dyDescent="0.25">
      <c r="B140" s="33">
        <f t="shared" si="48"/>
        <v>23.333333333333329</v>
      </c>
      <c r="C140" s="34"/>
      <c r="D140" s="35">
        <f t="shared" si="49"/>
        <v>2.9899999999999578E-4</v>
      </c>
      <c r="E140" s="36">
        <f>E136-(4/12)*F136</f>
        <v>993225.97949094919</v>
      </c>
      <c r="F140" s="36">
        <f t="shared" si="50"/>
        <v>74.265847455360927</v>
      </c>
      <c r="G140" s="31">
        <f t="shared" si="0"/>
        <v>0.99970099999999995</v>
      </c>
      <c r="H140" s="32"/>
      <c r="I140" s="51">
        <f t="shared" si="9"/>
        <v>10.333333333333337</v>
      </c>
      <c r="J140" s="51">
        <f t="shared" si="10"/>
        <v>75.333333333332746</v>
      </c>
      <c r="K140" s="52">
        <f t="shared" si="38"/>
        <v>1.3711999999999998E-2</v>
      </c>
      <c r="L140" s="53">
        <f t="shared" si="5"/>
        <v>0.98628800000000005</v>
      </c>
      <c r="M140" s="52">
        <f t="shared" si="11"/>
        <v>0.14803650658327328</v>
      </c>
      <c r="N140" s="58">
        <f t="shared" si="6"/>
        <v>0.37335428099084933</v>
      </c>
      <c r="Q140" s="51">
        <f t="shared" si="12"/>
        <v>10.333333333333337</v>
      </c>
      <c r="R140" s="52">
        <f t="shared" si="13"/>
        <v>0.14803650658327328</v>
      </c>
      <c r="S140" s="58">
        <f t="shared" si="34"/>
        <v>2.082101201804362E-5</v>
      </c>
      <c r="T140" s="52">
        <f t="shared" si="30"/>
        <v>3.0822698826795262E-6</v>
      </c>
    </row>
    <row r="141" spans="2:20" ht="15.75" customHeight="1" x14ac:dyDescent="0.25">
      <c r="B141" s="33">
        <f t="shared" si="48"/>
        <v>23.416666666666661</v>
      </c>
      <c r="C141" s="34"/>
      <c r="D141" s="35">
        <f t="shared" si="49"/>
        <v>3.7374999999999469E-4</v>
      </c>
      <c r="E141" s="36">
        <f>E136-(5/12)*F136</f>
        <v>993151.71364349383</v>
      </c>
      <c r="F141" s="36">
        <f t="shared" si="50"/>
        <v>74.265847455360927</v>
      </c>
      <c r="G141" s="31">
        <f t="shared" si="0"/>
        <v>0.99962625000000005</v>
      </c>
      <c r="H141" s="32"/>
      <c r="I141" s="51">
        <f t="shared" si="9"/>
        <v>10.416666666666671</v>
      </c>
      <c r="J141" s="51">
        <f t="shared" si="10"/>
        <v>75.416666666666075</v>
      </c>
      <c r="K141" s="52">
        <f t="shared" si="38"/>
        <v>1.7139999999999999E-2</v>
      </c>
      <c r="L141" s="53">
        <f t="shared" si="5"/>
        <v>0.98285999999999996</v>
      </c>
      <c r="M141" s="52">
        <f t="shared" si="11"/>
        <v>0.14600663000500344</v>
      </c>
      <c r="N141" s="58">
        <f t="shared" si="6"/>
        <v>0.37065935640784597</v>
      </c>
      <c r="Q141" s="51">
        <f t="shared" si="12"/>
        <v>10.416666666666671</v>
      </c>
      <c r="R141" s="52">
        <f t="shared" si="13"/>
        <v>0.14600663000500344</v>
      </c>
      <c r="S141" s="58">
        <f t="shared" si="34"/>
        <v>1.9087445822682301E-5</v>
      </c>
      <c r="T141" s="52">
        <f t="shared" si="30"/>
        <v>2.7868936399729231E-6</v>
      </c>
    </row>
    <row r="142" spans="2:20" ht="15.75" customHeight="1" x14ac:dyDescent="0.25">
      <c r="B142" s="33">
        <f t="shared" si="48"/>
        <v>23.499999999999993</v>
      </c>
      <c r="C142" s="34"/>
      <c r="D142" s="35">
        <f t="shared" si="49"/>
        <v>4.4849999999999361E-4</v>
      </c>
      <c r="E142" s="36">
        <f>E136-(6/12)*F136</f>
        <v>993077.44779603847</v>
      </c>
      <c r="F142" s="36">
        <f t="shared" si="50"/>
        <v>74.265847455360927</v>
      </c>
      <c r="G142" s="31">
        <f t="shared" si="0"/>
        <v>0.99955150000000004</v>
      </c>
      <c r="H142" s="32"/>
      <c r="I142" s="51">
        <f t="shared" si="9"/>
        <v>10.500000000000005</v>
      </c>
      <c r="J142" s="51">
        <f t="shared" si="10"/>
        <v>75.499999999999403</v>
      </c>
      <c r="K142" s="52">
        <f t="shared" si="38"/>
        <v>2.0567999999999999E-2</v>
      </c>
      <c r="L142" s="53">
        <f t="shared" si="5"/>
        <v>0.97943199999999997</v>
      </c>
      <c r="M142" s="52">
        <f t="shared" si="11"/>
        <v>0.14350407636671766</v>
      </c>
      <c r="N142" s="58">
        <f t="shared" si="6"/>
        <v>0.36798388417580735</v>
      </c>
      <c r="Q142" s="51">
        <f t="shared" si="12"/>
        <v>10.500000000000005</v>
      </c>
      <c r="R142" s="52">
        <f t="shared" si="13"/>
        <v>0.14350407636671766</v>
      </c>
      <c r="S142" s="58">
        <f t="shared" si="34"/>
        <v>1.7498217076004769E-5</v>
      </c>
      <c r="T142" s="52">
        <f t="shared" si="30"/>
        <v>2.5110654795563916E-6</v>
      </c>
    </row>
    <row r="143" spans="2:20" ht="15.75" customHeight="1" x14ac:dyDescent="0.25">
      <c r="B143" s="33">
        <f t="shared" si="48"/>
        <v>23.583333333333325</v>
      </c>
      <c r="C143" s="34"/>
      <c r="D143" s="35">
        <f t="shared" si="49"/>
        <v>5.2324999999999258E-4</v>
      </c>
      <c r="E143" s="36">
        <f>E136-(7/12)*F136</f>
        <v>993003.18194858311</v>
      </c>
      <c r="F143" s="36">
        <f t="shared" si="50"/>
        <v>74.265847455244511</v>
      </c>
      <c r="G143" s="31">
        <f t="shared" si="0"/>
        <v>0.99947675000000002</v>
      </c>
      <c r="H143" s="32"/>
      <c r="I143" s="51">
        <f t="shared" si="9"/>
        <v>10.583333333333339</v>
      </c>
      <c r="J143" s="51">
        <f t="shared" si="10"/>
        <v>75.583333333332732</v>
      </c>
      <c r="K143" s="52">
        <f t="shared" si="38"/>
        <v>2.3996E-2</v>
      </c>
      <c r="L143" s="53">
        <f t="shared" si="5"/>
        <v>0.97600399999999998</v>
      </c>
      <c r="M143" s="52">
        <f t="shared" si="11"/>
        <v>0.14055248452400701</v>
      </c>
      <c r="N143" s="58">
        <f t="shared" si="6"/>
        <v>0.3653277238848831</v>
      </c>
      <c r="Q143" s="51">
        <f t="shared" si="12"/>
        <v>10.583333333333339</v>
      </c>
      <c r="R143" s="52">
        <f t="shared" si="13"/>
        <v>0.14055248452400701</v>
      </c>
      <c r="S143" s="58">
        <f t="shared" si="34"/>
        <v>1.6041308181481834E-5</v>
      </c>
      <c r="T143" s="52">
        <f t="shared" si="30"/>
        <v>2.2546457199225526E-6</v>
      </c>
    </row>
    <row r="144" spans="2:20" ht="15.75" customHeight="1" x14ac:dyDescent="0.25">
      <c r="B144" s="33">
        <f t="shared" si="48"/>
        <v>23.666666666666657</v>
      </c>
      <c r="C144" s="34"/>
      <c r="D144" s="35">
        <f t="shared" si="49"/>
        <v>5.9799999999999155E-4</v>
      </c>
      <c r="E144" s="36">
        <f>E136-(8/12)*F136</f>
        <v>992928.91610112786</v>
      </c>
      <c r="F144" s="36">
        <f t="shared" si="50"/>
        <v>74.265847455360927</v>
      </c>
      <c r="G144" s="31">
        <f t="shared" si="0"/>
        <v>0.99940200000000001</v>
      </c>
      <c r="H144" s="32"/>
      <c r="I144" s="51">
        <f t="shared" si="9"/>
        <v>10.666666666666673</v>
      </c>
      <c r="J144" s="51">
        <f t="shared" si="10"/>
        <v>75.66666666666606</v>
      </c>
      <c r="K144" s="52">
        <f t="shared" si="38"/>
        <v>2.7423999999999997E-2</v>
      </c>
      <c r="L144" s="53">
        <f t="shared" si="5"/>
        <v>0.972576</v>
      </c>
      <c r="M144" s="52">
        <f t="shared" si="11"/>
        <v>0.13717978710536893</v>
      </c>
      <c r="N144" s="58">
        <f t="shared" si="6"/>
        <v>0.36269073613872088</v>
      </c>
      <c r="Q144" s="51">
        <f t="shared" si="12"/>
        <v>10.666666666666673</v>
      </c>
      <c r="R144" s="52">
        <f t="shared" si="13"/>
        <v>0.13717978710536893</v>
      </c>
      <c r="S144" s="58">
        <f t="shared" si="34"/>
        <v>1.4705702132712866E-5</v>
      </c>
      <c r="T144" s="52">
        <f t="shared" si="30"/>
        <v>2.0173250878005209E-6</v>
      </c>
    </row>
    <row r="145" spans="2:20" ht="15.75" customHeight="1" x14ac:dyDescent="0.25">
      <c r="B145" s="33">
        <f t="shared" si="48"/>
        <v>23.749999999999989</v>
      </c>
      <c r="C145" s="34"/>
      <c r="D145" s="35">
        <f t="shared" si="49"/>
        <v>6.7274999999999041E-4</v>
      </c>
      <c r="E145" s="36">
        <f>E136-(9/12)*F136</f>
        <v>992854.6502536725</v>
      </c>
      <c r="F145" s="36">
        <f t="shared" si="50"/>
        <v>74.265847455360927</v>
      </c>
      <c r="G145" s="31">
        <f t="shared" si="0"/>
        <v>0.99932725</v>
      </c>
      <c r="H145" s="32"/>
      <c r="I145" s="51">
        <f t="shared" si="9"/>
        <v>10.750000000000007</v>
      </c>
      <c r="J145" s="51">
        <f t="shared" si="10"/>
        <v>75.749999999999389</v>
      </c>
      <c r="K145" s="52">
        <f t="shared" si="38"/>
        <v>3.0851999999999997E-2</v>
      </c>
      <c r="L145" s="53">
        <f t="shared" si="5"/>
        <v>0.96914800000000001</v>
      </c>
      <c r="M145" s="52">
        <f t="shared" si="11"/>
        <v>0.13341776862379129</v>
      </c>
      <c r="N145" s="58">
        <f t="shared" si="6"/>
        <v>0.36007278254715142</v>
      </c>
      <c r="Q145" s="51">
        <f t="shared" si="12"/>
        <v>10.750000000000007</v>
      </c>
      <c r="R145" s="52">
        <f t="shared" si="13"/>
        <v>0.13341776862379129</v>
      </c>
      <c r="S145" s="58">
        <f t="shared" si="34"/>
        <v>1.3481299203871957E-5</v>
      </c>
      <c r="T145" s="52">
        <f t="shared" si="30"/>
        <v>1.7986448579302904E-6</v>
      </c>
    </row>
    <row r="146" spans="2:20" ht="15.75" customHeight="1" x14ac:dyDescent="0.25">
      <c r="B146" s="33">
        <f t="shared" si="48"/>
        <v>23.833333333333321</v>
      </c>
      <c r="C146" s="34"/>
      <c r="D146" s="35">
        <f t="shared" si="49"/>
        <v>7.4749999999998938E-4</v>
      </c>
      <c r="E146" s="36">
        <f>E136-(10/12)*F136</f>
        <v>992780.38440621714</v>
      </c>
      <c r="F146" s="36">
        <f t="shared" si="50"/>
        <v>74.265847455360927</v>
      </c>
      <c r="G146" s="31">
        <f t="shared" si="0"/>
        <v>0.99925249999999999</v>
      </c>
      <c r="H146" s="32"/>
      <c r="I146" s="51">
        <f t="shared" si="9"/>
        <v>10.833333333333341</v>
      </c>
      <c r="J146" s="51">
        <f t="shared" si="10"/>
        <v>75.833333333332718</v>
      </c>
      <c r="K146" s="52">
        <f t="shared" si="38"/>
        <v>3.4279999999999998E-2</v>
      </c>
      <c r="L146" s="53">
        <f t="shared" si="5"/>
        <v>0.96572000000000002</v>
      </c>
      <c r="M146" s="52">
        <f t="shared" si="11"/>
        <v>0.12930156362621009</v>
      </c>
      <c r="N146" s="58">
        <f t="shared" si="6"/>
        <v>0.35747372571892516</v>
      </c>
      <c r="Q146" s="51">
        <f t="shared" si="12"/>
        <v>10.833333333333341</v>
      </c>
      <c r="R146" s="52">
        <f t="shared" si="13"/>
        <v>0.12930156362621009</v>
      </c>
      <c r="S146" s="58">
        <f t="shared" ref="S146:S209" si="51">IF(Q146&lt;&gt;"",(1+$M$10)^-(12*Q146),"")</f>
        <v>1.2358840576542475E-5</v>
      </c>
      <c r="T146" s="52">
        <f t="shared" si="30"/>
        <v>1.5980174111539937E-6</v>
      </c>
    </row>
    <row r="147" spans="2:20" ht="15.75" customHeight="1" x14ac:dyDescent="0.25">
      <c r="B147" s="33">
        <f t="shared" si="48"/>
        <v>23.916666666666654</v>
      </c>
      <c r="C147" s="34"/>
      <c r="D147" s="35">
        <f t="shared" si="49"/>
        <v>8.2224999999998835E-4</v>
      </c>
      <c r="E147" s="36">
        <f>E136-(11/12)*F136</f>
        <v>992706.11855876178</v>
      </c>
      <c r="F147" s="36">
        <f t="shared" si="50"/>
        <v>74.265847455360927</v>
      </c>
      <c r="G147" s="31">
        <f t="shared" si="0"/>
        <v>0.99917774999999998</v>
      </c>
      <c r="H147" s="32"/>
      <c r="I147" s="51">
        <f t="shared" si="9"/>
        <v>10.916666666666675</v>
      </c>
      <c r="J147" s="51">
        <f t="shared" si="10"/>
        <v>75.916666666666046</v>
      </c>
      <c r="K147" s="52">
        <f t="shared" si="38"/>
        <v>3.7707999999999998E-2</v>
      </c>
      <c r="L147" s="53">
        <f t="shared" si="5"/>
        <v>0.96229200000000004</v>
      </c>
      <c r="M147" s="52">
        <f t="shared" si="11"/>
        <v>0.12486910602510361</v>
      </c>
      <c r="N147" s="58">
        <f t="shared" si="6"/>
        <v>0.35489342925450251</v>
      </c>
      <c r="Q147" s="51">
        <f t="shared" si="12"/>
        <v>10.916666666666675</v>
      </c>
      <c r="R147" s="52">
        <f t="shared" si="13"/>
        <v>0.12486910602510361</v>
      </c>
      <c r="S147" s="58">
        <f t="shared" si="51"/>
        <v>1.1329838325413291E-5</v>
      </c>
      <c r="T147" s="52">
        <f t="shared" si="30"/>
        <v>1.4147467831033145E-6</v>
      </c>
    </row>
    <row r="148" spans="2:20" ht="15.75" customHeight="1" x14ac:dyDescent="0.25">
      <c r="B148" s="27">
        <v>24</v>
      </c>
      <c r="C148" s="28">
        <v>0.96599999999999997</v>
      </c>
      <c r="D148" s="29">
        <f>C148/1000</f>
        <v>9.6599999999999995E-4</v>
      </c>
      <c r="E148" s="30">
        <f>E136-F136</f>
        <v>992631.85271130642</v>
      </c>
      <c r="F148" s="48">
        <f>D148*E148</f>
        <v>958.88236971912193</v>
      </c>
      <c r="G148" s="31">
        <f t="shared" si="0"/>
        <v>0.99903399999999998</v>
      </c>
      <c r="H148" s="49"/>
      <c r="I148" s="51">
        <f t="shared" si="9"/>
        <v>11.000000000000009</v>
      </c>
      <c r="J148" s="51">
        <f t="shared" si="10"/>
        <v>75.999999999999375</v>
      </c>
      <c r="K148" s="52">
        <f t="shared" si="38"/>
        <v>4.4173999999999998E-2</v>
      </c>
      <c r="L148" s="53">
        <f t="shared" si="5"/>
        <v>0.95582599999999995</v>
      </c>
      <c r="M148" s="52">
        <f t="shared" si="11"/>
        <v>0.120160541775109</v>
      </c>
      <c r="N148" s="58">
        <f t="shared" si="6"/>
        <v>0.35233175773889502</v>
      </c>
      <c r="Q148" s="51">
        <f t="shared" si="12"/>
        <v>11.000000000000009</v>
      </c>
      <c r="R148" s="52">
        <f t="shared" si="13"/>
        <v>0.120160541775109</v>
      </c>
      <c r="S148" s="58">
        <f t="shared" si="51"/>
        <v>1.0386511233395644E-5</v>
      </c>
      <c r="T148" s="52">
        <f t="shared" si="30"/>
        <v>1.2480488169580762E-6</v>
      </c>
    </row>
    <row r="149" spans="2:20" ht="15.75" customHeight="1" x14ac:dyDescent="0.25">
      <c r="B149" s="33">
        <f t="shared" ref="B149:B159" si="52">B148+1/12</f>
        <v>24.083333333333332</v>
      </c>
      <c r="C149" s="34"/>
      <c r="D149" s="35">
        <f t="shared" ref="D149:D159" si="53">(B149-$B$148)*$D$148</f>
        <v>8.0499999999998853E-5</v>
      </c>
      <c r="E149" s="36">
        <f>E148-(1/12)*F148</f>
        <v>992551.94584716321</v>
      </c>
      <c r="F149" s="36">
        <f t="shared" ref="F149:F159" si="54">E149-E150</f>
        <v>79.906864143325947</v>
      </c>
      <c r="G149" s="31">
        <f t="shared" si="0"/>
        <v>0.99991949999999996</v>
      </c>
      <c r="H149" s="37"/>
      <c r="I149" s="51">
        <f t="shared" si="9"/>
        <v>11.083333333333343</v>
      </c>
      <c r="J149" s="51">
        <f t="shared" si="10"/>
        <v>76.083333333332703</v>
      </c>
      <c r="K149" s="52">
        <f t="shared" si="38"/>
        <v>3.6811666666666664E-3</v>
      </c>
      <c r="L149" s="53">
        <f t="shared" si="5"/>
        <v>0.99631883333333338</v>
      </c>
      <c r="M149" s="52">
        <f t="shared" si="11"/>
        <v>0.11485257000273533</v>
      </c>
      <c r="N149" s="58">
        <f t="shared" si="6"/>
        <v>0.34978857673455938</v>
      </c>
      <c r="Q149" s="51">
        <f t="shared" si="12"/>
        <v>11.083333333333343</v>
      </c>
      <c r="R149" s="52">
        <f t="shared" si="13"/>
        <v>0.11485257000273533</v>
      </c>
      <c r="S149" s="58">
        <f t="shared" si="51"/>
        <v>9.5217259507997831E-6</v>
      </c>
      <c r="T149" s="52">
        <f t="shared" si="30"/>
        <v>1.0935946963110936E-6</v>
      </c>
    </row>
    <row r="150" spans="2:20" ht="15.75" customHeight="1" x14ac:dyDescent="0.25">
      <c r="B150" s="33">
        <f t="shared" si="52"/>
        <v>24.166666666666664</v>
      </c>
      <c r="C150" s="34"/>
      <c r="D150" s="35">
        <f t="shared" si="53"/>
        <v>1.6099999999999771E-4</v>
      </c>
      <c r="E150" s="36">
        <f>E148-(2/12)*F148</f>
        <v>992472.03898301988</v>
      </c>
      <c r="F150" s="36">
        <f t="shared" si="54"/>
        <v>79.906864143209532</v>
      </c>
      <c r="G150" s="31">
        <f t="shared" si="0"/>
        <v>0.99983900000000003</v>
      </c>
      <c r="H150" s="32"/>
      <c r="I150" s="51">
        <f t="shared" si="9"/>
        <v>11.166666666666677</v>
      </c>
      <c r="J150" s="51">
        <f t="shared" si="10"/>
        <v>76.166666666666032</v>
      </c>
      <c r="K150" s="52">
        <f t="shared" si="38"/>
        <v>7.3623333333333327E-3</v>
      </c>
      <c r="L150" s="53">
        <f t="shared" si="5"/>
        <v>0.99263766666666664</v>
      </c>
      <c r="M150" s="52">
        <f t="shared" si="11"/>
        <v>0.11442977855046026</v>
      </c>
      <c r="N150" s="58">
        <f t="shared" si="6"/>
        <v>0.34726375277434107</v>
      </c>
      <c r="Q150" s="51">
        <f t="shared" si="12"/>
        <v>11.166666666666677</v>
      </c>
      <c r="R150" s="52">
        <f t="shared" si="13"/>
        <v>0.11442977855046026</v>
      </c>
      <c r="S150" s="58">
        <f t="shared" si="51"/>
        <v>8.7289430536237735E-6</v>
      </c>
      <c r="T150" s="52">
        <f t="shared" si="30"/>
        <v>9.9885102060574679E-7</v>
      </c>
    </row>
    <row r="151" spans="2:20" ht="15.75" customHeight="1" x14ac:dyDescent="0.25">
      <c r="B151" s="33">
        <f t="shared" si="52"/>
        <v>24.249999999999996</v>
      </c>
      <c r="C151" s="34"/>
      <c r="D151" s="35">
        <f t="shared" si="53"/>
        <v>2.4149999999999655E-4</v>
      </c>
      <c r="E151" s="36">
        <f>E148-(3/12)*F148</f>
        <v>992392.13211887667</v>
      </c>
      <c r="F151" s="36">
        <f t="shared" si="54"/>
        <v>79.906864143325947</v>
      </c>
      <c r="G151" s="31">
        <f t="shared" si="0"/>
        <v>0.99975849999999999</v>
      </c>
      <c r="H151" s="32"/>
      <c r="I151" s="51">
        <f t="shared" si="9"/>
        <v>11.250000000000011</v>
      </c>
      <c r="J151" s="51">
        <f t="shared" si="10"/>
        <v>76.249999999999361</v>
      </c>
      <c r="K151" s="52">
        <f t="shared" si="38"/>
        <v>1.1043499999999999E-2</v>
      </c>
      <c r="L151" s="53">
        <f t="shared" si="5"/>
        <v>0.98895650000000002</v>
      </c>
      <c r="M151" s="52">
        <f t="shared" si="11"/>
        <v>0.11358730837751224</v>
      </c>
      <c r="N151" s="58">
        <f t="shared" si="6"/>
        <v>0.34475715335447121</v>
      </c>
      <c r="Q151" s="51">
        <f t="shared" si="12"/>
        <v>11.250000000000011</v>
      </c>
      <c r="R151" s="52">
        <f t="shared" si="13"/>
        <v>0.11358730837751224</v>
      </c>
      <c r="S151" s="58">
        <f t="shared" si="51"/>
        <v>8.0021675930514046E-6</v>
      </c>
      <c r="T151" s="52">
        <f t="shared" si="30"/>
        <v>9.0894467808046481E-7</v>
      </c>
    </row>
    <row r="152" spans="2:20" ht="15.75" customHeight="1" x14ac:dyDescent="0.25">
      <c r="B152" s="33">
        <f t="shared" si="52"/>
        <v>24.333333333333329</v>
      </c>
      <c r="C152" s="34"/>
      <c r="D152" s="35">
        <f t="shared" si="53"/>
        <v>3.2199999999999541E-4</v>
      </c>
      <c r="E152" s="36">
        <f>E148-(4/12)*F148</f>
        <v>992312.22525473335</v>
      </c>
      <c r="F152" s="36">
        <f t="shared" si="54"/>
        <v>79.906864143209532</v>
      </c>
      <c r="G152" s="31">
        <f t="shared" si="0"/>
        <v>0.99967799999999996</v>
      </c>
      <c r="H152" s="32"/>
      <c r="I152" s="51">
        <f t="shared" si="9"/>
        <v>11.333333333333345</v>
      </c>
      <c r="J152" s="51">
        <f t="shared" si="10"/>
        <v>76.333333333332689</v>
      </c>
      <c r="K152" s="52">
        <f t="shared" si="38"/>
        <v>1.4724666666666665E-2</v>
      </c>
      <c r="L152" s="53">
        <f t="shared" si="5"/>
        <v>0.98527533333333328</v>
      </c>
      <c r="M152" s="52">
        <f t="shared" si="11"/>
        <v>0.11233290693744519</v>
      </c>
      <c r="N152" s="58">
        <f t="shared" si="6"/>
        <v>0.34226864692761166</v>
      </c>
      <c r="Q152" s="51">
        <f t="shared" si="12"/>
        <v>11.333333333333345</v>
      </c>
      <c r="R152" s="52">
        <f t="shared" si="13"/>
        <v>0.11233290693744519</v>
      </c>
      <c r="S152" s="58">
        <f t="shared" si="51"/>
        <v>7.3359037622199239E-6</v>
      </c>
      <c r="T152" s="52">
        <f t="shared" si="30"/>
        <v>8.2406339462350472E-7</v>
      </c>
    </row>
    <row r="153" spans="2:20" ht="15.75" customHeight="1" x14ac:dyDescent="0.25">
      <c r="B153" s="33">
        <f t="shared" si="52"/>
        <v>24.416666666666661</v>
      </c>
      <c r="C153" s="34"/>
      <c r="D153" s="35">
        <f t="shared" si="53"/>
        <v>4.0249999999999428E-4</v>
      </c>
      <c r="E153" s="36">
        <f>E148-(5/12)*F148</f>
        <v>992232.31839059014</v>
      </c>
      <c r="F153" s="36">
        <f t="shared" si="54"/>
        <v>79.906864143325947</v>
      </c>
      <c r="G153" s="31">
        <f t="shared" si="0"/>
        <v>0.99959750000000003</v>
      </c>
      <c r="H153" s="32"/>
      <c r="I153" s="51">
        <f t="shared" si="9"/>
        <v>11.416666666666679</v>
      </c>
      <c r="J153" s="51">
        <f t="shared" si="10"/>
        <v>76.416666666666018</v>
      </c>
      <c r="K153" s="52">
        <f t="shared" si="38"/>
        <v>1.8405833333333333E-2</v>
      </c>
      <c r="L153" s="53">
        <f t="shared" si="5"/>
        <v>0.98159416666666666</v>
      </c>
      <c r="M153" s="52">
        <f t="shared" si="11"/>
        <v>0.11067884232709362</v>
      </c>
      <c r="N153" s="58">
        <f t="shared" si="6"/>
        <v>0.33979810289595197</v>
      </c>
      <c r="Q153" s="51">
        <f t="shared" si="12"/>
        <v>11.416666666666679</v>
      </c>
      <c r="R153" s="52">
        <f t="shared" si="13"/>
        <v>0.11067884232709362</v>
      </c>
      <c r="S153" s="58">
        <f t="shared" si="51"/>
        <v>6.7251133374515336E-6</v>
      </c>
      <c r="T153" s="52">
        <f t="shared" si="30"/>
        <v>7.4432775870763262E-7</v>
      </c>
    </row>
    <row r="154" spans="2:20" ht="15.75" customHeight="1" x14ac:dyDescent="0.25">
      <c r="B154" s="33">
        <f t="shared" si="52"/>
        <v>24.499999999999993</v>
      </c>
      <c r="C154" s="34"/>
      <c r="D154" s="35">
        <f t="shared" si="53"/>
        <v>4.8299999999999309E-4</v>
      </c>
      <c r="E154" s="36">
        <f>E148-(6/12)*F148</f>
        <v>992152.41152644681</v>
      </c>
      <c r="F154" s="36">
        <f t="shared" si="54"/>
        <v>79.906864143209532</v>
      </c>
      <c r="G154" s="31">
        <f t="shared" si="0"/>
        <v>0.99951699999999999</v>
      </c>
      <c r="H154" s="32"/>
      <c r="I154" s="51">
        <f t="shared" si="9"/>
        <v>11.500000000000012</v>
      </c>
      <c r="J154" s="51">
        <f t="shared" si="10"/>
        <v>76.499999999999346</v>
      </c>
      <c r="K154" s="52">
        <f t="shared" si="38"/>
        <v>2.2086999999999999E-2</v>
      </c>
      <c r="L154" s="53">
        <f t="shared" si="5"/>
        <v>0.97791300000000003</v>
      </c>
      <c r="M154" s="52">
        <f t="shared" si="11"/>
        <v>0.10864170600169486</v>
      </c>
      <c r="N154" s="58">
        <f t="shared" si="6"/>
        <v>0.33734539160435528</v>
      </c>
      <c r="Q154" s="51">
        <f t="shared" si="12"/>
        <v>11.500000000000012</v>
      </c>
      <c r="R154" s="52">
        <f t="shared" si="13"/>
        <v>0.10864170600169486</v>
      </c>
      <c r="S154" s="58">
        <f t="shared" si="51"/>
        <v>6.1651775796854724E-6</v>
      </c>
      <c r="T154" s="52">
        <f t="shared" si="30"/>
        <v>6.6979541006042977E-7</v>
      </c>
    </row>
    <row r="155" spans="2:20" ht="15.75" customHeight="1" x14ac:dyDescent="0.25">
      <c r="B155" s="33">
        <f t="shared" si="52"/>
        <v>24.583333333333325</v>
      </c>
      <c r="C155" s="34"/>
      <c r="D155" s="35">
        <f t="shared" si="53"/>
        <v>5.6349999999999196E-4</v>
      </c>
      <c r="E155" s="36">
        <f>E148-(7/12)*F148</f>
        <v>992072.5046623036</v>
      </c>
      <c r="F155" s="36">
        <f t="shared" si="54"/>
        <v>79.906864143209532</v>
      </c>
      <c r="G155" s="31">
        <f t="shared" si="0"/>
        <v>0.99943650000000006</v>
      </c>
      <c r="H155" s="32"/>
      <c r="I155" s="51">
        <f t="shared" si="9"/>
        <v>11.583333333333346</v>
      </c>
      <c r="J155" s="51">
        <f t="shared" si="10"/>
        <v>76.583333333332675</v>
      </c>
      <c r="K155" s="52">
        <f t="shared" si="38"/>
        <v>2.5768166666666668E-2</v>
      </c>
      <c r="L155" s="53">
        <f t="shared" si="5"/>
        <v>0.9742318333333333</v>
      </c>
      <c r="M155" s="52">
        <f t="shared" si="11"/>
        <v>0.10624213664123543</v>
      </c>
      <c r="N155" s="58">
        <f t="shared" si="6"/>
        <v>0.33491038433355402</v>
      </c>
      <c r="Q155" s="51">
        <f t="shared" si="12"/>
        <v>11.583333333333346</v>
      </c>
      <c r="R155" s="52">
        <f t="shared" si="13"/>
        <v>0.10624213664123543</v>
      </c>
      <c r="S155" s="58">
        <f t="shared" si="51"/>
        <v>5.6518623080127691E-6</v>
      </c>
      <c r="T155" s="52">
        <f t="shared" si="30"/>
        <v>6.0046592760534086E-7</v>
      </c>
    </row>
    <row r="156" spans="2:20" ht="15.75" customHeight="1" x14ac:dyDescent="0.25">
      <c r="B156" s="33">
        <f t="shared" si="52"/>
        <v>24.666666666666657</v>
      </c>
      <c r="C156" s="34"/>
      <c r="D156" s="35">
        <f t="shared" si="53"/>
        <v>6.4399999999999083E-4</v>
      </c>
      <c r="E156" s="36">
        <f>E148-(8/12)*F148</f>
        <v>991992.59779816039</v>
      </c>
      <c r="F156" s="36">
        <f t="shared" si="54"/>
        <v>79.906864143325947</v>
      </c>
      <c r="G156" s="31">
        <f t="shared" si="0"/>
        <v>0.99935600000000002</v>
      </c>
      <c r="H156" s="32"/>
      <c r="I156" s="51">
        <f t="shared" si="9"/>
        <v>11.66666666666668</v>
      </c>
      <c r="J156" s="51">
        <f t="shared" si="10"/>
        <v>76.666666666666003</v>
      </c>
      <c r="K156" s="52">
        <f t="shared" si="38"/>
        <v>2.9449333333333331E-2</v>
      </c>
      <c r="L156" s="53">
        <f t="shared" si="5"/>
        <v>0.97055066666666667</v>
      </c>
      <c r="M156" s="52">
        <f t="shared" si="11"/>
        <v>0.1035044715572413</v>
      </c>
      <c r="N156" s="58">
        <f t="shared" si="6"/>
        <v>0.33249295329339473</v>
      </c>
      <c r="Q156" s="51">
        <f t="shared" si="12"/>
        <v>11.66666666666668</v>
      </c>
      <c r="R156" s="52">
        <f t="shared" si="13"/>
        <v>0.1035044715572413</v>
      </c>
      <c r="S156" s="58">
        <f t="shared" si="51"/>
        <v>5.1812858812033021E-6</v>
      </c>
      <c r="T156" s="52">
        <f t="shared" si="30"/>
        <v>5.3628625712094304E-7</v>
      </c>
    </row>
    <row r="157" spans="2:20" ht="15.75" customHeight="1" x14ac:dyDescent="0.25">
      <c r="B157" s="33">
        <f t="shared" si="52"/>
        <v>24.749999999999989</v>
      </c>
      <c r="C157" s="34"/>
      <c r="D157" s="35">
        <f t="shared" si="53"/>
        <v>7.2449999999998969E-4</v>
      </c>
      <c r="E157" s="36">
        <f>E148-(9/12)*F148</f>
        <v>991912.69093401707</v>
      </c>
      <c r="F157" s="36">
        <f t="shared" si="54"/>
        <v>79.906864143209532</v>
      </c>
      <c r="G157" s="31">
        <f t="shared" si="0"/>
        <v>0.99927549999999998</v>
      </c>
      <c r="H157" s="32"/>
      <c r="I157" s="51">
        <f t="shared" si="9"/>
        <v>11.750000000000014</v>
      </c>
      <c r="J157" s="51">
        <f t="shared" si="10"/>
        <v>76.749999999999332</v>
      </c>
      <c r="K157" s="52">
        <f t="shared" si="38"/>
        <v>3.31305E-2</v>
      </c>
      <c r="L157" s="53">
        <f t="shared" si="5"/>
        <v>0.96686950000000005</v>
      </c>
      <c r="M157" s="52">
        <f t="shared" si="11"/>
        <v>0.10045633387286158</v>
      </c>
      <c r="N157" s="58">
        <f t="shared" si="6"/>
        <v>0.33009297161613166</v>
      </c>
      <c r="Q157" s="51">
        <f t="shared" si="12"/>
        <v>11.750000000000014</v>
      </c>
      <c r="R157" s="52">
        <f t="shared" si="13"/>
        <v>0.10045633387286158</v>
      </c>
      <c r="S157" s="58">
        <f t="shared" si="51"/>
        <v>4.7498898451041448E-6</v>
      </c>
      <c r="T157" s="52">
        <f t="shared" si="30"/>
        <v>4.7715652013909678E-7</v>
      </c>
    </row>
    <row r="158" spans="2:20" ht="15.75" customHeight="1" x14ac:dyDescent="0.25">
      <c r="B158" s="33">
        <f t="shared" si="52"/>
        <v>24.833333333333321</v>
      </c>
      <c r="C158" s="34"/>
      <c r="D158" s="35">
        <f t="shared" si="53"/>
        <v>8.0499999999998856E-4</v>
      </c>
      <c r="E158" s="36">
        <f>E148-(10/12)*F148</f>
        <v>991832.78406987386</v>
      </c>
      <c r="F158" s="36">
        <f t="shared" si="54"/>
        <v>79.906864143325947</v>
      </c>
      <c r="G158" s="31">
        <f t="shared" si="0"/>
        <v>0.99919500000000006</v>
      </c>
      <c r="H158" s="32"/>
      <c r="I158" s="51">
        <f t="shared" si="9"/>
        <v>11.833333333333348</v>
      </c>
      <c r="J158" s="51">
        <f t="shared" si="10"/>
        <v>76.833333333332661</v>
      </c>
      <c r="K158" s="52">
        <f t="shared" si="38"/>
        <v>3.6811666666666666E-2</v>
      </c>
      <c r="L158" s="53">
        <f t="shared" si="5"/>
        <v>0.96318833333333331</v>
      </c>
      <c r="M158" s="52">
        <f t="shared" si="11"/>
        <v>9.7128165303486752E-2</v>
      </c>
      <c r="N158" s="58">
        <f t="shared" si="6"/>
        <v>0.3277103133497683</v>
      </c>
      <c r="Q158" s="51">
        <f t="shared" si="12"/>
        <v>11.833333333333348</v>
      </c>
      <c r="R158" s="52">
        <f t="shared" si="13"/>
        <v>9.7128165303486752E-2</v>
      </c>
      <c r="S158" s="58">
        <f t="shared" si="51"/>
        <v>4.3544120239479631E-6</v>
      </c>
      <c r="T158" s="52">
        <f t="shared" si="30"/>
        <v>4.2293605086150807E-7</v>
      </c>
    </row>
    <row r="159" spans="2:20" ht="15.75" customHeight="1" x14ac:dyDescent="0.25">
      <c r="B159" s="33">
        <f t="shared" si="52"/>
        <v>24.916666666666654</v>
      </c>
      <c r="C159" s="34"/>
      <c r="D159" s="35">
        <f t="shared" si="53"/>
        <v>8.8549999999998743E-4</v>
      </c>
      <c r="E159" s="36">
        <f>E148-(11/12)*F148</f>
        <v>991752.87720573053</v>
      </c>
      <c r="F159" s="36">
        <f t="shared" si="54"/>
        <v>79.906864143209532</v>
      </c>
      <c r="G159" s="31">
        <f t="shared" si="0"/>
        <v>0.99911450000000002</v>
      </c>
      <c r="H159" s="32"/>
      <c r="I159" s="51">
        <f t="shared" si="9"/>
        <v>11.916666666666682</v>
      </c>
      <c r="J159" s="51">
        <f t="shared" si="10"/>
        <v>76.916666666665989</v>
      </c>
      <c r="K159" s="52">
        <f t="shared" si="38"/>
        <v>4.0492833333333332E-2</v>
      </c>
      <c r="L159" s="53">
        <f t="shared" si="5"/>
        <v>0.95950716666666669</v>
      </c>
      <c r="M159" s="52">
        <f t="shared" si="11"/>
        <v>9.3552715658389893E-2</v>
      </c>
      <c r="N159" s="58">
        <f t="shared" si="6"/>
        <v>0.32534485345144815</v>
      </c>
      <c r="Q159" s="51">
        <f t="shared" si="12"/>
        <v>11.916666666666682</v>
      </c>
      <c r="R159" s="52">
        <f t="shared" si="13"/>
        <v>9.3552715658389893E-2</v>
      </c>
      <c r="S159" s="58">
        <f t="shared" si="51"/>
        <v>3.991861852090347E-6</v>
      </c>
      <c r="T159" s="52">
        <f t="shared" si="30"/>
        <v>3.734495167961819E-7</v>
      </c>
    </row>
    <row r="160" spans="2:20" ht="15.75" customHeight="1" x14ac:dyDescent="0.25">
      <c r="B160" s="27">
        <v>25</v>
      </c>
      <c r="C160" s="28">
        <v>1.0410000000000001</v>
      </c>
      <c r="D160" s="29">
        <f>C160/1000</f>
        <v>1.041E-3</v>
      </c>
      <c r="E160" s="30">
        <f>E148-F148</f>
        <v>991672.97034158732</v>
      </c>
      <c r="F160" s="48">
        <f>D160*E160</f>
        <v>1032.3315621255924</v>
      </c>
      <c r="G160" s="31">
        <f t="shared" si="0"/>
        <v>0.99895900000000004</v>
      </c>
      <c r="H160" s="49"/>
      <c r="I160" s="51">
        <f t="shared" si="9"/>
        <v>12.000000000000016</v>
      </c>
      <c r="J160" s="51">
        <f t="shared" si="10"/>
        <v>76.999999999999318</v>
      </c>
      <c r="K160" s="52">
        <f t="shared" si="38"/>
        <v>4.7424000000000001E-2</v>
      </c>
      <c r="L160" s="53">
        <f t="shared" si="5"/>
        <v>0.95257599999999998</v>
      </c>
      <c r="M160" s="52">
        <f t="shared" si="11"/>
        <v>8.9764501135353988E-2</v>
      </c>
      <c r="N160" s="58">
        <f t="shared" si="6"/>
        <v>0.32299646778089125</v>
      </c>
      <c r="Q160" s="51">
        <f t="shared" si="12"/>
        <v>12.000000000000016</v>
      </c>
      <c r="R160" s="52">
        <f t="shared" si="13"/>
        <v>8.9764501135353988E-2</v>
      </c>
      <c r="S160" s="58">
        <f t="shared" si="51"/>
        <v>3.6594977596370373E-6</v>
      </c>
      <c r="T160" s="52">
        <f t="shared" si="30"/>
        <v>3.2849299079976421E-7</v>
      </c>
    </row>
    <row r="161" spans="2:20" ht="15.75" customHeight="1" x14ac:dyDescent="0.25">
      <c r="B161" s="33">
        <f t="shared" ref="B161:B171" si="55">B160+1/12</f>
        <v>25.083333333333332</v>
      </c>
      <c r="C161" s="34"/>
      <c r="D161" s="35">
        <f t="shared" ref="D161:D171" si="56">(B161-$B$160)*$D$160</f>
        <v>8.6749999999998775E-5</v>
      </c>
      <c r="E161" s="36">
        <f>E160-(1/12)*F160</f>
        <v>991586.94271141023</v>
      </c>
      <c r="F161" s="36">
        <f t="shared" ref="F161:F171" si="57">E161-E162</f>
        <v>86.027630177210085</v>
      </c>
      <c r="G161" s="31">
        <f t="shared" si="0"/>
        <v>0.99991324999999998</v>
      </c>
      <c r="H161" s="37"/>
      <c r="I161" s="51">
        <f t="shared" si="9"/>
        <v>12.08333333333335</v>
      </c>
      <c r="J161" s="51">
        <f t="shared" si="10"/>
        <v>77.083333333332646</v>
      </c>
      <c r="K161" s="52">
        <f t="shared" si="38"/>
        <v>3.9519999999999998E-3</v>
      </c>
      <c r="L161" s="53">
        <f t="shared" si="5"/>
        <v>0.99604800000000004</v>
      </c>
      <c r="M161" s="52">
        <f t="shared" si="11"/>
        <v>8.5507509433510959E-2</v>
      </c>
      <c r="N161" s="58">
        <f t="shared" si="6"/>
        <v>0.32066503309388061</v>
      </c>
      <c r="Q161" s="51">
        <f t="shared" si="12"/>
        <v>12.08333333333335</v>
      </c>
      <c r="R161" s="52">
        <f t="shared" si="13"/>
        <v>8.5507509433510959E-2</v>
      </c>
      <c r="S161" s="58">
        <f t="shared" si="51"/>
        <v>3.3548064409533192E-6</v>
      </c>
      <c r="T161" s="52">
        <f t="shared" si="30"/>
        <v>2.8686114339741926E-7</v>
      </c>
    </row>
    <row r="162" spans="2:20" ht="15.75" customHeight="1" x14ac:dyDescent="0.25">
      <c r="B162" s="33">
        <f t="shared" si="55"/>
        <v>25.166666666666664</v>
      </c>
      <c r="C162" s="34"/>
      <c r="D162" s="35">
        <f t="shared" si="56"/>
        <v>1.7349999999999755E-4</v>
      </c>
      <c r="E162" s="36">
        <f>E160-(2/12)*F160</f>
        <v>991500.91508123302</v>
      </c>
      <c r="F162" s="36">
        <f t="shared" si="57"/>
        <v>86.02763017709367</v>
      </c>
      <c r="G162" s="31">
        <f t="shared" si="0"/>
        <v>0.99982649999999995</v>
      </c>
      <c r="H162" s="32"/>
      <c r="I162" s="51">
        <f t="shared" si="9"/>
        <v>12.166666666666684</v>
      </c>
      <c r="J162" s="51">
        <f t="shared" si="10"/>
        <v>77.166666666665975</v>
      </c>
      <c r="K162" s="52">
        <f t="shared" si="38"/>
        <v>7.9039999999999996E-3</v>
      </c>
      <c r="L162" s="53">
        <f t="shared" si="5"/>
        <v>0.99209599999999998</v>
      </c>
      <c r="M162" s="52">
        <f t="shared" si="11"/>
        <v>8.5169583756229725E-2</v>
      </c>
      <c r="N162" s="58">
        <f t="shared" si="6"/>
        <v>0.31835042703579314</v>
      </c>
      <c r="Q162" s="51">
        <f t="shared" si="12"/>
        <v>12.166666666666684</v>
      </c>
      <c r="R162" s="52">
        <f t="shared" si="13"/>
        <v>8.5169583756229725E-2</v>
      </c>
      <c r="S162" s="58">
        <f t="shared" si="51"/>
        <v>3.0754838492859636E-6</v>
      </c>
      <c r="T162" s="52">
        <f t="shared" si="30"/>
        <v>2.6193767929269268E-7</v>
      </c>
    </row>
    <row r="163" spans="2:20" ht="15.75" customHeight="1" x14ac:dyDescent="0.25">
      <c r="B163" s="33">
        <f t="shared" si="55"/>
        <v>25.249999999999996</v>
      </c>
      <c r="C163" s="34"/>
      <c r="D163" s="35">
        <f t="shared" si="56"/>
        <v>2.6024999999999632E-4</v>
      </c>
      <c r="E163" s="36">
        <f>E160-(3/12)*F160</f>
        <v>991414.88745105593</v>
      </c>
      <c r="F163" s="36">
        <f t="shared" si="57"/>
        <v>86.02763017709367</v>
      </c>
      <c r="G163" s="31">
        <f t="shared" si="0"/>
        <v>0.99973975000000004</v>
      </c>
      <c r="H163" s="32"/>
      <c r="I163" s="51">
        <f t="shared" si="9"/>
        <v>12.250000000000018</v>
      </c>
      <c r="J163" s="51">
        <f t="shared" si="10"/>
        <v>77.249999999999304</v>
      </c>
      <c r="K163" s="52">
        <f t="shared" si="38"/>
        <v>1.1856E-2</v>
      </c>
      <c r="L163" s="53">
        <f t="shared" si="5"/>
        <v>0.98814400000000002</v>
      </c>
      <c r="M163" s="52">
        <f t="shared" si="11"/>
        <v>8.4496403366220482E-2</v>
      </c>
      <c r="N163" s="58">
        <f t="shared" si="6"/>
        <v>0.31605252813517909</v>
      </c>
      <c r="Q163" s="51">
        <f t="shared" si="12"/>
        <v>12.250000000000018</v>
      </c>
      <c r="R163" s="52">
        <f t="shared" si="13"/>
        <v>8.4496403366220482E-2</v>
      </c>
      <c r="S163" s="58">
        <f t="shared" si="51"/>
        <v>2.8194177737810025E-6</v>
      </c>
      <c r="T163" s="52">
        <f t="shared" si="30"/>
        <v>2.3823066147129096E-7</v>
      </c>
    </row>
    <row r="164" spans="2:20" ht="15.75" customHeight="1" x14ac:dyDescent="0.25">
      <c r="B164" s="33">
        <f t="shared" si="55"/>
        <v>25.333333333333329</v>
      </c>
      <c r="C164" s="34"/>
      <c r="D164" s="35">
        <f t="shared" si="56"/>
        <v>3.469999999999951E-4</v>
      </c>
      <c r="E164" s="36">
        <f>E160-(4/12)*F160</f>
        <v>991328.85982087883</v>
      </c>
      <c r="F164" s="36">
        <f t="shared" si="57"/>
        <v>86.027630177210085</v>
      </c>
      <c r="G164" s="31">
        <f t="shared" si="0"/>
        <v>0.99965300000000001</v>
      </c>
      <c r="H164" s="32"/>
      <c r="I164" s="51">
        <f t="shared" si="9"/>
        <v>12.333333333333352</v>
      </c>
      <c r="J164" s="51">
        <f t="shared" si="10"/>
        <v>77.333333333332632</v>
      </c>
      <c r="K164" s="52">
        <f t="shared" si="38"/>
        <v>1.5807999999999999E-2</v>
      </c>
      <c r="L164" s="53">
        <f t="shared" si="5"/>
        <v>0.98419199999999996</v>
      </c>
      <c r="M164" s="52">
        <f t="shared" si="11"/>
        <v>8.349461400791057E-2</v>
      </c>
      <c r="N164" s="58">
        <f t="shared" si="6"/>
        <v>0.31377121579738715</v>
      </c>
      <c r="Q164" s="51">
        <f t="shared" si="12"/>
        <v>12.333333333333352</v>
      </c>
      <c r="R164" s="52">
        <f t="shared" si="13"/>
        <v>8.349461400791057E-2</v>
      </c>
      <c r="S164" s="58">
        <f t="shared" si="51"/>
        <v>2.5846718671462992E-6</v>
      </c>
      <c r="T164" s="52">
        <f t="shared" si="30"/>
        <v>2.1580617988448576E-7</v>
      </c>
    </row>
    <row r="165" spans="2:20" ht="15.75" customHeight="1" x14ac:dyDescent="0.25">
      <c r="B165" s="33">
        <f t="shared" si="55"/>
        <v>25.416666666666661</v>
      </c>
      <c r="C165" s="34"/>
      <c r="D165" s="35">
        <f t="shared" si="56"/>
        <v>4.3374999999999387E-4</v>
      </c>
      <c r="E165" s="36">
        <f>E160-(5/12)*F160</f>
        <v>991242.83219070162</v>
      </c>
      <c r="F165" s="36">
        <f t="shared" si="57"/>
        <v>86.02763017709367</v>
      </c>
      <c r="G165" s="31">
        <f t="shared" si="0"/>
        <v>0.99956624999999999</v>
      </c>
      <c r="H165" s="32"/>
      <c r="I165" s="51">
        <f t="shared" si="9"/>
        <v>12.416666666666686</v>
      </c>
      <c r="J165" s="51">
        <f t="shared" si="10"/>
        <v>77.416666666665961</v>
      </c>
      <c r="K165" s="52">
        <f t="shared" si="38"/>
        <v>1.976E-2</v>
      </c>
      <c r="L165" s="53">
        <f t="shared" si="5"/>
        <v>0.98024</v>
      </c>
      <c r="M165" s="52">
        <f t="shared" si="11"/>
        <v>8.2174731149673511E-2</v>
      </c>
      <c r="N165" s="58">
        <f t="shared" si="6"/>
        <v>0.31150637029823508</v>
      </c>
      <c r="Q165" s="51">
        <f t="shared" si="12"/>
        <v>12.416666666666686</v>
      </c>
      <c r="R165" s="52">
        <f t="shared" si="13"/>
        <v>8.2174731149673511E-2</v>
      </c>
      <c r="S165" s="58">
        <f t="shared" si="51"/>
        <v>2.3694710031775714E-6</v>
      </c>
      <c r="T165" s="52">
        <f t="shared" si="30"/>
        <v>1.9471064265306412E-7</v>
      </c>
    </row>
    <row r="166" spans="2:20" ht="15.75" customHeight="1" x14ac:dyDescent="0.25">
      <c r="B166" s="33">
        <f t="shared" si="55"/>
        <v>25.499999999999993</v>
      </c>
      <c r="C166" s="34"/>
      <c r="D166" s="35">
        <f t="shared" si="56"/>
        <v>5.2049999999999265E-4</v>
      </c>
      <c r="E166" s="36">
        <f>E160-(6/12)*F160</f>
        <v>991156.80456052453</v>
      </c>
      <c r="F166" s="36">
        <f t="shared" si="57"/>
        <v>86.02763017709367</v>
      </c>
      <c r="G166" s="31">
        <f t="shared" si="0"/>
        <v>0.99947949999999997</v>
      </c>
      <c r="H166" s="32"/>
      <c r="I166" s="51">
        <f t="shared" si="9"/>
        <v>12.50000000000002</v>
      </c>
      <c r="J166" s="51">
        <f t="shared" si="10"/>
        <v>77.499999999999289</v>
      </c>
      <c r="K166" s="52">
        <f t="shared" si="38"/>
        <v>2.3712E-2</v>
      </c>
      <c r="L166" s="53">
        <f t="shared" si="5"/>
        <v>0.97628800000000004</v>
      </c>
      <c r="M166" s="52">
        <f t="shared" si="11"/>
        <v>8.0550958462155958E-2</v>
      </c>
      <c r="N166" s="58">
        <f t="shared" si="6"/>
        <v>0.30925787277772737</v>
      </c>
      <c r="Q166" s="51">
        <f t="shared" si="12"/>
        <v>12.50000000000002</v>
      </c>
      <c r="R166" s="52">
        <f t="shared" si="13"/>
        <v>8.0550958462155958E-2</v>
      </c>
      <c r="S166" s="58">
        <f t="shared" si="51"/>
        <v>2.1721878534229922E-6</v>
      </c>
      <c r="T166" s="52">
        <f t="shared" si="30"/>
        <v>1.7497181355307516E-7</v>
      </c>
    </row>
    <row r="167" spans="2:20" ht="15.75" customHeight="1" x14ac:dyDescent="0.25">
      <c r="B167" s="33">
        <f t="shared" si="55"/>
        <v>25.583333333333325</v>
      </c>
      <c r="C167" s="34"/>
      <c r="D167" s="35">
        <f t="shared" si="56"/>
        <v>6.0724999999999137E-4</v>
      </c>
      <c r="E167" s="36">
        <f>E160-(7/12)*F160</f>
        <v>991070.77693034743</v>
      </c>
      <c r="F167" s="36">
        <f t="shared" si="57"/>
        <v>86.027630177210085</v>
      </c>
      <c r="G167" s="31">
        <f t="shared" si="0"/>
        <v>0.99939275000000005</v>
      </c>
      <c r="H167" s="32"/>
      <c r="I167" s="51">
        <f t="shared" si="9"/>
        <v>12.583333333333353</v>
      </c>
      <c r="J167" s="51">
        <f t="shared" si="10"/>
        <v>77.583333333332618</v>
      </c>
      <c r="K167" s="52">
        <f t="shared" si="38"/>
        <v>2.7664000000000001E-2</v>
      </c>
      <c r="L167" s="53">
        <f t="shared" si="5"/>
        <v>0.97233599999999998</v>
      </c>
      <c r="M167" s="52">
        <f t="shared" si="11"/>
        <v>7.8640934135101315E-2</v>
      </c>
      <c r="N167" s="58">
        <f t="shared" si="6"/>
        <v>0.3070256052338165</v>
      </c>
      <c r="Q167" s="51">
        <f t="shared" si="12"/>
        <v>12.583333333333353</v>
      </c>
      <c r="R167" s="52">
        <f t="shared" si="13"/>
        <v>7.8640934135101315E-2</v>
      </c>
      <c r="S167" s="58">
        <f t="shared" si="51"/>
        <v>1.9913305814803386E-6</v>
      </c>
      <c r="T167" s="52">
        <f t="shared" si="30"/>
        <v>1.5660009709940831E-7</v>
      </c>
    </row>
    <row r="168" spans="2:20" ht="15.75" customHeight="1" x14ac:dyDescent="0.25">
      <c r="B168" s="33">
        <f t="shared" si="55"/>
        <v>25.666666666666657</v>
      </c>
      <c r="C168" s="34"/>
      <c r="D168" s="35">
        <f t="shared" si="56"/>
        <v>6.939999999999902E-4</v>
      </c>
      <c r="E168" s="36">
        <f>E160-(8/12)*F160</f>
        <v>990984.74930017022</v>
      </c>
      <c r="F168" s="36">
        <f t="shared" si="57"/>
        <v>86.02763017709367</v>
      </c>
      <c r="G168" s="31">
        <f t="shared" si="0"/>
        <v>0.99930600000000003</v>
      </c>
      <c r="H168" s="32"/>
      <c r="I168" s="51">
        <f t="shared" si="9"/>
        <v>12.666666666666687</v>
      </c>
      <c r="J168" s="51">
        <f t="shared" si="10"/>
        <v>77.666666666665947</v>
      </c>
      <c r="K168" s="52">
        <f t="shared" si="38"/>
        <v>3.1615999999999998E-2</v>
      </c>
      <c r="L168" s="53">
        <f t="shared" si="5"/>
        <v>0.96838400000000002</v>
      </c>
      <c r="M168" s="52">
        <f t="shared" si="11"/>
        <v>7.6465411333187877E-2</v>
      </c>
      <c r="N168" s="58">
        <f t="shared" si="6"/>
        <v>0.30480945051621094</v>
      </c>
      <c r="Q168" s="51">
        <f t="shared" si="12"/>
        <v>12.666666666666687</v>
      </c>
      <c r="R168" s="52">
        <f t="shared" si="13"/>
        <v>7.6465411333187877E-2</v>
      </c>
      <c r="S168" s="58">
        <f t="shared" si="51"/>
        <v>1.8255315618720682E-6</v>
      </c>
      <c r="T168" s="52">
        <f t="shared" si="30"/>
        <v>1.3959002178026461E-7</v>
      </c>
    </row>
    <row r="169" spans="2:20" ht="15.75" customHeight="1" x14ac:dyDescent="0.25">
      <c r="B169" s="33">
        <f t="shared" si="55"/>
        <v>25.749999999999989</v>
      </c>
      <c r="C169" s="34"/>
      <c r="D169" s="35">
        <f t="shared" si="56"/>
        <v>7.8074999999998892E-4</v>
      </c>
      <c r="E169" s="36">
        <f>E160-(9/12)*F160</f>
        <v>990898.72166999313</v>
      </c>
      <c r="F169" s="36">
        <f t="shared" si="57"/>
        <v>86.02763017709367</v>
      </c>
      <c r="G169" s="31">
        <f t="shared" si="0"/>
        <v>0.99921925</v>
      </c>
      <c r="H169" s="32"/>
      <c r="I169" s="51">
        <f t="shared" si="9"/>
        <v>12.750000000000021</v>
      </c>
      <c r="J169" s="51">
        <f t="shared" si="10"/>
        <v>77.749999999999275</v>
      </c>
      <c r="K169" s="52">
        <f t="shared" si="38"/>
        <v>3.5568000000000002E-2</v>
      </c>
      <c r="L169" s="53">
        <f t="shared" si="5"/>
        <v>0.96443199999999996</v>
      </c>
      <c r="M169" s="52">
        <f t="shared" si="11"/>
        <v>7.4047880888477816E-2</v>
      </c>
      <c r="N169" s="58">
        <f t="shared" si="6"/>
        <v>0.30260929232022643</v>
      </c>
      <c r="Q169" s="51">
        <f t="shared" si="12"/>
        <v>12.750000000000021</v>
      </c>
      <c r="R169" s="52">
        <f t="shared" si="13"/>
        <v>7.4047880888477816E-2</v>
      </c>
      <c r="S169" s="58">
        <f t="shared" si="51"/>
        <v>1.6735370381916614E-6</v>
      </c>
      <c r="T169" s="52">
        <f t="shared" si="30"/>
        <v>1.2392187126647209E-7</v>
      </c>
    </row>
    <row r="170" spans="2:20" ht="15.75" customHeight="1" x14ac:dyDescent="0.25">
      <c r="B170" s="33">
        <f t="shared" si="55"/>
        <v>25.833333333333321</v>
      </c>
      <c r="C170" s="34"/>
      <c r="D170" s="35">
        <f t="shared" si="56"/>
        <v>8.6749999999998775E-4</v>
      </c>
      <c r="E170" s="36">
        <f>E160-(10/12)*F160</f>
        <v>990812.69403981604</v>
      </c>
      <c r="F170" s="36">
        <f t="shared" si="57"/>
        <v>86.027630177210085</v>
      </c>
      <c r="G170" s="31">
        <f t="shared" si="0"/>
        <v>0.99913249999999998</v>
      </c>
      <c r="H170" s="32"/>
      <c r="I170" s="51">
        <f t="shared" si="9"/>
        <v>12.833333333333355</v>
      </c>
      <c r="J170" s="51">
        <f t="shared" si="10"/>
        <v>77.833333333332604</v>
      </c>
      <c r="K170" s="52">
        <f t="shared" si="38"/>
        <v>3.952E-2</v>
      </c>
      <c r="L170" s="53">
        <f t="shared" si="5"/>
        <v>0.96048</v>
      </c>
      <c r="M170" s="52">
        <f t="shared" si="11"/>
        <v>7.1414145861036435E-2</v>
      </c>
      <c r="N170" s="58">
        <f t="shared" si="6"/>
        <v>0.30042501518068288</v>
      </c>
      <c r="Q170" s="51">
        <f t="shared" si="12"/>
        <v>12.833333333333355</v>
      </c>
      <c r="R170" s="52">
        <f t="shared" si="13"/>
        <v>7.1414145861036435E-2</v>
      </c>
      <c r="S170" s="58">
        <f t="shared" si="51"/>
        <v>1.5341976423169536E-6</v>
      </c>
      <c r="T170" s="52">
        <f t="shared" si="30"/>
        <v>1.0956341420808113E-7</v>
      </c>
    </row>
    <row r="171" spans="2:20" ht="15.75" customHeight="1" x14ac:dyDescent="0.25">
      <c r="B171" s="33">
        <f t="shared" si="55"/>
        <v>25.916666666666654</v>
      </c>
      <c r="C171" s="34"/>
      <c r="D171" s="35">
        <f t="shared" si="56"/>
        <v>9.5424999999998647E-4</v>
      </c>
      <c r="E171" s="36">
        <f>E160-(11/12)*F160</f>
        <v>990726.66640963883</v>
      </c>
      <c r="F171" s="36">
        <f t="shared" si="57"/>
        <v>86.02763017709367</v>
      </c>
      <c r="G171" s="31">
        <f t="shared" si="0"/>
        <v>0.99904575000000007</v>
      </c>
      <c r="H171" s="32"/>
      <c r="I171" s="51">
        <f t="shared" si="9"/>
        <v>12.916666666666689</v>
      </c>
      <c r="J171" s="51">
        <f t="shared" si="10"/>
        <v>77.916666666665932</v>
      </c>
      <c r="K171" s="52">
        <f t="shared" si="38"/>
        <v>4.3471999999999997E-2</v>
      </c>
      <c r="L171" s="53">
        <f t="shared" si="5"/>
        <v>0.95652800000000004</v>
      </c>
      <c r="M171" s="52">
        <f t="shared" si="11"/>
        <v>6.8591858816608273E-2</v>
      </c>
      <c r="N171" s="58">
        <f t="shared" si="6"/>
        <v>0.29825650446584401</v>
      </c>
      <c r="Q171" s="51">
        <f t="shared" si="12"/>
        <v>12.916666666666689</v>
      </c>
      <c r="R171" s="52">
        <f t="shared" si="13"/>
        <v>6.8591858816608273E-2</v>
      </c>
      <c r="S171" s="58">
        <f t="shared" si="51"/>
        <v>1.4064597029978198E-6</v>
      </c>
      <c r="T171" s="52">
        <f t="shared" si="30"/>
        <v>9.6471685379275255E-8</v>
      </c>
    </row>
    <row r="172" spans="2:20" ht="15.75" customHeight="1" x14ac:dyDescent="0.25">
      <c r="B172" s="27">
        <v>26</v>
      </c>
      <c r="C172" s="28">
        <v>1.121</v>
      </c>
      <c r="D172" s="29">
        <f>C172/1000</f>
        <v>1.121E-3</v>
      </c>
      <c r="E172" s="30">
        <f>E160-F160</f>
        <v>990640.63877946173</v>
      </c>
      <c r="F172" s="48">
        <f>D172*E172</f>
        <v>1110.5081560717767</v>
      </c>
      <c r="G172" s="31">
        <f t="shared" si="0"/>
        <v>0.99887899999999996</v>
      </c>
      <c r="H172" s="49"/>
      <c r="I172" s="51">
        <f t="shared" si="9"/>
        <v>13.000000000000023</v>
      </c>
      <c r="J172" s="51">
        <f t="shared" si="10"/>
        <v>77.999999999999261</v>
      </c>
      <c r="K172" s="52">
        <f t="shared" si="38"/>
        <v>5.0902000000000003E-2</v>
      </c>
      <c r="L172" s="53">
        <f t="shared" si="5"/>
        <v>0.949098</v>
      </c>
      <c r="M172" s="52">
        <f t="shared" si="11"/>
        <v>6.5610033530132686E-2</v>
      </c>
      <c r="N172" s="58">
        <f t="shared" si="6"/>
        <v>0.29610364637140218</v>
      </c>
      <c r="Q172" s="51">
        <f t="shared" si="12"/>
        <v>13.000000000000023</v>
      </c>
      <c r="R172" s="52">
        <f t="shared" si="13"/>
        <v>6.5610033530132686E-2</v>
      </c>
      <c r="S172" s="58">
        <f t="shared" si="51"/>
        <v>1.2893572780944581E-6</v>
      </c>
      <c r="T172" s="52">
        <f t="shared" si="30"/>
        <v>8.4594774248098013E-8</v>
      </c>
    </row>
    <row r="173" spans="2:20" ht="15.75" customHeight="1" x14ac:dyDescent="0.25">
      <c r="B173" s="33">
        <f t="shared" ref="B173:B183" si="58">B172+1/12</f>
        <v>26.083333333333332</v>
      </c>
      <c r="C173" s="34"/>
      <c r="D173" s="35">
        <f t="shared" ref="D173:D183" si="59">(B173-$B$172)*$D$172</f>
        <v>9.3416666666665341E-5</v>
      </c>
      <c r="E173" s="36">
        <f>E172-(1/12)*F172</f>
        <v>990548.09643312241</v>
      </c>
      <c r="F173" s="36">
        <f t="shared" ref="F173:F183" si="60">E173-E174</f>
        <v>92.542346339323558</v>
      </c>
      <c r="G173" s="31">
        <f t="shared" si="0"/>
        <v>0.99990658333333338</v>
      </c>
      <c r="H173" s="37"/>
      <c r="I173" s="51">
        <f t="shared" si="9"/>
        <v>13.083333333333357</v>
      </c>
      <c r="J173" s="51">
        <f t="shared" si="10"/>
        <v>78.08333333333259</v>
      </c>
      <c r="K173" s="52">
        <f t="shared" si="38"/>
        <v>4.2418333333333336E-3</v>
      </c>
      <c r="L173" s="53">
        <f t="shared" si="5"/>
        <v>0.99575816666666661</v>
      </c>
      <c r="M173" s="52">
        <f t="shared" si="11"/>
        <v>6.2270351603381874E-2</v>
      </c>
      <c r="N173" s="58">
        <f t="shared" si="6"/>
        <v>0.29396632791450517</v>
      </c>
      <c r="Q173" s="51">
        <f t="shared" si="12"/>
        <v>13.083333333333357</v>
      </c>
      <c r="R173" s="52">
        <f t="shared" si="13"/>
        <v>6.2270351603381874E-2</v>
      </c>
      <c r="S173" s="58">
        <f t="shared" si="51"/>
        <v>1.1820048502148426E-6</v>
      </c>
      <c r="T173" s="52">
        <f t="shared" si="30"/>
        <v>7.3603857619780968E-8</v>
      </c>
    </row>
    <row r="174" spans="2:20" ht="15.75" customHeight="1" x14ac:dyDescent="0.25">
      <c r="B174" s="33">
        <f t="shared" si="58"/>
        <v>26.166666666666664</v>
      </c>
      <c r="C174" s="34"/>
      <c r="D174" s="35">
        <f t="shared" si="59"/>
        <v>1.8683333333333068E-4</v>
      </c>
      <c r="E174" s="36">
        <f>E172-(2/12)*F172</f>
        <v>990455.55408678309</v>
      </c>
      <c r="F174" s="36">
        <f t="shared" si="60"/>
        <v>92.542346339323558</v>
      </c>
      <c r="G174" s="31">
        <f t="shared" si="0"/>
        <v>0.99981316666666664</v>
      </c>
      <c r="H174" s="32"/>
      <c r="I174" s="51">
        <f t="shared" si="9"/>
        <v>13.166666666666691</v>
      </c>
      <c r="J174" s="51">
        <f t="shared" si="10"/>
        <v>78.166666666665918</v>
      </c>
      <c r="K174" s="52">
        <f t="shared" si="38"/>
        <v>8.4836666666666671E-3</v>
      </c>
      <c r="L174" s="53">
        <f t="shared" si="5"/>
        <v>0.99151633333333333</v>
      </c>
      <c r="M174" s="52">
        <f t="shared" si="11"/>
        <v>6.2006211150272258E-2</v>
      </c>
      <c r="N174" s="58">
        <f t="shared" si="6"/>
        <v>0.29184443692782741</v>
      </c>
      <c r="Q174" s="51">
        <f t="shared" si="12"/>
        <v>13.166666666666691</v>
      </c>
      <c r="R174" s="52">
        <f t="shared" si="13"/>
        <v>6.2006211150272258E-2</v>
      </c>
      <c r="S174" s="58">
        <f t="shared" si="51"/>
        <v>1.0835906305164982E-6</v>
      </c>
      <c r="T174" s="52">
        <f t="shared" si="30"/>
        <v>6.7189349436262641E-8</v>
      </c>
    </row>
    <row r="175" spans="2:20" ht="15.75" customHeight="1" x14ac:dyDescent="0.25">
      <c r="B175" s="33">
        <f t="shared" si="58"/>
        <v>26.249999999999996</v>
      </c>
      <c r="C175" s="34"/>
      <c r="D175" s="35">
        <f t="shared" si="59"/>
        <v>2.8024999999999605E-4</v>
      </c>
      <c r="E175" s="36">
        <f>E172-(3/12)*F172</f>
        <v>990363.01174044376</v>
      </c>
      <c r="F175" s="36">
        <f t="shared" si="60"/>
        <v>92.542346339323558</v>
      </c>
      <c r="G175" s="31">
        <f t="shared" si="0"/>
        <v>0.99971975000000002</v>
      </c>
      <c r="H175" s="32"/>
      <c r="I175" s="51">
        <f t="shared" si="9"/>
        <v>13.250000000000025</v>
      </c>
      <c r="J175" s="51">
        <f t="shared" si="10"/>
        <v>78.249999999999247</v>
      </c>
      <c r="K175" s="52">
        <f t="shared" si="38"/>
        <v>1.2725500000000001E-2</v>
      </c>
      <c r="L175" s="53">
        <f t="shared" si="5"/>
        <v>0.98727450000000005</v>
      </c>
      <c r="M175" s="52">
        <f t="shared" si="11"/>
        <v>6.14801711236104E-2</v>
      </c>
      <c r="N175" s="58">
        <f t="shared" si="6"/>
        <v>0.2897378620536829</v>
      </c>
      <c r="Q175" s="51">
        <f t="shared" si="12"/>
        <v>13.250000000000025</v>
      </c>
      <c r="R175" s="52">
        <f t="shared" si="13"/>
        <v>6.14801711236104E-2</v>
      </c>
      <c r="S175" s="58">
        <f t="shared" si="51"/>
        <v>9.9337042003653883E-7</v>
      </c>
      <c r="T175" s="52">
        <f t="shared" si="30"/>
        <v>6.1072583412979149E-8</v>
      </c>
    </row>
    <row r="176" spans="2:20" ht="15.75" customHeight="1" x14ac:dyDescent="0.25">
      <c r="B176" s="33">
        <f t="shared" si="58"/>
        <v>26.333333333333329</v>
      </c>
      <c r="C176" s="34"/>
      <c r="D176" s="35">
        <f t="shared" si="59"/>
        <v>3.7366666666666137E-4</v>
      </c>
      <c r="E176" s="36">
        <f>E172-(4/12)*F172</f>
        <v>990270.46939410444</v>
      </c>
      <c r="F176" s="36">
        <f t="shared" si="60"/>
        <v>92.542346339323558</v>
      </c>
      <c r="G176" s="31">
        <f t="shared" si="0"/>
        <v>0.99962633333333328</v>
      </c>
      <c r="H176" s="32"/>
      <c r="I176" s="51">
        <f t="shared" si="9"/>
        <v>13.333333333333359</v>
      </c>
      <c r="J176" s="51">
        <f t="shared" si="10"/>
        <v>78.333333333332575</v>
      </c>
      <c r="K176" s="52">
        <f t="shared" si="38"/>
        <v>1.6967333333333334E-2</v>
      </c>
      <c r="L176" s="53">
        <f t="shared" si="5"/>
        <v>0.98303266666666667</v>
      </c>
      <c r="M176" s="52">
        <f t="shared" si="11"/>
        <v>6.0697805205976896E-2</v>
      </c>
      <c r="N176" s="58">
        <f t="shared" si="6"/>
        <v>0.2876464927381816</v>
      </c>
      <c r="Q176" s="51">
        <f t="shared" si="12"/>
        <v>13.333333333333359</v>
      </c>
      <c r="R176" s="52">
        <f t="shared" si="13"/>
        <v>6.0697805205976896E-2</v>
      </c>
      <c r="S176" s="58">
        <f t="shared" si="51"/>
        <v>9.106619821299218E-7</v>
      </c>
      <c r="T176" s="52">
        <f t="shared" si="30"/>
        <v>5.5275183599810803E-8</v>
      </c>
    </row>
    <row r="177" spans="2:20" ht="15.75" customHeight="1" x14ac:dyDescent="0.25">
      <c r="B177" s="33">
        <f t="shared" si="58"/>
        <v>26.416666666666661</v>
      </c>
      <c r="C177" s="34"/>
      <c r="D177" s="35">
        <f t="shared" si="59"/>
        <v>4.6708333333332673E-4</v>
      </c>
      <c r="E177" s="36">
        <f>E172-(5/12)*F172</f>
        <v>990177.92704776512</v>
      </c>
      <c r="F177" s="36">
        <f t="shared" si="60"/>
        <v>92.542346339323558</v>
      </c>
      <c r="G177" s="31">
        <f t="shared" si="0"/>
        <v>0.99953291666666666</v>
      </c>
      <c r="H177" s="32"/>
      <c r="I177" s="51">
        <f t="shared" si="9"/>
        <v>13.416666666666693</v>
      </c>
      <c r="J177" s="51">
        <f t="shared" si="10"/>
        <v>78.416666666665904</v>
      </c>
      <c r="K177" s="52">
        <f t="shared" si="38"/>
        <v>2.1209166666666668E-2</v>
      </c>
      <c r="L177" s="53">
        <f t="shared" si="5"/>
        <v>0.97879083333333328</v>
      </c>
      <c r="M177" s="52">
        <f t="shared" si="11"/>
        <v>5.9667925312445351E-2</v>
      </c>
      <c r="N177" s="58">
        <f t="shared" si="6"/>
        <v>0.28557021922542691</v>
      </c>
      <c r="Q177" s="51">
        <f t="shared" si="12"/>
        <v>13.416666666666693</v>
      </c>
      <c r="R177" s="52">
        <f t="shared" si="13"/>
        <v>5.9667925312445351E-2</v>
      </c>
      <c r="S177" s="58">
        <f t="shared" si="51"/>
        <v>8.3483988346089167E-7</v>
      </c>
      <c r="T177" s="52">
        <f t="shared" si="30"/>
        <v>4.9813163814195068E-8</v>
      </c>
    </row>
    <row r="178" spans="2:20" ht="15.75" customHeight="1" x14ac:dyDescent="0.25">
      <c r="B178" s="33">
        <f t="shared" si="58"/>
        <v>26.499999999999993</v>
      </c>
      <c r="C178" s="34"/>
      <c r="D178" s="35">
        <f t="shared" si="59"/>
        <v>5.604999999999921E-4</v>
      </c>
      <c r="E178" s="36">
        <f>E172-(6/12)*F172</f>
        <v>990085.38470142579</v>
      </c>
      <c r="F178" s="36">
        <f t="shared" si="60"/>
        <v>92.542346339207143</v>
      </c>
      <c r="G178" s="31">
        <f t="shared" si="0"/>
        <v>0.99943950000000004</v>
      </c>
      <c r="H178" s="32"/>
      <c r="I178" s="51">
        <f t="shared" si="9"/>
        <v>13.500000000000027</v>
      </c>
      <c r="J178" s="51">
        <f t="shared" si="10"/>
        <v>78.499999999999233</v>
      </c>
      <c r="K178" s="52">
        <f t="shared" si="38"/>
        <v>2.5451000000000001E-2</v>
      </c>
      <c r="L178" s="53">
        <f t="shared" si="5"/>
        <v>0.974549</v>
      </c>
      <c r="M178" s="52">
        <f t="shared" si="11"/>
        <v>5.8402418339839474E-2</v>
      </c>
      <c r="N178" s="58">
        <f t="shared" si="6"/>
        <v>0.28350893255175641</v>
      </c>
      <c r="Q178" s="51">
        <f t="shared" si="12"/>
        <v>13.500000000000027</v>
      </c>
      <c r="R178" s="52">
        <f t="shared" si="13"/>
        <v>5.8402418339839474E-2</v>
      </c>
      <c r="S178" s="58">
        <f t="shared" si="51"/>
        <v>7.6533076453559556E-7</v>
      </c>
      <c r="T178" s="52">
        <f t="shared" si="30"/>
        <v>4.4697167478757034E-8</v>
      </c>
    </row>
    <row r="179" spans="2:20" ht="15.75" customHeight="1" x14ac:dyDescent="0.25">
      <c r="B179" s="33">
        <f t="shared" si="58"/>
        <v>26.583333333333325</v>
      </c>
      <c r="C179" s="34"/>
      <c r="D179" s="35">
        <f t="shared" si="59"/>
        <v>6.5391666666665736E-4</v>
      </c>
      <c r="E179" s="36">
        <f>E172-(7/12)*F172</f>
        <v>989992.84235508658</v>
      </c>
      <c r="F179" s="36">
        <f t="shared" si="60"/>
        <v>92.542346339323558</v>
      </c>
      <c r="G179" s="31">
        <f t="shared" si="0"/>
        <v>0.9993460833333333</v>
      </c>
      <c r="H179" s="32"/>
      <c r="I179" s="51">
        <f t="shared" si="9"/>
        <v>13.583333333333361</v>
      </c>
      <c r="J179" s="51">
        <f t="shared" si="10"/>
        <v>78.583333333332561</v>
      </c>
      <c r="K179" s="52">
        <f t="shared" si="38"/>
        <v>2.9692833333333338E-2</v>
      </c>
      <c r="L179" s="53">
        <f t="shared" si="5"/>
        <v>0.97030716666666661</v>
      </c>
      <c r="M179" s="52">
        <f t="shared" si="11"/>
        <v>5.6916018390672223E-2</v>
      </c>
      <c r="N179" s="58">
        <f t="shared" si="6"/>
        <v>0.28146252454002257</v>
      </c>
      <c r="Q179" s="51">
        <f t="shared" si="12"/>
        <v>13.583333333333361</v>
      </c>
      <c r="R179" s="52">
        <f t="shared" si="13"/>
        <v>5.6916018390672223E-2</v>
      </c>
      <c r="S179" s="58">
        <f t="shared" si="51"/>
        <v>7.0160900401217698E-7</v>
      </c>
      <c r="T179" s="52">
        <f t="shared" si="30"/>
        <v>3.9932790975418284E-8</v>
      </c>
    </row>
    <row r="180" spans="2:20" ht="15.75" customHeight="1" x14ac:dyDescent="0.25">
      <c r="B180" s="33">
        <f t="shared" si="58"/>
        <v>26.666666666666657</v>
      </c>
      <c r="C180" s="34"/>
      <c r="D180" s="35">
        <f t="shared" si="59"/>
        <v>7.4733333333332273E-4</v>
      </c>
      <c r="E180" s="36">
        <f>E172-(8/12)*F172</f>
        <v>989900.30000874726</v>
      </c>
      <c r="F180" s="36">
        <f t="shared" si="60"/>
        <v>92.542346339323558</v>
      </c>
      <c r="G180" s="31">
        <f t="shared" si="0"/>
        <v>0.99925266666666668</v>
      </c>
      <c r="H180" s="32"/>
      <c r="I180" s="51">
        <f t="shared" si="9"/>
        <v>13.666666666666694</v>
      </c>
      <c r="J180" s="51">
        <f t="shared" si="10"/>
        <v>78.66666666666589</v>
      </c>
      <c r="K180" s="52">
        <f t="shared" si="38"/>
        <v>3.3934666666666669E-2</v>
      </c>
      <c r="L180" s="53">
        <f t="shared" si="5"/>
        <v>0.96606533333333333</v>
      </c>
      <c r="M180" s="52">
        <f t="shared" si="11"/>
        <v>5.5226020542601055E-2</v>
      </c>
      <c r="N180" s="58">
        <f t="shared" si="6"/>
        <v>0.27943088779391634</v>
      </c>
      <c r="Q180" s="51">
        <f t="shared" si="12"/>
        <v>13.666666666666694</v>
      </c>
      <c r="R180" s="52">
        <f t="shared" si="13"/>
        <v>5.5226020542601055E-2</v>
      </c>
      <c r="S180" s="58">
        <f t="shared" si="51"/>
        <v>6.4319274400221232E-7</v>
      </c>
      <c r="T180" s="52">
        <f t="shared" si="30"/>
        <v>3.552097569311812E-8</v>
      </c>
    </row>
    <row r="181" spans="2:20" ht="15.75" customHeight="1" x14ac:dyDescent="0.25">
      <c r="B181" s="33">
        <f t="shared" si="58"/>
        <v>26.749999999999989</v>
      </c>
      <c r="C181" s="34"/>
      <c r="D181" s="35">
        <f t="shared" si="59"/>
        <v>8.407499999999881E-4</v>
      </c>
      <c r="E181" s="36">
        <f>E172-(9/12)*F172</f>
        <v>989807.75766240794</v>
      </c>
      <c r="F181" s="36">
        <f t="shared" si="60"/>
        <v>92.542346339323558</v>
      </c>
      <c r="G181" s="31">
        <f t="shared" si="0"/>
        <v>0.99915925000000005</v>
      </c>
      <c r="H181" s="32"/>
      <c r="I181" s="51">
        <f t="shared" si="9"/>
        <v>13.750000000000028</v>
      </c>
      <c r="J181" s="51">
        <f t="shared" si="10"/>
        <v>78.749999999999218</v>
      </c>
      <c r="K181" s="52">
        <f t="shared" si="38"/>
        <v>3.8176500000000002E-2</v>
      </c>
      <c r="L181" s="53">
        <f t="shared" si="5"/>
        <v>0.96182349999999994</v>
      </c>
      <c r="M181" s="52">
        <f t="shared" si="11"/>
        <v>5.3351943944161401E-2</v>
      </c>
      <c r="N181" s="58">
        <f t="shared" si="6"/>
        <v>0.27741391569233015</v>
      </c>
      <c r="Q181" s="51">
        <f t="shared" si="12"/>
        <v>13.750000000000028</v>
      </c>
      <c r="R181" s="52">
        <f t="shared" si="13"/>
        <v>5.3351943944161401E-2</v>
      </c>
      <c r="S181" s="58">
        <f t="shared" si="51"/>
        <v>5.8964024630720776E-7</v>
      </c>
      <c r="T181" s="52">
        <f t="shared" si="30"/>
        <v>3.1458453368203672E-8</v>
      </c>
    </row>
    <row r="182" spans="2:20" ht="15.75" customHeight="1" x14ac:dyDescent="0.25">
      <c r="B182" s="33">
        <f t="shared" si="58"/>
        <v>26.833333333333321</v>
      </c>
      <c r="C182" s="34"/>
      <c r="D182" s="35">
        <f t="shared" si="59"/>
        <v>9.3416666666665347E-4</v>
      </c>
      <c r="E182" s="36">
        <f>E172-(10/12)*F172</f>
        <v>989715.21531606861</v>
      </c>
      <c r="F182" s="36">
        <f t="shared" si="60"/>
        <v>92.542346339323558</v>
      </c>
      <c r="G182" s="31">
        <f t="shared" si="0"/>
        <v>0.99906583333333332</v>
      </c>
      <c r="H182" s="32"/>
      <c r="I182" s="51">
        <f t="shared" si="9"/>
        <v>13.833333333333362</v>
      </c>
      <c r="J182" s="51">
        <f t="shared" si="10"/>
        <v>78.833333333332547</v>
      </c>
      <c r="K182" s="52">
        <f t="shared" si="38"/>
        <v>4.2418333333333336E-2</v>
      </c>
      <c r="L182" s="53">
        <f t="shared" si="5"/>
        <v>0.95758166666666666</v>
      </c>
      <c r="M182" s="52">
        <f t="shared" si="11"/>
        <v>5.1315153456177119E-2</v>
      </c>
      <c r="N182" s="58">
        <f t="shared" si="6"/>
        <v>0.27541150238376327</v>
      </c>
      <c r="Q182" s="51">
        <f t="shared" si="12"/>
        <v>13.833333333333362</v>
      </c>
      <c r="R182" s="52">
        <f t="shared" si="13"/>
        <v>5.1315153456177119E-2</v>
      </c>
      <c r="S182" s="58">
        <f t="shared" si="51"/>
        <v>5.4054655203639758E-7</v>
      </c>
      <c r="T182" s="52">
        <f t="shared" si="30"/>
        <v>2.7738229267955174E-8</v>
      </c>
    </row>
    <row r="183" spans="2:20" ht="15.75" customHeight="1" x14ac:dyDescent="0.25">
      <c r="B183" s="33">
        <f t="shared" si="58"/>
        <v>26.916666666666654</v>
      </c>
      <c r="C183" s="34"/>
      <c r="D183" s="35">
        <f t="shared" si="59"/>
        <v>1.0275833333333187E-3</v>
      </c>
      <c r="E183" s="36">
        <f>E172-(11/12)*F172</f>
        <v>989622.67296972929</v>
      </c>
      <c r="F183" s="36">
        <f t="shared" si="60"/>
        <v>92.542346339323558</v>
      </c>
      <c r="G183" s="31">
        <f t="shared" si="0"/>
        <v>0.9989724166666667</v>
      </c>
      <c r="H183" s="32"/>
      <c r="I183" s="51">
        <f t="shared" si="9"/>
        <v>13.916666666666696</v>
      </c>
      <c r="J183" s="51">
        <f t="shared" si="10"/>
        <v>78.916666666665876</v>
      </c>
      <c r="K183" s="52">
        <f t="shared" si="38"/>
        <v>4.6660166666666669E-2</v>
      </c>
      <c r="L183" s="53">
        <f t="shared" si="5"/>
        <v>0.95333983333333339</v>
      </c>
      <c r="M183" s="52">
        <f t="shared" si="11"/>
        <v>4.9138450171821849E-2</v>
      </c>
      <c r="N183" s="58">
        <f t="shared" si="6"/>
        <v>0.27342354278076592</v>
      </c>
      <c r="Q183" s="51">
        <f t="shared" si="12"/>
        <v>13.916666666666696</v>
      </c>
      <c r="R183" s="52">
        <f t="shared" si="13"/>
        <v>4.9138450171821849E-2</v>
      </c>
      <c r="S183" s="58">
        <f t="shared" si="51"/>
        <v>4.9554041934614492E-7</v>
      </c>
      <c r="T183" s="52">
        <f t="shared" si="30"/>
        <v>2.4350088204164247E-8</v>
      </c>
    </row>
    <row r="184" spans="2:20" ht="15.75" customHeight="1" x14ac:dyDescent="0.25">
      <c r="B184" s="27">
        <v>27</v>
      </c>
      <c r="C184" s="28">
        <v>1.2069999999999999</v>
      </c>
      <c r="D184" s="29">
        <f>C184/1000</f>
        <v>1.207E-3</v>
      </c>
      <c r="E184" s="30">
        <f>E172-F172</f>
        <v>989530.13062338997</v>
      </c>
      <c r="F184" s="48">
        <f>D184*E184</f>
        <v>1194.3628676624317</v>
      </c>
      <c r="G184" s="31">
        <f t="shared" si="0"/>
        <v>0.99879300000000004</v>
      </c>
      <c r="H184" s="49"/>
      <c r="I184" s="51">
        <f t="shared" si="9"/>
        <v>14.00000000000003</v>
      </c>
      <c r="J184" s="51">
        <f t="shared" si="10"/>
        <v>78.999999999999204</v>
      </c>
      <c r="K184" s="52">
        <f t="shared" si="38"/>
        <v>5.4619000000000001E-2</v>
      </c>
      <c r="L184" s="53">
        <f t="shared" si="5"/>
        <v>0.94538100000000003</v>
      </c>
      <c r="M184" s="52">
        <f t="shared" si="11"/>
        <v>4.6845641897062945E-2</v>
      </c>
      <c r="N184" s="58">
        <f t="shared" si="6"/>
        <v>0.27144993255442484</v>
      </c>
      <c r="Q184" s="51">
        <f t="shared" si="12"/>
        <v>14.00000000000003</v>
      </c>
      <c r="R184" s="52">
        <f t="shared" si="13"/>
        <v>4.6845641897062945E-2</v>
      </c>
      <c r="S184" s="58">
        <f t="shared" si="51"/>
        <v>4.5428151614445507E-7</v>
      </c>
      <c r="T184" s="52">
        <f t="shared" si="30"/>
        <v>2.128110922575796E-8</v>
      </c>
    </row>
    <row r="185" spans="2:20" ht="15.75" customHeight="1" x14ac:dyDescent="0.25">
      <c r="B185" s="33">
        <f t="shared" ref="B185:B195" si="61">B184+1/12</f>
        <v>27.083333333333332</v>
      </c>
      <c r="C185" s="34"/>
      <c r="D185" s="35">
        <f t="shared" ref="D185:D195" si="62">(B185-$B$184)*$D$184</f>
        <v>1.0058333333333191E-4</v>
      </c>
      <c r="E185" s="36">
        <f>E184-(1/12)*F184</f>
        <v>989430.60038441815</v>
      </c>
      <c r="F185" s="36">
        <f t="shared" ref="F185:F195" si="63">E185-E186</f>
        <v>99.530238971929066</v>
      </c>
      <c r="G185" s="31">
        <f t="shared" si="0"/>
        <v>0.99989941666666671</v>
      </c>
      <c r="H185" s="37"/>
      <c r="I185" s="51">
        <f t="shared" si="9"/>
        <v>14.083333333333364</v>
      </c>
      <c r="J185" s="51">
        <f t="shared" si="10"/>
        <v>79.083333333332533</v>
      </c>
      <c r="K185" s="52">
        <f t="shared" si="38"/>
        <v>4.5515833333333328E-3</v>
      </c>
      <c r="L185" s="53">
        <f t="shared" si="5"/>
        <v>0.99544841666666661</v>
      </c>
      <c r="M185" s="52">
        <f t="shared" si="11"/>
        <v>4.4286979782287267E-2</v>
      </c>
      <c r="N185" s="58">
        <f t="shared" si="6"/>
        <v>0.2694905681288875</v>
      </c>
      <c r="Q185" s="51">
        <f t="shared" si="12"/>
        <v>14.083333333333364</v>
      </c>
      <c r="R185" s="52">
        <f t="shared" si="13"/>
        <v>4.4286979782287267E-2</v>
      </c>
      <c r="S185" s="58">
        <f t="shared" si="51"/>
        <v>4.1645784653209157E-7</v>
      </c>
      <c r="T185" s="52">
        <f t="shared" si="30"/>
        <v>1.8443660229541634E-8</v>
      </c>
    </row>
    <row r="186" spans="2:20" ht="15.75" customHeight="1" x14ac:dyDescent="0.25">
      <c r="B186" s="33">
        <f t="shared" si="61"/>
        <v>27.166666666666664</v>
      </c>
      <c r="C186" s="34"/>
      <c r="D186" s="35">
        <f t="shared" si="62"/>
        <v>2.0116666666666381E-4</v>
      </c>
      <c r="E186" s="36">
        <f>E184-(2/12)*F184</f>
        <v>989331.07014544623</v>
      </c>
      <c r="F186" s="36">
        <f t="shared" si="63"/>
        <v>99.530238971812651</v>
      </c>
      <c r="G186" s="31">
        <f t="shared" si="0"/>
        <v>0.9997988333333333</v>
      </c>
      <c r="H186" s="32"/>
      <c r="I186" s="51">
        <f t="shared" si="9"/>
        <v>14.166666666666698</v>
      </c>
      <c r="J186" s="51">
        <f t="shared" si="10"/>
        <v>79.166666666665861</v>
      </c>
      <c r="K186" s="52">
        <f t="shared" si="38"/>
        <v>9.1031666666666657E-3</v>
      </c>
      <c r="L186" s="53">
        <f t="shared" si="5"/>
        <v>0.99089683333333334</v>
      </c>
      <c r="M186" s="52">
        <f t="shared" si="11"/>
        <v>4.4085403903226537E-2</v>
      </c>
      <c r="N186" s="58">
        <f t="shared" si="6"/>
        <v>0.26754534667592683</v>
      </c>
      <c r="Q186" s="51">
        <f t="shared" si="12"/>
        <v>14.166666666666698</v>
      </c>
      <c r="R186" s="52">
        <f t="shared" si="13"/>
        <v>4.4085403903226537E-2</v>
      </c>
      <c r="S186" s="58">
        <f t="shared" si="51"/>
        <v>3.8178339151927306E-7</v>
      </c>
      <c r="T186" s="52">
        <f t="shared" si="30"/>
        <v>1.6831075018670827E-8</v>
      </c>
    </row>
    <row r="187" spans="2:20" ht="15.75" customHeight="1" x14ac:dyDescent="0.25">
      <c r="B187" s="33">
        <f t="shared" si="61"/>
        <v>27.249999999999996</v>
      </c>
      <c r="C187" s="34"/>
      <c r="D187" s="35">
        <f t="shared" si="62"/>
        <v>3.0174999999999571E-4</v>
      </c>
      <c r="E187" s="36">
        <f>E184-(3/12)*F184</f>
        <v>989231.53990647441</v>
      </c>
      <c r="F187" s="36">
        <f t="shared" si="63"/>
        <v>99.530238971929066</v>
      </c>
      <c r="G187" s="31">
        <f t="shared" si="0"/>
        <v>0.99969825000000001</v>
      </c>
      <c r="H187" s="32"/>
      <c r="I187" s="51">
        <f t="shared" si="9"/>
        <v>14.250000000000032</v>
      </c>
      <c r="J187" s="51">
        <f t="shared" si="10"/>
        <v>79.24999999999919</v>
      </c>
      <c r="K187" s="52">
        <f t="shared" si="38"/>
        <v>1.365475E-2</v>
      </c>
      <c r="L187" s="53">
        <f t="shared" si="5"/>
        <v>0.98634524999999995</v>
      </c>
      <c r="M187" s="52">
        <f t="shared" si="11"/>
        <v>4.3684087123928149E-2</v>
      </c>
      <c r="N187" s="58">
        <f t="shared" si="6"/>
        <v>0.26561416610954464</v>
      </c>
      <c r="Q187" s="51">
        <f t="shared" si="12"/>
        <v>14.250000000000032</v>
      </c>
      <c r="R187" s="52">
        <f t="shared" si="13"/>
        <v>4.3684087123928149E-2</v>
      </c>
      <c r="S187" s="58">
        <f t="shared" si="51"/>
        <v>3.499959461772949E-7</v>
      </c>
      <c r="T187" s="52">
        <f t="shared" si="30"/>
        <v>1.5289253405830618E-8</v>
      </c>
    </row>
    <row r="188" spans="2:20" ht="15.75" customHeight="1" x14ac:dyDescent="0.25">
      <c r="B188" s="33">
        <f t="shared" si="61"/>
        <v>27.333333333333329</v>
      </c>
      <c r="C188" s="34"/>
      <c r="D188" s="35">
        <f t="shared" si="62"/>
        <v>4.0233333333332763E-4</v>
      </c>
      <c r="E188" s="36">
        <f>E184-(4/12)*F184</f>
        <v>989132.00966750248</v>
      </c>
      <c r="F188" s="36">
        <f t="shared" si="63"/>
        <v>99.530238971812651</v>
      </c>
      <c r="G188" s="31">
        <f t="shared" si="0"/>
        <v>0.99959766666666672</v>
      </c>
      <c r="H188" s="32"/>
      <c r="I188" s="51">
        <f t="shared" si="9"/>
        <v>14.333333333333366</v>
      </c>
      <c r="J188" s="51">
        <f t="shared" si="10"/>
        <v>79.333333333332519</v>
      </c>
      <c r="K188" s="52">
        <f t="shared" si="38"/>
        <v>1.8206333333333331E-2</v>
      </c>
      <c r="L188" s="53">
        <f t="shared" si="5"/>
        <v>0.98179366666666668</v>
      </c>
      <c r="M188" s="52">
        <f t="shared" si="11"/>
        <v>4.3087591835272686E-2</v>
      </c>
      <c r="N188" s="58">
        <f t="shared" si="6"/>
        <v>0.26369692508061399</v>
      </c>
      <c r="Q188" s="51">
        <f t="shared" si="12"/>
        <v>14.333333333333366</v>
      </c>
      <c r="R188" s="52">
        <f t="shared" si="13"/>
        <v>4.3087591835272686E-2</v>
      </c>
      <c r="S188" s="58">
        <f t="shared" si="51"/>
        <v>3.2085513686981968E-7</v>
      </c>
      <c r="T188" s="52">
        <f t="shared" si="30"/>
        <v>1.3824875175697342E-8</v>
      </c>
    </row>
    <row r="189" spans="2:20" ht="15.75" customHeight="1" x14ac:dyDescent="0.25">
      <c r="B189" s="33">
        <f t="shared" si="61"/>
        <v>27.416666666666661</v>
      </c>
      <c r="C189" s="34"/>
      <c r="D189" s="35">
        <f t="shared" si="62"/>
        <v>5.0291666666665955E-4</v>
      </c>
      <c r="E189" s="36">
        <f>E184-(5/12)*F184</f>
        <v>989032.47942853067</v>
      </c>
      <c r="F189" s="36">
        <f t="shared" si="63"/>
        <v>99.530238971929066</v>
      </c>
      <c r="G189" s="31">
        <f t="shared" si="0"/>
        <v>0.99949708333333331</v>
      </c>
      <c r="H189" s="32"/>
      <c r="I189" s="51">
        <f t="shared" si="9"/>
        <v>14.4166666666667</v>
      </c>
      <c r="J189" s="51">
        <f t="shared" si="10"/>
        <v>79.416666666665847</v>
      </c>
      <c r="K189" s="52">
        <f t="shared" si="38"/>
        <v>2.2757916666666669E-2</v>
      </c>
      <c r="L189" s="53">
        <f t="shared" si="5"/>
        <v>0.97724208333333329</v>
      </c>
      <c r="M189" s="52">
        <f t="shared" si="11"/>
        <v>4.2303124775789097E-2</v>
      </c>
      <c r="N189" s="58">
        <f t="shared" si="6"/>
        <v>0.26179352297156039</v>
      </c>
      <c r="Q189" s="51">
        <f t="shared" si="12"/>
        <v>14.4166666666667</v>
      </c>
      <c r="R189" s="52">
        <f t="shared" si="13"/>
        <v>4.2303124775789097E-2</v>
      </c>
      <c r="S189" s="58">
        <f t="shared" si="51"/>
        <v>2.94140603570308E-7</v>
      </c>
      <c r="T189" s="52">
        <f t="shared" si="30"/>
        <v>1.2443066654460656E-8</v>
      </c>
    </row>
    <row r="190" spans="2:20" ht="15.75" customHeight="1" x14ac:dyDescent="0.25">
      <c r="B190" s="33">
        <f t="shared" si="61"/>
        <v>27.499999999999993</v>
      </c>
      <c r="C190" s="34"/>
      <c r="D190" s="35">
        <f t="shared" si="62"/>
        <v>6.0349999999999141E-4</v>
      </c>
      <c r="E190" s="36">
        <f>E184-(6/12)*F184</f>
        <v>988932.94918955874</v>
      </c>
      <c r="F190" s="36">
        <f t="shared" si="63"/>
        <v>99.530238971812651</v>
      </c>
      <c r="G190" s="31">
        <f t="shared" si="0"/>
        <v>0.99939650000000002</v>
      </c>
      <c r="H190" s="32"/>
      <c r="I190" s="51">
        <f t="shared" si="9"/>
        <v>14.500000000000034</v>
      </c>
      <c r="J190" s="51">
        <f t="shared" si="10"/>
        <v>79.499999999999176</v>
      </c>
      <c r="K190" s="52">
        <f t="shared" si="38"/>
        <v>2.73095E-2</v>
      </c>
      <c r="L190" s="53">
        <f t="shared" si="5"/>
        <v>0.97269050000000001</v>
      </c>
      <c r="M190" s="52">
        <f t="shared" si="11"/>
        <v>4.1340393787402084E-2</v>
      </c>
      <c r="N190" s="58">
        <f t="shared" si="6"/>
        <v>0.25990385989108156</v>
      </c>
      <c r="Q190" s="51">
        <f t="shared" si="12"/>
        <v>14.500000000000034</v>
      </c>
      <c r="R190" s="52">
        <f t="shared" si="13"/>
        <v>4.1340393787402084E-2</v>
      </c>
      <c r="S190" s="58">
        <f t="shared" si="51"/>
        <v>2.6965033352047716E-7</v>
      </c>
      <c r="T190" s="52">
        <f t="shared" si="30"/>
        <v>1.1147450972640834E-8</v>
      </c>
    </row>
    <row r="191" spans="2:20" ht="15.75" customHeight="1" x14ac:dyDescent="0.25">
      <c r="B191" s="33">
        <f t="shared" si="61"/>
        <v>27.583333333333325</v>
      </c>
      <c r="C191" s="34"/>
      <c r="D191" s="35">
        <f t="shared" si="62"/>
        <v>7.0408333333332328E-4</v>
      </c>
      <c r="E191" s="36">
        <f>E184-(7/12)*F184</f>
        <v>988833.41895058693</v>
      </c>
      <c r="F191" s="36">
        <f t="shared" si="63"/>
        <v>99.530238971929066</v>
      </c>
      <c r="G191" s="31">
        <f t="shared" si="0"/>
        <v>0.99929591666666673</v>
      </c>
      <c r="H191" s="32"/>
      <c r="I191" s="51">
        <f t="shared" si="9"/>
        <v>14.583333333333368</v>
      </c>
      <c r="J191" s="51">
        <f t="shared" si="10"/>
        <v>79.583333333332504</v>
      </c>
      <c r="K191" s="52">
        <f t="shared" si="38"/>
        <v>3.1861083333333338E-2</v>
      </c>
      <c r="L191" s="53">
        <f t="shared" si="5"/>
        <v>0.96813891666666663</v>
      </c>
      <c r="M191" s="52">
        <f t="shared" si="11"/>
        <v>4.0211408303265028E-2</v>
      </c>
      <c r="N191" s="58">
        <f t="shared" si="6"/>
        <v>0.25802783666890472</v>
      </c>
      <c r="Q191" s="51">
        <f t="shared" si="12"/>
        <v>14.583333333333368</v>
      </c>
      <c r="R191" s="52">
        <f t="shared" si="13"/>
        <v>4.0211408303265028E-2</v>
      </c>
      <c r="S191" s="58">
        <f t="shared" si="51"/>
        <v>2.4719913362904475E-7</v>
      </c>
      <c r="T191" s="52">
        <f t="shared" si="30"/>
        <v>9.9402252945708917E-9</v>
      </c>
    </row>
    <row r="192" spans="2:20" ht="15.75" customHeight="1" x14ac:dyDescent="0.25">
      <c r="B192" s="33">
        <f t="shared" si="61"/>
        <v>27.666666666666657</v>
      </c>
      <c r="C192" s="34"/>
      <c r="D192" s="35">
        <f t="shared" si="62"/>
        <v>8.0466666666665525E-4</v>
      </c>
      <c r="E192" s="36">
        <f>E184-(8/12)*F184</f>
        <v>988733.888711615</v>
      </c>
      <c r="F192" s="36">
        <f t="shared" si="63"/>
        <v>99.530238971812651</v>
      </c>
      <c r="G192" s="31">
        <f t="shared" si="0"/>
        <v>0.99919533333333332</v>
      </c>
      <c r="H192" s="32"/>
      <c r="I192" s="51">
        <f t="shared" si="9"/>
        <v>14.666666666666702</v>
      </c>
      <c r="J192" s="51">
        <f t="shared" si="10"/>
        <v>79.666666666665833</v>
      </c>
      <c r="K192" s="52">
        <f t="shared" si="38"/>
        <v>3.6412666666666663E-2</v>
      </c>
      <c r="L192" s="53">
        <f t="shared" si="5"/>
        <v>0.96358733333333335</v>
      </c>
      <c r="M192" s="52">
        <f t="shared" si="11"/>
        <v>3.893022927236401E-2</v>
      </c>
      <c r="N192" s="58">
        <f t="shared" si="6"/>
        <v>0.25616535485058245</v>
      </c>
      <c r="Q192" s="51">
        <f t="shared" si="12"/>
        <v>14.666666666666702</v>
      </c>
      <c r="R192" s="52">
        <f t="shared" si="13"/>
        <v>3.893022927236401E-2</v>
      </c>
      <c r="S192" s="58">
        <f t="shared" si="51"/>
        <v>2.2661723005920129E-7</v>
      </c>
      <c r="T192" s="52">
        <f t="shared" si="30"/>
        <v>8.8222607232727678E-9</v>
      </c>
    </row>
    <row r="193" spans="2:20" ht="15.75" customHeight="1" x14ac:dyDescent="0.25">
      <c r="B193" s="33">
        <f t="shared" si="61"/>
        <v>27.749999999999989</v>
      </c>
      <c r="C193" s="34"/>
      <c r="D193" s="35">
        <f t="shared" si="62"/>
        <v>9.0524999999998712E-4</v>
      </c>
      <c r="E193" s="36">
        <f>E184-(9/12)*F184</f>
        <v>988634.35847264319</v>
      </c>
      <c r="F193" s="36">
        <f t="shared" si="63"/>
        <v>99.530238971929066</v>
      </c>
      <c r="G193" s="31">
        <f t="shared" si="0"/>
        <v>0.99909475000000003</v>
      </c>
      <c r="H193" s="32"/>
      <c r="I193" s="51">
        <f t="shared" si="9"/>
        <v>14.750000000000036</v>
      </c>
      <c r="J193" s="51">
        <f t="shared" si="10"/>
        <v>79.749999999999162</v>
      </c>
      <c r="K193" s="52">
        <f t="shared" si="38"/>
        <v>4.0964250000000001E-2</v>
      </c>
      <c r="L193" s="53">
        <f t="shared" si="5"/>
        <v>0.95903574999999996</v>
      </c>
      <c r="M193" s="52">
        <f t="shared" si="11"/>
        <v>3.751267581061251E-2</v>
      </c>
      <c r="N193" s="58">
        <f t="shared" si="6"/>
        <v>0.25431631669232563</v>
      </c>
      <c r="Q193" s="51">
        <f t="shared" si="12"/>
        <v>14.750000000000036</v>
      </c>
      <c r="R193" s="52">
        <f t="shared" si="13"/>
        <v>3.751267581061251E-2</v>
      </c>
      <c r="S193" s="58">
        <f t="shared" si="51"/>
        <v>2.0774898441501227E-7</v>
      </c>
      <c r="T193" s="52">
        <f t="shared" si="30"/>
        <v>7.7932203023443454E-9</v>
      </c>
    </row>
    <row r="194" spans="2:20" ht="15.75" customHeight="1" x14ac:dyDescent="0.25">
      <c r="B194" s="33">
        <f t="shared" si="61"/>
        <v>27.833333333333321</v>
      </c>
      <c r="C194" s="34"/>
      <c r="D194" s="35">
        <f t="shared" si="62"/>
        <v>1.0058333333333191E-3</v>
      </c>
      <c r="E194" s="36">
        <f>E184-(10/12)*F184</f>
        <v>988534.82823367126</v>
      </c>
      <c r="F194" s="36">
        <f t="shared" si="63"/>
        <v>99.530238971812651</v>
      </c>
      <c r="G194" s="31">
        <f t="shared" si="0"/>
        <v>0.99899416666666663</v>
      </c>
      <c r="H194" s="32"/>
      <c r="I194" s="51">
        <f t="shared" si="9"/>
        <v>14.833333333333369</v>
      </c>
      <c r="J194" s="51">
        <f t="shared" si="10"/>
        <v>79.83333333333249</v>
      </c>
      <c r="K194" s="52">
        <f t="shared" si="38"/>
        <v>4.5515833333333339E-2</v>
      </c>
      <c r="L194" s="53">
        <f t="shared" si="5"/>
        <v>0.95448416666666669</v>
      </c>
      <c r="M194" s="52">
        <f t="shared" si="11"/>
        <v>3.5975997180537622E-2</v>
      </c>
      <c r="N194" s="58">
        <f t="shared" si="6"/>
        <v>0.25248062515587361</v>
      </c>
      <c r="Q194" s="51">
        <f t="shared" si="12"/>
        <v>14.833333333333369</v>
      </c>
      <c r="R194" s="52">
        <f t="shared" si="13"/>
        <v>3.5975997180537622E-2</v>
      </c>
      <c r="S194" s="58">
        <f t="shared" si="51"/>
        <v>1.9045171681868193E-7</v>
      </c>
      <c r="T194" s="52">
        <f t="shared" si="30"/>
        <v>6.8516904272974504E-9</v>
      </c>
    </row>
    <row r="195" spans="2:20" ht="15.75" customHeight="1" x14ac:dyDescent="0.25">
      <c r="B195" s="33">
        <f t="shared" si="61"/>
        <v>27.916666666666654</v>
      </c>
      <c r="C195" s="34"/>
      <c r="D195" s="35">
        <f t="shared" si="62"/>
        <v>1.106416666666651E-3</v>
      </c>
      <c r="E195" s="36">
        <f>E184-(11/12)*F184</f>
        <v>988435.29799469945</v>
      </c>
      <c r="F195" s="36">
        <f t="shared" si="63"/>
        <v>99.530238971929066</v>
      </c>
      <c r="G195" s="31">
        <f t="shared" si="0"/>
        <v>0.99889358333333333</v>
      </c>
      <c r="H195" s="32"/>
      <c r="I195" s="51">
        <f t="shared" si="9"/>
        <v>14.916666666666703</v>
      </c>
      <c r="J195" s="51">
        <f t="shared" si="10"/>
        <v>79.916666666665819</v>
      </c>
      <c r="K195" s="52">
        <f t="shared" si="38"/>
        <v>5.0067416666666663E-2</v>
      </c>
      <c r="L195" s="53">
        <f t="shared" si="5"/>
        <v>0.9499325833333333</v>
      </c>
      <c r="M195" s="52">
        <f t="shared" si="11"/>
        <v>3.4338519688867801E-2</v>
      </c>
      <c r="N195" s="58">
        <f t="shared" si="6"/>
        <v>0.25065818390340189</v>
      </c>
      <c r="Q195" s="51">
        <f t="shared" si="12"/>
        <v>14.916666666666703</v>
      </c>
      <c r="R195" s="52">
        <f t="shared" si="13"/>
        <v>3.4338519688867801E-2</v>
      </c>
      <c r="S195" s="58">
        <f t="shared" si="51"/>
        <v>1.7459462697889472E-7</v>
      </c>
      <c r="T195" s="52">
        <f t="shared" si="30"/>
        <v>5.9953210360853057E-9</v>
      </c>
    </row>
    <row r="196" spans="2:20" ht="15.75" customHeight="1" x14ac:dyDescent="0.25">
      <c r="B196" s="27">
        <v>28</v>
      </c>
      <c r="C196" s="28">
        <v>1.3</v>
      </c>
      <c r="D196" s="29">
        <f>C196/1000</f>
        <v>1.2999999999999999E-3</v>
      </c>
      <c r="E196" s="30">
        <f>E184-F184</f>
        <v>988335.76775572752</v>
      </c>
      <c r="F196" s="48">
        <f>D196*E196</f>
        <v>1284.8364980824458</v>
      </c>
      <c r="G196" s="31">
        <f t="shared" si="0"/>
        <v>0.99870000000000003</v>
      </c>
      <c r="H196" s="49"/>
      <c r="I196" s="51">
        <f t="shared" si="9"/>
        <v>15.000000000000037</v>
      </c>
      <c r="J196" s="51">
        <f t="shared" si="10"/>
        <v>79.999999999999147</v>
      </c>
      <c r="K196" s="52">
        <f t="shared" si="38"/>
        <v>5.8591999999999998E-2</v>
      </c>
      <c r="L196" s="53">
        <f t="shared" si="5"/>
        <v>0.94140800000000002</v>
      </c>
      <c r="M196" s="52">
        <f t="shared" si="11"/>
        <v>3.2619278715888718E-2</v>
      </c>
      <c r="N196" s="58">
        <f t="shared" si="6"/>
        <v>0.24884889729246623</v>
      </c>
      <c r="Q196" s="51">
        <f t="shared" si="12"/>
        <v>15.000000000000037</v>
      </c>
      <c r="R196" s="52">
        <f t="shared" si="13"/>
        <v>3.2619278715888718E-2</v>
      </c>
      <c r="S196" s="58">
        <f t="shared" si="51"/>
        <v>1.6005780509146484E-7</v>
      </c>
      <c r="T196" s="52">
        <f t="shared" si="30"/>
        <v>5.2209701549318837E-9</v>
      </c>
    </row>
    <row r="197" spans="2:20" ht="15.75" customHeight="1" x14ac:dyDescent="0.25">
      <c r="B197" s="33">
        <f t="shared" ref="B197:B207" si="64">B196+1/12</f>
        <v>28.083333333333332</v>
      </c>
      <c r="C197" s="34"/>
      <c r="D197" s="35">
        <f t="shared" ref="D197:D207" si="65">(B197-$B$196)*$D$196</f>
        <v>1.0833333333333178E-4</v>
      </c>
      <c r="E197" s="36">
        <f>E196-(1/12)*F196</f>
        <v>988228.698047554</v>
      </c>
      <c r="F197" s="36">
        <f t="shared" ref="F197:F207" si="66">E197-E198</f>
        <v>107.06970817351248</v>
      </c>
      <c r="G197" s="31">
        <f t="shared" si="0"/>
        <v>0.99989166666666662</v>
      </c>
      <c r="H197" s="37"/>
      <c r="I197" s="51">
        <f t="shared" si="9"/>
        <v>15.083333333333371</v>
      </c>
      <c r="J197" s="51">
        <f t="shared" si="10"/>
        <v>80.083333333332476</v>
      </c>
      <c r="K197" s="52">
        <f t="shared" si="38"/>
        <v>4.8826666666666662E-3</v>
      </c>
      <c r="L197" s="53">
        <f t="shared" si="5"/>
        <v>0.9951173333333333</v>
      </c>
      <c r="M197" s="52">
        <f t="shared" si="11"/>
        <v>3.0708049937367365E-2</v>
      </c>
      <c r="N197" s="58">
        <f t="shared" si="6"/>
        <v>0.247052670370983</v>
      </c>
      <c r="Q197" s="51">
        <f t="shared" si="12"/>
        <v>15.083333333333371</v>
      </c>
      <c r="R197" s="52">
        <f t="shared" si="13"/>
        <v>3.0708049937367365E-2</v>
      </c>
      <c r="S197" s="58">
        <f t="shared" si="51"/>
        <v>1.4673132509280597E-7</v>
      </c>
      <c r="T197" s="52">
        <f t="shared" si="30"/>
        <v>4.5058328583259712E-9</v>
      </c>
    </row>
    <row r="198" spans="2:20" ht="15.75" customHeight="1" x14ac:dyDescent="0.25">
      <c r="B198" s="33">
        <f t="shared" si="64"/>
        <v>28.166666666666664</v>
      </c>
      <c r="C198" s="34"/>
      <c r="D198" s="35">
        <f t="shared" si="65"/>
        <v>2.1666666666666357E-4</v>
      </c>
      <c r="E198" s="36">
        <f>E196-(2/12)*F196</f>
        <v>988121.62833938049</v>
      </c>
      <c r="F198" s="36">
        <f t="shared" si="66"/>
        <v>107.0697081736289</v>
      </c>
      <c r="G198" s="31">
        <f t="shared" si="0"/>
        <v>0.99978333333333336</v>
      </c>
      <c r="H198" s="32"/>
      <c r="I198" s="51">
        <f t="shared" si="9"/>
        <v>15.166666666666705</v>
      </c>
      <c r="J198" s="51">
        <f t="shared" si="10"/>
        <v>80.166666666665805</v>
      </c>
      <c r="K198" s="52">
        <f t="shared" si="38"/>
        <v>9.7653333333333325E-3</v>
      </c>
      <c r="L198" s="53">
        <f t="shared" si="5"/>
        <v>0.99023466666666671</v>
      </c>
      <c r="M198" s="52">
        <f t="shared" si="11"/>
        <v>3.0558112765539845E-2</v>
      </c>
      <c r="N198" s="58">
        <f t="shared" si="6"/>
        <v>0.24526940887224655</v>
      </c>
      <c r="Q198" s="51">
        <f t="shared" si="12"/>
        <v>15.166666666666705</v>
      </c>
      <c r="R198" s="52">
        <f t="shared" si="13"/>
        <v>3.0558112765539845E-2</v>
      </c>
      <c r="S198" s="58">
        <f t="shared" si="51"/>
        <v>1.3451441340950144E-7</v>
      </c>
      <c r="T198" s="52">
        <f t="shared" si="30"/>
        <v>4.1105066135579901E-9</v>
      </c>
    </row>
    <row r="199" spans="2:20" ht="15.75" customHeight="1" x14ac:dyDescent="0.25">
      <c r="B199" s="33">
        <f t="shared" si="64"/>
        <v>28.249999999999996</v>
      </c>
      <c r="C199" s="34"/>
      <c r="D199" s="35">
        <f t="shared" si="65"/>
        <v>3.2499999999999538E-4</v>
      </c>
      <c r="E199" s="36">
        <f>E196-(3/12)*F196</f>
        <v>988014.55863120686</v>
      </c>
      <c r="F199" s="36">
        <f t="shared" si="66"/>
        <v>107.06970817351248</v>
      </c>
      <c r="G199" s="31">
        <f t="shared" si="0"/>
        <v>0.99967499999999998</v>
      </c>
      <c r="H199" s="32"/>
      <c r="I199" s="51">
        <f t="shared" si="9"/>
        <v>15.250000000000039</v>
      </c>
      <c r="J199" s="51">
        <f t="shared" si="10"/>
        <v>80.249999999999133</v>
      </c>
      <c r="K199" s="52">
        <f t="shared" si="38"/>
        <v>1.4648E-2</v>
      </c>
      <c r="L199" s="53">
        <f t="shared" si="5"/>
        <v>0.98535200000000001</v>
      </c>
      <c r="M199" s="52">
        <f t="shared" si="11"/>
        <v>3.0259702608346761E-2</v>
      </c>
      <c r="N199" s="58">
        <f t="shared" si="6"/>
        <v>0.24349901920998168</v>
      </c>
      <c r="Q199" s="51">
        <f t="shared" si="12"/>
        <v>15.250000000000039</v>
      </c>
      <c r="R199" s="52">
        <f t="shared" si="13"/>
        <v>3.0259702608346761E-2</v>
      </c>
      <c r="S199" s="58">
        <f t="shared" si="51"/>
        <v>1.2331468691813349E-7</v>
      </c>
      <c r="T199" s="52">
        <f t="shared" si="30"/>
        <v>3.7314657533841084E-9</v>
      </c>
    </row>
    <row r="200" spans="2:20" ht="15.75" customHeight="1" x14ac:dyDescent="0.25">
      <c r="B200" s="33">
        <f t="shared" si="64"/>
        <v>28.333333333333329</v>
      </c>
      <c r="C200" s="34"/>
      <c r="D200" s="35">
        <f t="shared" si="65"/>
        <v>4.3333333333332713E-4</v>
      </c>
      <c r="E200" s="36">
        <f>E196-(4/12)*F196</f>
        <v>987907.48892303335</v>
      </c>
      <c r="F200" s="36">
        <f t="shared" si="66"/>
        <v>107.06970817351248</v>
      </c>
      <c r="G200" s="31">
        <f t="shared" si="0"/>
        <v>0.99956666666666671</v>
      </c>
      <c r="H200" s="32"/>
      <c r="I200" s="51">
        <f t="shared" si="9"/>
        <v>15.333333333333373</v>
      </c>
      <c r="J200" s="51">
        <f t="shared" si="10"/>
        <v>80.333333333332462</v>
      </c>
      <c r="K200" s="52">
        <f t="shared" si="38"/>
        <v>1.9530666666666665E-2</v>
      </c>
      <c r="L200" s="53">
        <f t="shared" si="5"/>
        <v>0.9804693333333333</v>
      </c>
      <c r="M200" s="52">
        <f t="shared" si="11"/>
        <v>2.9816458484539697E-2</v>
      </c>
      <c r="N200" s="58">
        <f t="shared" si="6"/>
        <v>0.24174140847343231</v>
      </c>
      <c r="Q200" s="51">
        <f t="shared" si="12"/>
        <v>15.333333333333373</v>
      </c>
      <c r="R200" s="52">
        <f t="shared" si="13"/>
        <v>2.9816458484539697E-2</v>
      </c>
      <c r="S200" s="58">
        <f t="shared" si="51"/>
        <v>1.1304745435289645E-7</v>
      </c>
      <c r="T200" s="52">
        <f t="shared" si="30"/>
        <v>3.3706747294960337E-9</v>
      </c>
    </row>
    <row r="201" spans="2:20" ht="15.75" customHeight="1" x14ac:dyDescent="0.25">
      <c r="B201" s="33">
        <f t="shared" si="64"/>
        <v>28.416666666666661</v>
      </c>
      <c r="C201" s="34"/>
      <c r="D201" s="35">
        <f t="shared" si="65"/>
        <v>5.4166666666665894E-4</v>
      </c>
      <c r="E201" s="36">
        <f>E196-(5/12)*F196</f>
        <v>987800.41921485984</v>
      </c>
      <c r="F201" s="36">
        <f t="shared" si="66"/>
        <v>107.06970817351248</v>
      </c>
      <c r="G201" s="31">
        <f t="shared" si="0"/>
        <v>0.99945833333333334</v>
      </c>
      <c r="H201" s="32"/>
      <c r="I201" s="51">
        <f t="shared" si="9"/>
        <v>15.416666666666707</v>
      </c>
      <c r="J201" s="51">
        <f t="shared" si="10"/>
        <v>80.41666666666579</v>
      </c>
      <c r="K201" s="52">
        <f t="shared" si="38"/>
        <v>2.4413333333333332E-2</v>
      </c>
      <c r="L201" s="53">
        <f t="shared" si="5"/>
        <v>0.97558666666666671</v>
      </c>
      <c r="M201" s="52">
        <f t="shared" si="11"/>
        <v>2.9234123172697645E-2</v>
      </c>
      <c r="N201" s="58">
        <f t="shared" si="6"/>
        <v>0.23999648442248536</v>
      </c>
      <c r="Q201" s="51">
        <f t="shared" si="12"/>
        <v>15.416666666666707</v>
      </c>
      <c r="R201" s="52">
        <f t="shared" si="13"/>
        <v>2.9234123172697645E-2</v>
      </c>
      <c r="S201" s="58">
        <f t="shared" si="51"/>
        <v>1.0363507587830531E-7</v>
      </c>
      <c r="T201" s="52">
        <f t="shared" si="30"/>
        <v>3.0296805732382439E-9</v>
      </c>
    </row>
    <row r="202" spans="2:20" ht="15.75" customHeight="1" x14ac:dyDescent="0.25">
      <c r="B202" s="33">
        <f t="shared" si="64"/>
        <v>28.499999999999993</v>
      </c>
      <c r="C202" s="34"/>
      <c r="D202" s="35">
        <f t="shared" si="65"/>
        <v>6.4999999999999075E-4</v>
      </c>
      <c r="E202" s="36">
        <f>E196-(6/12)*F196</f>
        <v>987693.34950668633</v>
      </c>
      <c r="F202" s="36">
        <f t="shared" si="66"/>
        <v>107.06970817351248</v>
      </c>
      <c r="G202" s="31">
        <f t="shared" si="0"/>
        <v>0.99934999999999996</v>
      </c>
      <c r="H202" s="32"/>
      <c r="I202" s="51">
        <f t="shared" si="9"/>
        <v>15.500000000000041</v>
      </c>
      <c r="J202" s="51">
        <f t="shared" si="10"/>
        <v>80.499999999999119</v>
      </c>
      <c r="K202" s="52">
        <f t="shared" si="38"/>
        <v>2.9295999999999999E-2</v>
      </c>
      <c r="L202" s="53">
        <f t="shared" si="5"/>
        <v>0.97070400000000001</v>
      </c>
      <c r="M202" s="52">
        <f t="shared" si="11"/>
        <v>2.8520420778974855E-2</v>
      </c>
      <c r="N202" s="58">
        <f t="shared" si="6"/>
        <v>0.23826415548283025</v>
      </c>
      <c r="Q202" s="51">
        <f t="shared" si="12"/>
        <v>15.500000000000041</v>
      </c>
      <c r="R202" s="52">
        <f t="shared" si="13"/>
        <v>2.8520420778974855E-2</v>
      </c>
      <c r="S202" s="58">
        <f t="shared" si="51"/>
        <v>9.5006375984148266E-8</v>
      </c>
      <c r="T202" s="52">
        <f t="shared" si="30"/>
        <v>2.7096218197533999E-9</v>
      </c>
    </row>
    <row r="203" spans="2:20" ht="15.75" customHeight="1" x14ac:dyDescent="0.25">
      <c r="B203" s="33">
        <f t="shared" si="64"/>
        <v>28.583333333333325</v>
      </c>
      <c r="C203" s="34"/>
      <c r="D203" s="35">
        <f t="shared" si="65"/>
        <v>7.5833333333332256E-4</v>
      </c>
      <c r="E203" s="36">
        <f>E196-(7/12)*F196</f>
        <v>987586.27979851281</v>
      </c>
      <c r="F203" s="36">
        <f t="shared" si="66"/>
        <v>107.0697081736289</v>
      </c>
      <c r="G203" s="31">
        <f t="shared" si="0"/>
        <v>0.99924166666666669</v>
      </c>
      <c r="H203" s="32"/>
      <c r="I203" s="51">
        <f t="shared" si="9"/>
        <v>15.583333333333375</v>
      </c>
      <c r="J203" s="51">
        <f t="shared" si="10"/>
        <v>80.583333333332448</v>
      </c>
      <c r="K203" s="52">
        <f t="shared" si="38"/>
        <v>3.417866666666667E-2</v>
      </c>
      <c r="L203" s="53">
        <f t="shared" si="5"/>
        <v>0.96582133333333331</v>
      </c>
      <c r="M203" s="52">
        <f t="shared" si="11"/>
        <v>2.7684886531834006E-2</v>
      </c>
      <c r="N203" s="58">
        <f t="shared" si="6"/>
        <v>0.23654433074115291</v>
      </c>
      <c r="Q203" s="51">
        <f t="shared" si="12"/>
        <v>15.583333333333375</v>
      </c>
      <c r="R203" s="52">
        <f t="shared" si="13"/>
        <v>2.7684886531834006E-2</v>
      </c>
      <c r="S203" s="58">
        <f t="shared" si="51"/>
        <v>8.7096105263052512E-8</v>
      </c>
      <c r="T203" s="52">
        <f t="shared" si="30"/>
        <v>2.4112457915722792E-9</v>
      </c>
    </row>
    <row r="204" spans="2:20" ht="15.75" customHeight="1" x14ac:dyDescent="0.25">
      <c r="B204" s="33">
        <f t="shared" si="64"/>
        <v>28.666666666666657</v>
      </c>
      <c r="C204" s="34"/>
      <c r="D204" s="35">
        <f t="shared" si="65"/>
        <v>8.6666666666665427E-4</v>
      </c>
      <c r="E204" s="36">
        <f>E196-(8/12)*F196</f>
        <v>987479.21009033918</v>
      </c>
      <c r="F204" s="36">
        <f t="shared" si="66"/>
        <v>107.06970817351248</v>
      </c>
      <c r="G204" s="31">
        <f t="shared" si="0"/>
        <v>0.99913333333333332</v>
      </c>
      <c r="H204" s="32"/>
      <c r="I204" s="51">
        <f t="shared" si="9"/>
        <v>15.666666666666709</v>
      </c>
      <c r="J204" s="51">
        <f t="shared" si="10"/>
        <v>80.666666666665776</v>
      </c>
      <c r="K204" s="52">
        <f t="shared" si="38"/>
        <v>3.906133333333333E-2</v>
      </c>
      <c r="L204" s="53">
        <f t="shared" si="5"/>
        <v>0.96093866666666672</v>
      </c>
      <c r="M204" s="52">
        <f t="shared" si="11"/>
        <v>2.6738654023357962E-2</v>
      </c>
      <c r="N204" s="58">
        <f t="shared" si="6"/>
        <v>0.23483691994036437</v>
      </c>
      <c r="Q204" s="51">
        <f t="shared" si="12"/>
        <v>15.666666666666709</v>
      </c>
      <c r="R204" s="52">
        <f t="shared" si="13"/>
        <v>2.6738654023357962E-2</v>
      </c>
      <c r="S204" s="58">
        <f t="shared" si="51"/>
        <v>7.9844447000677326E-8</v>
      </c>
      <c r="T204" s="52">
        <f t="shared" si="30"/>
        <v>2.1349330440374525E-9</v>
      </c>
    </row>
    <row r="205" spans="2:20" ht="15.75" customHeight="1" x14ac:dyDescent="0.25">
      <c r="B205" s="33">
        <f t="shared" si="64"/>
        <v>28.749999999999989</v>
      </c>
      <c r="C205" s="34"/>
      <c r="D205" s="35">
        <f t="shared" si="65"/>
        <v>9.7499999999998608E-4</v>
      </c>
      <c r="E205" s="36">
        <f>E196-(9/12)*F196</f>
        <v>987372.14038216567</v>
      </c>
      <c r="F205" s="36">
        <f t="shared" si="66"/>
        <v>107.06970817351248</v>
      </c>
      <c r="G205" s="31">
        <f t="shared" si="0"/>
        <v>0.99902500000000005</v>
      </c>
      <c r="H205" s="32"/>
      <c r="I205" s="51">
        <f t="shared" si="9"/>
        <v>15.750000000000043</v>
      </c>
      <c r="J205" s="51">
        <f t="shared" si="10"/>
        <v>80.749999999999105</v>
      </c>
      <c r="K205" s="52">
        <f t="shared" si="38"/>
        <v>4.3943999999999997E-2</v>
      </c>
      <c r="L205" s="53">
        <f t="shared" si="5"/>
        <v>0.95605600000000002</v>
      </c>
      <c r="M205" s="52">
        <f t="shared" si="11"/>
        <v>2.5694206545666905E-2</v>
      </c>
      <c r="N205" s="58">
        <f t="shared" si="6"/>
        <v>0.23314183347486428</v>
      </c>
      <c r="Q205" s="51">
        <f t="shared" si="12"/>
        <v>15.750000000000043</v>
      </c>
      <c r="R205" s="52">
        <f t="shared" si="13"/>
        <v>2.5694206545666905E-2</v>
      </c>
      <c r="S205" s="58">
        <f t="shared" si="51"/>
        <v>7.3196564847411158E-8</v>
      </c>
      <c r="T205" s="52">
        <f t="shared" si="30"/>
        <v>1.8807276556226838E-9</v>
      </c>
    </row>
    <row r="206" spans="2:20" ht="15.75" customHeight="1" x14ac:dyDescent="0.25">
      <c r="B206" s="33">
        <f t="shared" si="64"/>
        <v>28.833333333333321</v>
      </c>
      <c r="C206" s="34"/>
      <c r="D206" s="35">
        <f t="shared" si="65"/>
        <v>1.0833333333333179E-3</v>
      </c>
      <c r="E206" s="36">
        <f>E196-(10/12)*F196</f>
        <v>987265.07067399216</v>
      </c>
      <c r="F206" s="36">
        <f t="shared" si="66"/>
        <v>107.06970817351248</v>
      </c>
      <c r="G206" s="31">
        <f t="shared" si="0"/>
        <v>0.99891666666666667</v>
      </c>
      <c r="H206" s="32"/>
      <c r="I206" s="51">
        <f t="shared" si="9"/>
        <v>15.833333333333377</v>
      </c>
      <c r="J206" s="51">
        <f t="shared" si="10"/>
        <v>80.833333333332433</v>
      </c>
      <c r="K206" s="52">
        <f t="shared" si="38"/>
        <v>4.8826666666666664E-2</v>
      </c>
      <c r="L206" s="53">
        <f t="shared" si="5"/>
        <v>0.95117333333333332</v>
      </c>
      <c r="M206" s="52">
        <f t="shared" si="11"/>
        <v>2.4565100333224118E-2</v>
      </c>
      <c r="N206" s="58">
        <f t="shared" si="6"/>
        <v>0.23145898238583842</v>
      </c>
      <c r="Q206" s="51">
        <f t="shared" si="12"/>
        <v>15.833333333333377</v>
      </c>
      <c r="R206" s="52">
        <f t="shared" si="13"/>
        <v>2.4565100333224118E-2</v>
      </c>
      <c r="S206" s="58">
        <f t="shared" si="51"/>
        <v>6.7102188151116086E-8</v>
      </c>
      <c r="T206" s="52">
        <f t="shared" si="30"/>
        <v>1.6483719845110492E-9</v>
      </c>
    </row>
    <row r="207" spans="2:20" ht="15.75" customHeight="1" x14ac:dyDescent="0.25">
      <c r="B207" s="33">
        <f t="shared" si="64"/>
        <v>28.916666666666654</v>
      </c>
      <c r="C207" s="34"/>
      <c r="D207" s="35">
        <f t="shared" si="65"/>
        <v>1.1916666666666497E-3</v>
      </c>
      <c r="E207" s="36">
        <f>E196-(11/12)*F196</f>
        <v>987158.00096581865</v>
      </c>
      <c r="F207" s="36">
        <f t="shared" si="66"/>
        <v>107.0697081736289</v>
      </c>
      <c r="G207" s="31">
        <f t="shared" si="0"/>
        <v>0.9988083333333333</v>
      </c>
      <c r="H207" s="32"/>
      <c r="I207" s="51">
        <f t="shared" si="9"/>
        <v>15.91666666666671</v>
      </c>
      <c r="J207" s="51">
        <f t="shared" si="10"/>
        <v>80.916666666665762</v>
      </c>
      <c r="K207" s="52">
        <f t="shared" si="38"/>
        <v>5.3709333333333331E-2</v>
      </c>
      <c r="L207" s="53">
        <f t="shared" si="5"/>
        <v>0.94629066666666661</v>
      </c>
      <c r="M207" s="52">
        <f t="shared" si="11"/>
        <v>2.3365668367620562E-2</v>
      </c>
      <c r="N207" s="58">
        <f t="shared" si="6"/>
        <v>0.22978827835659005</v>
      </c>
      <c r="Q207" s="51">
        <f t="shared" si="12"/>
        <v>15.91666666666671</v>
      </c>
      <c r="R207" s="52">
        <f t="shared" si="13"/>
        <v>2.3365668367620562E-2</v>
      </c>
      <c r="S207" s="58">
        <f t="shared" si="51"/>
        <v>6.1515231815240316E-8</v>
      </c>
      <c r="T207" s="52">
        <f t="shared" si="30"/>
        <v>1.4373445061522066E-9</v>
      </c>
    </row>
    <row r="208" spans="2:20" ht="15.75" customHeight="1" x14ac:dyDescent="0.25">
      <c r="B208" s="27">
        <v>29</v>
      </c>
      <c r="C208" s="28">
        <v>1.4</v>
      </c>
      <c r="D208" s="29">
        <f>C208/1000</f>
        <v>1.4E-3</v>
      </c>
      <c r="E208" s="30">
        <f>E196-F196</f>
        <v>987050.93125764502</v>
      </c>
      <c r="F208" s="48">
        <f>D208*E208</f>
        <v>1381.8713037607031</v>
      </c>
      <c r="G208" s="31">
        <f t="shared" si="0"/>
        <v>0.99860000000000004</v>
      </c>
      <c r="H208" s="49"/>
      <c r="I208" s="51">
        <f t="shared" si="9"/>
        <v>16.000000000000043</v>
      </c>
      <c r="J208" s="51">
        <f t="shared" si="10"/>
        <v>80.999999999999091</v>
      </c>
      <c r="K208" s="52">
        <f t="shared" si="38"/>
        <v>6.2834000000000001E-2</v>
      </c>
      <c r="L208" s="53">
        <f t="shared" si="5"/>
        <v>0.93716599999999994</v>
      </c>
      <c r="M208" s="52">
        <f t="shared" si="11"/>
        <v>2.2110713896707906E-2</v>
      </c>
      <c r="N208" s="58">
        <f t="shared" si="6"/>
        <v>0.22812963370790482</v>
      </c>
      <c r="Q208" s="51">
        <f t="shared" si="12"/>
        <v>16.000000000000043</v>
      </c>
      <c r="R208" s="52">
        <f t="shared" si="13"/>
        <v>2.2110713896707906E-2</v>
      </c>
      <c r="S208" s="58">
        <f t="shared" si="51"/>
        <v>5.639344780770503E-8</v>
      </c>
      <c r="T208" s="52">
        <f t="shared" si="30"/>
        <v>1.2468993901250956E-9</v>
      </c>
    </row>
    <row r="209" spans="2:20" ht="15.75" customHeight="1" x14ac:dyDescent="0.25">
      <c r="B209" s="33">
        <f t="shared" ref="B209:B219" si="67">B208+1/12</f>
        <v>29.083333333333332</v>
      </c>
      <c r="C209" s="34"/>
      <c r="D209" s="35">
        <f t="shared" ref="D209:D219" si="68">(B209-$B$208)*$D$208</f>
        <v>1.1666666666666501E-4</v>
      </c>
      <c r="E209" s="36">
        <f>E208-(1/12)*F208</f>
        <v>986935.77531566494</v>
      </c>
      <c r="F209" s="36">
        <f t="shared" ref="F209:F219" si="69">E209-E210</f>
        <v>115.15594198007602</v>
      </c>
      <c r="G209" s="31">
        <f t="shared" si="0"/>
        <v>0.99988333333333335</v>
      </c>
      <c r="H209" s="37"/>
      <c r="I209" s="51">
        <f t="shared" si="9"/>
        <v>16.083333333333375</v>
      </c>
      <c r="J209" s="51">
        <f t="shared" si="10"/>
        <v>81.083333333332419</v>
      </c>
      <c r="K209" s="52">
        <f t="shared" si="38"/>
        <v>5.2361666666666667E-3</v>
      </c>
      <c r="L209" s="53">
        <f t="shared" si="5"/>
        <v>0.99476383333333329</v>
      </c>
      <c r="M209" s="52">
        <f t="shared" si="11"/>
        <v>2.072140929972216E-2</v>
      </c>
      <c r="N209" s="58">
        <f t="shared" si="6"/>
        <v>0.22648296139344951</v>
      </c>
      <c r="Q209" s="51">
        <f t="shared" si="12"/>
        <v>16.083333333333375</v>
      </c>
      <c r="R209" s="52">
        <f t="shared" si="13"/>
        <v>2.072140929972216E-2</v>
      </c>
      <c r="S209" s="58">
        <f t="shared" si="51"/>
        <v>5.1698105685305341E-8</v>
      </c>
      <c r="T209" s="52">
        <f t="shared" si="30"/>
        <v>1.0712576079255052E-9</v>
      </c>
    </row>
    <row r="210" spans="2:20" ht="15.75" customHeight="1" x14ac:dyDescent="0.25">
      <c r="B210" s="33">
        <f t="shared" si="67"/>
        <v>29.166666666666664</v>
      </c>
      <c r="C210" s="34"/>
      <c r="D210" s="35">
        <f t="shared" si="68"/>
        <v>2.3333333333333002E-4</v>
      </c>
      <c r="E210" s="36">
        <f>E208-(2/12)*F208</f>
        <v>986820.61937368487</v>
      </c>
      <c r="F210" s="36">
        <f t="shared" si="69"/>
        <v>115.15594198007602</v>
      </c>
      <c r="G210" s="31">
        <f t="shared" si="0"/>
        <v>0.99976666666666669</v>
      </c>
      <c r="H210" s="32"/>
      <c r="I210" s="51">
        <f t="shared" si="9"/>
        <v>16.166666666666707</v>
      </c>
      <c r="J210" s="51">
        <f t="shared" si="10"/>
        <v>81.166666666665748</v>
      </c>
      <c r="K210" s="52">
        <f t="shared" si="38"/>
        <v>1.0472333333333333E-2</v>
      </c>
      <c r="L210" s="53">
        <f t="shared" si="5"/>
        <v>0.98952766666666669</v>
      </c>
      <c r="M210" s="52">
        <f t="shared" si="11"/>
        <v>2.0612908547060597E-2</v>
      </c>
      <c r="N210" s="58">
        <f t="shared" si="6"/>
        <v>0.22484817499520388</v>
      </c>
      <c r="Q210" s="51">
        <f t="shared" si="12"/>
        <v>16.166666666666707</v>
      </c>
      <c r="R210" s="52">
        <f t="shared" si="13"/>
        <v>2.0612908547060597E-2</v>
      </c>
      <c r="S210" s="58">
        <f t="shared" ref="S210:S273" si="70">IF(Q210&lt;&gt;"",(1+$M$10)^-(12*Q210),"")</f>
        <v>4.7393699717785838E-8</v>
      </c>
      <c r="T210" s="52">
        <f t="shared" si="30"/>
        <v>9.7692199798957122E-10</v>
      </c>
    </row>
    <row r="211" spans="2:20" ht="15.75" customHeight="1" x14ac:dyDescent="0.25">
      <c r="B211" s="33">
        <f t="shared" si="67"/>
        <v>29.249999999999996</v>
      </c>
      <c r="C211" s="34"/>
      <c r="D211" s="35">
        <f t="shared" si="68"/>
        <v>3.4999999999999501E-4</v>
      </c>
      <c r="E211" s="36">
        <f>E208-(3/12)*F208</f>
        <v>986705.46343170479</v>
      </c>
      <c r="F211" s="36">
        <f t="shared" si="69"/>
        <v>115.15594197995961</v>
      </c>
      <c r="G211" s="31">
        <f t="shared" si="0"/>
        <v>0.99965000000000004</v>
      </c>
      <c r="H211" s="32"/>
      <c r="I211" s="51">
        <f t="shared" si="9"/>
        <v>16.250000000000039</v>
      </c>
      <c r="J211" s="51">
        <f t="shared" si="10"/>
        <v>81.249999999999076</v>
      </c>
      <c r="K211" s="52">
        <f t="shared" si="38"/>
        <v>1.57085E-2</v>
      </c>
      <c r="L211" s="53">
        <f t="shared" si="5"/>
        <v>0.98429149999999999</v>
      </c>
      <c r="M211" s="52">
        <f t="shared" si="11"/>
        <v>2.0397043297786265E-2</v>
      </c>
      <c r="N211" s="58">
        <f t="shared" si="6"/>
        <v>0.22322518871892527</v>
      </c>
      <c r="Q211" s="51">
        <f t="shared" si="12"/>
        <v>16.250000000000039</v>
      </c>
      <c r="R211" s="52">
        <f t="shared" si="13"/>
        <v>2.0397043297786265E-2</v>
      </c>
      <c r="S211" s="58">
        <f t="shared" si="70"/>
        <v>4.3447680396887548E-8</v>
      </c>
      <c r="T211" s="52">
        <f t="shared" si="30"/>
        <v>8.8620421824369485E-10</v>
      </c>
    </row>
    <row r="212" spans="2:20" ht="15.75" customHeight="1" x14ac:dyDescent="0.25">
      <c r="B212" s="33">
        <f t="shared" si="67"/>
        <v>29.333333333333329</v>
      </c>
      <c r="C212" s="34"/>
      <c r="D212" s="35">
        <f t="shared" si="68"/>
        <v>4.6666666666666005E-4</v>
      </c>
      <c r="E212" s="36">
        <f>E208-(4/12)*F208</f>
        <v>986590.30748972483</v>
      </c>
      <c r="F212" s="36">
        <f t="shared" si="69"/>
        <v>115.15594198007602</v>
      </c>
      <c r="G212" s="31">
        <f t="shared" si="0"/>
        <v>0.99953333333333338</v>
      </c>
      <c r="H212" s="32"/>
      <c r="I212" s="51">
        <f t="shared" si="9"/>
        <v>16.333333333333371</v>
      </c>
      <c r="J212" s="51">
        <f t="shared" si="10"/>
        <v>81.333333333332405</v>
      </c>
      <c r="K212" s="52">
        <f t="shared" si="38"/>
        <v>2.0944666666666667E-2</v>
      </c>
      <c r="L212" s="53">
        <f t="shared" si="5"/>
        <v>0.97905533333333339</v>
      </c>
      <c r="M212" s="52">
        <f t="shared" si="11"/>
        <v>2.0076636343142988E-2</v>
      </c>
      <c r="N212" s="58">
        <f t="shared" si="6"/>
        <v>0.22161391738964614</v>
      </c>
      <c r="Q212" s="51">
        <f t="shared" si="12"/>
        <v>16.333333333333371</v>
      </c>
      <c r="R212" s="52">
        <f t="shared" si="13"/>
        <v>2.0076636343142988E-2</v>
      </c>
      <c r="S212" s="58">
        <f t="shared" si="70"/>
        <v>3.9830208300063698E-8</v>
      </c>
      <c r="T212" s="52">
        <f t="shared" si="30"/>
        <v>7.9965660751201432E-10</v>
      </c>
    </row>
    <row r="213" spans="2:20" ht="15.75" customHeight="1" x14ac:dyDescent="0.25">
      <c r="B213" s="33">
        <f t="shared" si="67"/>
        <v>29.416666666666661</v>
      </c>
      <c r="C213" s="34"/>
      <c r="D213" s="35">
        <f t="shared" si="68"/>
        <v>5.8333333333332503E-4</v>
      </c>
      <c r="E213" s="36">
        <f>E208-(5/12)*F208</f>
        <v>986475.15154774475</v>
      </c>
      <c r="F213" s="36">
        <f t="shared" si="69"/>
        <v>115.15594198007602</v>
      </c>
      <c r="G213" s="31">
        <f t="shared" si="0"/>
        <v>0.99941666666666662</v>
      </c>
      <c r="H213" s="32"/>
      <c r="I213" s="51">
        <f t="shared" si="9"/>
        <v>16.416666666666703</v>
      </c>
      <c r="J213" s="51">
        <f t="shared" si="10"/>
        <v>81.416666666665733</v>
      </c>
      <c r="K213" s="52">
        <f t="shared" si="38"/>
        <v>2.6180833333333334E-2</v>
      </c>
      <c r="L213" s="53">
        <f t="shared" si="5"/>
        <v>0.97381916666666668</v>
      </c>
      <c r="M213" s="52">
        <f t="shared" si="11"/>
        <v>1.9656137887147974E-2</v>
      </c>
      <c r="N213" s="58">
        <f t="shared" si="6"/>
        <v>0.22001427644720389</v>
      </c>
      <c r="Q213" s="51">
        <f t="shared" si="12"/>
        <v>16.416666666666703</v>
      </c>
      <c r="R213" s="52">
        <f t="shared" si="13"/>
        <v>1.9656137887147974E-2</v>
      </c>
      <c r="S213" s="58">
        <f t="shared" si="70"/>
        <v>3.651392844760731E-8</v>
      </c>
      <c r="T213" s="52">
        <f t="shared" si="30"/>
        <v>7.1772281236762427E-10</v>
      </c>
    </row>
    <row r="214" spans="2:20" ht="15.75" customHeight="1" x14ac:dyDescent="0.25">
      <c r="B214" s="33">
        <f t="shared" si="67"/>
        <v>29.499999999999993</v>
      </c>
      <c r="C214" s="34"/>
      <c r="D214" s="35">
        <f t="shared" si="68"/>
        <v>6.9999999999999002E-4</v>
      </c>
      <c r="E214" s="36">
        <f>E208-(6/12)*F208</f>
        <v>986359.99560576468</v>
      </c>
      <c r="F214" s="36">
        <f t="shared" si="69"/>
        <v>115.15594198007602</v>
      </c>
      <c r="G214" s="31">
        <f t="shared" si="0"/>
        <v>0.99929999999999997</v>
      </c>
      <c r="H214" s="32"/>
      <c r="I214" s="51">
        <f t="shared" si="9"/>
        <v>16.500000000000036</v>
      </c>
      <c r="J214" s="51">
        <f t="shared" si="10"/>
        <v>81.499999999999062</v>
      </c>
      <c r="K214" s="52">
        <f t="shared" si="38"/>
        <v>3.1417E-2</v>
      </c>
      <c r="L214" s="53">
        <f t="shared" si="5"/>
        <v>0.96858299999999997</v>
      </c>
      <c r="M214" s="52">
        <f t="shared" si="11"/>
        <v>1.9141523817147534E-2</v>
      </c>
      <c r="N214" s="58">
        <f t="shared" si="6"/>
        <v>0.21842618194180355</v>
      </c>
      <c r="Q214" s="51">
        <f t="shared" si="12"/>
        <v>16.500000000000036</v>
      </c>
      <c r="R214" s="52">
        <f t="shared" si="13"/>
        <v>1.9141523817147534E-2</v>
      </c>
      <c r="S214" s="58">
        <f t="shared" si="70"/>
        <v>3.3473763446897521E-8</v>
      </c>
      <c r="T214" s="52">
        <f t="shared" si="30"/>
        <v>6.4073884026835146E-10</v>
      </c>
    </row>
    <row r="215" spans="2:20" ht="15.75" customHeight="1" x14ac:dyDescent="0.25">
      <c r="B215" s="33">
        <f t="shared" si="67"/>
        <v>29.583333333333325</v>
      </c>
      <c r="C215" s="34"/>
      <c r="D215" s="35">
        <f t="shared" si="68"/>
        <v>8.16666666666655E-4</v>
      </c>
      <c r="E215" s="36">
        <f>E208-(7/12)*F208</f>
        <v>986244.8396637846</v>
      </c>
      <c r="F215" s="36">
        <f t="shared" si="69"/>
        <v>115.15594198007602</v>
      </c>
      <c r="G215" s="31">
        <f t="shared" si="0"/>
        <v>0.99918333333333331</v>
      </c>
      <c r="H215" s="32"/>
      <c r="I215" s="51">
        <f t="shared" si="9"/>
        <v>16.583333333333368</v>
      </c>
      <c r="J215" s="51">
        <f t="shared" si="10"/>
        <v>81.583333333332391</v>
      </c>
      <c r="K215" s="52">
        <f t="shared" si="38"/>
        <v>3.6653166666666667E-2</v>
      </c>
      <c r="L215" s="53">
        <f t="shared" si="5"/>
        <v>0.96334683333333337</v>
      </c>
      <c r="M215" s="52">
        <f t="shared" si="11"/>
        <v>1.854015456338421E-2</v>
      </c>
      <c r="N215" s="58">
        <f t="shared" si="6"/>
        <v>0.21684955052961152</v>
      </c>
      <c r="Q215" s="51">
        <f t="shared" si="12"/>
        <v>16.583333333333368</v>
      </c>
      <c r="R215" s="52">
        <f t="shared" si="13"/>
        <v>1.854015456338421E-2</v>
      </c>
      <c r="S215" s="58">
        <f t="shared" si="70"/>
        <v>3.0686723859543541E-8</v>
      </c>
      <c r="T215" s="52">
        <f t="shared" si="30"/>
        <v>5.6893660339982735E-10</v>
      </c>
    </row>
    <row r="216" spans="2:20" ht="15.75" customHeight="1" x14ac:dyDescent="0.25">
      <c r="B216" s="33">
        <f t="shared" si="67"/>
        <v>29.666666666666657</v>
      </c>
      <c r="C216" s="34"/>
      <c r="D216" s="35">
        <f t="shared" si="68"/>
        <v>9.333333333333201E-4</v>
      </c>
      <c r="E216" s="36">
        <f>E208-(8/12)*F208</f>
        <v>986129.68372180453</v>
      </c>
      <c r="F216" s="36">
        <f t="shared" si="69"/>
        <v>115.15594198007602</v>
      </c>
      <c r="G216" s="31">
        <f t="shared" si="0"/>
        <v>0.99906666666666666</v>
      </c>
      <c r="H216" s="32"/>
      <c r="I216" s="51">
        <f t="shared" si="9"/>
        <v>16.6666666666667</v>
      </c>
      <c r="J216" s="51">
        <f t="shared" si="10"/>
        <v>81.666666666665719</v>
      </c>
      <c r="K216" s="52">
        <f t="shared" si="38"/>
        <v>4.1889333333333334E-2</v>
      </c>
      <c r="L216" s="53">
        <f t="shared" si="5"/>
        <v>0.95811066666666667</v>
      </c>
      <c r="M216" s="52">
        <f t="shared" si="11"/>
        <v>1.7860599188146729E-2</v>
      </c>
      <c r="N216" s="58">
        <f t="shared" si="6"/>
        <v>0.21528429946838207</v>
      </c>
      <c r="Q216" s="51">
        <f t="shared" si="12"/>
        <v>16.6666666666667</v>
      </c>
      <c r="R216" s="52">
        <f t="shared" si="13"/>
        <v>1.7860599188146729E-2</v>
      </c>
      <c r="S216" s="58">
        <f t="shared" si="70"/>
        <v>2.8131734357438971E-8</v>
      </c>
      <c r="T216" s="52">
        <f t="shared" si="30"/>
        <v>5.024496318256339E-10</v>
      </c>
    </row>
    <row r="217" spans="2:20" ht="15.75" customHeight="1" x14ac:dyDescent="0.25">
      <c r="B217" s="33">
        <f t="shared" si="67"/>
        <v>29.749999999999989</v>
      </c>
      <c r="C217" s="34"/>
      <c r="D217" s="35">
        <f t="shared" si="68"/>
        <v>1.049999999999985E-3</v>
      </c>
      <c r="E217" s="36">
        <f>E208-(9/12)*F208</f>
        <v>986014.52777982445</v>
      </c>
      <c r="F217" s="36">
        <f t="shared" si="69"/>
        <v>115.15594198007602</v>
      </c>
      <c r="G217" s="31">
        <f t="shared" si="0"/>
        <v>0.99895</v>
      </c>
      <c r="H217" s="32"/>
      <c r="I217" s="51">
        <f t="shared" si="9"/>
        <v>16.750000000000032</v>
      </c>
      <c r="J217" s="51">
        <f t="shared" si="10"/>
        <v>81.749999999999048</v>
      </c>
      <c r="K217" s="52">
        <f t="shared" si="38"/>
        <v>4.7125500000000001E-2</v>
      </c>
      <c r="L217" s="53">
        <f t="shared" si="5"/>
        <v>0.95287449999999996</v>
      </c>
      <c r="M217" s="52">
        <f t="shared" si="11"/>
        <v>1.7112430595221387E-2</v>
      </c>
      <c r="N217" s="58">
        <f t="shared" si="6"/>
        <v>0.21373034661311477</v>
      </c>
      <c r="Q217" s="51">
        <f t="shared" si="12"/>
        <v>16.750000000000032</v>
      </c>
      <c r="R217" s="52">
        <f t="shared" si="13"/>
        <v>1.7112430595221387E-2</v>
      </c>
      <c r="S217" s="58">
        <f t="shared" si="70"/>
        <v>2.5789474353137647E-8</v>
      </c>
      <c r="T217" s="52">
        <f t="shared" si="30"/>
        <v>4.4132058995530999E-10</v>
      </c>
    </row>
    <row r="218" spans="2:20" ht="15.75" customHeight="1" x14ac:dyDescent="0.25">
      <c r="B218" s="33">
        <f t="shared" si="67"/>
        <v>29.833333333333321</v>
      </c>
      <c r="C218" s="34"/>
      <c r="D218" s="35">
        <f t="shared" si="68"/>
        <v>1.1666666666666501E-3</v>
      </c>
      <c r="E218" s="36">
        <f>E208-(10/12)*F208</f>
        <v>985899.37183784437</v>
      </c>
      <c r="F218" s="36">
        <f t="shared" si="69"/>
        <v>115.15594197995961</v>
      </c>
      <c r="G218" s="31">
        <f t="shared" si="0"/>
        <v>0.99883333333333335</v>
      </c>
      <c r="H218" s="32"/>
      <c r="I218" s="51">
        <f t="shared" si="9"/>
        <v>16.833333333333364</v>
      </c>
      <c r="J218" s="51">
        <f t="shared" si="10"/>
        <v>81.833333333332376</v>
      </c>
      <c r="K218" s="52">
        <f t="shared" si="38"/>
        <v>5.2361666666666667E-2</v>
      </c>
      <c r="L218" s="53">
        <f t="shared" si="5"/>
        <v>0.94763833333333336</v>
      </c>
      <c r="M218" s="52">
        <f t="shared" si="11"/>
        <v>1.6305998747206282E-2</v>
      </c>
      <c r="N218" s="58">
        <f t="shared" si="6"/>
        <v>0.21218761041174355</v>
      </c>
      <c r="Q218" s="51">
        <f t="shared" si="12"/>
        <v>16.833333333333364</v>
      </c>
      <c r="R218" s="52">
        <f t="shared" si="13"/>
        <v>1.6305998747206282E-2</v>
      </c>
      <c r="S218" s="58">
        <f t="shared" si="70"/>
        <v>2.3642231899409106E-8</v>
      </c>
      <c r="T218" s="52">
        <f t="shared" si="30"/>
        <v>3.8551020373292528E-10</v>
      </c>
    </row>
    <row r="219" spans="2:20" ht="15.75" customHeight="1" x14ac:dyDescent="0.25">
      <c r="B219" s="33">
        <f t="shared" si="67"/>
        <v>29.916666666666654</v>
      </c>
      <c r="C219" s="34"/>
      <c r="D219" s="35">
        <f t="shared" si="68"/>
        <v>1.2833333333333152E-3</v>
      </c>
      <c r="E219" s="36">
        <f>E208-(11/12)*F208</f>
        <v>985784.21589586441</v>
      </c>
      <c r="F219" s="36">
        <f t="shared" si="69"/>
        <v>115.15594198007602</v>
      </c>
      <c r="G219" s="31">
        <f t="shared" si="0"/>
        <v>0.9987166666666667</v>
      </c>
      <c r="H219" s="32"/>
      <c r="I219" s="51">
        <f t="shared" si="9"/>
        <v>16.916666666666696</v>
      </c>
      <c r="J219" s="51">
        <f t="shared" si="10"/>
        <v>81.916666666665705</v>
      </c>
      <c r="K219" s="52">
        <f t="shared" si="38"/>
        <v>5.7597833333333334E-2</v>
      </c>
      <c r="L219" s="53">
        <f t="shared" si="5"/>
        <v>0.94240216666666665</v>
      </c>
      <c r="M219" s="52">
        <f t="shared" si="11"/>
        <v>1.5452189476137983E-2</v>
      </c>
      <c r="N219" s="58">
        <f t="shared" si="6"/>
        <v>0.21065600990085676</v>
      </c>
      <c r="Q219" s="51">
        <f t="shared" si="12"/>
        <v>16.916666666666696</v>
      </c>
      <c r="R219" s="52">
        <f t="shared" si="13"/>
        <v>1.5452189476137983E-2</v>
      </c>
      <c r="S219" s="58">
        <f t="shared" si="70"/>
        <v>2.1673769753179591E-8</v>
      </c>
      <c r="T219" s="52">
        <f t="shared" si="30"/>
        <v>3.3490719688831939E-10</v>
      </c>
    </row>
    <row r="220" spans="2:20" ht="15.75" customHeight="1" x14ac:dyDescent="0.25">
      <c r="B220" s="27">
        <v>30</v>
      </c>
      <c r="C220" s="28">
        <v>1.508</v>
      </c>
      <c r="D220" s="29">
        <f>C220/1000</f>
        <v>1.508E-3</v>
      </c>
      <c r="E220" s="30">
        <f>E208-F208</f>
        <v>985669.05995388434</v>
      </c>
      <c r="F220" s="48">
        <f>D220*E220</f>
        <v>1486.3889424104575</v>
      </c>
      <c r="G220" s="31">
        <f t="shared" si="0"/>
        <v>0.99849200000000005</v>
      </c>
      <c r="H220" s="49"/>
      <c r="I220" s="51">
        <f t="shared" si="9"/>
        <v>17.000000000000028</v>
      </c>
      <c r="J220" s="51">
        <f t="shared" si="10"/>
        <v>81.999999999999034</v>
      </c>
      <c r="K220" s="52">
        <f t="shared" si="38"/>
        <v>6.7362000000000005E-2</v>
      </c>
      <c r="L220" s="53">
        <f t="shared" si="5"/>
        <v>0.93263799999999997</v>
      </c>
      <c r="M220" s="52">
        <f t="shared" si="11"/>
        <v>1.4562176842056299E-2</v>
      </c>
      <c r="N220" s="58">
        <f t="shared" si="6"/>
        <v>0.20913546470144831</v>
      </c>
      <c r="Q220" s="51">
        <f t="shared" si="12"/>
        <v>17.000000000000028</v>
      </c>
      <c r="R220" s="52">
        <f t="shared" si="13"/>
        <v>1.4562176842056299E-2</v>
      </c>
      <c r="S220" s="58">
        <f t="shared" si="70"/>
        <v>1.986920259104569E-8</v>
      </c>
      <c r="T220" s="52">
        <f t="shared" si="30"/>
        <v>2.8933884184145057E-10</v>
      </c>
    </row>
    <row r="221" spans="2:20" ht="15.75" customHeight="1" x14ac:dyDescent="0.25">
      <c r="B221" s="33">
        <f t="shared" ref="B221:B231" si="71">B220+1/12</f>
        <v>30.083333333333332</v>
      </c>
      <c r="C221" s="34"/>
      <c r="D221" s="35">
        <f t="shared" ref="D221:D231" si="72">(B221-$B$220)*$D$220</f>
        <v>1.2566666666666488E-4</v>
      </c>
      <c r="E221" s="36">
        <f>E220-(1/12)*F220</f>
        <v>985545.19420868345</v>
      </c>
      <c r="F221" s="36">
        <f t="shared" ref="F221:F231" si="73">E221-E222</f>
        <v>123.86574520089198</v>
      </c>
      <c r="G221" s="31">
        <f t="shared" si="0"/>
        <v>0.99987433333333331</v>
      </c>
      <c r="H221" s="37"/>
      <c r="I221" s="51">
        <f t="shared" si="9"/>
        <v>17.083333333333361</v>
      </c>
      <c r="J221" s="51">
        <f t="shared" si="10"/>
        <v>82.083333333332362</v>
      </c>
      <c r="K221" s="52">
        <f t="shared" si="38"/>
        <v>5.6135000000000004E-3</v>
      </c>
      <c r="L221" s="53">
        <f t="shared" si="5"/>
        <v>0.99438649999999995</v>
      </c>
      <c r="M221" s="52">
        <f t="shared" si="11"/>
        <v>1.3581239485621703E-2</v>
      </c>
      <c r="N221" s="58">
        <f t="shared" si="6"/>
        <v>0.20762589501469927</v>
      </c>
      <c r="Q221" s="51">
        <f t="shared" si="12"/>
        <v>17.083333333333361</v>
      </c>
      <c r="R221" s="52">
        <f t="shared" si="13"/>
        <v>1.3581239485621703E-2</v>
      </c>
      <c r="S221" s="58">
        <f t="shared" si="70"/>
        <v>1.8214884447875104E-8</v>
      </c>
      <c r="T221" s="52">
        <f t="shared" si="30"/>
        <v>2.4738070788951803E-10</v>
      </c>
    </row>
    <row r="222" spans="2:20" ht="15.75" customHeight="1" x14ac:dyDescent="0.25">
      <c r="B222" s="33">
        <f t="shared" si="71"/>
        <v>30.166666666666664</v>
      </c>
      <c r="C222" s="34"/>
      <c r="D222" s="35">
        <f t="shared" si="72"/>
        <v>2.5133333333332976E-4</v>
      </c>
      <c r="E222" s="36">
        <f>E220-(2/12)*F220</f>
        <v>985421.32846348255</v>
      </c>
      <c r="F222" s="36">
        <f t="shared" si="73"/>
        <v>123.86574520077556</v>
      </c>
      <c r="G222" s="31">
        <f t="shared" si="0"/>
        <v>0.99974866666666662</v>
      </c>
      <c r="H222" s="32"/>
      <c r="I222" s="51">
        <f t="shared" si="9"/>
        <v>17.166666666666693</v>
      </c>
      <c r="J222" s="51">
        <f t="shared" si="10"/>
        <v>82.166666666665691</v>
      </c>
      <c r="K222" s="52">
        <f t="shared" si="38"/>
        <v>1.1227000000000001E-2</v>
      </c>
      <c r="L222" s="53">
        <f t="shared" si="5"/>
        <v>0.98877300000000001</v>
      </c>
      <c r="M222" s="52">
        <f t="shared" si="11"/>
        <v>1.3505001197769165E-2</v>
      </c>
      <c r="N222" s="58">
        <f t="shared" si="6"/>
        <v>0.20612722161778996</v>
      </c>
      <c r="Q222" s="51">
        <f t="shared" si="12"/>
        <v>17.166666666666693</v>
      </c>
      <c r="R222" s="52">
        <f t="shared" si="13"/>
        <v>1.3505001197769165E-2</v>
      </c>
      <c r="S222" s="58">
        <f t="shared" si="70"/>
        <v>1.6698305527317145E-8</v>
      </c>
      <c r="T222" s="52">
        <f t="shared" si="30"/>
        <v>2.255106361471335E-10</v>
      </c>
    </row>
    <row r="223" spans="2:20" ht="15.75" customHeight="1" x14ac:dyDescent="0.25">
      <c r="B223" s="33">
        <f t="shared" si="71"/>
        <v>30.249999999999996</v>
      </c>
      <c r="C223" s="34"/>
      <c r="D223" s="35">
        <f t="shared" si="72"/>
        <v>3.7699999999999464E-4</v>
      </c>
      <c r="E223" s="36">
        <f>E220-(3/12)*F220</f>
        <v>985297.46271828178</v>
      </c>
      <c r="F223" s="36">
        <f t="shared" si="73"/>
        <v>123.86574520089198</v>
      </c>
      <c r="G223" s="31">
        <f t="shared" si="0"/>
        <v>0.99962300000000004</v>
      </c>
      <c r="H223" s="32"/>
      <c r="I223" s="51">
        <f t="shared" si="9"/>
        <v>17.250000000000025</v>
      </c>
      <c r="J223" s="51">
        <f t="shared" si="10"/>
        <v>82.249999999999019</v>
      </c>
      <c r="K223" s="52">
        <f t="shared" si="38"/>
        <v>1.6840500000000001E-2</v>
      </c>
      <c r="L223" s="53">
        <f t="shared" si="5"/>
        <v>0.98315949999999996</v>
      </c>
      <c r="M223" s="52">
        <f t="shared" si="11"/>
        <v>1.335338054932181E-2</v>
      </c>
      <c r="N223" s="58">
        <f t="shared" si="6"/>
        <v>0.20463936585974235</v>
      </c>
      <c r="Q223" s="51">
        <f t="shared" si="12"/>
        <v>17.250000000000025</v>
      </c>
      <c r="R223" s="52">
        <f t="shared" si="13"/>
        <v>1.335338054932181E-2</v>
      </c>
      <c r="S223" s="58">
        <f t="shared" si="70"/>
        <v>1.5307997603913385E-8</v>
      </c>
      <c r="T223" s="52">
        <f t="shared" si="30"/>
        <v>2.0441351745316185E-10</v>
      </c>
    </row>
    <row r="224" spans="2:20" ht="15.75" customHeight="1" x14ac:dyDescent="0.25">
      <c r="B224" s="33">
        <f t="shared" si="71"/>
        <v>30.333333333333329</v>
      </c>
      <c r="C224" s="34"/>
      <c r="D224" s="35">
        <f t="shared" si="72"/>
        <v>5.0266666666665951E-4</v>
      </c>
      <c r="E224" s="36">
        <f>E220-(4/12)*F220</f>
        <v>985173.59697308089</v>
      </c>
      <c r="F224" s="36">
        <f t="shared" si="73"/>
        <v>123.86574520089198</v>
      </c>
      <c r="G224" s="31">
        <f t="shared" si="0"/>
        <v>0.99949733333333335</v>
      </c>
      <c r="H224" s="32"/>
      <c r="I224" s="51">
        <f t="shared" si="9"/>
        <v>17.333333333333357</v>
      </c>
      <c r="J224" s="51">
        <f t="shared" si="10"/>
        <v>82.333333333332348</v>
      </c>
      <c r="K224" s="52">
        <f t="shared" si="38"/>
        <v>2.2454000000000002E-2</v>
      </c>
      <c r="L224" s="53">
        <f t="shared" si="5"/>
        <v>0.97754600000000003</v>
      </c>
      <c r="M224" s="52">
        <f t="shared" si="11"/>
        <v>1.3128502944180956E-2</v>
      </c>
      <c r="N224" s="58">
        <f t="shared" si="6"/>
        <v>0.20316224965729238</v>
      </c>
      <c r="Q224" s="51">
        <f t="shared" si="12"/>
        <v>17.333333333333357</v>
      </c>
      <c r="R224" s="52">
        <f t="shared" si="13"/>
        <v>1.3128502944180956E-2</v>
      </c>
      <c r="S224" s="58">
        <f t="shared" si="70"/>
        <v>1.4033447301467959E-8</v>
      </c>
      <c r="T224" s="52">
        <f t="shared" si="30"/>
        <v>1.8423815421433039E-10</v>
      </c>
    </row>
    <row r="225" spans="2:20" ht="15.75" customHeight="1" x14ac:dyDescent="0.25">
      <c r="B225" s="33">
        <f t="shared" si="71"/>
        <v>30.416666666666661</v>
      </c>
      <c r="C225" s="34"/>
      <c r="D225" s="35">
        <f t="shared" si="72"/>
        <v>6.2833333333332439E-4</v>
      </c>
      <c r="E225" s="36">
        <f>E220-(5/12)*F220</f>
        <v>985049.73122787999</v>
      </c>
      <c r="F225" s="36">
        <f t="shared" si="73"/>
        <v>123.86574520089198</v>
      </c>
      <c r="G225" s="31">
        <f t="shared" si="0"/>
        <v>0.99937166666666666</v>
      </c>
      <c r="H225" s="32"/>
      <c r="I225" s="51">
        <f t="shared" si="9"/>
        <v>17.416666666666689</v>
      </c>
      <c r="J225" s="51">
        <f t="shared" si="10"/>
        <v>82.416666666665677</v>
      </c>
      <c r="K225" s="52">
        <f t="shared" si="38"/>
        <v>2.8067500000000002E-2</v>
      </c>
      <c r="L225" s="53">
        <f t="shared" si="5"/>
        <v>0.97193249999999998</v>
      </c>
      <c r="M225" s="52">
        <f t="shared" si="11"/>
        <v>1.2833715539072317E-2</v>
      </c>
      <c r="N225" s="58">
        <f t="shared" si="6"/>
        <v>0.2016957954907922</v>
      </c>
      <c r="Q225" s="51">
        <f t="shared" si="12"/>
        <v>17.416666666666689</v>
      </c>
      <c r="R225" s="52">
        <f t="shared" si="13"/>
        <v>1.2833715539072317E-2</v>
      </c>
      <c r="S225" s="58">
        <f t="shared" si="70"/>
        <v>1.2865016591897902E-8</v>
      </c>
      <c r="T225" s="52">
        <f t="shared" si="30"/>
        <v>1.6510596334586328E-10</v>
      </c>
    </row>
    <row r="226" spans="2:20" ht="15.75" customHeight="1" x14ac:dyDescent="0.25">
      <c r="B226" s="33">
        <f t="shared" si="71"/>
        <v>30.499999999999993</v>
      </c>
      <c r="C226" s="34"/>
      <c r="D226" s="35">
        <f t="shared" si="72"/>
        <v>7.5399999999998927E-4</v>
      </c>
      <c r="E226" s="36">
        <f>E220-(6/12)*F220</f>
        <v>984925.8654826791</v>
      </c>
      <c r="F226" s="36">
        <f t="shared" si="73"/>
        <v>123.86574520089198</v>
      </c>
      <c r="G226" s="31">
        <f t="shared" si="0"/>
        <v>0.99924599999999997</v>
      </c>
      <c r="H226" s="32"/>
      <c r="I226" s="51">
        <f t="shared" si="9"/>
        <v>17.500000000000021</v>
      </c>
      <c r="J226" s="51">
        <f t="shared" si="10"/>
        <v>82.499999999999005</v>
      </c>
      <c r="K226" s="52">
        <f t="shared" si="38"/>
        <v>3.3681000000000003E-2</v>
      </c>
      <c r="L226" s="53">
        <f t="shared" si="5"/>
        <v>0.96631900000000004</v>
      </c>
      <c r="M226" s="52">
        <f t="shared" si="11"/>
        <v>1.2473505228179405E-2</v>
      </c>
      <c r="N226" s="58">
        <f t="shared" si="6"/>
        <v>0.20023992640014188</v>
      </c>
      <c r="Q226" s="51">
        <f t="shared" si="12"/>
        <v>17.500000000000021</v>
      </c>
      <c r="R226" s="52">
        <f t="shared" si="13"/>
        <v>1.2473505228179405E-2</v>
      </c>
      <c r="S226" s="58">
        <f t="shared" si="70"/>
        <v>1.1793869913381581E-8</v>
      </c>
      <c r="T226" s="52">
        <f t="shared" si="30"/>
        <v>1.4711089802503295E-10</v>
      </c>
    </row>
    <row r="227" spans="2:20" ht="15.75" customHeight="1" x14ac:dyDescent="0.25">
      <c r="B227" s="33">
        <f t="shared" si="71"/>
        <v>30.583333333333325</v>
      </c>
      <c r="C227" s="34"/>
      <c r="D227" s="35">
        <f t="shared" si="72"/>
        <v>8.7966666666665415E-4</v>
      </c>
      <c r="E227" s="36">
        <f>E220-(7/12)*F220</f>
        <v>984801.99973747821</v>
      </c>
      <c r="F227" s="36">
        <f t="shared" si="73"/>
        <v>123.86574520089198</v>
      </c>
      <c r="G227" s="31">
        <f t="shared" si="0"/>
        <v>0.99912033333333339</v>
      </c>
      <c r="H227" s="32"/>
      <c r="I227" s="51">
        <f t="shared" si="9"/>
        <v>17.583333333333353</v>
      </c>
      <c r="J227" s="51">
        <f t="shared" si="10"/>
        <v>82.583333333332334</v>
      </c>
      <c r="K227" s="52">
        <f t="shared" si="38"/>
        <v>3.9294500000000003E-2</v>
      </c>
      <c r="L227" s="53">
        <f t="shared" si="5"/>
        <v>0.96070549999999999</v>
      </c>
      <c r="M227" s="52">
        <f t="shared" si="11"/>
        <v>1.2053385098589095E-2</v>
      </c>
      <c r="N227" s="58">
        <f t="shared" si="6"/>
        <v>0.1987945659807504</v>
      </c>
      <c r="Q227" s="51">
        <f t="shared" si="12"/>
        <v>17.583333333333353</v>
      </c>
      <c r="R227" s="52">
        <f t="shared" si="13"/>
        <v>1.2053385098589095E-2</v>
      </c>
      <c r="S227" s="58">
        <f t="shared" si="70"/>
        <v>1.0811907356681209E-8</v>
      </c>
      <c r="T227" s="52">
        <f t="shared" si="30"/>
        <v>1.3032008302034709E-10</v>
      </c>
    </row>
    <row r="228" spans="2:20" ht="15.75" customHeight="1" x14ac:dyDescent="0.25">
      <c r="B228" s="33">
        <f t="shared" si="71"/>
        <v>30.666666666666657</v>
      </c>
      <c r="C228" s="34"/>
      <c r="D228" s="35">
        <f t="shared" si="72"/>
        <v>1.005333333333319E-3</v>
      </c>
      <c r="E228" s="36">
        <f>E220-(8/12)*F220</f>
        <v>984678.13399227732</v>
      </c>
      <c r="F228" s="36">
        <f t="shared" si="73"/>
        <v>123.86574520077556</v>
      </c>
      <c r="G228" s="31">
        <f t="shared" si="0"/>
        <v>0.9989946666666667</v>
      </c>
      <c r="H228" s="32"/>
      <c r="I228" s="51">
        <f t="shared" si="9"/>
        <v>17.666666666666686</v>
      </c>
      <c r="J228" s="51">
        <f t="shared" si="10"/>
        <v>82.666666666665662</v>
      </c>
      <c r="K228" s="52">
        <f t="shared" si="38"/>
        <v>4.4908000000000003E-2</v>
      </c>
      <c r="L228" s="53">
        <f t="shared" si="5"/>
        <v>0.95509200000000005</v>
      </c>
      <c r="M228" s="52">
        <f t="shared" si="11"/>
        <v>1.1579753357832586E-2</v>
      </c>
      <c r="N228" s="58">
        <f t="shared" si="6"/>
        <v>0.19735963837952614</v>
      </c>
      <c r="Q228" s="51">
        <f t="shared" si="12"/>
        <v>17.666666666666686</v>
      </c>
      <c r="R228" s="52">
        <f t="shared" si="13"/>
        <v>1.1579753357832586E-2</v>
      </c>
      <c r="S228" s="58">
        <f t="shared" si="70"/>
        <v>9.9117034144003073E-9</v>
      </c>
      <c r="T228" s="52">
        <f t="shared" si="30"/>
        <v>1.1477508089474268E-10</v>
      </c>
    </row>
    <row r="229" spans="2:20" ht="15.75" customHeight="1" x14ac:dyDescent="0.25">
      <c r="B229" s="33">
        <f t="shared" si="71"/>
        <v>30.749999999999989</v>
      </c>
      <c r="C229" s="34"/>
      <c r="D229" s="35">
        <f t="shared" si="72"/>
        <v>1.130999999999984E-3</v>
      </c>
      <c r="E229" s="36">
        <f>E220-(9/12)*F220</f>
        <v>984554.26824707654</v>
      </c>
      <c r="F229" s="36">
        <f t="shared" si="73"/>
        <v>123.86574520089198</v>
      </c>
      <c r="G229" s="31">
        <f t="shared" si="0"/>
        <v>0.99886900000000001</v>
      </c>
      <c r="H229" s="32"/>
      <c r="I229" s="51">
        <f t="shared" si="9"/>
        <v>17.750000000000018</v>
      </c>
      <c r="J229" s="51">
        <f t="shared" si="10"/>
        <v>82.749999999998991</v>
      </c>
      <c r="K229" s="52">
        <f t="shared" si="38"/>
        <v>5.0521500000000004E-2</v>
      </c>
      <c r="L229" s="53">
        <f t="shared" si="5"/>
        <v>0.9494785</v>
      </c>
      <c r="M229" s="52">
        <f t="shared" si="11"/>
        <v>1.1059729794039042E-2</v>
      </c>
      <c r="N229" s="58">
        <f t="shared" si="6"/>
        <v>0.19593506829089585</v>
      </c>
      <c r="Q229" s="51">
        <f t="shared" si="12"/>
        <v>17.750000000000018</v>
      </c>
      <c r="R229" s="52">
        <f t="shared" si="13"/>
        <v>1.1059729794039042E-2</v>
      </c>
      <c r="S229" s="58">
        <f t="shared" si="70"/>
        <v>9.0864508300032959E-9</v>
      </c>
      <c r="T229" s="52">
        <f t="shared" si="30"/>
        <v>1.0049369096665823E-10</v>
      </c>
    </row>
    <row r="230" spans="2:20" ht="15.75" customHeight="1" x14ac:dyDescent="0.25">
      <c r="B230" s="33">
        <f t="shared" si="71"/>
        <v>30.833333333333321</v>
      </c>
      <c r="C230" s="34"/>
      <c r="D230" s="35">
        <f t="shared" si="72"/>
        <v>1.2566666666666488E-3</v>
      </c>
      <c r="E230" s="36">
        <f>E220-(10/12)*F220</f>
        <v>984430.40250187565</v>
      </c>
      <c r="F230" s="36">
        <f t="shared" si="73"/>
        <v>123.86574520089198</v>
      </c>
      <c r="G230" s="31">
        <f t="shared" si="0"/>
        <v>0.99874333333333332</v>
      </c>
      <c r="H230" s="32"/>
      <c r="I230" s="51">
        <f t="shared" si="9"/>
        <v>17.83333333333335</v>
      </c>
      <c r="J230" s="51">
        <f t="shared" si="10"/>
        <v>82.83333333333232</v>
      </c>
      <c r="K230" s="52">
        <f t="shared" si="38"/>
        <v>5.6135000000000004E-2</v>
      </c>
      <c r="L230" s="53">
        <f t="shared" si="5"/>
        <v>0.94386499999999995</v>
      </c>
      <c r="M230" s="52">
        <f t="shared" si="11"/>
        <v>1.0500975655249498E-2</v>
      </c>
      <c r="N230" s="58">
        <f t="shared" si="6"/>
        <v>0.19452078095285263</v>
      </c>
      <c r="Q230" s="51">
        <f t="shared" si="12"/>
        <v>17.83333333333335</v>
      </c>
      <c r="R230" s="52">
        <f t="shared" si="13"/>
        <v>1.0500975655249498E-2</v>
      </c>
      <c r="S230" s="58">
        <f t="shared" si="70"/>
        <v>8.329909121989498E-9</v>
      </c>
      <c r="T230" s="52">
        <f t="shared" si="30"/>
        <v>8.7472172900452436E-11</v>
      </c>
    </row>
    <row r="231" spans="2:20" ht="15.75" customHeight="1" x14ac:dyDescent="0.25">
      <c r="B231" s="33">
        <f t="shared" si="71"/>
        <v>30.916666666666654</v>
      </c>
      <c r="C231" s="34"/>
      <c r="D231" s="35">
        <f t="shared" si="72"/>
        <v>1.3823333333333138E-3</v>
      </c>
      <c r="E231" s="36">
        <f>E220-(11/12)*F220</f>
        <v>984306.53675667476</v>
      </c>
      <c r="F231" s="36">
        <f t="shared" si="73"/>
        <v>123.86574520089198</v>
      </c>
      <c r="G231" s="31">
        <f t="shared" si="0"/>
        <v>0.99861766666666674</v>
      </c>
      <c r="H231" s="32"/>
      <c r="I231" s="51">
        <f t="shared" si="9"/>
        <v>17.916666666666682</v>
      </c>
      <c r="J231" s="51">
        <f t="shared" si="10"/>
        <v>82.916666666665648</v>
      </c>
      <c r="K231" s="52">
        <f t="shared" si="38"/>
        <v>6.1748500000000005E-2</v>
      </c>
      <c r="L231" s="53">
        <f t="shared" si="5"/>
        <v>0.93825150000000002</v>
      </c>
      <c r="M231" s="52">
        <f t="shared" si="11"/>
        <v>9.9115033868420674E-3</v>
      </c>
      <c r="N231" s="58">
        <f t="shared" si="6"/>
        <v>0.19311670214303256</v>
      </c>
      <c r="Q231" s="51">
        <f t="shared" si="12"/>
        <v>17.916666666666682</v>
      </c>
      <c r="R231" s="52">
        <f t="shared" si="13"/>
        <v>9.9115033868420674E-3</v>
      </c>
      <c r="S231" s="58">
        <f t="shared" si="70"/>
        <v>7.6363573939659932E-9</v>
      </c>
      <c r="T231" s="52">
        <f t="shared" si="30"/>
        <v>7.5687782173430408E-11</v>
      </c>
    </row>
    <row r="232" spans="2:20" ht="15.75" customHeight="1" x14ac:dyDescent="0.25">
      <c r="B232" s="27">
        <v>31</v>
      </c>
      <c r="C232" s="28">
        <v>1.6240000000000001</v>
      </c>
      <c r="D232" s="29">
        <f>C232/1000</f>
        <v>1.624E-3</v>
      </c>
      <c r="E232" s="30">
        <f>E220-F220</f>
        <v>984182.67101147387</v>
      </c>
      <c r="F232" s="48">
        <f>D232*E232</f>
        <v>1598.3126577226335</v>
      </c>
      <c r="G232" s="31">
        <f t="shared" si="0"/>
        <v>0.99837600000000004</v>
      </c>
      <c r="H232" s="49"/>
      <c r="I232" s="51">
        <f t="shared" si="9"/>
        <v>18.000000000000014</v>
      </c>
      <c r="J232" s="51">
        <f t="shared" si="10"/>
        <v>82.999999999998977</v>
      </c>
      <c r="K232" s="52">
        <f t="shared" si="38"/>
        <v>7.2190000000000004E-2</v>
      </c>
      <c r="L232" s="53">
        <f t="shared" si="5"/>
        <v>0.92781000000000002</v>
      </c>
      <c r="M232" s="52">
        <f t="shared" si="11"/>
        <v>9.2994829199596497E-3</v>
      </c>
      <c r="N232" s="58">
        <f t="shared" si="6"/>
        <v>0.19172275817481929</v>
      </c>
      <c r="Q232" s="51">
        <f t="shared" si="12"/>
        <v>18.000000000000014</v>
      </c>
      <c r="R232" s="52">
        <f t="shared" si="13"/>
        <v>9.2994829199596497E-3</v>
      </c>
      <c r="S232" s="58">
        <f t="shared" si="70"/>
        <v>7.0005510737734315E-9</v>
      </c>
      <c r="T232" s="52">
        <f t="shared" si="30"/>
        <v>6.5101505140861216E-11</v>
      </c>
    </row>
    <row r="233" spans="2:20" ht="15.75" customHeight="1" x14ac:dyDescent="0.25">
      <c r="B233" s="33">
        <f t="shared" ref="B233:B243" si="74">B232+1/12</f>
        <v>31.083333333333332</v>
      </c>
      <c r="C233" s="34"/>
      <c r="D233" s="35">
        <f t="shared" ref="D233:D243" si="75">(B233-$B$232)*$D$232</f>
        <v>1.3533333333333141E-4</v>
      </c>
      <c r="E233" s="36">
        <f>E232-(1/12)*F232</f>
        <v>984049.47828999697</v>
      </c>
      <c r="F233" s="36">
        <f t="shared" ref="F233:F243" si="76">E233-E234</f>
        <v>133.1927214768948</v>
      </c>
      <c r="G233" s="31">
        <f t="shared" si="0"/>
        <v>0.99986466666666662</v>
      </c>
      <c r="H233" s="37"/>
      <c r="I233" s="51">
        <f t="shared" si="9"/>
        <v>18.083333333333346</v>
      </c>
      <c r="J233" s="51">
        <f t="shared" si="10"/>
        <v>83.083333333332305</v>
      </c>
      <c r="K233" s="52">
        <f t="shared" si="38"/>
        <v>6.0158333333333331E-3</v>
      </c>
      <c r="L233" s="53">
        <f t="shared" si="5"/>
        <v>0.99398416666666667</v>
      </c>
      <c r="M233" s="52">
        <f t="shared" si="11"/>
        <v>8.6281532479677622E-3</v>
      </c>
      <c r="N233" s="58">
        <f t="shared" si="6"/>
        <v>0.19033887589347698</v>
      </c>
      <c r="Q233" s="51">
        <f t="shared" si="12"/>
        <v>18.083333333333346</v>
      </c>
      <c r="R233" s="52">
        <f t="shared" si="13"/>
        <v>8.6281532479677622E-3</v>
      </c>
      <c r="S233" s="58">
        <f t="shared" si="70"/>
        <v>6.4176822545307871E-9</v>
      </c>
      <c r="T233" s="52">
        <f t="shared" si="30"/>
        <v>5.5372745988854879E-11</v>
      </c>
    </row>
    <row r="234" spans="2:20" ht="15.75" customHeight="1" x14ac:dyDescent="0.25">
      <c r="B234" s="33">
        <f t="shared" si="74"/>
        <v>31.166666666666664</v>
      </c>
      <c r="C234" s="34"/>
      <c r="D234" s="35">
        <f t="shared" si="75"/>
        <v>2.7066666666666282E-4</v>
      </c>
      <c r="E234" s="36">
        <f>E232-(2/12)*F232</f>
        <v>983916.28556852008</v>
      </c>
      <c r="F234" s="36">
        <f t="shared" si="76"/>
        <v>133.1927214768948</v>
      </c>
      <c r="G234" s="31">
        <f t="shared" si="0"/>
        <v>0.99972933333333336</v>
      </c>
      <c r="H234" s="32"/>
      <c r="I234" s="51">
        <f t="shared" si="9"/>
        <v>18.166666666666679</v>
      </c>
      <c r="J234" s="51">
        <f t="shared" si="10"/>
        <v>83.166666666665634</v>
      </c>
      <c r="K234" s="52">
        <f t="shared" si="38"/>
        <v>1.2031666666666666E-2</v>
      </c>
      <c r="L234" s="53">
        <f t="shared" si="5"/>
        <v>0.98796833333333334</v>
      </c>
      <c r="M234" s="52">
        <f t="shared" si="11"/>
        <v>8.5762477160535294E-3</v>
      </c>
      <c r="N234" s="58">
        <f t="shared" si="6"/>
        <v>0.18896498267231118</v>
      </c>
      <c r="Q234" s="51">
        <f t="shared" si="12"/>
        <v>18.166666666666679</v>
      </c>
      <c r="R234" s="52">
        <f t="shared" si="13"/>
        <v>8.5762477160535294E-3</v>
      </c>
      <c r="S234" s="58">
        <f t="shared" si="70"/>
        <v>5.8833433377008573E-9</v>
      </c>
      <c r="T234" s="52">
        <f t="shared" si="30"/>
        <v>5.0457009862715728E-11</v>
      </c>
    </row>
    <row r="235" spans="2:20" ht="15.75" customHeight="1" x14ac:dyDescent="0.25">
      <c r="B235" s="33">
        <f t="shared" si="74"/>
        <v>31.249999999999996</v>
      </c>
      <c r="C235" s="34"/>
      <c r="D235" s="35">
        <f t="shared" si="75"/>
        <v>4.0599999999999426E-4</v>
      </c>
      <c r="E235" s="36">
        <f>E232-(3/12)*F232</f>
        <v>983783.09284704318</v>
      </c>
      <c r="F235" s="36">
        <f t="shared" si="76"/>
        <v>133.1927214768948</v>
      </c>
      <c r="G235" s="31">
        <f t="shared" si="0"/>
        <v>0.99959399999999998</v>
      </c>
      <c r="H235" s="32"/>
      <c r="I235" s="51">
        <f t="shared" si="9"/>
        <v>18.250000000000011</v>
      </c>
      <c r="J235" s="51">
        <f t="shared" si="10"/>
        <v>83.249999999998963</v>
      </c>
      <c r="K235" s="52">
        <f t="shared" si="38"/>
        <v>1.8047500000000001E-2</v>
      </c>
      <c r="L235" s="53">
        <f t="shared" si="5"/>
        <v>0.98195250000000001</v>
      </c>
      <c r="M235" s="52">
        <f t="shared" si="11"/>
        <v>8.4730611622832117E-3</v>
      </c>
      <c r="N235" s="58">
        <f t="shared" si="6"/>
        <v>0.18760100640885732</v>
      </c>
      <c r="Q235" s="51">
        <f t="shared" si="12"/>
        <v>18.250000000000011</v>
      </c>
      <c r="R235" s="52">
        <f t="shared" si="13"/>
        <v>8.4730611622832117E-3</v>
      </c>
      <c r="S235" s="58">
        <f t="shared" si="70"/>
        <v>5.3934937032496701E-9</v>
      </c>
      <c r="T235" s="52">
        <f t="shared" si="30"/>
        <v>4.5699402026023831E-11</v>
      </c>
    </row>
    <row r="236" spans="2:20" ht="15.75" customHeight="1" x14ac:dyDescent="0.25">
      <c r="B236" s="33">
        <f t="shared" si="74"/>
        <v>31.333333333333329</v>
      </c>
      <c r="C236" s="34"/>
      <c r="D236" s="35">
        <f t="shared" si="75"/>
        <v>5.4133333333332564E-4</v>
      </c>
      <c r="E236" s="36">
        <f>E232-(4/12)*F232</f>
        <v>983649.90012556629</v>
      </c>
      <c r="F236" s="36">
        <f t="shared" si="76"/>
        <v>133.1927214768948</v>
      </c>
      <c r="G236" s="31">
        <f t="shared" si="0"/>
        <v>0.99945866666666672</v>
      </c>
      <c r="H236" s="32"/>
      <c r="I236" s="51">
        <f t="shared" si="9"/>
        <v>18.333333333333343</v>
      </c>
      <c r="J236" s="51">
        <f t="shared" si="10"/>
        <v>83.333333333332291</v>
      </c>
      <c r="K236" s="52">
        <f t="shared" si="38"/>
        <v>2.4063333333333332E-2</v>
      </c>
      <c r="L236" s="53">
        <f t="shared" si="5"/>
        <v>0.97593666666666667</v>
      </c>
      <c r="M236" s="52">
        <f t="shared" si="11"/>
        <v>8.3201435909569053E-3</v>
      </c>
      <c r="N236" s="58">
        <f t="shared" si="6"/>
        <v>0.18624687552109659</v>
      </c>
      <c r="Q236" s="51">
        <f t="shared" si="12"/>
        <v>18.333333333333343</v>
      </c>
      <c r="R236" s="52">
        <f t="shared" si="13"/>
        <v>8.3201435909569053E-3</v>
      </c>
      <c r="S236" s="58">
        <f t="shared" si="70"/>
        <v>4.9444291548624445E-9</v>
      </c>
      <c r="T236" s="52">
        <f t="shared" si="30"/>
        <v>4.1138360543769234E-11</v>
      </c>
    </row>
    <row r="237" spans="2:20" ht="15.75" customHeight="1" x14ac:dyDescent="0.25">
      <c r="B237" s="33">
        <f t="shared" si="74"/>
        <v>31.416666666666661</v>
      </c>
      <c r="C237" s="34"/>
      <c r="D237" s="35">
        <f t="shared" si="75"/>
        <v>6.7666666666665702E-4</v>
      </c>
      <c r="E237" s="36">
        <f>E232-(5/12)*F232</f>
        <v>983516.70740408939</v>
      </c>
      <c r="F237" s="36">
        <f t="shared" si="76"/>
        <v>133.1927214768948</v>
      </c>
      <c r="G237" s="31">
        <f t="shared" si="0"/>
        <v>0.99932333333333334</v>
      </c>
      <c r="H237" s="32"/>
      <c r="I237" s="51">
        <f t="shared" si="9"/>
        <v>18.416666666666675</v>
      </c>
      <c r="J237" s="51">
        <f t="shared" si="10"/>
        <v>83.41666666666562</v>
      </c>
      <c r="K237" s="52">
        <f t="shared" si="38"/>
        <v>3.0079166666666671E-2</v>
      </c>
      <c r="L237" s="53">
        <f t="shared" si="5"/>
        <v>0.96992083333333334</v>
      </c>
      <c r="M237" s="52">
        <f t="shared" si="11"/>
        <v>8.1199332023465121E-3</v>
      </c>
      <c r="N237" s="58">
        <f t="shared" si="6"/>
        <v>0.18490251894369958</v>
      </c>
      <c r="Q237" s="51">
        <f t="shared" si="12"/>
        <v>18.416666666666675</v>
      </c>
      <c r="R237" s="52">
        <f t="shared" si="13"/>
        <v>8.1199332023465121E-3</v>
      </c>
      <c r="S237" s="58">
        <f t="shared" si="70"/>
        <v>4.5327539091635144E-9</v>
      </c>
      <c r="T237" s="52">
        <f t="shared" si="30"/>
        <v>3.6805658965082769E-11</v>
      </c>
    </row>
    <row r="238" spans="2:20" ht="15.75" customHeight="1" x14ac:dyDescent="0.25">
      <c r="B238" s="33">
        <f t="shared" si="74"/>
        <v>31.499999999999993</v>
      </c>
      <c r="C238" s="34"/>
      <c r="D238" s="35">
        <f t="shared" si="75"/>
        <v>8.1199999999998851E-4</v>
      </c>
      <c r="E238" s="36">
        <f>E232-(6/12)*F232</f>
        <v>983383.5146826125</v>
      </c>
      <c r="F238" s="36">
        <f t="shared" si="76"/>
        <v>133.19272147677839</v>
      </c>
      <c r="G238" s="31">
        <f t="shared" si="0"/>
        <v>0.99918799999999997</v>
      </c>
      <c r="H238" s="32"/>
      <c r="I238" s="51">
        <f t="shared" si="9"/>
        <v>18.500000000000007</v>
      </c>
      <c r="J238" s="51">
        <f t="shared" si="10"/>
        <v>83.499999999998948</v>
      </c>
      <c r="K238" s="52">
        <f t="shared" si="38"/>
        <v>3.6095000000000002E-2</v>
      </c>
      <c r="L238" s="53">
        <f t="shared" si="5"/>
        <v>0.96390500000000001</v>
      </c>
      <c r="M238" s="52">
        <f t="shared" si="11"/>
        <v>7.8756923782309311E-3</v>
      </c>
      <c r="N238" s="58">
        <f t="shared" si="6"/>
        <v>0.18356786612429654</v>
      </c>
      <c r="Q238" s="51">
        <f t="shared" si="12"/>
        <v>18.500000000000007</v>
      </c>
      <c r="R238" s="52">
        <f t="shared" si="13"/>
        <v>7.8756923782309311E-3</v>
      </c>
      <c r="S238" s="58">
        <f t="shared" si="70"/>
        <v>4.1553549171256583E-9</v>
      </c>
      <c r="T238" s="52">
        <f t="shared" si="30"/>
        <v>3.2726297049650968E-11</v>
      </c>
    </row>
    <row r="239" spans="2:20" ht="15.75" customHeight="1" x14ac:dyDescent="0.25">
      <c r="B239" s="33">
        <f t="shared" si="74"/>
        <v>31.583333333333325</v>
      </c>
      <c r="C239" s="34"/>
      <c r="D239" s="35">
        <f t="shared" si="75"/>
        <v>9.4733333333331989E-4</v>
      </c>
      <c r="E239" s="36">
        <f>E232-(7/12)*F232</f>
        <v>983250.32196113572</v>
      </c>
      <c r="F239" s="36">
        <f t="shared" si="76"/>
        <v>133.1927214768948</v>
      </c>
      <c r="G239" s="31">
        <f t="shared" si="0"/>
        <v>0.9990526666666667</v>
      </c>
      <c r="H239" s="32"/>
      <c r="I239" s="51">
        <f t="shared" si="9"/>
        <v>18.583333333333339</v>
      </c>
      <c r="J239" s="51">
        <f t="shared" si="10"/>
        <v>83.583333333332277</v>
      </c>
      <c r="K239" s="52">
        <f t="shared" si="38"/>
        <v>4.211083333333334E-2</v>
      </c>
      <c r="L239" s="53">
        <f t="shared" si="5"/>
        <v>0.95788916666666668</v>
      </c>
      <c r="M239" s="52">
        <f t="shared" si="11"/>
        <v>7.5914192618386856E-3</v>
      </c>
      <c r="N239" s="58">
        <f t="shared" si="6"/>
        <v>0.18224284701977483</v>
      </c>
      <c r="Q239" s="51">
        <f t="shared" si="12"/>
        <v>18.583333333333339</v>
      </c>
      <c r="R239" s="52">
        <f t="shared" si="13"/>
        <v>7.5914192618386856E-3</v>
      </c>
      <c r="S239" s="58">
        <f t="shared" si="70"/>
        <v>3.8093783234896466E-9</v>
      </c>
      <c r="T239" s="52">
        <f t="shared" si="30"/>
        <v>2.8918587980570062E-11</v>
      </c>
    </row>
    <row r="240" spans="2:20" ht="15.75" customHeight="1" x14ac:dyDescent="0.25">
      <c r="B240" s="33">
        <f t="shared" si="74"/>
        <v>31.666666666666657</v>
      </c>
      <c r="C240" s="34"/>
      <c r="D240" s="35">
        <f t="shared" si="75"/>
        <v>1.0826666666666513E-3</v>
      </c>
      <c r="E240" s="36">
        <f>E232-(8/12)*F232</f>
        <v>983117.12923965883</v>
      </c>
      <c r="F240" s="36">
        <f t="shared" si="76"/>
        <v>133.1927214768948</v>
      </c>
      <c r="G240" s="31">
        <f t="shared" si="0"/>
        <v>0.99891733333333332</v>
      </c>
      <c r="H240" s="32"/>
      <c r="I240" s="51">
        <f t="shared" si="9"/>
        <v>18.666666666666671</v>
      </c>
      <c r="J240" s="51">
        <f t="shared" si="10"/>
        <v>83.666666666665606</v>
      </c>
      <c r="K240" s="52">
        <f t="shared" si="38"/>
        <v>4.8126666666666665E-2</v>
      </c>
      <c r="L240" s="53">
        <f t="shared" si="5"/>
        <v>0.95187333333333335</v>
      </c>
      <c r="M240" s="52">
        <f t="shared" si="11"/>
        <v>7.2717382705399401E-3</v>
      </c>
      <c r="N240" s="58">
        <f t="shared" si="6"/>
        <v>0.18092739209260303</v>
      </c>
      <c r="Q240" s="51">
        <f t="shared" si="12"/>
        <v>18.666666666666671</v>
      </c>
      <c r="R240" s="52">
        <f t="shared" si="13"/>
        <v>7.2717382705399401E-3</v>
      </c>
      <c r="S240" s="58">
        <f t="shared" si="70"/>
        <v>3.4922078861823156E-9</v>
      </c>
      <c r="T240" s="52">
        <f t="shared" si="30"/>
        <v>2.5394421734633331E-11</v>
      </c>
    </row>
    <row r="241" spans="2:20" ht="15.75" customHeight="1" x14ac:dyDescent="0.25">
      <c r="B241" s="33">
        <f t="shared" si="74"/>
        <v>31.749999999999989</v>
      </c>
      <c r="C241" s="34"/>
      <c r="D241" s="35">
        <f t="shared" si="75"/>
        <v>1.2179999999999828E-3</v>
      </c>
      <c r="E241" s="36">
        <f>E232-(9/12)*F232</f>
        <v>982983.93651818193</v>
      </c>
      <c r="F241" s="36">
        <f t="shared" si="76"/>
        <v>133.1927214768948</v>
      </c>
      <c r="G241" s="31">
        <f t="shared" si="0"/>
        <v>0.99878200000000006</v>
      </c>
      <c r="H241" s="32"/>
      <c r="I241" s="51">
        <f t="shared" si="9"/>
        <v>18.750000000000004</v>
      </c>
      <c r="J241" s="51">
        <f t="shared" si="10"/>
        <v>83.749999999998934</v>
      </c>
      <c r="K241" s="52">
        <f t="shared" si="38"/>
        <v>5.4142500000000003E-2</v>
      </c>
      <c r="L241" s="53">
        <f t="shared" si="5"/>
        <v>0.94585750000000002</v>
      </c>
      <c r="M241" s="52">
        <f t="shared" si="11"/>
        <v>6.9217737467064215E-3</v>
      </c>
      <c r="N241" s="58">
        <f t="shared" si="6"/>
        <v>0.17962143230718142</v>
      </c>
      <c r="Q241" s="51">
        <f t="shared" si="12"/>
        <v>18.750000000000004</v>
      </c>
      <c r="R241" s="52">
        <f t="shared" si="13"/>
        <v>6.9217737467064215E-3</v>
      </c>
      <c r="S241" s="58">
        <f t="shared" si="70"/>
        <v>3.2014451925431468E-9</v>
      </c>
      <c r="T241" s="52">
        <f t="shared" si="30"/>
        <v>2.2159679285264637E-11</v>
      </c>
    </row>
    <row r="242" spans="2:20" ht="15.75" customHeight="1" x14ac:dyDescent="0.25">
      <c r="B242" s="33">
        <f t="shared" si="74"/>
        <v>31.833333333333321</v>
      </c>
      <c r="C242" s="34"/>
      <c r="D242" s="35">
        <f t="shared" si="75"/>
        <v>1.353333333333314E-3</v>
      </c>
      <c r="E242" s="36">
        <f>E232-(10/12)*F232</f>
        <v>982850.74379670504</v>
      </c>
      <c r="F242" s="36">
        <f t="shared" si="76"/>
        <v>133.1927214768948</v>
      </c>
      <c r="G242" s="31">
        <f t="shared" si="0"/>
        <v>0.99864666666666668</v>
      </c>
      <c r="H242" s="32"/>
      <c r="I242" s="51">
        <f t="shared" si="9"/>
        <v>18.833333333333336</v>
      </c>
      <c r="J242" s="51">
        <f t="shared" si="10"/>
        <v>83.833333333332263</v>
      </c>
      <c r="K242" s="52">
        <f t="shared" si="38"/>
        <v>6.0158333333333341E-2</v>
      </c>
      <c r="L242" s="53">
        <f t="shared" si="5"/>
        <v>0.93984166666666669</v>
      </c>
      <c r="M242" s="52">
        <f t="shared" si="11"/>
        <v>6.5470116116253694E-3</v>
      </c>
      <c r="N242" s="58">
        <f t="shared" si="6"/>
        <v>0.17832489912621927</v>
      </c>
      <c r="Q242" s="51">
        <f t="shared" si="12"/>
        <v>18.833333333333336</v>
      </c>
      <c r="R242" s="52">
        <f t="shared" si="13"/>
        <v>6.5470116116253694E-3</v>
      </c>
      <c r="S242" s="58">
        <f t="shared" si="70"/>
        <v>2.9348915227558665E-9</v>
      </c>
      <c r="T242" s="52">
        <f t="shared" si="30"/>
        <v>1.921476887834352E-11</v>
      </c>
    </row>
    <row r="243" spans="2:20" ht="15.75" customHeight="1" x14ac:dyDescent="0.25">
      <c r="B243" s="33">
        <f t="shared" si="74"/>
        <v>31.916666666666654</v>
      </c>
      <c r="C243" s="34"/>
      <c r="D243" s="35">
        <f t="shared" si="75"/>
        <v>1.4886666666666455E-3</v>
      </c>
      <c r="E243" s="36">
        <f>E232-(11/12)*F232</f>
        <v>982717.55107522814</v>
      </c>
      <c r="F243" s="36">
        <f t="shared" si="76"/>
        <v>133.1927214768948</v>
      </c>
      <c r="G243" s="31">
        <f t="shared" si="0"/>
        <v>0.99851133333333331</v>
      </c>
      <c r="H243" s="32"/>
      <c r="I243" s="51">
        <f t="shared" si="9"/>
        <v>18.916666666666668</v>
      </c>
      <c r="J243" s="51">
        <f t="shared" si="10"/>
        <v>83.916666666665591</v>
      </c>
      <c r="K243" s="52">
        <f t="shared" si="38"/>
        <v>6.6174166666666673E-2</v>
      </c>
      <c r="L243" s="53">
        <f t="shared" si="5"/>
        <v>0.93382583333333335</v>
      </c>
      <c r="M243" s="52">
        <f t="shared" si="11"/>
        <v>6.153154304756007E-3</v>
      </c>
      <c r="N243" s="58">
        <f t="shared" si="6"/>
        <v>0.17703772450713776</v>
      </c>
      <c r="Q243" s="51">
        <f t="shared" si="12"/>
        <v>18.916666666666668</v>
      </c>
      <c r="R243" s="52">
        <f t="shared" si="13"/>
        <v>6.153154304756007E-3</v>
      </c>
      <c r="S243" s="58">
        <f t="shared" si="70"/>
        <v>2.6905312233384777E-9</v>
      </c>
      <c r="T243" s="52">
        <f t="shared" si="30"/>
        <v>1.6555253778965601E-11</v>
      </c>
    </row>
    <row r="244" spans="2:20" ht="15.75" customHeight="1" x14ac:dyDescent="0.25">
      <c r="B244" s="27">
        <v>32</v>
      </c>
      <c r="C244" s="28">
        <v>1.7489999999999999</v>
      </c>
      <c r="D244" s="29">
        <f>C244/1000</f>
        <v>1.7489999999999999E-3</v>
      </c>
      <c r="E244" s="30">
        <f>E232-F232</f>
        <v>982584.35835375125</v>
      </c>
      <c r="F244" s="48">
        <f>D244*E244</f>
        <v>1718.5400427607108</v>
      </c>
      <c r="G244" s="31">
        <f t="shared" si="0"/>
        <v>0.998251</v>
      </c>
      <c r="H244" s="49"/>
      <c r="I244" s="51">
        <f t="shared" si="9"/>
        <v>19</v>
      </c>
      <c r="J244" s="51">
        <f t="shared" si="10"/>
        <v>83.99999999999892</v>
      </c>
      <c r="K244" s="52">
        <f t="shared" si="38"/>
        <v>7.7337000000000003E-2</v>
      </c>
      <c r="L244" s="53">
        <f t="shared" si="5"/>
        <v>0.92266300000000001</v>
      </c>
      <c r="M244" s="52">
        <f t="shared" si="11"/>
        <v>5.745974446267366E-3</v>
      </c>
      <c r="N244" s="58">
        <f t="shared" si="6"/>
        <v>0.17575984089849911</v>
      </c>
      <c r="Q244" s="51">
        <f t="shared" si="12"/>
        <v>19</v>
      </c>
      <c r="R244" s="52">
        <f t="shared" si="13"/>
        <v>5.745974446267366E-3</v>
      </c>
      <c r="S244" s="58">
        <f t="shared" si="70"/>
        <v>2.4665164649635376E-9</v>
      </c>
      <c r="T244" s="52">
        <f t="shared" si="30"/>
        <v>1.4172540578978204E-11</v>
      </c>
    </row>
    <row r="245" spans="2:20" ht="15.75" customHeight="1" x14ac:dyDescent="0.25">
      <c r="B245" s="33">
        <f t="shared" ref="B245:B255" si="77">B244+1/12</f>
        <v>32.083333333333336</v>
      </c>
      <c r="C245" s="34"/>
      <c r="D245" s="35">
        <f t="shared" ref="D245:D255" si="78">(B245-$B$244)*$D$244</f>
        <v>1.4575000000000414E-4</v>
      </c>
      <c r="E245" s="36">
        <f>E244-(1/12)*F244</f>
        <v>982441.14668352122</v>
      </c>
      <c r="F245" s="36">
        <f t="shared" ref="F245:F255" si="79">E245-E246</f>
        <v>143.21167023014277</v>
      </c>
      <c r="G245" s="31">
        <f t="shared" si="0"/>
        <v>0.99985424999999994</v>
      </c>
      <c r="H245" s="37"/>
      <c r="I245" s="51">
        <f t="shared" si="9"/>
        <v>19.083333333333332</v>
      </c>
      <c r="J245" s="51">
        <f t="shared" si="10"/>
        <v>84.083333333332249</v>
      </c>
      <c r="K245" s="52">
        <f t="shared" si="38"/>
        <v>6.44475E-3</v>
      </c>
      <c r="L245" s="53">
        <f t="shared" si="5"/>
        <v>0.99355525</v>
      </c>
      <c r="M245" s="52">
        <f t="shared" si="11"/>
        <v>5.3015980205163866E-3</v>
      </c>
      <c r="N245" s="58">
        <f t="shared" si="6"/>
        <v>0.17449118123646157</v>
      </c>
      <c r="Q245" s="51">
        <f t="shared" si="12"/>
        <v>19.083333333333332</v>
      </c>
      <c r="R245" s="52">
        <f t="shared" si="13"/>
        <v>5.3015980205163866E-3</v>
      </c>
      <c r="S245" s="58">
        <f t="shared" si="70"/>
        <v>2.2611532693485772E-9</v>
      </c>
      <c r="T245" s="52">
        <f t="shared" si="30"/>
        <v>1.1987725696862573E-11</v>
      </c>
    </row>
    <row r="246" spans="2:20" ht="15.75" customHeight="1" x14ac:dyDescent="0.25">
      <c r="B246" s="33">
        <f t="shared" si="77"/>
        <v>32.166666666666671</v>
      </c>
      <c r="C246" s="34"/>
      <c r="D246" s="35">
        <f t="shared" si="78"/>
        <v>2.9150000000000828E-4</v>
      </c>
      <c r="E246" s="36">
        <f>E244-(2/12)*F244</f>
        <v>982297.93501329108</v>
      </c>
      <c r="F246" s="36">
        <f t="shared" si="79"/>
        <v>143.21167023002636</v>
      </c>
      <c r="G246" s="31">
        <f t="shared" si="0"/>
        <v>0.9997085</v>
      </c>
      <c r="H246" s="32"/>
      <c r="I246" s="51">
        <f t="shared" si="9"/>
        <v>19.166666666666664</v>
      </c>
      <c r="J246" s="51">
        <f t="shared" si="10"/>
        <v>84.166666666665577</v>
      </c>
      <c r="K246" s="52">
        <f t="shared" si="38"/>
        <v>1.28895E-2</v>
      </c>
      <c r="L246" s="53">
        <f t="shared" si="5"/>
        <v>0.9871105</v>
      </c>
      <c r="M246" s="52">
        <f t="shared" si="11"/>
        <v>5.2674305466736638E-3</v>
      </c>
      <c r="N246" s="58">
        <f t="shared" si="6"/>
        <v>0.17323167894125965</v>
      </c>
      <c r="Q246" s="51">
        <f t="shared" si="12"/>
        <v>19.166666666666664</v>
      </c>
      <c r="R246" s="52">
        <f t="shared" si="13"/>
        <v>5.2674305466736638E-3</v>
      </c>
      <c r="S246" s="58">
        <f t="shared" si="70"/>
        <v>2.0728886995535887E-9</v>
      </c>
      <c r="T246" s="52">
        <f t="shared" si="30"/>
        <v>1.091879725588322E-11</v>
      </c>
    </row>
    <row r="247" spans="2:20" ht="15.75" customHeight="1" x14ac:dyDescent="0.25">
      <c r="B247" s="33">
        <f t="shared" si="77"/>
        <v>32.250000000000007</v>
      </c>
      <c r="C247" s="34"/>
      <c r="D247" s="35">
        <f t="shared" si="78"/>
        <v>4.3725000000001239E-4</v>
      </c>
      <c r="E247" s="36">
        <f>E244-(3/12)*F244</f>
        <v>982154.72334306105</v>
      </c>
      <c r="F247" s="36">
        <f t="shared" si="79"/>
        <v>143.21167023002636</v>
      </c>
      <c r="G247" s="31">
        <f t="shared" si="0"/>
        <v>0.99956274999999994</v>
      </c>
      <c r="H247" s="32"/>
      <c r="I247" s="51">
        <f t="shared" si="9"/>
        <v>19.249999999999996</v>
      </c>
      <c r="J247" s="51">
        <f t="shared" si="10"/>
        <v>84.249999999998906</v>
      </c>
      <c r="K247" s="52">
        <f t="shared" si="38"/>
        <v>1.9334250000000001E-2</v>
      </c>
      <c r="L247" s="53">
        <f t="shared" si="5"/>
        <v>0.98066575</v>
      </c>
      <c r="M247" s="52">
        <f t="shared" si="11"/>
        <v>5.1995360006423137E-3</v>
      </c>
      <c r="N247" s="58">
        <f t="shared" si="6"/>
        <v>0.17198126791371024</v>
      </c>
      <c r="Q247" s="51">
        <f t="shared" si="12"/>
        <v>19.249999999999996</v>
      </c>
      <c r="R247" s="52">
        <f t="shared" si="13"/>
        <v>5.1995360006423137E-3</v>
      </c>
      <c r="S247" s="58">
        <f t="shared" si="70"/>
        <v>1.9002991168196514E-9</v>
      </c>
      <c r="T247" s="52">
        <f t="shared" si="30"/>
        <v>9.8806736698925711E-12</v>
      </c>
    </row>
    <row r="248" spans="2:20" ht="15.75" customHeight="1" x14ac:dyDescent="0.25">
      <c r="B248" s="33">
        <f t="shared" si="77"/>
        <v>32.333333333333343</v>
      </c>
      <c r="C248" s="34"/>
      <c r="D248" s="35">
        <f t="shared" si="78"/>
        <v>5.8300000000001656E-4</v>
      </c>
      <c r="E248" s="36">
        <f>E244-(4/12)*F244</f>
        <v>982011.51167283102</v>
      </c>
      <c r="F248" s="36">
        <f t="shared" si="79"/>
        <v>143.21167023002636</v>
      </c>
      <c r="G248" s="31">
        <f t="shared" si="0"/>
        <v>0.999417</v>
      </c>
      <c r="H248" s="32"/>
      <c r="I248" s="51">
        <f t="shared" si="9"/>
        <v>19.333333333333329</v>
      </c>
      <c r="J248" s="51">
        <f t="shared" si="10"/>
        <v>84.333333333332234</v>
      </c>
      <c r="K248" s="52">
        <f t="shared" si="38"/>
        <v>2.5779E-2</v>
      </c>
      <c r="L248" s="53">
        <f t="shared" si="5"/>
        <v>0.974221</v>
      </c>
      <c r="M248" s="52">
        <f t="shared" si="11"/>
        <v>5.0990068717218949E-3</v>
      </c>
      <c r="N248" s="58">
        <f t="shared" si="6"/>
        <v>0.17073988253174346</v>
      </c>
      <c r="Q248" s="51">
        <f t="shared" si="12"/>
        <v>19.333333333333329</v>
      </c>
      <c r="R248" s="52">
        <f t="shared" si="13"/>
        <v>5.0990068717218949E-3</v>
      </c>
      <c r="S248" s="58">
        <f t="shared" si="70"/>
        <v>1.7420794151481541E-9</v>
      </c>
      <c r="T248" s="52">
        <f t="shared" si="30"/>
        <v>8.8828749089256969E-12</v>
      </c>
    </row>
    <row r="249" spans="2:20" ht="15.75" customHeight="1" x14ac:dyDescent="0.25">
      <c r="B249" s="33">
        <f t="shared" si="77"/>
        <v>32.416666666666679</v>
      </c>
      <c r="C249" s="34"/>
      <c r="D249" s="35">
        <f t="shared" si="78"/>
        <v>7.2875000000002072E-4</v>
      </c>
      <c r="E249" s="36">
        <f>E244-(5/12)*F244</f>
        <v>981868.300002601</v>
      </c>
      <c r="F249" s="36">
        <f t="shared" si="79"/>
        <v>143.21167023014277</v>
      </c>
      <c r="G249" s="31">
        <f t="shared" si="0"/>
        <v>0.99927124999999994</v>
      </c>
      <c r="H249" s="32"/>
      <c r="I249" s="51">
        <f t="shared" si="9"/>
        <v>19.416666666666661</v>
      </c>
      <c r="J249" s="51">
        <f t="shared" si="10"/>
        <v>84.416666666665563</v>
      </c>
      <c r="K249" s="52">
        <f t="shared" si="38"/>
        <v>3.2223750000000002E-2</v>
      </c>
      <c r="L249" s="53">
        <f t="shared" si="5"/>
        <v>0.96777625</v>
      </c>
      <c r="M249" s="52">
        <f t="shared" si="11"/>
        <v>4.9675595735757761E-3</v>
      </c>
      <c r="N249" s="58">
        <f t="shared" si="6"/>
        <v>0.1695074576469591</v>
      </c>
      <c r="Q249" s="51">
        <f t="shared" si="12"/>
        <v>19.416666666666661</v>
      </c>
      <c r="R249" s="52">
        <f t="shared" si="13"/>
        <v>4.9675595735757761E-3</v>
      </c>
      <c r="S249" s="58">
        <f t="shared" si="70"/>
        <v>1.5970331522134507E-9</v>
      </c>
      <c r="T249" s="52">
        <f t="shared" si="30"/>
        <v>7.9333573245958275E-12</v>
      </c>
    </row>
    <row r="250" spans="2:20" ht="15.75" customHeight="1" x14ac:dyDescent="0.25">
      <c r="B250" s="33">
        <f t="shared" si="77"/>
        <v>32.500000000000014</v>
      </c>
      <c r="C250" s="34"/>
      <c r="D250" s="35">
        <f t="shared" si="78"/>
        <v>8.7450000000002478E-4</v>
      </c>
      <c r="E250" s="36">
        <f>E244-(6/12)*F244</f>
        <v>981725.08833237085</v>
      </c>
      <c r="F250" s="36">
        <f t="shared" si="79"/>
        <v>143.21167023002636</v>
      </c>
      <c r="G250" s="31">
        <f t="shared" si="0"/>
        <v>0.9991255</v>
      </c>
      <c r="H250" s="32"/>
      <c r="I250" s="51">
        <f t="shared" si="9"/>
        <v>19.499999999999993</v>
      </c>
      <c r="J250" s="51">
        <f t="shared" si="10"/>
        <v>84.499999999998892</v>
      </c>
      <c r="K250" s="52">
        <f t="shared" si="38"/>
        <v>3.8668500000000001E-2</v>
      </c>
      <c r="L250" s="53">
        <f t="shared" si="5"/>
        <v>0.96133150000000001</v>
      </c>
      <c r="M250" s="52">
        <f t="shared" si="11"/>
        <v>4.8074861757667637E-3</v>
      </c>
      <c r="N250" s="58">
        <f t="shared" si="6"/>
        <v>0.16828392858120719</v>
      </c>
      <c r="Q250" s="51">
        <f t="shared" si="12"/>
        <v>19.499999999999993</v>
      </c>
      <c r="R250" s="52">
        <f t="shared" si="13"/>
        <v>4.8074861757667637E-3</v>
      </c>
      <c r="S250" s="58">
        <f t="shared" si="70"/>
        <v>1.4640635019798689E-9</v>
      </c>
      <c r="T250" s="52">
        <f t="shared" si="30"/>
        <v>7.0384650462128957E-12</v>
      </c>
    </row>
    <row r="251" spans="2:20" ht="15.75" customHeight="1" x14ac:dyDescent="0.25">
      <c r="B251" s="33">
        <f t="shared" si="77"/>
        <v>32.58333333333335</v>
      </c>
      <c r="C251" s="34"/>
      <c r="D251" s="35">
        <f t="shared" si="78"/>
        <v>1.0202500000000289E-3</v>
      </c>
      <c r="E251" s="36">
        <f>E244-(7/12)*F244</f>
        <v>981581.87666214083</v>
      </c>
      <c r="F251" s="36">
        <f t="shared" si="79"/>
        <v>143.21167023002636</v>
      </c>
      <c r="G251" s="31">
        <f t="shared" si="0"/>
        <v>0.99897974999999994</v>
      </c>
      <c r="H251" s="32"/>
      <c r="I251" s="51">
        <f t="shared" si="9"/>
        <v>19.583333333333325</v>
      </c>
      <c r="J251" s="51">
        <f t="shared" si="10"/>
        <v>84.58333333333222</v>
      </c>
      <c r="K251" s="52">
        <f t="shared" si="38"/>
        <v>4.5113250000000008E-2</v>
      </c>
      <c r="L251" s="53">
        <f t="shared" si="5"/>
        <v>0.95488675000000001</v>
      </c>
      <c r="M251" s="52">
        <f t="shared" si="11"/>
        <v>4.6215878965791268E-3</v>
      </c>
      <c r="N251" s="58">
        <f t="shared" si="6"/>
        <v>0.16706923112319413</v>
      </c>
      <c r="Q251" s="51">
        <f t="shared" si="12"/>
        <v>19.583333333333325</v>
      </c>
      <c r="R251" s="52">
        <f t="shared" si="13"/>
        <v>4.6215878965791268E-3</v>
      </c>
      <c r="S251" s="58">
        <f t="shared" si="70"/>
        <v>1.3421649606075706E-9</v>
      </c>
      <c r="T251" s="52">
        <f t="shared" si="30"/>
        <v>6.2029333371565488E-12</v>
      </c>
    </row>
    <row r="252" spans="2:20" ht="15.75" customHeight="1" x14ac:dyDescent="0.25">
      <c r="B252" s="33">
        <f t="shared" si="77"/>
        <v>32.666666666666686</v>
      </c>
      <c r="C252" s="34"/>
      <c r="D252" s="35">
        <f t="shared" si="78"/>
        <v>1.1660000000000331E-3</v>
      </c>
      <c r="E252" s="36">
        <f>E244-(8/12)*F244</f>
        <v>981438.6649919108</v>
      </c>
      <c r="F252" s="36">
        <f t="shared" si="79"/>
        <v>143.21167023014277</v>
      </c>
      <c r="G252" s="31">
        <f t="shared" si="0"/>
        <v>0.998834</v>
      </c>
      <c r="H252" s="32"/>
      <c r="I252" s="51">
        <f t="shared" si="9"/>
        <v>19.666666666666657</v>
      </c>
      <c r="J252" s="51">
        <f t="shared" si="10"/>
        <v>84.666666666665549</v>
      </c>
      <c r="K252" s="52">
        <f t="shared" si="38"/>
        <v>5.1558E-2</v>
      </c>
      <c r="L252" s="53">
        <f t="shared" si="5"/>
        <v>0.94844200000000001</v>
      </c>
      <c r="M252" s="52">
        <f t="shared" si="11"/>
        <v>4.4130930464037783E-3</v>
      </c>
      <c r="N252" s="58">
        <f t="shared" si="6"/>
        <v>0.1658633015251125</v>
      </c>
      <c r="Q252" s="51">
        <f t="shared" si="12"/>
        <v>19.666666666666657</v>
      </c>
      <c r="R252" s="52">
        <f t="shared" si="13"/>
        <v>4.4130930464037783E-3</v>
      </c>
      <c r="S252" s="58">
        <f t="shared" si="70"/>
        <v>1.2304157429282674E-9</v>
      </c>
      <c r="T252" s="52">
        <f t="shared" si="30"/>
        <v>5.4299391593024753E-12</v>
      </c>
    </row>
    <row r="253" spans="2:20" ht="15.75" customHeight="1" x14ac:dyDescent="0.25">
      <c r="B253" s="33">
        <f t="shared" si="77"/>
        <v>32.750000000000021</v>
      </c>
      <c r="C253" s="34"/>
      <c r="D253" s="35">
        <f t="shared" si="78"/>
        <v>1.3117500000000373E-3</v>
      </c>
      <c r="E253" s="36">
        <f>E244-(9/12)*F244</f>
        <v>981295.45332168066</v>
      </c>
      <c r="F253" s="36">
        <f t="shared" si="79"/>
        <v>143.21167023002636</v>
      </c>
      <c r="G253" s="31">
        <f t="shared" si="0"/>
        <v>0.99868824999999994</v>
      </c>
      <c r="H253" s="32"/>
      <c r="I253" s="51">
        <f t="shared" si="9"/>
        <v>19.749999999999989</v>
      </c>
      <c r="J253" s="51">
        <f t="shared" si="10"/>
        <v>84.749999999998877</v>
      </c>
      <c r="K253" s="52">
        <f t="shared" si="38"/>
        <v>5.8002750000000006E-2</v>
      </c>
      <c r="L253" s="53">
        <f t="shared" si="5"/>
        <v>0.94199725000000001</v>
      </c>
      <c r="M253" s="52">
        <f t="shared" si="11"/>
        <v>4.1855627951172926E-3</v>
      </c>
      <c r="N253" s="58">
        <f t="shared" si="6"/>
        <v>0.16466607649929557</v>
      </c>
      <c r="Q253" s="51">
        <f t="shared" si="12"/>
        <v>19.749999999999989</v>
      </c>
      <c r="R253" s="52">
        <f t="shared" si="13"/>
        <v>4.1855627951172926E-3</v>
      </c>
      <c r="S253" s="58">
        <f t="shared" si="70"/>
        <v>1.1279708119934816E-9</v>
      </c>
      <c r="T253" s="52">
        <f t="shared" si="30"/>
        <v>4.7211926646581586E-12</v>
      </c>
    </row>
    <row r="254" spans="2:20" ht="15.75" customHeight="1" x14ac:dyDescent="0.25">
      <c r="B254" s="33">
        <f t="shared" si="77"/>
        <v>32.833333333333357</v>
      </c>
      <c r="C254" s="34"/>
      <c r="D254" s="35">
        <f t="shared" si="78"/>
        <v>1.4575000000000414E-3</v>
      </c>
      <c r="E254" s="36">
        <f>E244-(10/12)*F244</f>
        <v>981152.24165145063</v>
      </c>
      <c r="F254" s="36">
        <f t="shared" si="79"/>
        <v>143.21167023002636</v>
      </c>
      <c r="G254" s="31">
        <f t="shared" si="0"/>
        <v>0.9985425</v>
      </c>
      <c r="H254" s="32"/>
      <c r="I254" s="51">
        <f t="shared" si="9"/>
        <v>19.833333333333321</v>
      </c>
      <c r="J254" s="51">
        <f t="shared" si="10"/>
        <v>84.833333333332206</v>
      </c>
      <c r="K254" s="52">
        <f t="shared" si="38"/>
        <v>6.4447500000000005E-2</v>
      </c>
      <c r="L254" s="53">
        <f t="shared" si="5"/>
        <v>0.93555250000000001</v>
      </c>
      <c r="M254" s="52">
        <f t="shared" si="11"/>
        <v>3.9427886427028033E-3</v>
      </c>
      <c r="N254" s="58">
        <f t="shared" si="6"/>
        <v>0.16347749321489621</v>
      </c>
      <c r="Q254" s="51">
        <f t="shared" si="12"/>
        <v>19.833333333333321</v>
      </c>
      <c r="R254" s="52">
        <f t="shared" si="13"/>
        <v>3.9427886427028033E-3</v>
      </c>
      <c r="S254" s="58">
        <f t="shared" si="70"/>
        <v>1.0340554889855707E-9</v>
      </c>
      <c r="T254" s="52">
        <f t="shared" si="30"/>
        <v>4.0770622378968024E-12</v>
      </c>
    </row>
    <row r="255" spans="2:20" ht="15.75" customHeight="1" x14ac:dyDescent="0.25">
      <c r="B255" s="33">
        <f t="shared" si="77"/>
        <v>32.916666666666693</v>
      </c>
      <c r="C255" s="34"/>
      <c r="D255" s="35">
        <f t="shared" si="78"/>
        <v>1.6032500000000454E-3</v>
      </c>
      <c r="E255" s="36">
        <f>E244-(11/12)*F244</f>
        <v>981009.02998122061</v>
      </c>
      <c r="F255" s="36">
        <f t="shared" si="79"/>
        <v>143.21167023002636</v>
      </c>
      <c r="G255" s="31">
        <f t="shared" si="0"/>
        <v>0.99839674999999994</v>
      </c>
      <c r="H255" s="32"/>
      <c r="I255" s="51">
        <f t="shared" si="9"/>
        <v>19.916666666666654</v>
      </c>
      <c r="J255" s="51">
        <f t="shared" si="10"/>
        <v>84.916666666665535</v>
      </c>
      <c r="K255" s="52">
        <f t="shared" si="38"/>
        <v>7.0892250000000004E-2</v>
      </c>
      <c r="L255" s="53">
        <f t="shared" si="5"/>
        <v>0.92910775000000001</v>
      </c>
      <c r="M255" s="52">
        <f t="shared" si="11"/>
        <v>3.6886857716522145E-3</v>
      </c>
      <c r="N255" s="58">
        <f t="shared" si="6"/>
        <v>0.16229748929458923</v>
      </c>
      <c r="Q255" s="51">
        <f t="shared" si="12"/>
        <v>19.916666666666654</v>
      </c>
      <c r="R255" s="52">
        <f t="shared" si="13"/>
        <v>3.6886857716522145E-3</v>
      </c>
      <c r="S255" s="58">
        <f t="shared" si="70"/>
        <v>9.4795959517024355E-10</v>
      </c>
      <c r="T255" s="52">
        <f t="shared" si="30"/>
        <v>3.4967250708056706E-12</v>
      </c>
    </row>
    <row r="256" spans="2:20" ht="15.75" customHeight="1" x14ac:dyDescent="0.25">
      <c r="B256" s="27">
        <v>33</v>
      </c>
      <c r="C256" s="28">
        <v>1.8840000000000001</v>
      </c>
      <c r="D256" s="29">
        <f>C256/1000</f>
        <v>1.884E-3</v>
      </c>
      <c r="E256" s="30">
        <f>E244-F244</f>
        <v>980865.81831099058</v>
      </c>
      <c r="F256" s="48">
        <f>D256*E256</f>
        <v>1847.9512016979063</v>
      </c>
      <c r="G256" s="31">
        <f t="shared" si="0"/>
        <v>0.998116</v>
      </c>
      <c r="H256" s="49"/>
      <c r="I256" s="51">
        <f t="shared" si="9"/>
        <v>19.999999999999986</v>
      </c>
      <c r="J256" s="51">
        <f t="shared" si="10"/>
        <v>84.999999999998863</v>
      </c>
      <c r="K256" s="52">
        <f t="shared" si="38"/>
        <v>8.2817000000000002E-2</v>
      </c>
      <c r="L256" s="53">
        <f t="shared" si="5"/>
        <v>0.91718299999999997</v>
      </c>
      <c r="M256" s="52">
        <f t="shared" si="11"/>
        <v>3.4271865377568027E-3</v>
      </c>
      <c r="N256" s="58">
        <f t="shared" si="6"/>
        <v>0.16112600281129794</v>
      </c>
      <c r="Q256" s="51">
        <f t="shared" si="12"/>
        <v>19.999999999999986</v>
      </c>
      <c r="R256" s="52">
        <f t="shared" si="13"/>
        <v>3.4271865377568027E-3</v>
      </c>
      <c r="S256" s="58">
        <f t="shared" si="70"/>
        <v>8.6903208159254623E-10</v>
      </c>
      <c r="T256" s="52">
        <f t="shared" si="30"/>
        <v>2.9783350509127457E-12</v>
      </c>
    </row>
    <row r="257" spans="2:20" ht="15.75" customHeight="1" x14ac:dyDescent="0.25">
      <c r="B257" s="33">
        <f t="shared" ref="B257:B267" si="80">B256+1/12</f>
        <v>33.083333333333336</v>
      </c>
      <c r="C257" s="34"/>
      <c r="D257" s="35">
        <f t="shared" ref="D257:D267" si="81">(B257-$B$256)*$D$256</f>
        <v>1.5700000000000447E-4</v>
      </c>
      <c r="E257" s="36">
        <f>E256-(1/12)*F256</f>
        <v>980711.82237751572</v>
      </c>
      <c r="F257" s="36">
        <f t="shared" ref="F257:F267" si="82">E257-E258</f>
        <v>153.99593347474001</v>
      </c>
      <c r="G257" s="31">
        <f t="shared" si="0"/>
        <v>0.99984300000000004</v>
      </c>
      <c r="H257" s="37"/>
      <c r="I257" s="51">
        <f t="shared" si="9"/>
        <v>20.083333333333318</v>
      </c>
      <c r="J257" s="51">
        <f t="shared" si="10"/>
        <v>85.083333333332192</v>
      </c>
      <c r="K257" s="52">
        <f t="shared" si="38"/>
        <v>6.9014166666666668E-3</v>
      </c>
      <c r="L257" s="53">
        <f t="shared" si="5"/>
        <v>0.99309858333333334</v>
      </c>
      <c r="M257" s="52">
        <f t="shared" si="11"/>
        <v>3.1433572302593973E-3</v>
      </c>
      <c r="N257" s="58">
        <f t="shared" si="6"/>
        <v>0.15996297228494416</v>
      </c>
      <c r="Q257" s="51">
        <f t="shared" si="12"/>
        <v>20.083333333333318</v>
      </c>
      <c r="R257" s="52">
        <f t="shared" si="13"/>
        <v>3.1433572302593973E-3</v>
      </c>
      <c r="S257" s="58">
        <f t="shared" si="70"/>
        <v>7.9667610590664713E-10</v>
      </c>
      <c r="T257" s="52">
        <f t="shared" si="30"/>
        <v>2.5042375976765608E-12</v>
      </c>
    </row>
    <row r="258" spans="2:20" ht="15.75" customHeight="1" x14ac:dyDescent="0.25">
      <c r="B258" s="33">
        <f t="shared" si="80"/>
        <v>33.166666666666671</v>
      </c>
      <c r="C258" s="34"/>
      <c r="D258" s="35">
        <f t="shared" si="81"/>
        <v>3.1400000000000893E-4</v>
      </c>
      <c r="E258" s="36">
        <f>E256-(2/12)*F256</f>
        <v>980557.82644404098</v>
      </c>
      <c r="F258" s="36">
        <f t="shared" si="82"/>
        <v>153.99593347485643</v>
      </c>
      <c r="G258" s="31">
        <f t="shared" si="0"/>
        <v>0.99968599999999996</v>
      </c>
      <c r="H258" s="32"/>
      <c r="I258" s="51">
        <f t="shared" si="9"/>
        <v>20.16666666666665</v>
      </c>
      <c r="J258" s="51">
        <f t="shared" si="10"/>
        <v>85.16666666666552</v>
      </c>
      <c r="K258" s="52">
        <f t="shared" si="38"/>
        <v>1.3802833333333334E-2</v>
      </c>
      <c r="L258" s="53">
        <f t="shared" si="5"/>
        <v>0.98619716666666668</v>
      </c>
      <c r="M258" s="52">
        <f t="shared" si="11"/>
        <v>3.1216636122811982E-3</v>
      </c>
      <c r="N258" s="58">
        <f t="shared" si="6"/>
        <v>0.15880833667922156</v>
      </c>
      <c r="Q258" s="51">
        <f t="shared" si="12"/>
        <v>20.16666666666665</v>
      </c>
      <c r="R258" s="52">
        <f t="shared" si="13"/>
        <v>3.1216636122811982E-3</v>
      </c>
      <c r="S258" s="58">
        <f t="shared" si="70"/>
        <v>7.3034451911082081E-10</v>
      </c>
      <c r="T258" s="52">
        <f t="shared" si="30"/>
        <v>2.2798899097372594E-12</v>
      </c>
    </row>
    <row r="259" spans="2:20" ht="15.75" customHeight="1" x14ac:dyDescent="0.25">
      <c r="B259" s="33">
        <f t="shared" si="80"/>
        <v>33.250000000000007</v>
      </c>
      <c r="C259" s="34"/>
      <c r="D259" s="35">
        <f t="shared" si="81"/>
        <v>4.710000000000134E-4</v>
      </c>
      <c r="E259" s="36">
        <f>E256-(3/12)*F256</f>
        <v>980403.83051056613</v>
      </c>
      <c r="F259" s="36">
        <f t="shared" si="82"/>
        <v>153.99593347485643</v>
      </c>
      <c r="G259" s="31">
        <f t="shared" ref="G259:G513" si="83">1-D259</f>
        <v>0.999529</v>
      </c>
      <c r="H259" s="32"/>
      <c r="I259" s="51">
        <f t="shared" si="9"/>
        <v>20.249999999999982</v>
      </c>
      <c r="J259" s="51">
        <f t="shared" si="10"/>
        <v>85.249999999998849</v>
      </c>
      <c r="K259" s="52">
        <f t="shared" si="38"/>
        <v>2.070425E-2</v>
      </c>
      <c r="L259" s="53">
        <f t="shared" si="5"/>
        <v>0.97929575000000002</v>
      </c>
      <c r="M259" s="52">
        <f t="shared" si="11"/>
        <v>3.0785758097181494E-3</v>
      </c>
      <c r="N259" s="58">
        <f t="shared" si="6"/>
        <v>0.15766203539839282</v>
      </c>
      <c r="Q259" s="51">
        <f t="shared" si="12"/>
        <v>20.249999999999982</v>
      </c>
      <c r="R259" s="52">
        <f t="shared" si="13"/>
        <v>3.0785758097181494E-3</v>
      </c>
      <c r="S259" s="58">
        <f t="shared" si="70"/>
        <v>6.6953572805874664E-10</v>
      </c>
      <c r="T259" s="52">
        <f t="shared" si="30"/>
        <v>2.0612164961436864E-12</v>
      </c>
    </row>
    <row r="260" spans="2:20" ht="15.75" customHeight="1" x14ac:dyDescent="0.25">
      <c r="B260" s="33">
        <f t="shared" si="80"/>
        <v>33.333333333333343</v>
      </c>
      <c r="C260" s="34"/>
      <c r="D260" s="35">
        <f t="shared" si="81"/>
        <v>6.2800000000001787E-4</v>
      </c>
      <c r="E260" s="36">
        <f>E256-(4/12)*F256</f>
        <v>980249.83457709127</v>
      </c>
      <c r="F260" s="36">
        <f t="shared" si="82"/>
        <v>153.99593347485643</v>
      </c>
      <c r="G260" s="31">
        <f t="shared" si="83"/>
        <v>0.99937199999999993</v>
      </c>
      <c r="H260" s="32"/>
      <c r="I260" s="51">
        <f t="shared" si="9"/>
        <v>20.333333333333314</v>
      </c>
      <c r="J260" s="51">
        <f t="shared" si="10"/>
        <v>85.333333333332178</v>
      </c>
      <c r="K260" s="52">
        <f t="shared" si="38"/>
        <v>2.7605666666666667E-2</v>
      </c>
      <c r="L260" s="53">
        <f t="shared" si="5"/>
        <v>0.97239433333333336</v>
      </c>
      <c r="M260" s="52">
        <f t="shared" si="11"/>
        <v>3.0148362065097922E-3</v>
      </c>
      <c r="N260" s="58">
        <f t="shared" si="6"/>
        <v>0.15652400828410912</v>
      </c>
      <c r="Q260" s="51">
        <f t="shared" si="12"/>
        <v>20.333333333333314</v>
      </c>
      <c r="R260" s="52">
        <f t="shared" si="13"/>
        <v>3.0148362065097922E-3</v>
      </c>
      <c r="S260" s="58">
        <f t="shared" si="70"/>
        <v>6.137899024599037E-10</v>
      </c>
      <c r="T260" s="52">
        <f t="shared" si="30"/>
        <v>1.8504760211262313E-12</v>
      </c>
    </row>
    <row r="261" spans="2:20" ht="15.75" customHeight="1" x14ac:dyDescent="0.25">
      <c r="B261" s="33">
        <f t="shared" si="80"/>
        <v>33.416666666666679</v>
      </c>
      <c r="C261" s="34"/>
      <c r="D261" s="35">
        <f t="shared" si="81"/>
        <v>7.8500000000002233E-4</v>
      </c>
      <c r="E261" s="36">
        <f>E256-(5/12)*F256</f>
        <v>980095.83864361641</v>
      </c>
      <c r="F261" s="36">
        <f t="shared" si="82"/>
        <v>153.99593347474001</v>
      </c>
      <c r="G261" s="31">
        <f t="shared" si="83"/>
        <v>0.99921499999999996</v>
      </c>
      <c r="H261" s="32"/>
      <c r="I261" s="51">
        <f t="shared" si="9"/>
        <v>20.416666666666647</v>
      </c>
      <c r="J261" s="51">
        <f t="shared" si="10"/>
        <v>85.416666666665506</v>
      </c>
      <c r="K261" s="52">
        <f t="shared" si="38"/>
        <v>3.4507083333333334E-2</v>
      </c>
      <c r="L261" s="53">
        <f t="shared" si="5"/>
        <v>0.9654929166666667</v>
      </c>
      <c r="M261" s="52">
        <f t="shared" si="11"/>
        <v>2.9316096431382852E-3</v>
      </c>
      <c r="N261" s="58">
        <f t="shared" si="6"/>
        <v>0.15539419561225332</v>
      </c>
      <c r="Q261" s="51">
        <f t="shared" si="12"/>
        <v>20.416666666666647</v>
      </c>
      <c r="R261" s="52">
        <f t="shared" si="13"/>
        <v>2.9316096431382852E-3</v>
      </c>
      <c r="S261" s="58">
        <f t="shared" si="70"/>
        <v>5.6268549768666292E-10</v>
      </c>
      <c r="T261" s="52">
        <f t="shared" si="30"/>
        <v>1.6495742310722863E-12</v>
      </c>
    </row>
    <row r="262" spans="2:20" ht="15.75" customHeight="1" x14ac:dyDescent="0.25">
      <c r="B262" s="33">
        <f t="shared" si="80"/>
        <v>33.500000000000014</v>
      </c>
      <c r="C262" s="34"/>
      <c r="D262" s="35">
        <f t="shared" si="81"/>
        <v>9.420000000000268E-4</v>
      </c>
      <c r="E262" s="36">
        <f>E256-(6/12)*F256</f>
        <v>979941.84271014167</v>
      </c>
      <c r="F262" s="36">
        <f t="shared" si="82"/>
        <v>153.99593347485643</v>
      </c>
      <c r="G262" s="31">
        <f t="shared" si="83"/>
        <v>0.999058</v>
      </c>
      <c r="H262" s="32"/>
      <c r="I262" s="51">
        <f t="shared" si="9"/>
        <v>20.499999999999979</v>
      </c>
      <c r="J262" s="51">
        <f t="shared" si="10"/>
        <v>85.499999999998835</v>
      </c>
      <c r="K262" s="52">
        <f t="shared" si="38"/>
        <v>4.1408500000000001E-2</v>
      </c>
      <c r="L262" s="53">
        <f t="shared" si="5"/>
        <v>0.95859150000000004</v>
      </c>
      <c r="M262" s="52">
        <f t="shared" si="11"/>
        <v>2.8304483448817089E-3</v>
      </c>
      <c r="N262" s="58">
        <f t="shared" si="6"/>
        <v>0.15427253808980546</v>
      </c>
      <c r="Q262" s="51">
        <f t="shared" si="12"/>
        <v>20.499999999999979</v>
      </c>
      <c r="R262" s="52">
        <f t="shared" si="13"/>
        <v>2.8304483448817089E-3</v>
      </c>
      <c r="S262" s="58">
        <f t="shared" si="70"/>
        <v>5.1583606709393648E-10</v>
      </c>
      <c r="T262" s="52">
        <f t="shared" si="30"/>
        <v>1.4600473423363226E-12</v>
      </c>
    </row>
    <row r="263" spans="2:20" ht="15.75" customHeight="1" x14ac:dyDescent="0.25">
      <c r="B263" s="33">
        <f t="shared" si="80"/>
        <v>33.58333333333335</v>
      </c>
      <c r="C263" s="34"/>
      <c r="D263" s="35">
        <f t="shared" si="81"/>
        <v>1.0990000000000312E-3</v>
      </c>
      <c r="E263" s="36">
        <f>E256-(7/12)*F256</f>
        <v>979787.84677666682</v>
      </c>
      <c r="F263" s="36">
        <f t="shared" si="82"/>
        <v>153.99593347485643</v>
      </c>
      <c r="G263" s="31">
        <f t="shared" si="83"/>
        <v>0.99890099999999993</v>
      </c>
      <c r="H263" s="32"/>
      <c r="I263" s="51">
        <f t="shared" si="9"/>
        <v>20.583333333333311</v>
      </c>
      <c r="J263" s="51">
        <f t="shared" si="10"/>
        <v>85.583333333332163</v>
      </c>
      <c r="K263" s="52">
        <f t="shared" si="38"/>
        <v>4.8309916666666668E-2</v>
      </c>
      <c r="L263" s="53">
        <f t="shared" si="5"/>
        <v>0.95169008333333338</v>
      </c>
      <c r="M263" s="52">
        <f t="shared" si="11"/>
        <v>2.7132437245926747E-3</v>
      </c>
      <c r="N263" s="58">
        <f t="shared" si="6"/>
        <v>0.1531589768517311</v>
      </c>
      <c r="Q263" s="51">
        <f t="shared" si="12"/>
        <v>20.583333333333311</v>
      </c>
      <c r="R263" s="52">
        <f t="shared" si="13"/>
        <v>2.7132437245926747E-3</v>
      </c>
      <c r="S263" s="58">
        <f t="shared" si="70"/>
        <v>4.7288733974642825E-10</v>
      </c>
      <c r="T263" s="52">
        <f t="shared" si="30"/>
        <v>1.2830586070063205E-12</v>
      </c>
    </row>
    <row r="264" spans="2:20" ht="15.75" customHeight="1" x14ac:dyDescent="0.25">
      <c r="B264" s="33">
        <f t="shared" si="80"/>
        <v>33.666666666666686</v>
      </c>
      <c r="C264" s="34"/>
      <c r="D264" s="35">
        <f t="shared" si="81"/>
        <v>1.2560000000000357E-3</v>
      </c>
      <c r="E264" s="36">
        <f>E256-(8/12)*F256</f>
        <v>979633.85084319196</v>
      </c>
      <c r="F264" s="36">
        <f t="shared" si="82"/>
        <v>153.99593347485643</v>
      </c>
      <c r="G264" s="31">
        <f t="shared" si="83"/>
        <v>0.99874399999999997</v>
      </c>
      <c r="H264" s="32"/>
      <c r="I264" s="51">
        <f t="shared" si="9"/>
        <v>20.666666666666643</v>
      </c>
      <c r="J264" s="51">
        <f t="shared" si="10"/>
        <v>85.666666666665492</v>
      </c>
      <c r="K264" s="52">
        <f t="shared" si="38"/>
        <v>5.5211333333333334E-2</v>
      </c>
      <c r="L264" s="53">
        <f t="shared" si="5"/>
        <v>0.94478866666666672</v>
      </c>
      <c r="M264" s="52">
        <f t="shared" si="11"/>
        <v>2.5821671463612463E-3</v>
      </c>
      <c r="N264" s="58">
        <f t="shared" si="6"/>
        <v>0.15205345345789195</v>
      </c>
      <c r="Q264" s="51">
        <f t="shared" si="12"/>
        <v>20.666666666666643</v>
      </c>
      <c r="R264" s="52">
        <f t="shared" si="13"/>
        <v>2.5821671463612463E-3</v>
      </c>
      <c r="S264" s="58">
        <f t="shared" si="70"/>
        <v>4.3351454145553233E-10</v>
      </c>
      <c r="T264" s="52">
        <f t="shared" si="30"/>
        <v>1.1194070064163361E-12</v>
      </c>
    </row>
    <row r="265" spans="2:20" ht="15.75" customHeight="1" x14ac:dyDescent="0.25">
      <c r="B265" s="33">
        <f t="shared" si="80"/>
        <v>33.750000000000021</v>
      </c>
      <c r="C265" s="34"/>
      <c r="D265" s="35">
        <f t="shared" si="81"/>
        <v>1.4130000000000401E-3</v>
      </c>
      <c r="E265" s="36">
        <f>E256-(9/12)*F256</f>
        <v>979479.85490971711</v>
      </c>
      <c r="F265" s="36">
        <f t="shared" si="82"/>
        <v>153.99593347474001</v>
      </c>
      <c r="G265" s="31">
        <f t="shared" si="83"/>
        <v>0.998587</v>
      </c>
      <c r="H265" s="32"/>
      <c r="I265" s="51">
        <f t="shared" si="9"/>
        <v>20.749999999999975</v>
      </c>
      <c r="J265" s="51">
        <f t="shared" si="10"/>
        <v>85.74999999999882</v>
      </c>
      <c r="K265" s="52">
        <f t="shared" si="38"/>
        <v>6.2112750000000001E-2</v>
      </c>
      <c r="L265" s="53">
        <f t="shared" si="5"/>
        <v>0.93788724999999995</v>
      </c>
      <c r="M265" s="52">
        <f t="shared" si="11"/>
        <v>2.4396022553211136E-3</v>
      </c>
      <c r="N265" s="58">
        <f t="shared" si="6"/>
        <v>0.15095590988997909</v>
      </c>
      <c r="Q265" s="51">
        <f t="shared" si="12"/>
        <v>20.749999999999975</v>
      </c>
      <c r="R265" s="52">
        <f t="shared" si="13"/>
        <v>2.4396022553211136E-3</v>
      </c>
      <c r="S265" s="58">
        <f t="shared" si="70"/>
        <v>3.9741993886783748E-10</v>
      </c>
      <c r="T265" s="52">
        <f t="shared" si="30"/>
        <v>9.6954657917155532E-13</v>
      </c>
    </row>
    <row r="266" spans="2:20" ht="15.75" customHeight="1" x14ac:dyDescent="0.25">
      <c r="B266" s="33">
        <f t="shared" si="80"/>
        <v>33.833333333333357</v>
      </c>
      <c r="C266" s="34"/>
      <c r="D266" s="35">
        <f t="shared" si="81"/>
        <v>1.5700000000000447E-3</v>
      </c>
      <c r="E266" s="36">
        <f>E256-(10/12)*F256</f>
        <v>979325.85897624237</v>
      </c>
      <c r="F266" s="36">
        <f t="shared" si="82"/>
        <v>153.99593347485643</v>
      </c>
      <c r="G266" s="31">
        <f t="shared" si="83"/>
        <v>0.99842999999999993</v>
      </c>
      <c r="H266" s="32"/>
      <c r="I266" s="51">
        <f t="shared" si="9"/>
        <v>20.833333333333307</v>
      </c>
      <c r="J266" s="51">
        <f t="shared" si="10"/>
        <v>85.833333333332149</v>
      </c>
      <c r="K266" s="52">
        <f t="shared" si="38"/>
        <v>6.9014166666666668E-2</v>
      </c>
      <c r="L266" s="53">
        <f t="shared" si="5"/>
        <v>0.93098583333333329</v>
      </c>
      <c r="M266" s="52">
        <f t="shared" si="11"/>
        <v>2.2880718503369168E-3</v>
      </c>
      <c r="N266" s="58">
        <f t="shared" si="6"/>
        <v>0.14986628854846804</v>
      </c>
      <c r="Q266" s="51">
        <f t="shared" si="12"/>
        <v>20.833333333333307</v>
      </c>
      <c r="R266" s="52">
        <f t="shared" si="13"/>
        <v>2.2880718503369168E-3</v>
      </c>
      <c r="S266" s="58">
        <f t="shared" si="70"/>
        <v>3.64330588033845E-10</v>
      </c>
      <c r="T266" s="52">
        <f t="shared" si="30"/>
        <v>8.3361456269693667E-13</v>
      </c>
    </row>
    <row r="267" spans="2:20" ht="15.75" customHeight="1" x14ac:dyDescent="0.25">
      <c r="B267" s="33">
        <f t="shared" si="80"/>
        <v>33.916666666666693</v>
      </c>
      <c r="C267" s="34"/>
      <c r="D267" s="35">
        <f t="shared" si="81"/>
        <v>1.727000000000049E-3</v>
      </c>
      <c r="E267" s="36">
        <f>E256-(11/12)*F256</f>
        <v>979171.86304276751</v>
      </c>
      <c r="F267" s="36">
        <f t="shared" si="82"/>
        <v>153.99593347485643</v>
      </c>
      <c r="G267" s="31">
        <f t="shared" si="83"/>
        <v>0.99827299999999997</v>
      </c>
      <c r="H267" s="32"/>
      <c r="I267" s="51">
        <f t="shared" si="9"/>
        <v>20.916666666666639</v>
      </c>
      <c r="J267" s="51">
        <f t="shared" si="10"/>
        <v>85.916666666665478</v>
      </c>
      <c r="K267" s="52">
        <f t="shared" si="38"/>
        <v>7.5915583333333328E-2</v>
      </c>
      <c r="L267" s="53">
        <f t="shared" si="5"/>
        <v>0.92408441666666663</v>
      </c>
      <c r="M267" s="52">
        <f t="shared" si="11"/>
        <v>2.1301624783124562E-3</v>
      </c>
      <c r="N267" s="58">
        <f t="shared" si="6"/>
        <v>0.14878453224959584</v>
      </c>
      <c r="Q267" s="51">
        <f t="shared" si="12"/>
        <v>20.916666666666639</v>
      </c>
      <c r="R267" s="52">
        <f t="shared" si="13"/>
        <v>2.1301624783124562E-3</v>
      </c>
      <c r="S267" s="58">
        <f t="shared" si="70"/>
        <v>3.3399627043178778E-10</v>
      </c>
      <c r="T267" s="52">
        <f t="shared" si="30"/>
        <v>7.1146632317009442E-13</v>
      </c>
    </row>
    <row r="268" spans="2:20" ht="15.75" customHeight="1" x14ac:dyDescent="0.25">
      <c r="B268" s="27">
        <v>34</v>
      </c>
      <c r="C268" s="28">
        <v>2.0289999999999999</v>
      </c>
      <c r="D268" s="29">
        <f>C268/1000</f>
        <v>2.029E-3</v>
      </c>
      <c r="E268" s="30">
        <f>E256-F256</f>
        <v>979017.86710929265</v>
      </c>
      <c r="F268" s="48">
        <f>D268*E268</f>
        <v>1986.4272523647548</v>
      </c>
      <c r="G268" s="31">
        <f t="shared" si="83"/>
        <v>0.99797100000000005</v>
      </c>
      <c r="H268" s="49"/>
      <c r="I268" s="51">
        <f t="shared" si="9"/>
        <v>20.999999999999972</v>
      </c>
      <c r="J268" s="51">
        <f t="shared" si="10"/>
        <v>85.999999999998806</v>
      </c>
      <c r="K268" s="52">
        <f t="shared" si="38"/>
        <v>8.8649000000000006E-2</v>
      </c>
      <c r="L268" s="53">
        <f t="shared" si="5"/>
        <v>0.91135100000000002</v>
      </c>
      <c r="M268" s="52">
        <f t="shared" si="11"/>
        <v>1.9684499511765869E-3</v>
      </c>
      <c r="N268" s="58">
        <f t="shared" si="6"/>
        <v>0.14771058422236025</v>
      </c>
      <c r="Q268" s="51">
        <f t="shared" si="12"/>
        <v>20.999999999999972</v>
      </c>
      <c r="R268" s="52">
        <f t="shared" si="13"/>
        <v>1.9684499511765869E-3</v>
      </c>
      <c r="S268" s="58">
        <f t="shared" si="70"/>
        <v>3.061876008389968E-10</v>
      </c>
      <c r="T268" s="52">
        <f t="shared" si="30"/>
        <v>6.0271496792239954E-13</v>
      </c>
    </row>
    <row r="269" spans="2:20" ht="15.75" customHeight="1" x14ac:dyDescent="0.25">
      <c r="B269" s="33">
        <f t="shared" ref="B269:B279" si="84">B268+1/12</f>
        <v>34.083333333333336</v>
      </c>
      <c r="C269" s="34"/>
      <c r="D269" s="35">
        <f t="shared" ref="D269:D279" si="85">(B269-$B$268)*$D$268</f>
        <v>1.6908333333333814E-4</v>
      </c>
      <c r="E269" s="36">
        <f>E268-(1/12)*F268</f>
        <v>978852.33150492888</v>
      </c>
      <c r="F269" s="36">
        <f t="shared" ref="F269:F279" si="86">E269-E270</f>
        <v>165.5356043636566</v>
      </c>
      <c r="G269" s="31">
        <f t="shared" si="83"/>
        <v>0.99983091666666668</v>
      </c>
      <c r="H269" s="37"/>
      <c r="I269" s="51">
        <f t="shared" si="9"/>
        <v>21.083333333333304</v>
      </c>
      <c r="J269" s="51">
        <f t="shared" si="10"/>
        <v>86.083333333332135</v>
      </c>
      <c r="K269" s="52">
        <f t="shared" si="38"/>
        <v>7.3874166666666671E-3</v>
      </c>
      <c r="L269" s="53">
        <f t="shared" si="5"/>
        <v>0.99261258333333335</v>
      </c>
      <c r="M269" s="52">
        <f t="shared" si="11"/>
        <v>1.7939488314547337E-3</v>
      </c>
      <c r="N269" s="58">
        <f t="shared" si="6"/>
        <v>0.14664438810554009</v>
      </c>
      <c r="Q269" s="51">
        <f t="shared" si="12"/>
        <v>21.083333333333304</v>
      </c>
      <c r="R269" s="52">
        <f t="shared" si="13"/>
        <v>1.7939488314547337E-3</v>
      </c>
      <c r="S269" s="58">
        <f t="shared" si="70"/>
        <v>2.8069429274267187E-10</v>
      </c>
      <c r="T269" s="52">
        <f t="shared" si="30"/>
        <v>5.0355119846172911E-13</v>
      </c>
    </row>
    <row r="270" spans="2:20" ht="15.75" customHeight="1" x14ac:dyDescent="0.25">
      <c r="B270" s="33">
        <f t="shared" si="84"/>
        <v>34.166666666666671</v>
      </c>
      <c r="C270" s="34"/>
      <c r="D270" s="35">
        <f t="shared" si="85"/>
        <v>3.3816666666667628E-4</v>
      </c>
      <c r="E270" s="36">
        <f>E268-(2/12)*F268</f>
        <v>978686.79590056522</v>
      </c>
      <c r="F270" s="36">
        <f t="shared" si="86"/>
        <v>165.53560436377302</v>
      </c>
      <c r="G270" s="31">
        <f t="shared" si="83"/>
        <v>0.99966183333333336</v>
      </c>
      <c r="H270" s="32"/>
      <c r="I270" s="51">
        <f t="shared" si="9"/>
        <v>21.166666666666636</v>
      </c>
      <c r="J270" s="51">
        <f t="shared" si="10"/>
        <v>86.166666666665463</v>
      </c>
      <c r="K270" s="52">
        <f t="shared" si="38"/>
        <v>1.4774833333333334E-2</v>
      </c>
      <c r="L270" s="53">
        <f t="shared" si="5"/>
        <v>0.98522516666666671</v>
      </c>
      <c r="M270" s="52">
        <f t="shared" si="11"/>
        <v>1.7806961839580979E-3</v>
      </c>
      <c r="N270" s="58">
        <f t="shared" si="6"/>
        <v>0.14558588794473759</v>
      </c>
      <c r="Q270" s="51">
        <f t="shared" si="12"/>
        <v>21.166666666666636</v>
      </c>
      <c r="R270" s="52">
        <f t="shared" si="13"/>
        <v>1.7806961839580979E-3</v>
      </c>
      <c r="S270" s="58">
        <f t="shared" si="70"/>
        <v>2.5732356817328699E-10</v>
      </c>
      <c r="T270" s="52">
        <f t="shared" si="30"/>
        <v>4.582150958886536E-13</v>
      </c>
    </row>
    <row r="271" spans="2:20" ht="15.75" customHeight="1" x14ac:dyDescent="0.25">
      <c r="B271" s="33">
        <f t="shared" si="84"/>
        <v>34.250000000000007</v>
      </c>
      <c r="C271" s="34"/>
      <c r="D271" s="35">
        <f t="shared" si="85"/>
        <v>5.0725000000001442E-4</v>
      </c>
      <c r="E271" s="36">
        <f>E268-(3/12)*F268</f>
        <v>978521.26029620145</v>
      </c>
      <c r="F271" s="36">
        <f t="shared" si="86"/>
        <v>165.53560436377302</v>
      </c>
      <c r="G271" s="31">
        <f t="shared" si="83"/>
        <v>0.99949275000000004</v>
      </c>
      <c r="H271" s="32"/>
      <c r="I271" s="51">
        <f t="shared" si="9"/>
        <v>21.249999999999968</v>
      </c>
      <c r="J271" s="51">
        <f t="shared" si="10"/>
        <v>86.249999999998792</v>
      </c>
      <c r="K271" s="52">
        <f t="shared" si="38"/>
        <v>2.2162250000000001E-2</v>
      </c>
      <c r="L271" s="53">
        <f t="shared" ref="L271:L525" si="87">IF(I271&lt;&gt;"",1-K271,"")</f>
        <v>0.97783774999999995</v>
      </c>
      <c r="M271" s="52">
        <f t="shared" si="11"/>
        <v>1.7543866946228145E-3</v>
      </c>
      <c r="N271" s="58">
        <f t="shared" ref="N271:N525" si="88">IF(I271&lt;&gt;"",(1+$M$10)^-(1+I271),"")</f>
        <v>0.14453502818944189</v>
      </c>
      <c r="Q271" s="51">
        <f t="shared" si="12"/>
        <v>21.249999999999968</v>
      </c>
      <c r="R271" s="52">
        <f t="shared" si="13"/>
        <v>1.7543866946228145E-3</v>
      </c>
      <c r="S271" s="58">
        <f t="shared" si="70"/>
        <v>2.3589869993593308E-10</v>
      </c>
      <c r="T271" s="52">
        <f t="shared" ref="T271:T525" si="89">IFERROR(S271*R271,"")</f>
        <v>4.1385754044642078E-13</v>
      </c>
    </row>
    <row r="272" spans="2:20" ht="15.75" customHeight="1" x14ac:dyDescent="0.25">
      <c r="B272" s="33">
        <f t="shared" si="84"/>
        <v>34.333333333333343</v>
      </c>
      <c r="C272" s="34"/>
      <c r="D272" s="35">
        <f t="shared" si="85"/>
        <v>6.7633333333335256E-4</v>
      </c>
      <c r="E272" s="36">
        <f>E268-(4/12)*F268</f>
        <v>978355.72469183768</v>
      </c>
      <c r="F272" s="36">
        <f t="shared" si="86"/>
        <v>165.5356043636566</v>
      </c>
      <c r="G272" s="31">
        <f t="shared" si="83"/>
        <v>0.99932366666666661</v>
      </c>
      <c r="H272" s="32"/>
      <c r="I272" s="51">
        <f t="shared" ref="I272:I526" si="90">IFERROR(IF(I271+1/12&lt;$J$8,I271+1/12,""),"")</f>
        <v>21.3333333333333</v>
      </c>
      <c r="J272" s="51">
        <f t="shared" ref="J272:J526" si="91">IF(I272&lt;&gt;"",J271+1/12,"")</f>
        <v>86.333333333332121</v>
      </c>
      <c r="K272" s="52">
        <f t="shared" si="38"/>
        <v>2.9549666666666669E-2</v>
      </c>
      <c r="L272" s="53">
        <f t="shared" si="87"/>
        <v>0.9704503333333333</v>
      </c>
      <c r="M272" s="52">
        <f t="shared" ref="M272:M526" si="92">IF(I272&lt;&gt;"",M271*L271,"")</f>
        <v>1.7155055380999099E-3</v>
      </c>
      <c r="N272" s="58">
        <f t="shared" si="88"/>
        <v>0.14349175369011355</v>
      </c>
      <c r="Q272" s="51">
        <f t="shared" ref="Q272:Q526" si="93">IFERROR(IF(Q271+1/12&lt;$J$8,Q271+1/12,""),"")</f>
        <v>21.3333333333333</v>
      </c>
      <c r="R272" s="52">
        <f t="shared" ref="R272:R526" si="94">IF(Q272&lt;&gt;"",R271*L271,"")</f>
        <v>1.7155055380999099E-3</v>
      </c>
      <c r="S272" s="58">
        <f t="shared" si="70"/>
        <v>2.1625767521608653E-10</v>
      </c>
      <c r="T272" s="52">
        <f t="shared" si="89"/>
        <v>3.7099123948980808E-13</v>
      </c>
    </row>
    <row r="273" spans="2:20" ht="15.75" customHeight="1" x14ac:dyDescent="0.25">
      <c r="B273" s="33">
        <f t="shared" si="84"/>
        <v>34.416666666666679</v>
      </c>
      <c r="C273" s="34"/>
      <c r="D273" s="35">
        <f t="shared" si="85"/>
        <v>8.4541666666669069E-4</v>
      </c>
      <c r="E273" s="36">
        <f>E268-(5/12)*F268</f>
        <v>978190.18908747402</v>
      </c>
      <c r="F273" s="36">
        <f t="shared" si="86"/>
        <v>165.53560436377302</v>
      </c>
      <c r="G273" s="31">
        <f t="shared" si="83"/>
        <v>0.99915458333333329</v>
      </c>
      <c r="H273" s="32"/>
      <c r="I273" s="51">
        <f t="shared" si="90"/>
        <v>21.416666666666632</v>
      </c>
      <c r="J273" s="51">
        <f t="shared" si="91"/>
        <v>86.416666666665449</v>
      </c>
      <c r="K273" s="52">
        <f t="shared" si="38"/>
        <v>3.6937083333333336E-2</v>
      </c>
      <c r="L273" s="53">
        <f t="shared" si="87"/>
        <v>0.96306291666666666</v>
      </c>
      <c r="M273" s="52">
        <f t="shared" si="92"/>
        <v>1.6648129212842369E-3</v>
      </c>
      <c r="N273" s="58">
        <f t="shared" si="88"/>
        <v>0.14245600969529049</v>
      </c>
      <c r="Q273" s="51">
        <f t="shared" si="93"/>
        <v>21.416666666666632</v>
      </c>
      <c r="R273" s="52">
        <f t="shared" si="94"/>
        <v>1.6648129212842369E-3</v>
      </c>
      <c r="S273" s="58">
        <f t="shared" si="70"/>
        <v>1.9825197045413032E-10</v>
      </c>
      <c r="T273" s="52">
        <f t="shared" si="89"/>
        <v>3.3005244208209691E-13</v>
      </c>
    </row>
    <row r="274" spans="2:20" ht="15.75" customHeight="1" x14ac:dyDescent="0.25">
      <c r="B274" s="33">
        <f t="shared" si="84"/>
        <v>34.500000000000014</v>
      </c>
      <c r="C274" s="34"/>
      <c r="D274" s="35">
        <f t="shared" si="85"/>
        <v>1.0145000000000288E-3</v>
      </c>
      <c r="E274" s="36">
        <f>E268-(6/12)*F268</f>
        <v>978024.65348311025</v>
      </c>
      <c r="F274" s="36">
        <f t="shared" si="86"/>
        <v>165.5356043636566</v>
      </c>
      <c r="G274" s="31">
        <f t="shared" si="83"/>
        <v>0.99898549999999997</v>
      </c>
      <c r="H274" s="32"/>
      <c r="I274" s="51">
        <f t="shared" si="90"/>
        <v>21.499999999999964</v>
      </c>
      <c r="J274" s="51">
        <f t="shared" si="91"/>
        <v>86.499999999998778</v>
      </c>
      <c r="K274" s="52">
        <f t="shared" si="38"/>
        <v>4.4324500000000003E-2</v>
      </c>
      <c r="L274" s="53">
        <f t="shared" si="87"/>
        <v>0.95567550000000001</v>
      </c>
      <c r="M274" s="52">
        <f t="shared" si="92"/>
        <v>1.6033195876763509E-3</v>
      </c>
      <c r="N274" s="58">
        <f t="shared" si="88"/>
        <v>0.14142774184871448</v>
      </c>
      <c r="Q274" s="51">
        <f t="shared" si="93"/>
        <v>21.499999999999964</v>
      </c>
      <c r="R274" s="52">
        <f t="shared" si="94"/>
        <v>1.6033195876763509E-3</v>
      </c>
      <c r="S274" s="58">
        <f t="shared" ref="S274:S337" si="95">IF(Q274&lt;&gt;"",(1+$M$10)^-(12*Q274),"")</f>
        <v>1.8174542822432899E-10</v>
      </c>
      <c r="T274" s="52">
        <f t="shared" si="89"/>
        <v>2.9139600504269301E-13</v>
      </c>
    </row>
    <row r="275" spans="2:20" ht="15.75" customHeight="1" x14ac:dyDescent="0.25">
      <c r="B275" s="33">
        <f t="shared" si="84"/>
        <v>34.58333333333335</v>
      </c>
      <c r="C275" s="34"/>
      <c r="D275" s="35">
        <f t="shared" si="85"/>
        <v>1.183583333333367E-3</v>
      </c>
      <c r="E275" s="36">
        <f>E268-(7/12)*F268</f>
        <v>977859.11787874659</v>
      </c>
      <c r="F275" s="36">
        <f t="shared" si="86"/>
        <v>165.53560436377302</v>
      </c>
      <c r="G275" s="31">
        <f t="shared" si="83"/>
        <v>0.99881641666666665</v>
      </c>
      <c r="H275" s="32"/>
      <c r="I275" s="51">
        <f t="shared" si="90"/>
        <v>21.583333333333297</v>
      </c>
      <c r="J275" s="51">
        <f t="shared" si="91"/>
        <v>86.583333333332106</v>
      </c>
      <c r="K275" s="52">
        <f t="shared" si="38"/>
        <v>5.171191666666667E-2</v>
      </c>
      <c r="L275" s="53">
        <f t="shared" si="87"/>
        <v>0.94828808333333336</v>
      </c>
      <c r="M275" s="52">
        <f t="shared" si="92"/>
        <v>1.5322532486123906E-3</v>
      </c>
      <c r="N275" s="58">
        <f t="shared" si="88"/>
        <v>0.14040689618647847</v>
      </c>
      <c r="Q275" s="51">
        <f t="shared" si="93"/>
        <v>21.583333333333297</v>
      </c>
      <c r="R275" s="52">
        <f t="shared" si="94"/>
        <v>1.5322532486123906E-3</v>
      </c>
      <c r="S275" s="58">
        <f t="shared" si="95"/>
        <v>1.6661322762533139E-10</v>
      </c>
      <c r="T275" s="52">
        <f t="shared" si="89"/>
        <v>2.5529365929070973E-13</v>
      </c>
    </row>
    <row r="276" spans="2:20" ht="15.75" customHeight="1" x14ac:dyDescent="0.25">
      <c r="B276" s="33">
        <f t="shared" si="84"/>
        <v>34.666666666666686</v>
      </c>
      <c r="C276" s="34"/>
      <c r="D276" s="35">
        <f t="shared" si="85"/>
        <v>1.3526666666667051E-3</v>
      </c>
      <c r="E276" s="36">
        <f>E268-(8/12)*F268</f>
        <v>977693.58227438282</v>
      </c>
      <c r="F276" s="36">
        <f t="shared" si="86"/>
        <v>165.53560436377302</v>
      </c>
      <c r="G276" s="31">
        <f t="shared" si="83"/>
        <v>0.99864733333333333</v>
      </c>
      <c r="H276" s="32"/>
      <c r="I276" s="51">
        <f t="shared" si="90"/>
        <v>21.666666666666629</v>
      </c>
      <c r="J276" s="51">
        <f t="shared" si="91"/>
        <v>86.666666666665435</v>
      </c>
      <c r="K276" s="52">
        <f t="shared" si="38"/>
        <v>5.9099333333333337E-2</v>
      </c>
      <c r="L276" s="53">
        <f t="shared" si="87"/>
        <v>0.94090066666666661</v>
      </c>
      <c r="M276" s="52">
        <f t="shared" si="92"/>
        <v>1.4530174963079173E-3</v>
      </c>
      <c r="N276" s="58">
        <f t="shared" si="88"/>
        <v>0.13939341913419467</v>
      </c>
      <c r="Q276" s="51">
        <f t="shared" si="93"/>
        <v>21.666666666666629</v>
      </c>
      <c r="R276" s="52">
        <f t="shared" si="94"/>
        <v>1.4530174963079173E-3</v>
      </c>
      <c r="S276" s="58">
        <f t="shared" si="95"/>
        <v>1.5274094039640085E-10</v>
      </c>
      <c r="T276" s="52">
        <f t="shared" si="89"/>
        <v>2.219352587984952E-13</v>
      </c>
    </row>
    <row r="277" spans="2:20" ht="15.75" customHeight="1" x14ac:dyDescent="0.25">
      <c r="B277" s="33">
        <f t="shared" si="84"/>
        <v>34.750000000000021</v>
      </c>
      <c r="C277" s="34"/>
      <c r="D277" s="35">
        <f t="shared" si="85"/>
        <v>1.5217500000000433E-3</v>
      </c>
      <c r="E277" s="36">
        <f>E268-(9/12)*F268</f>
        <v>977528.04667001904</v>
      </c>
      <c r="F277" s="36">
        <f t="shared" si="86"/>
        <v>165.5356043636566</v>
      </c>
      <c r="G277" s="31">
        <f t="shared" si="83"/>
        <v>0.99847825000000001</v>
      </c>
      <c r="H277" s="32"/>
      <c r="I277" s="51">
        <f t="shared" si="90"/>
        <v>21.749999999999961</v>
      </c>
      <c r="J277" s="51">
        <f t="shared" si="91"/>
        <v>86.749999999998764</v>
      </c>
      <c r="K277" s="52">
        <f t="shared" si="38"/>
        <v>6.6486750000000011E-2</v>
      </c>
      <c r="L277" s="53">
        <f t="shared" si="87"/>
        <v>0.93351324999999996</v>
      </c>
      <c r="M277" s="52">
        <f t="shared" si="92"/>
        <v>1.3671451309544501E-3</v>
      </c>
      <c r="N277" s="58">
        <f t="shared" si="88"/>
        <v>0.13838725750418288</v>
      </c>
      <c r="Q277" s="51">
        <f t="shared" si="93"/>
        <v>21.749999999999961</v>
      </c>
      <c r="R277" s="52">
        <f t="shared" si="94"/>
        <v>1.3671451309544501E-3</v>
      </c>
      <c r="S277" s="58">
        <f t="shared" si="95"/>
        <v>1.4002366562179176E-10</v>
      </c>
      <c r="T277" s="52">
        <f t="shared" si="89"/>
        <v>1.9143267267322664E-13</v>
      </c>
    </row>
    <row r="278" spans="2:20" ht="15.75" customHeight="1" x14ac:dyDescent="0.25">
      <c r="B278" s="33">
        <f t="shared" si="84"/>
        <v>34.833333333333357</v>
      </c>
      <c r="C278" s="34"/>
      <c r="D278" s="35">
        <f t="shared" si="85"/>
        <v>1.6908333333333814E-3</v>
      </c>
      <c r="E278" s="36">
        <f>E268-(10/12)*F268</f>
        <v>977362.51106565539</v>
      </c>
      <c r="F278" s="36">
        <f t="shared" si="86"/>
        <v>165.53560436377302</v>
      </c>
      <c r="G278" s="31">
        <f t="shared" si="83"/>
        <v>0.99830916666666658</v>
      </c>
      <c r="H278" s="32"/>
      <c r="I278" s="51">
        <f t="shared" si="90"/>
        <v>21.833333333333293</v>
      </c>
      <c r="J278" s="51">
        <f t="shared" si="91"/>
        <v>86.833333333332092</v>
      </c>
      <c r="K278" s="52">
        <f t="shared" si="38"/>
        <v>7.3874166666666671E-2</v>
      </c>
      <c r="L278" s="53">
        <f t="shared" si="87"/>
        <v>0.92612583333333331</v>
      </c>
      <c r="M278" s="52">
        <f t="shared" si="92"/>
        <v>1.2762480944189642E-3</v>
      </c>
      <c r="N278" s="58">
        <f t="shared" si="88"/>
        <v>0.13738835849267914</v>
      </c>
      <c r="Q278" s="51">
        <f t="shared" si="93"/>
        <v>21.833333333333293</v>
      </c>
      <c r="R278" s="52">
        <f t="shared" si="94"/>
        <v>1.2762480944189642E-3</v>
      </c>
      <c r="S278" s="58">
        <f t="shared" si="95"/>
        <v>1.283652364800116E-10</v>
      </c>
      <c r="T278" s="52">
        <f t="shared" si="89"/>
        <v>1.638258884472545E-13</v>
      </c>
    </row>
    <row r="279" spans="2:20" ht="15.75" customHeight="1" x14ac:dyDescent="0.25">
      <c r="B279" s="33">
        <f t="shared" si="84"/>
        <v>34.916666666666693</v>
      </c>
      <c r="C279" s="34"/>
      <c r="D279" s="35">
        <f t="shared" si="85"/>
        <v>1.8599166666667195E-3</v>
      </c>
      <c r="E279" s="36">
        <f>E268-(11/12)*F268</f>
        <v>977196.97546129161</v>
      </c>
      <c r="F279" s="36">
        <f t="shared" si="86"/>
        <v>165.53560436377302</v>
      </c>
      <c r="G279" s="31">
        <f t="shared" si="83"/>
        <v>0.99814008333333326</v>
      </c>
      <c r="H279" s="32"/>
      <c r="I279" s="51">
        <f t="shared" si="90"/>
        <v>21.916666666666625</v>
      </c>
      <c r="J279" s="51">
        <f t="shared" si="91"/>
        <v>86.916666666665421</v>
      </c>
      <c r="K279" s="52">
        <f t="shared" si="38"/>
        <v>8.1261583333333332E-2</v>
      </c>
      <c r="L279" s="53">
        <f t="shared" si="87"/>
        <v>0.91873841666666667</v>
      </c>
      <c r="M279" s="52">
        <f t="shared" si="92"/>
        <v>1.1819663299838419E-3</v>
      </c>
      <c r="N279" s="58">
        <f t="shared" si="88"/>
        <v>0.13639666967706468</v>
      </c>
      <c r="Q279" s="51">
        <f t="shared" si="93"/>
        <v>21.916666666666625</v>
      </c>
      <c r="R279" s="52">
        <f t="shared" si="94"/>
        <v>1.1819663299838419E-3</v>
      </c>
      <c r="S279" s="58">
        <f t="shared" si="95"/>
        <v>1.1767749303946915E-10</v>
      </c>
      <c r="T279" s="52">
        <f t="shared" si="89"/>
        <v>1.3909083456956046E-13</v>
      </c>
    </row>
    <row r="280" spans="2:20" ht="15.75" customHeight="1" x14ac:dyDescent="0.25">
      <c r="B280" s="27">
        <v>35</v>
      </c>
      <c r="C280" s="28">
        <v>2.1859999999999999</v>
      </c>
      <c r="D280" s="29">
        <f>C280/1000</f>
        <v>2.186E-3</v>
      </c>
      <c r="E280" s="30">
        <f>E268-F268</f>
        <v>977031.43985692784</v>
      </c>
      <c r="F280" s="48">
        <f>D280*E280</f>
        <v>2135.7907275272441</v>
      </c>
      <c r="G280" s="31">
        <f t="shared" si="83"/>
        <v>0.99781399999999998</v>
      </c>
      <c r="H280" s="49"/>
      <c r="I280" s="51">
        <f t="shared" si="90"/>
        <v>21.999999999999957</v>
      </c>
      <c r="J280" s="51">
        <f t="shared" si="91"/>
        <v>86.999999999998749</v>
      </c>
      <c r="K280" s="52">
        <f t="shared" si="38"/>
        <v>9.484999999999999E-2</v>
      </c>
      <c r="L280" s="53">
        <f t="shared" si="87"/>
        <v>0.90515000000000001</v>
      </c>
      <c r="M280" s="52">
        <f t="shared" si="92"/>
        <v>1.0859178745626658E-3</v>
      </c>
      <c r="N280" s="58">
        <f t="shared" si="88"/>
        <v>0.13541213901311466</v>
      </c>
      <c r="Q280" s="51">
        <f t="shared" si="93"/>
        <v>21.999999999999957</v>
      </c>
      <c r="R280" s="52">
        <f t="shared" si="94"/>
        <v>1.0859178745626658E-3</v>
      </c>
      <c r="S280" s="58">
        <f t="shared" si="95"/>
        <v>1.0787961560146077E-10</v>
      </c>
      <c r="T280" s="52">
        <f t="shared" si="89"/>
        <v>1.1714840288257567E-13</v>
      </c>
    </row>
    <row r="281" spans="2:20" ht="15.75" customHeight="1" x14ac:dyDescent="0.25">
      <c r="B281" s="33">
        <f t="shared" ref="B281:B291" si="96">B280+1/12</f>
        <v>35.083333333333336</v>
      </c>
      <c r="C281" s="34"/>
      <c r="D281" s="35">
        <f>(1/12)*D280</f>
        <v>1.8216666666666666E-4</v>
      </c>
      <c r="E281" s="36">
        <f>E280-(1/12)*F280</f>
        <v>976853.45729630056</v>
      </c>
      <c r="F281" s="36">
        <f t="shared" ref="F281:F291" si="97">E281-E282</f>
        <v>177.98256062727887</v>
      </c>
      <c r="G281" s="31">
        <f t="shared" si="83"/>
        <v>0.99981783333333329</v>
      </c>
      <c r="H281" s="37"/>
      <c r="I281" s="51">
        <f t="shared" si="90"/>
        <v>22.08333333333329</v>
      </c>
      <c r="J281" s="51">
        <f t="shared" si="91"/>
        <v>87.083333333332078</v>
      </c>
      <c r="K281" s="52">
        <f t="shared" si="38"/>
        <v>7.9041666666666652E-3</v>
      </c>
      <c r="L281" s="53">
        <f t="shared" si="87"/>
        <v>0.99209583333333329</v>
      </c>
      <c r="M281" s="52">
        <f t="shared" si="92"/>
        <v>9.8291856416039694E-4</v>
      </c>
      <c r="N281" s="58">
        <f t="shared" si="88"/>
        <v>0.13443471483226682</v>
      </c>
      <c r="Q281" s="51">
        <f t="shared" si="93"/>
        <v>22.08333333333329</v>
      </c>
      <c r="R281" s="52">
        <f t="shared" si="94"/>
        <v>9.8291856416039694E-4</v>
      </c>
      <c r="S281" s="58">
        <f t="shared" si="95"/>
        <v>9.8897513549303252E-11</v>
      </c>
      <c r="T281" s="52">
        <f t="shared" si="89"/>
        <v>9.7208202016914559E-14</v>
      </c>
    </row>
    <row r="282" spans="2:20" ht="15.75" customHeight="1" x14ac:dyDescent="0.25">
      <c r="B282" s="33">
        <f t="shared" si="96"/>
        <v>35.166666666666671</v>
      </c>
      <c r="C282" s="34"/>
      <c r="D282" s="35">
        <f>(2/12)*D280</f>
        <v>3.6433333333333332E-4</v>
      </c>
      <c r="E282" s="36">
        <f>E280-(2/12)*F280</f>
        <v>976675.47473567328</v>
      </c>
      <c r="F282" s="36">
        <f t="shared" si="97"/>
        <v>177.98256062727887</v>
      </c>
      <c r="G282" s="31">
        <f t="shared" si="83"/>
        <v>0.9996356666666667</v>
      </c>
      <c r="H282" s="32"/>
      <c r="I282" s="51">
        <f t="shared" si="90"/>
        <v>22.166666666666622</v>
      </c>
      <c r="J282" s="51">
        <f t="shared" si="91"/>
        <v>87.166666666665407</v>
      </c>
      <c r="K282" s="52">
        <f t="shared" si="38"/>
        <v>1.580833333333333E-2</v>
      </c>
      <c r="L282" s="53">
        <f t="shared" si="87"/>
        <v>0.98419166666666669</v>
      </c>
      <c r="M282" s="52">
        <f t="shared" si="92"/>
        <v>9.7514941200951247E-4</v>
      </c>
      <c r="N282" s="58">
        <f t="shared" si="88"/>
        <v>0.13346434583891006</v>
      </c>
      <c r="Q282" s="51">
        <f t="shared" si="93"/>
        <v>22.166666666666622</v>
      </c>
      <c r="R282" s="52">
        <f t="shared" si="94"/>
        <v>9.7514941200951247E-4</v>
      </c>
      <c r="S282" s="58">
        <f t="shared" si="95"/>
        <v>9.0663265082140474E-11</v>
      </c>
      <c r="T282" s="52">
        <f t="shared" si="89"/>
        <v>8.8410229635711842E-14</v>
      </c>
    </row>
    <row r="283" spans="2:20" ht="15.75" customHeight="1" x14ac:dyDescent="0.25">
      <c r="B283" s="33">
        <f t="shared" si="96"/>
        <v>35.250000000000007</v>
      </c>
      <c r="C283" s="34"/>
      <c r="D283" s="35">
        <f>(3/12)*D280</f>
        <v>5.465E-4</v>
      </c>
      <c r="E283" s="36">
        <f>E280-(3/12)*F280</f>
        <v>976497.49217504601</v>
      </c>
      <c r="F283" s="36">
        <f t="shared" si="97"/>
        <v>177.98256062727887</v>
      </c>
      <c r="G283" s="31">
        <f t="shared" si="83"/>
        <v>0.99945349999999999</v>
      </c>
      <c r="H283" s="32"/>
      <c r="I283" s="51">
        <f t="shared" si="90"/>
        <v>22.249999999999954</v>
      </c>
      <c r="J283" s="51">
        <f t="shared" si="91"/>
        <v>87.249999999998735</v>
      </c>
      <c r="K283" s="52">
        <f t="shared" si="38"/>
        <v>2.3712499999999997E-2</v>
      </c>
      <c r="L283" s="53">
        <f t="shared" si="87"/>
        <v>0.97628749999999997</v>
      </c>
      <c r="M283" s="52">
        <f t="shared" si="92"/>
        <v>9.5973392505466215E-4</v>
      </c>
      <c r="N283" s="58">
        <f t="shared" si="88"/>
        <v>0.13250098110769232</v>
      </c>
      <c r="Q283" s="51">
        <f t="shared" si="93"/>
        <v>22.249999999999954</v>
      </c>
      <c r="R283" s="52">
        <f t="shared" si="94"/>
        <v>9.5973392505466215E-4</v>
      </c>
      <c r="S283" s="58">
        <f t="shared" si="95"/>
        <v>8.3114603596748889E-11</v>
      </c>
      <c r="T283" s="52">
        <f t="shared" si="89"/>
        <v>7.9767904739270151E-14</v>
      </c>
    </row>
    <row r="284" spans="2:20" ht="15.75" customHeight="1" x14ac:dyDescent="0.25">
      <c r="B284" s="33">
        <f t="shared" si="96"/>
        <v>35.333333333333343</v>
      </c>
      <c r="C284" s="34"/>
      <c r="D284" s="35">
        <f>(4/12)*D280</f>
        <v>7.2866666666666663E-4</v>
      </c>
      <c r="E284" s="36">
        <f>E280-(4/12)*F280</f>
        <v>976319.50961441873</v>
      </c>
      <c r="F284" s="36">
        <f t="shared" si="97"/>
        <v>177.98256062727887</v>
      </c>
      <c r="G284" s="31">
        <f t="shared" si="83"/>
        <v>0.99927133333333329</v>
      </c>
      <c r="H284" s="32"/>
      <c r="I284" s="51">
        <f t="shared" si="90"/>
        <v>22.333333333333286</v>
      </c>
      <c r="J284" s="51">
        <f t="shared" si="91"/>
        <v>87.333333333332064</v>
      </c>
      <c r="K284" s="52">
        <f t="shared" si="38"/>
        <v>3.1616666666666661E-2</v>
      </c>
      <c r="L284" s="53">
        <f t="shared" si="87"/>
        <v>0.96838333333333337</v>
      </c>
      <c r="M284" s="52">
        <f t="shared" si="92"/>
        <v>9.3697623435680345E-4</v>
      </c>
      <c r="N284" s="58">
        <f t="shared" si="88"/>
        <v>0.13154457008084797</v>
      </c>
      <c r="Q284" s="51">
        <f t="shared" si="93"/>
        <v>22.333333333333286</v>
      </c>
      <c r="R284" s="52">
        <f t="shared" si="94"/>
        <v>9.3697623435680345E-4</v>
      </c>
      <c r="S284" s="58">
        <f t="shared" si="95"/>
        <v>7.6194446833411872E-11</v>
      </c>
      <c r="T284" s="52">
        <f t="shared" si="89"/>
        <v>7.1392385872869927E-14</v>
      </c>
    </row>
    <row r="285" spans="2:20" ht="15.75" customHeight="1" x14ac:dyDescent="0.25">
      <c r="B285" s="33">
        <f t="shared" si="96"/>
        <v>35.416666666666679</v>
      </c>
      <c r="C285" s="34"/>
      <c r="D285" s="35">
        <f>(5/12)*D280</f>
        <v>9.1083333333333337E-4</v>
      </c>
      <c r="E285" s="36">
        <f>E280-(5/12)*F280</f>
        <v>976141.52705379145</v>
      </c>
      <c r="F285" s="36">
        <f t="shared" si="97"/>
        <v>177.98256062727887</v>
      </c>
      <c r="G285" s="31">
        <f t="shared" si="83"/>
        <v>0.99908916666666669</v>
      </c>
      <c r="H285" s="32"/>
      <c r="I285" s="51">
        <f t="shared" si="90"/>
        <v>22.416666666666618</v>
      </c>
      <c r="J285" s="51">
        <f t="shared" si="91"/>
        <v>87.416666666665392</v>
      </c>
      <c r="K285" s="52">
        <f t="shared" si="38"/>
        <v>3.9520833333333331E-2</v>
      </c>
      <c r="L285" s="53">
        <f t="shared" si="87"/>
        <v>0.96047916666666666</v>
      </c>
      <c r="M285" s="52">
        <f t="shared" si="92"/>
        <v>9.0735216908055592E-4</v>
      </c>
      <c r="N285" s="58">
        <f t="shared" si="88"/>
        <v>0.13059506256554462</v>
      </c>
      <c r="Q285" s="51">
        <f t="shared" si="93"/>
        <v>22.416666666666618</v>
      </c>
      <c r="R285" s="52">
        <f t="shared" si="94"/>
        <v>9.0735216908055592E-4</v>
      </c>
      <c r="S285" s="58">
        <f t="shared" si="95"/>
        <v>6.9850465225304172E-11</v>
      </c>
      <c r="T285" s="52">
        <f t="shared" si="89"/>
        <v>6.3378971133465678E-14</v>
      </c>
    </row>
    <row r="286" spans="2:20" ht="15.75" customHeight="1" x14ac:dyDescent="0.25">
      <c r="B286" s="33">
        <f t="shared" si="96"/>
        <v>35.500000000000014</v>
      </c>
      <c r="C286" s="34"/>
      <c r="D286" s="35">
        <f>(6/12)*D280</f>
        <v>1.093E-3</v>
      </c>
      <c r="E286" s="36">
        <f>E280-(6/12)*F280</f>
        <v>975963.54449316417</v>
      </c>
      <c r="F286" s="36">
        <f t="shared" si="97"/>
        <v>177.98256062716246</v>
      </c>
      <c r="G286" s="31">
        <f t="shared" si="83"/>
        <v>0.99890699999999999</v>
      </c>
      <c r="H286" s="32"/>
      <c r="I286" s="51">
        <f t="shared" si="90"/>
        <v>22.49999999999995</v>
      </c>
      <c r="J286" s="51">
        <f t="shared" si="91"/>
        <v>87.499999999998721</v>
      </c>
      <c r="K286" s="52">
        <f t="shared" si="38"/>
        <v>4.7424999999999995E-2</v>
      </c>
      <c r="L286" s="53">
        <f t="shared" si="87"/>
        <v>0.95257499999999995</v>
      </c>
      <c r="M286" s="52">
        <f t="shared" si="92"/>
        <v>8.7149285523168481E-4</v>
      </c>
      <c r="N286" s="58">
        <f t="shared" si="88"/>
        <v>0.12965240873124889</v>
      </c>
      <c r="Q286" s="51">
        <f t="shared" si="93"/>
        <v>22.49999999999995</v>
      </c>
      <c r="R286" s="52">
        <f t="shared" si="94"/>
        <v>8.7149285523168481E-4</v>
      </c>
      <c r="S286" s="58">
        <f t="shared" si="95"/>
        <v>6.4034686187286668E-11</v>
      </c>
      <c r="T286" s="52">
        <f t="shared" si="89"/>
        <v>5.5805771499223387E-14</v>
      </c>
    </row>
    <row r="287" spans="2:20" ht="15.75" customHeight="1" x14ac:dyDescent="0.25">
      <c r="B287" s="33">
        <f t="shared" si="96"/>
        <v>35.58333333333335</v>
      </c>
      <c r="C287" s="34"/>
      <c r="D287" s="35">
        <f>(7/12)*D280</f>
        <v>1.2751666666666669E-3</v>
      </c>
      <c r="E287" s="36">
        <f>E280-(7/12)*F280</f>
        <v>975785.56193253701</v>
      </c>
      <c r="F287" s="36">
        <f t="shared" si="97"/>
        <v>177.98256062727887</v>
      </c>
      <c r="G287" s="31">
        <f t="shared" si="83"/>
        <v>0.99872483333333328</v>
      </c>
      <c r="H287" s="32"/>
      <c r="I287" s="51">
        <f t="shared" si="90"/>
        <v>22.583333333333282</v>
      </c>
      <c r="J287" s="51">
        <f t="shared" si="91"/>
        <v>87.58333333333205</v>
      </c>
      <c r="K287" s="52">
        <f t="shared" si="38"/>
        <v>5.5329166666666665E-2</v>
      </c>
      <c r="L287" s="53">
        <f t="shared" si="87"/>
        <v>0.94467083333333335</v>
      </c>
      <c r="M287" s="52">
        <f t="shared" si="92"/>
        <v>8.3016230657232206E-4</v>
      </c>
      <c r="N287" s="58">
        <f t="shared" si="88"/>
        <v>0.1287165591071113</v>
      </c>
      <c r="Q287" s="51">
        <f t="shared" si="93"/>
        <v>22.583333333333282</v>
      </c>
      <c r="R287" s="52">
        <f t="shared" si="94"/>
        <v>8.3016230657232206E-4</v>
      </c>
      <c r="S287" s="58">
        <f t="shared" si="95"/>
        <v>5.8703131351784631E-11</v>
      </c>
      <c r="T287" s="52">
        <f t="shared" si="89"/>
        <v>4.8733126926015522E-14</v>
      </c>
    </row>
    <row r="288" spans="2:20" ht="15.75" customHeight="1" x14ac:dyDescent="0.25">
      <c r="B288" s="33">
        <f t="shared" si="96"/>
        <v>35.666666666666686</v>
      </c>
      <c r="C288" s="34"/>
      <c r="D288" s="35">
        <f>(8/12)*D280</f>
        <v>1.4573333333333333E-3</v>
      </c>
      <c r="E288" s="36">
        <f>E280-(8/12)*F280</f>
        <v>975607.57937190973</v>
      </c>
      <c r="F288" s="36">
        <f t="shared" si="97"/>
        <v>177.98256062727887</v>
      </c>
      <c r="G288" s="31">
        <f t="shared" si="83"/>
        <v>0.99854266666666669</v>
      </c>
      <c r="H288" s="32"/>
      <c r="I288" s="51">
        <f t="shared" si="90"/>
        <v>22.666666666666615</v>
      </c>
      <c r="J288" s="51">
        <f t="shared" si="91"/>
        <v>87.666666666665378</v>
      </c>
      <c r="K288" s="52">
        <f t="shared" si="38"/>
        <v>6.3233333333333322E-2</v>
      </c>
      <c r="L288" s="53">
        <f t="shared" si="87"/>
        <v>0.93676666666666664</v>
      </c>
      <c r="M288" s="52">
        <f t="shared" si="92"/>
        <v>7.8423011795159762E-4</v>
      </c>
      <c r="N288" s="58">
        <f t="shared" si="88"/>
        <v>0.12778746457937012</v>
      </c>
      <c r="Q288" s="51">
        <f t="shared" si="93"/>
        <v>22.666666666666615</v>
      </c>
      <c r="R288" s="52">
        <f t="shared" si="94"/>
        <v>7.8423011795159762E-4</v>
      </c>
      <c r="S288" s="58">
        <f t="shared" si="95"/>
        <v>5.3815484008556639E-11</v>
      </c>
      <c r="T288" s="52">
        <f t="shared" si="89"/>
        <v>4.2203723371652692E-14</v>
      </c>
    </row>
    <row r="289" spans="2:20" ht="15.75" customHeight="1" x14ac:dyDescent="0.25">
      <c r="B289" s="33">
        <f t="shared" si="96"/>
        <v>35.750000000000021</v>
      </c>
      <c r="C289" s="34"/>
      <c r="D289" s="35">
        <f>(9/12)*D280</f>
        <v>1.6394999999999999E-3</v>
      </c>
      <c r="E289" s="36">
        <f>E280-(9/12)*F280</f>
        <v>975429.59681128245</v>
      </c>
      <c r="F289" s="36">
        <f t="shared" si="97"/>
        <v>177.98256062727887</v>
      </c>
      <c r="G289" s="31">
        <f t="shared" si="83"/>
        <v>0.99836049999999998</v>
      </c>
      <c r="H289" s="32"/>
      <c r="I289" s="51">
        <f t="shared" si="90"/>
        <v>22.749999999999947</v>
      </c>
      <c r="J289" s="51">
        <f t="shared" si="91"/>
        <v>87.749999999998707</v>
      </c>
      <c r="K289" s="52">
        <f t="shared" si="38"/>
        <v>7.1137499999999992E-2</v>
      </c>
      <c r="L289" s="53">
        <f t="shared" si="87"/>
        <v>0.92886250000000004</v>
      </c>
      <c r="M289" s="52">
        <f t="shared" si="92"/>
        <v>7.3464063349312487E-4</v>
      </c>
      <c r="N289" s="58">
        <f t="shared" si="88"/>
        <v>0.12686507638877359</v>
      </c>
      <c r="Q289" s="51">
        <f t="shared" si="93"/>
        <v>22.749999999999947</v>
      </c>
      <c r="R289" s="52">
        <f t="shared" si="94"/>
        <v>7.3464063349312487E-4</v>
      </c>
      <c r="S289" s="58">
        <f t="shared" si="95"/>
        <v>4.9334784233570028E-11</v>
      </c>
      <c r="T289" s="52">
        <f t="shared" si="89"/>
        <v>3.6243337142596514E-14</v>
      </c>
    </row>
    <row r="290" spans="2:20" ht="15.75" customHeight="1" x14ac:dyDescent="0.25">
      <c r="B290" s="33">
        <f t="shared" si="96"/>
        <v>35.833333333333357</v>
      </c>
      <c r="C290" s="34"/>
      <c r="D290" s="35">
        <f>(10/12)*D280</f>
        <v>1.8216666666666667E-3</v>
      </c>
      <c r="E290" s="36">
        <f>E280-(10/12)*F280</f>
        <v>975251.61425065517</v>
      </c>
      <c r="F290" s="36">
        <f t="shared" si="97"/>
        <v>177.98256062727887</v>
      </c>
      <c r="G290" s="31">
        <f t="shared" si="83"/>
        <v>0.99817833333333328</v>
      </c>
      <c r="H290" s="32"/>
      <c r="I290" s="51">
        <f t="shared" si="90"/>
        <v>22.833333333333279</v>
      </c>
      <c r="J290" s="51">
        <f t="shared" si="91"/>
        <v>87.833333333332035</v>
      </c>
      <c r="K290" s="52">
        <f t="shared" si="38"/>
        <v>7.9041666666666663E-2</v>
      </c>
      <c r="L290" s="53">
        <f t="shared" si="87"/>
        <v>0.92095833333333332</v>
      </c>
      <c r="M290" s="52">
        <f t="shared" si="92"/>
        <v>6.8238013542800768E-4</v>
      </c>
      <c r="N290" s="58">
        <f t="shared" si="88"/>
        <v>0.12594934612802136</v>
      </c>
      <c r="Q290" s="51">
        <f t="shared" si="93"/>
        <v>22.833333333333279</v>
      </c>
      <c r="R290" s="52">
        <f t="shared" si="94"/>
        <v>6.8238013542800768E-4</v>
      </c>
      <c r="S290" s="58">
        <f t="shared" si="95"/>
        <v>4.5227149401572352E-11</v>
      </c>
      <c r="T290" s="52">
        <f t="shared" si="89"/>
        <v>3.0862108333667677E-14</v>
      </c>
    </row>
    <row r="291" spans="2:20" ht="15.75" customHeight="1" x14ac:dyDescent="0.25">
      <c r="B291" s="33">
        <f t="shared" si="96"/>
        <v>35.916666666666693</v>
      </c>
      <c r="C291" s="34"/>
      <c r="D291" s="35">
        <f>(11/12)*D280</f>
        <v>2.0038333333333332E-3</v>
      </c>
      <c r="E291" s="36">
        <f>E280-(11/12)*F280</f>
        <v>975073.63169002789</v>
      </c>
      <c r="F291" s="36">
        <f t="shared" si="97"/>
        <v>177.98256062727887</v>
      </c>
      <c r="G291" s="31">
        <f t="shared" si="83"/>
        <v>0.99799616666666668</v>
      </c>
      <c r="H291" s="32"/>
      <c r="I291" s="51">
        <f t="shared" si="90"/>
        <v>22.916666666666611</v>
      </c>
      <c r="J291" s="51">
        <f t="shared" si="91"/>
        <v>87.916666666665364</v>
      </c>
      <c r="K291" s="52">
        <f t="shared" si="38"/>
        <v>8.6945833333333319E-2</v>
      </c>
      <c r="L291" s="53">
        <f t="shared" si="87"/>
        <v>0.91305416666666672</v>
      </c>
      <c r="M291" s="52">
        <f t="shared" si="92"/>
        <v>6.2844367222355223E-4</v>
      </c>
      <c r="N291" s="58">
        <f t="shared" si="88"/>
        <v>0.12504022573922388</v>
      </c>
      <c r="Q291" s="51">
        <f t="shared" si="93"/>
        <v>22.916666666666611</v>
      </c>
      <c r="R291" s="52">
        <f t="shared" si="94"/>
        <v>6.2844367222355223E-4</v>
      </c>
      <c r="S291" s="58">
        <f t="shared" si="95"/>
        <v>4.1461517968903465E-11</v>
      </c>
      <c r="T291" s="52">
        <f t="shared" si="89"/>
        <v>2.605622860834049E-14</v>
      </c>
    </row>
    <row r="292" spans="2:20" ht="15.75" customHeight="1" x14ac:dyDescent="0.25">
      <c r="B292" s="27">
        <v>36</v>
      </c>
      <c r="C292" s="28">
        <v>2.3540000000000001</v>
      </c>
      <c r="D292" s="29">
        <f>C292/1000</f>
        <v>2.3540000000000002E-3</v>
      </c>
      <c r="E292" s="30">
        <f>E280-F280</f>
        <v>974895.64912940061</v>
      </c>
      <c r="F292" s="48">
        <f>D292*E292</f>
        <v>2294.9043580506091</v>
      </c>
      <c r="G292" s="31">
        <f t="shared" si="83"/>
        <v>0.99764600000000003</v>
      </c>
      <c r="H292" s="49"/>
      <c r="I292" s="51">
        <f t="shared" si="90"/>
        <v>22.999999999999943</v>
      </c>
      <c r="J292" s="51">
        <f t="shared" si="91"/>
        <v>87.999999999998693</v>
      </c>
      <c r="K292" s="52">
        <f t="shared" si="38"/>
        <v>0.101436</v>
      </c>
      <c r="L292" s="53">
        <f t="shared" si="87"/>
        <v>0.89856400000000003</v>
      </c>
      <c r="M292" s="52">
        <f t="shared" si="92"/>
        <v>5.7380311343901535E-4</v>
      </c>
      <c r="N292" s="58">
        <f t="shared" si="88"/>
        <v>0.12413766751138025</v>
      </c>
      <c r="Q292" s="51">
        <f t="shared" si="93"/>
        <v>22.999999999999943</v>
      </c>
      <c r="R292" s="52">
        <f t="shared" si="94"/>
        <v>5.7380311343901535E-4</v>
      </c>
      <c r="S292" s="58">
        <f t="shared" si="95"/>
        <v>3.8009414589059513E-11</v>
      </c>
      <c r="T292" s="52">
        <f t="shared" si="89"/>
        <v>2.1809920431196681E-14</v>
      </c>
    </row>
    <row r="293" spans="2:20" ht="15.75" customHeight="1" x14ac:dyDescent="0.25">
      <c r="B293" s="33">
        <f t="shared" ref="B293:B303" si="98">B292+1/12</f>
        <v>36.083333333333336</v>
      </c>
      <c r="C293" s="34"/>
      <c r="D293" s="35">
        <f>(1/12)*D292</f>
        <v>1.9616666666666667E-4</v>
      </c>
      <c r="E293" s="36">
        <f>E292-(1/12)*F292</f>
        <v>974704.40709956305</v>
      </c>
      <c r="F293" s="36">
        <f t="shared" ref="F293:F303" si="99">E293-E294</f>
        <v>191.2420298375655</v>
      </c>
      <c r="G293" s="31">
        <f t="shared" si="83"/>
        <v>0.99980383333333334</v>
      </c>
      <c r="H293" s="37"/>
      <c r="I293" s="51">
        <f t="shared" si="90"/>
        <v>23.083333333333275</v>
      </c>
      <c r="J293" s="51">
        <f t="shared" si="91"/>
        <v>88.083333333332021</v>
      </c>
      <c r="K293" s="52">
        <f t="shared" si="38"/>
        <v>8.4529999999999987E-3</v>
      </c>
      <c r="L293" s="53">
        <f t="shared" si="87"/>
        <v>0.99154699999999996</v>
      </c>
      <c r="M293" s="52">
        <f t="shared" si="92"/>
        <v>5.1559882082421538E-4</v>
      </c>
      <c r="N293" s="58">
        <f t="shared" si="88"/>
        <v>0.12324162407787449</v>
      </c>
      <c r="Q293" s="51">
        <f t="shared" si="93"/>
        <v>23.083333333333275</v>
      </c>
      <c r="R293" s="52">
        <f t="shared" si="94"/>
        <v>5.1559882082421538E-4</v>
      </c>
      <c r="S293" s="58">
        <f t="shared" si="95"/>
        <v>3.484473478483268E-11</v>
      </c>
      <c r="T293" s="52">
        <f t="shared" si="89"/>
        <v>1.7965904166992249E-14</v>
      </c>
    </row>
    <row r="294" spans="2:20" ht="15.75" customHeight="1" x14ac:dyDescent="0.25">
      <c r="B294" s="33">
        <f t="shared" si="98"/>
        <v>36.166666666666671</v>
      </c>
      <c r="C294" s="34"/>
      <c r="D294" s="35">
        <f>(2/12)*D292</f>
        <v>3.9233333333333335E-4</v>
      </c>
      <c r="E294" s="36">
        <f>E292-(2/12)*F292</f>
        <v>974513.16506972548</v>
      </c>
      <c r="F294" s="36">
        <f t="shared" si="99"/>
        <v>191.2420298375655</v>
      </c>
      <c r="G294" s="31">
        <f t="shared" si="83"/>
        <v>0.99960766666666667</v>
      </c>
      <c r="H294" s="32"/>
      <c r="I294" s="51">
        <f t="shared" si="90"/>
        <v>23.166666666666607</v>
      </c>
      <c r="J294" s="51">
        <f t="shared" si="91"/>
        <v>88.16666666666535</v>
      </c>
      <c r="K294" s="52">
        <f t="shared" si="38"/>
        <v>1.6905999999999997E-2</v>
      </c>
      <c r="L294" s="53">
        <f t="shared" si="87"/>
        <v>0.98309400000000002</v>
      </c>
      <c r="M294" s="52">
        <f t="shared" si="92"/>
        <v>5.1124046399178829E-4</v>
      </c>
      <c r="N294" s="58">
        <f t="shared" si="88"/>
        <v>0.12235204841398954</v>
      </c>
      <c r="Q294" s="51">
        <f t="shared" si="93"/>
        <v>23.166666666666607</v>
      </c>
      <c r="R294" s="52">
        <f t="shared" si="94"/>
        <v>5.1124046399178829E-4</v>
      </c>
      <c r="S294" s="58">
        <f t="shared" si="95"/>
        <v>3.1943547548738261E-11</v>
      </c>
      <c r="T294" s="52">
        <f t="shared" si="89"/>
        <v>1.63308340703607E-14</v>
      </c>
    </row>
    <row r="295" spans="2:20" ht="15.75" customHeight="1" x14ac:dyDescent="0.25">
      <c r="B295" s="33">
        <f t="shared" si="98"/>
        <v>36.250000000000007</v>
      </c>
      <c r="C295" s="34"/>
      <c r="D295" s="35">
        <f>(3/12)*D292</f>
        <v>5.8850000000000005E-4</v>
      </c>
      <c r="E295" s="36">
        <f>E292-(3/12)*F292</f>
        <v>974321.92303988792</v>
      </c>
      <c r="F295" s="36">
        <f t="shared" si="99"/>
        <v>191.24202983744908</v>
      </c>
      <c r="G295" s="31">
        <f t="shared" si="83"/>
        <v>0.99941150000000001</v>
      </c>
      <c r="H295" s="32"/>
      <c r="I295" s="51">
        <f t="shared" si="90"/>
        <v>23.24999999999994</v>
      </c>
      <c r="J295" s="51">
        <f t="shared" si="91"/>
        <v>88.249999999998678</v>
      </c>
      <c r="K295" s="52">
        <f t="shared" si="38"/>
        <v>2.5359E-2</v>
      </c>
      <c r="L295" s="53">
        <f t="shared" si="87"/>
        <v>0.97464099999999998</v>
      </c>
      <c r="M295" s="52">
        <f t="shared" si="92"/>
        <v>5.0259743270754311E-4</v>
      </c>
      <c r="N295" s="58">
        <f t="shared" si="88"/>
        <v>0.1214688938344395</v>
      </c>
      <c r="Q295" s="51">
        <f t="shared" si="93"/>
        <v>23.24999999999994</v>
      </c>
      <c r="R295" s="52">
        <f t="shared" si="94"/>
        <v>5.0259743270754311E-4</v>
      </c>
      <c r="S295" s="58">
        <f t="shared" si="95"/>
        <v>2.9283914379014427E-11</v>
      </c>
      <c r="T295" s="52">
        <f t="shared" si="89"/>
        <v>1.4718020186520159E-14</v>
      </c>
    </row>
    <row r="296" spans="2:20" ht="15.75" customHeight="1" x14ac:dyDescent="0.25">
      <c r="B296" s="33">
        <f t="shared" si="98"/>
        <v>36.333333333333343</v>
      </c>
      <c r="C296" s="34"/>
      <c r="D296" s="35">
        <f>(4/12)*D292</f>
        <v>7.8466666666666669E-4</v>
      </c>
      <c r="E296" s="36">
        <f>E292-(4/12)*F292</f>
        <v>974130.68101005047</v>
      </c>
      <c r="F296" s="36">
        <f t="shared" si="99"/>
        <v>191.2420298375655</v>
      </c>
      <c r="G296" s="31">
        <f t="shared" si="83"/>
        <v>0.99921533333333334</v>
      </c>
      <c r="H296" s="32"/>
      <c r="I296" s="51">
        <f t="shared" si="90"/>
        <v>23.333333333333272</v>
      </c>
      <c r="J296" s="51">
        <f t="shared" si="91"/>
        <v>88.333333333332007</v>
      </c>
      <c r="K296" s="52">
        <f t="shared" si="38"/>
        <v>3.3811999999999995E-2</v>
      </c>
      <c r="L296" s="53">
        <f t="shared" si="87"/>
        <v>0.96618800000000005</v>
      </c>
      <c r="M296" s="52">
        <f t="shared" si="92"/>
        <v>4.8985206441151251E-4</v>
      </c>
      <c r="N296" s="58">
        <f t="shared" si="88"/>
        <v>0.12059211399091954</v>
      </c>
      <c r="Q296" s="51">
        <f t="shared" si="93"/>
        <v>23.333333333333272</v>
      </c>
      <c r="R296" s="52">
        <f t="shared" si="94"/>
        <v>4.8985206441151251E-4</v>
      </c>
      <c r="S296" s="58">
        <f t="shared" si="95"/>
        <v>2.6845723382759249E-11</v>
      </c>
      <c r="T296" s="52">
        <f t="shared" si="89"/>
        <v>1.3150433019665031E-14</v>
      </c>
    </row>
    <row r="297" spans="2:20" ht="15.75" customHeight="1" x14ac:dyDescent="0.25">
      <c r="B297" s="33">
        <f t="shared" si="98"/>
        <v>36.416666666666679</v>
      </c>
      <c r="C297" s="34"/>
      <c r="D297" s="35">
        <f>(5/12)*D292</f>
        <v>9.8083333333333356E-4</v>
      </c>
      <c r="E297" s="36">
        <f>E292-(5/12)*F292</f>
        <v>973939.4389802129</v>
      </c>
      <c r="F297" s="36">
        <f t="shared" si="99"/>
        <v>191.2420298375655</v>
      </c>
      <c r="G297" s="31">
        <f t="shared" si="83"/>
        <v>0.99901916666666668</v>
      </c>
      <c r="H297" s="32"/>
      <c r="I297" s="51">
        <f t="shared" si="90"/>
        <v>23.416666666666604</v>
      </c>
      <c r="J297" s="51">
        <f t="shared" si="91"/>
        <v>88.416666666665336</v>
      </c>
      <c r="K297" s="52">
        <f t="shared" si="38"/>
        <v>4.2265000000000004E-2</v>
      </c>
      <c r="L297" s="53">
        <f t="shared" si="87"/>
        <v>0.957735</v>
      </c>
      <c r="M297" s="52">
        <f t="shared" si="92"/>
        <v>4.7328918640963046E-4</v>
      </c>
      <c r="N297" s="58">
        <f t="shared" si="88"/>
        <v>0.11972166286967355</v>
      </c>
      <c r="Q297" s="51">
        <f t="shared" si="93"/>
        <v>23.416666666666604</v>
      </c>
      <c r="R297" s="52">
        <f t="shared" si="94"/>
        <v>4.7328918640963046E-4</v>
      </c>
      <c r="S297" s="58">
        <f t="shared" si="95"/>
        <v>2.4610537191711401E-11</v>
      </c>
      <c r="T297" s="52">
        <f t="shared" si="89"/>
        <v>1.164790112456904E-14</v>
      </c>
    </row>
    <row r="298" spans="2:20" ht="15.75" customHeight="1" x14ac:dyDescent="0.25">
      <c r="B298" s="33">
        <f t="shared" si="98"/>
        <v>36.500000000000014</v>
      </c>
      <c r="C298" s="34"/>
      <c r="D298" s="35">
        <f>(6/12)*D292</f>
        <v>1.1770000000000001E-3</v>
      </c>
      <c r="E298" s="36">
        <f>E292-(6/12)*F292</f>
        <v>973748.19695037534</v>
      </c>
      <c r="F298" s="36">
        <f t="shared" si="99"/>
        <v>191.2420298375655</v>
      </c>
      <c r="G298" s="31">
        <f t="shared" si="83"/>
        <v>0.99882300000000002</v>
      </c>
      <c r="H298" s="32"/>
      <c r="I298" s="51">
        <f t="shared" si="90"/>
        <v>23.499999999999936</v>
      </c>
      <c r="J298" s="51">
        <f t="shared" si="91"/>
        <v>88.499999999998664</v>
      </c>
      <c r="K298" s="52">
        <f t="shared" si="38"/>
        <v>5.0717999999999999E-2</v>
      </c>
      <c r="L298" s="53">
        <f t="shared" si="87"/>
        <v>0.94928199999999996</v>
      </c>
      <c r="M298" s="52">
        <f t="shared" si="92"/>
        <v>4.5328561894602745E-4</v>
      </c>
      <c r="N298" s="58">
        <f t="shared" si="88"/>
        <v>0.11885749478907925</v>
      </c>
      <c r="Q298" s="51">
        <f t="shared" si="93"/>
        <v>23.499999999999936</v>
      </c>
      <c r="R298" s="52">
        <f t="shared" si="94"/>
        <v>4.5328561894602745E-4</v>
      </c>
      <c r="S298" s="58">
        <f t="shared" si="95"/>
        <v>2.2561453540625722E-11</v>
      </c>
      <c r="T298" s="52">
        <f t="shared" si="89"/>
        <v>1.0226782432484572E-14</v>
      </c>
    </row>
    <row r="299" spans="2:20" ht="15.75" customHeight="1" x14ac:dyDescent="0.25">
      <c r="B299" s="33">
        <f t="shared" si="98"/>
        <v>36.58333333333335</v>
      </c>
      <c r="C299" s="34"/>
      <c r="D299" s="35">
        <f>(7/12)*D292</f>
        <v>1.3731666666666668E-3</v>
      </c>
      <c r="E299" s="36">
        <f>E292-(7/12)*F292</f>
        <v>973556.95492053777</v>
      </c>
      <c r="F299" s="36">
        <f t="shared" si="99"/>
        <v>191.2420298375655</v>
      </c>
      <c r="G299" s="31">
        <f t="shared" si="83"/>
        <v>0.99862683333333335</v>
      </c>
      <c r="H299" s="32"/>
      <c r="I299" s="51">
        <f t="shared" si="90"/>
        <v>23.583333333333268</v>
      </c>
      <c r="J299" s="51">
        <f t="shared" si="91"/>
        <v>88.583333333331993</v>
      </c>
      <c r="K299" s="52">
        <f t="shared" si="38"/>
        <v>5.9171000000000001E-2</v>
      </c>
      <c r="L299" s="53">
        <f t="shared" si="87"/>
        <v>0.94082900000000003</v>
      </c>
      <c r="M299" s="52">
        <f t="shared" si="92"/>
        <v>4.3029587892432283E-4</v>
      </c>
      <c r="N299" s="58">
        <f t="shared" si="88"/>
        <v>0.11799956439725086</v>
      </c>
      <c r="Q299" s="51">
        <f t="shared" si="93"/>
        <v>23.583333333333268</v>
      </c>
      <c r="R299" s="52">
        <f t="shared" si="94"/>
        <v>4.3029587892432283E-4</v>
      </c>
      <c r="S299" s="58">
        <f t="shared" si="95"/>
        <v>2.0682977453951876E-11</v>
      </c>
      <c r="T299" s="52">
        <f t="shared" si="89"/>
        <v>8.8997999623201756E-15</v>
      </c>
    </row>
    <row r="300" spans="2:20" ht="15.75" customHeight="1" x14ac:dyDescent="0.25">
      <c r="B300" s="33">
        <f t="shared" si="98"/>
        <v>36.666666666666686</v>
      </c>
      <c r="C300" s="34"/>
      <c r="D300" s="35">
        <f>(8/12)*D292</f>
        <v>1.5693333333333334E-3</v>
      </c>
      <c r="E300" s="36">
        <f>E292-(8/12)*F292</f>
        <v>973365.7128907002</v>
      </c>
      <c r="F300" s="36">
        <f t="shared" si="99"/>
        <v>191.2420298375655</v>
      </c>
      <c r="G300" s="31">
        <f t="shared" si="83"/>
        <v>0.99843066666666669</v>
      </c>
      <c r="H300" s="32"/>
      <c r="I300" s="51">
        <f t="shared" si="90"/>
        <v>23.6666666666666</v>
      </c>
      <c r="J300" s="51">
        <f t="shared" si="91"/>
        <v>88.666666666665321</v>
      </c>
      <c r="K300" s="52">
        <f t="shared" si="38"/>
        <v>6.762399999999999E-2</v>
      </c>
      <c r="L300" s="53">
        <f t="shared" si="87"/>
        <v>0.93237599999999998</v>
      </c>
      <c r="M300" s="52">
        <f t="shared" si="92"/>
        <v>4.0483484147249175E-4</v>
      </c>
      <c r="N300" s="58">
        <f t="shared" si="88"/>
        <v>0.11714782666965903</v>
      </c>
      <c r="Q300" s="51">
        <f t="shared" si="93"/>
        <v>23.6666666666666</v>
      </c>
      <c r="R300" s="52">
        <f t="shared" si="94"/>
        <v>4.0483484147249175E-4</v>
      </c>
      <c r="S300" s="58">
        <f t="shared" si="95"/>
        <v>1.8960904074304416E-11</v>
      </c>
      <c r="T300" s="52">
        <f t="shared" si="89"/>
        <v>7.6760345950961513E-15</v>
      </c>
    </row>
    <row r="301" spans="2:20" ht="15.75" customHeight="1" x14ac:dyDescent="0.25">
      <c r="B301" s="33">
        <f t="shared" si="98"/>
        <v>36.750000000000021</v>
      </c>
      <c r="C301" s="34"/>
      <c r="D301" s="35">
        <f>(9/12)*D292</f>
        <v>1.7655000000000001E-3</v>
      </c>
      <c r="E301" s="36">
        <f>E292-(9/12)*F292</f>
        <v>973174.47086086264</v>
      </c>
      <c r="F301" s="36">
        <f t="shared" si="99"/>
        <v>191.2420298375655</v>
      </c>
      <c r="G301" s="31">
        <f t="shared" si="83"/>
        <v>0.99823450000000002</v>
      </c>
      <c r="H301" s="32"/>
      <c r="I301" s="51">
        <f t="shared" si="90"/>
        <v>23.749999999999932</v>
      </c>
      <c r="J301" s="51">
        <f t="shared" si="91"/>
        <v>88.74999999999865</v>
      </c>
      <c r="K301" s="52">
        <f t="shared" si="38"/>
        <v>7.6077000000000006E-2</v>
      </c>
      <c r="L301" s="53">
        <f t="shared" si="87"/>
        <v>0.92392300000000005</v>
      </c>
      <c r="M301" s="52">
        <f t="shared" si="92"/>
        <v>3.7745829015275594E-4</v>
      </c>
      <c r="N301" s="58">
        <f t="shared" si="88"/>
        <v>0.11630223690676779</v>
      </c>
      <c r="Q301" s="51">
        <f t="shared" si="93"/>
        <v>23.749999999999932</v>
      </c>
      <c r="R301" s="52">
        <f t="shared" si="94"/>
        <v>3.7745829015275594E-4</v>
      </c>
      <c r="S301" s="58">
        <f t="shared" si="95"/>
        <v>1.7382211246683094E-11</v>
      </c>
      <c r="T301" s="52">
        <f t="shared" si="89"/>
        <v>6.5610597362470047E-15</v>
      </c>
    </row>
    <row r="302" spans="2:20" ht="15.75" customHeight="1" x14ac:dyDescent="0.25">
      <c r="B302" s="33">
        <f t="shared" si="98"/>
        <v>36.833333333333357</v>
      </c>
      <c r="C302" s="34"/>
      <c r="D302" s="35">
        <f>(10/12)*D292</f>
        <v>1.9616666666666671E-3</v>
      </c>
      <c r="E302" s="36">
        <f>E292-(10/12)*F292</f>
        <v>972983.22883102507</v>
      </c>
      <c r="F302" s="36">
        <f t="shared" si="99"/>
        <v>191.2420298375655</v>
      </c>
      <c r="G302" s="31">
        <f t="shared" si="83"/>
        <v>0.99803833333333336</v>
      </c>
      <c r="H302" s="32"/>
      <c r="I302" s="51">
        <f t="shared" si="90"/>
        <v>23.833333333333265</v>
      </c>
      <c r="J302" s="51">
        <f t="shared" si="91"/>
        <v>88.833333333331979</v>
      </c>
      <c r="K302" s="52">
        <f t="shared" si="38"/>
        <v>8.4530000000000008E-2</v>
      </c>
      <c r="L302" s="53">
        <f t="shared" si="87"/>
        <v>0.91547000000000001</v>
      </c>
      <c r="M302" s="52">
        <f t="shared" si="92"/>
        <v>3.4874239581280476E-4</v>
      </c>
      <c r="N302" s="58">
        <f t="shared" si="88"/>
        <v>0.11546275073168891</v>
      </c>
      <c r="Q302" s="51">
        <f t="shared" si="93"/>
        <v>23.833333333333265</v>
      </c>
      <c r="R302" s="52">
        <f t="shared" si="94"/>
        <v>3.4874239581280476E-4</v>
      </c>
      <c r="S302" s="58">
        <f t="shared" si="95"/>
        <v>1.5934961046175763E-11</v>
      </c>
      <c r="T302" s="52">
        <f t="shared" si="89"/>
        <v>5.5571964924270531E-15</v>
      </c>
    </row>
    <row r="303" spans="2:20" ht="15.75" customHeight="1" x14ac:dyDescent="0.25">
      <c r="B303" s="33">
        <f t="shared" si="98"/>
        <v>36.916666666666693</v>
      </c>
      <c r="C303" s="34"/>
      <c r="D303" s="35">
        <f>(11/12)*D292</f>
        <v>2.1578333333333332E-3</v>
      </c>
      <c r="E303" s="36">
        <f>E292-(11/12)*F292</f>
        <v>972791.98680118751</v>
      </c>
      <c r="F303" s="36">
        <f t="shared" si="99"/>
        <v>191.24202983744908</v>
      </c>
      <c r="G303" s="31">
        <f t="shared" si="83"/>
        <v>0.9978421666666667</v>
      </c>
      <c r="H303" s="32"/>
      <c r="I303" s="51">
        <f t="shared" si="90"/>
        <v>23.916666666666597</v>
      </c>
      <c r="J303" s="51">
        <f t="shared" si="91"/>
        <v>88.916666666665307</v>
      </c>
      <c r="K303" s="52">
        <f t="shared" si="38"/>
        <v>9.2982999999999996E-2</v>
      </c>
      <c r="L303" s="53">
        <f t="shared" si="87"/>
        <v>0.90701699999999996</v>
      </c>
      <c r="M303" s="52">
        <f t="shared" si="92"/>
        <v>3.1926320109474835E-4</v>
      </c>
      <c r="N303" s="58">
        <f t="shared" si="88"/>
        <v>0.11462932408785288</v>
      </c>
      <c r="Q303" s="51">
        <f t="shared" si="93"/>
        <v>23.916666666666597</v>
      </c>
      <c r="R303" s="52">
        <f t="shared" si="94"/>
        <v>3.1926320109474835E-4</v>
      </c>
      <c r="S303" s="58">
        <f t="shared" si="95"/>
        <v>1.4608209504506737E-11</v>
      </c>
      <c r="T303" s="52">
        <f t="shared" si="89"/>
        <v>4.6638637286715489E-15</v>
      </c>
    </row>
    <row r="304" spans="2:20" ht="15.75" customHeight="1" x14ac:dyDescent="0.25">
      <c r="B304" s="27">
        <v>37</v>
      </c>
      <c r="C304" s="28">
        <v>2.5350000000000001</v>
      </c>
      <c r="D304" s="29">
        <f>C304/1000</f>
        <v>2.5349999999999999E-3</v>
      </c>
      <c r="E304" s="30">
        <f>E292-F292</f>
        <v>972600.74477135006</v>
      </c>
      <c r="F304" s="48">
        <f>D304*E304</f>
        <v>2465.5428879953724</v>
      </c>
      <c r="G304" s="31">
        <f t="shared" si="83"/>
        <v>0.99746500000000005</v>
      </c>
      <c r="H304" s="49"/>
      <c r="I304" s="51">
        <f t="shared" si="90"/>
        <v>23.999999999999929</v>
      </c>
      <c r="J304" s="51">
        <f t="shared" si="91"/>
        <v>88.999999999998636</v>
      </c>
      <c r="K304" s="52">
        <f t="shared" si="38"/>
        <v>0.10842400000000001</v>
      </c>
      <c r="L304" s="53">
        <f t="shared" si="87"/>
        <v>0.89157600000000004</v>
      </c>
      <c r="M304" s="52">
        <f t="shared" si="92"/>
        <v>2.8957715086735535E-4</v>
      </c>
      <c r="N304" s="58">
        <f t="shared" si="88"/>
        <v>0.11380191323669676</v>
      </c>
      <c r="Q304" s="51">
        <f t="shared" si="93"/>
        <v>23.999999999999929</v>
      </c>
      <c r="R304" s="52">
        <f t="shared" si="94"/>
        <v>2.8957715086735535E-4</v>
      </c>
      <c r="S304" s="58">
        <f t="shared" si="95"/>
        <v>1.3391923852789968E-11</v>
      </c>
      <c r="T304" s="52">
        <f t="shared" si="89"/>
        <v>3.8779951539234955E-15</v>
      </c>
    </row>
    <row r="305" spans="2:20" ht="15.75" customHeight="1" x14ac:dyDescent="0.25">
      <c r="B305" s="33">
        <f t="shared" ref="B305:B315" si="100">B304+1/12</f>
        <v>37.083333333333336</v>
      </c>
      <c r="C305" s="34"/>
      <c r="D305" s="35">
        <f>(1/12)*D304</f>
        <v>2.1124999999999998E-4</v>
      </c>
      <c r="E305" s="36">
        <f>E304-(1/12)*F304</f>
        <v>972395.28286401706</v>
      </c>
      <c r="F305" s="36">
        <f t="shared" ref="F305:F315" si="101">E305-E306</f>
        <v>205.46190733287949</v>
      </c>
      <c r="G305" s="31">
        <f t="shared" si="83"/>
        <v>0.99978875</v>
      </c>
      <c r="H305" s="37"/>
      <c r="I305" s="51">
        <f t="shared" si="90"/>
        <v>24.083333333333261</v>
      </c>
      <c r="J305" s="51">
        <f t="shared" si="91"/>
        <v>89.083333333331964</v>
      </c>
      <c r="K305" s="52">
        <f t="shared" si="38"/>
        <v>9.0353333333333327E-3</v>
      </c>
      <c r="L305" s="53">
        <f t="shared" si="87"/>
        <v>0.99096466666666672</v>
      </c>
      <c r="M305" s="52">
        <f t="shared" si="92"/>
        <v>2.5818003786171322E-4</v>
      </c>
      <c r="N305" s="58">
        <f t="shared" si="88"/>
        <v>0.11298047475536886</v>
      </c>
      <c r="Q305" s="51">
        <f t="shared" si="93"/>
        <v>24.083333333333261</v>
      </c>
      <c r="R305" s="52">
        <f t="shared" si="94"/>
        <v>2.5818003786171322E-4</v>
      </c>
      <c r="S305" s="58">
        <f t="shared" si="95"/>
        <v>1.2276906654685926E-11</v>
      </c>
      <c r="T305" s="52">
        <f t="shared" si="89"/>
        <v>3.1696522249315313E-15</v>
      </c>
    </row>
    <row r="306" spans="2:20" ht="15.75" customHeight="1" x14ac:dyDescent="0.25">
      <c r="B306" s="33">
        <f t="shared" si="100"/>
        <v>37.166666666666671</v>
      </c>
      <c r="C306" s="34"/>
      <c r="D306" s="35">
        <f>(2/12)*D304</f>
        <v>4.2249999999999997E-4</v>
      </c>
      <c r="E306" s="36">
        <f>E304-(2/12)*F304</f>
        <v>972189.82095668418</v>
      </c>
      <c r="F306" s="36">
        <f t="shared" si="101"/>
        <v>205.46190733299591</v>
      </c>
      <c r="G306" s="31">
        <f t="shared" si="83"/>
        <v>0.99957750000000001</v>
      </c>
      <c r="H306" s="32"/>
      <c r="I306" s="51">
        <f t="shared" si="90"/>
        <v>24.166666666666593</v>
      </c>
      <c r="J306" s="51">
        <f t="shared" si="91"/>
        <v>89.166666666665293</v>
      </c>
      <c r="K306" s="52">
        <f t="shared" si="38"/>
        <v>1.8070666666666665E-2</v>
      </c>
      <c r="L306" s="53">
        <f t="shared" si="87"/>
        <v>0.98192933333333332</v>
      </c>
      <c r="M306" s="52">
        <f t="shared" si="92"/>
        <v>2.5584729515962002E-4</v>
      </c>
      <c r="N306" s="58">
        <f t="shared" si="88"/>
        <v>0.11216496553444981</v>
      </c>
      <c r="Q306" s="51">
        <f t="shared" si="93"/>
        <v>24.166666666666593</v>
      </c>
      <c r="R306" s="52">
        <f t="shared" si="94"/>
        <v>2.5584729515962002E-4</v>
      </c>
      <c r="S306" s="58">
        <f t="shared" si="95"/>
        <v>1.1254726256263156E-11</v>
      </c>
      <c r="T306" s="52">
        <f t="shared" si="89"/>
        <v>2.8794912704268849E-15</v>
      </c>
    </row>
    <row r="307" spans="2:20" ht="15.75" customHeight="1" x14ac:dyDescent="0.25">
      <c r="B307" s="33">
        <f t="shared" si="100"/>
        <v>37.250000000000007</v>
      </c>
      <c r="C307" s="34"/>
      <c r="D307" s="35">
        <f>(3/12)*D304</f>
        <v>6.3374999999999998E-4</v>
      </c>
      <c r="E307" s="36">
        <f>E304-(3/12)*F304</f>
        <v>971984.35904935119</v>
      </c>
      <c r="F307" s="36">
        <f t="shared" si="101"/>
        <v>205.46190733287949</v>
      </c>
      <c r="G307" s="31">
        <f t="shared" si="83"/>
        <v>0.99936625000000001</v>
      </c>
      <c r="H307" s="32"/>
      <c r="I307" s="51">
        <f t="shared" si="90"/>
        <v>24.249999999999925</v>
      </c>
      <c r="J307" s="51">
        <f t="shared" si="91"/>
        <v>89.249999999998622</v>
      </c>
      <c r="K307" s="52">
        <f t="shared" si="38"/>
        <v>2.7106000000000002E-2</v>
      </c>
      <c r="L307" s="53">
        <f t="shared" si="87"/>
        <v>0.97289400000000004</v>
      </c>
      <c r="M307" s="52">
        <f t="shared" si="92"/>
        <v>2.5122396397122225E-4</v>
      </c>
      <c r="N307" s="58">
        <f t="shared" si="88"/>
        <v>0.11135534277569022</v>
      </c>
      <c r="Q307" s="51">
        <f t="shared" si="93"/>
        <v>24.249999999999925</v>
      </c>
      <c r="R307" s="52">
        <f t="shared" si="94"/>
        <v>2.5122396397122225E-4</v>
      </c>
      <c r="S307" s="58">
        <f t="shared" si="95"/>
        <v>1.0317653026633631E-11</v>
      </c>
      <c r="T307" s="52">
        <f t="shared" si="89"/>
        <v>2.5920416922305794E-15</v>
      </c>
    </row>
    <row r="308" spans="2:20" ht="15.75" customHeight="1" x14ac:dyDescent="0.25">
      <c r="B308" s="33">
        <f t="shared" si="100"/>
        <v>37.333333333333343</v>
      </c>
      <c r="C308" s="34"/>
      <c r="D308" s="35">
        <f>(4/12)*D304</f>
        <v>8.4499999999999994E-4</v>
      </c>
      <c r="E308" s="36">
        <f>E304-(4/12)*F304</f>
        <v>971778.89714201831</v>
      </c>
      <c r="F308" s="36">
        <f t="shared" si="101"/>
        <v>205.46190733299591</v>
      </c>
      <c r="G308" s="31">
        <f t="shared" si="83"/>
        <v>0.99915500000000002</v>
      </c>
      <c r="H308" s="32"/>
      <c r="I308" s="51">
        <f t="shared" si="90"/>
        <v>24.333333333333258</v>
      </c>
      <c r="J308" s="51">
        <f t="shared" si="91"/>
        <v>89.33333333333195</v>
      </c>
      <c r="K308" s="52">
        <f t="shared" si="38"/>
        <v>3.6141333333333331E-2</v>
      </c>
      <c r="L308" s="53">
        <f t="shared" si="87"/>
        <v>0.96385866666666664</v>
      </c>
      <c r="M308" s="52">
        <f t="shared" si="92"/>
        <v>2.4441428720381833E-4</v>
      </c>
      <c r="N308" s="58">
        <f t="shared" si="88"/>
        <v>0.11055156398976455</v>
      </c>
      <c r="Q308" s="51">
        <f t="shared" si="93"/>
        <v>24.333333333333258</v>
      </c>
      <c r="R308" s="52">
        <f t="shared" si="94"/>
        <v>2.4441428720381833E-4</v>
      </c>
      <c r="S308" s="58">
        <f t="shared" si="95"/>
        <v>9.4586009072198834E-12</v>
      </c>
      <c r="T308" s="52">
        <f t="shared" si="89"/>
        <v>2.3118171986835374E-15</v>
      </c>
    </row>
    <row r="309" spans="2:20" ht="15.75" customHeight="1" x14ac:dyDescent="0.25">
      <c r="B309" s="33">
        <f t="shared" si="100"/>
        <v>37.416666666666679</v>
      </c>
      <c r="C309" s="34"/>
      <c r="D309" s="35">
        <f>(5/12)*D304</f>
        <v>1.0562500000000001E-3</v>
      </c>
      <c r="E309" s="36">
        <f>E304-(5/12)*F304</f>
        <v>971573.43523468531</v>
      </c>
      <c r="F309" s="36">
        <f t="shared" si="101"/>
        <v>205.46190733299591</v>
      </c>
      <c r="G309" s="31">
        <f t="shared" si="83"/>
        <v>0.99894375000000002</v>
      </c>
      <c r="H309" s="32"/>
      <c r="I309" s="51">
        <f t="shared" si="90"/>
        <v>24.41666666666659</v>
      </c>
      <c r="J309" s="51">
        <f t="shared" si="91"/>
        <v>89.416666666665279</v>
      </c>
      <c r="K309" s="52">
        <f t="shared" si="38"/>
        <v>4.5176666666666671E-2</v>
      </c>
      <c r="L309" s="53">
        <f t="shared" si="87"/>
        <v>0.95482333333333336</v>
      </c>
      <c r="M309" s="52">
        <f t="shared" si="92"/>
        <v>2.3558082897855607E-4</v>
      </c>
      <c r="N309" s="58">
        <f t="shared" si="88"/>
        <v>0.10975358699404131</v>
      </c>
      <c r="Q309" s="51">
        <f t="shared" si="93"/>
        <v>24.41666666666659</v>
      </c>
      <c r="R309" s="52">
        <f t="shared" si="94"/>
        <v>2.3558082897855607E-4</v>
      </c>
      <c r="S309" s="58">
        <f t="shared" si="95"/>
        <v>8.671073827654246E-12</v>
      </c>
      <c r="T309" s="52">
        <f t="shared" si="89"/>
        <v>2.0427387604530483E-15</v>
      </c>
    </row>
    <row r="310" spans="2:20" ht="15.75" customHeight="1" x14ac:dyDescent="0.25">
      <c r="B310" s="33">
        <f t="shared" si="100"/>
        <v>37.500000000000014</v>
      </c>
      <c r="C310" s="34"/>
      <c r="D310" s="35">
        <f>(6/12)*D304</f>
        <v>1.2675E-3</v>
      </c>
      <c r="E310" s="36">
        <f>E304-(6/12)*F304</f>
        <v>971367.97332735232</v>
      </c>
      <c r="F310" s="36">
        <f t="shared" si="101"/>
        <v>205.46190733287949</v>
      </c>
      <c r="G310" s="31">
        <f t="shared" si="83"/>
        <v>0.99873250000000002</v>
      </c>
      <c r="H310" s="32"/>
      <c r="I310" s="51">
        <f t="shared" si="90"/>
        <v>24.499999999999922</v>
      </c>
      <c r="J310" s="51">
        <f t="shared" si="91"/>
        <v>89.499999999998607</v>
      </c>
      <c r="K310" s="52">
        <f t="shared" si="38"/>
        <v>5.4212000000000003E-2</v>
      </c>
      <c r="L310" s="53">
        <f t="shared" si="87"/>
        <v>0.94578799999999996</v>
      </c>
      <c r="M310" s="52">
        <f t="shared" si="92"/>
        <v>2.2493807239473484E-4</v>
      </c>
      <c r="N310" s="58">
        <f t="shared" si="88"/>
        <v>0.10896136991036925</v>
      </c>
      <c r="Q310" s="51">
        <f t="shared" si="93"/>
        <v>24.499999999999922</v>
      </c>
      <c r="R310" s="52">
        <f t="shared" si="94"/>
        <v>2.2493807239473484E-4</v>
      </c>
      <c r="S310" s="58">
        <f t="shared" si="95"/>
        <v>7.9491165831131559E-12</v>
      </c>
      <c r="T310" s="52">
        <f t="shared" si="89"/>
        <v>1.7880589614464943E-15</v>
      </c>
    </row>
    <row r="311" spans="2:20" ht="15.75" customHeight="1" x14ac:dyDescent="0.25">
      <c r="B311" s="33">
        <f t="shared" si="100"/>
        <v>37.58333333333335</v>
      </c>
      <c r="C311" s="34"/>
      <c r="D311" s="35">
        <f>(7/12)*D304</f>
        <v>1.47875E-3</v>
      </c>
      <c r="E311" s="36">
        <f>E304-(7/12)*F304</f>
        <v>971162.51142001944</v>
      </c>
      <c r="F311" s="36">
        <f t="shared" si="101"/>
        <v>205.46190733299591</v>
      </c>
      <c r="G311" s="31">
        <f t="shared" si="83"/>
        <v>0.99852125000000003</v>
      </c>
      <c r="H311" s="32"/>
      <c r="I311" s="51">
        <f t="shared" si="90"/>
        <v>24.583333333333254</v>
      </c>
      <c r="J311" s="51">
        <f t="shared" si="91"/>
        <v>89.583333333331936</v>
      </c>
      <c r="K311" s="52">
        <f t="shared" si="38"/>
        <v>6.3247333333333336E-2</v>
      </c>
      <c r="L311" s="53">
        <f t="shared" si="87"/>
        <v>0.93675266666666668</v>
      </c>
      <c r="M311" s="52">
        <f t="shared" si="92"/>
        <v>2.1274372961407146E-4</v>
      </c>
      <c r="N311" s="58">
        <f t="shared" si="88"/>
        <v>0.10817487116287972</v>
      </c>
      <c r="Q311" s="51">
        <f t="shared" si="93"/>
        <v>24.583333333333254</v>
      </c>
      <c r="R311" s="52">
        <f t="shared" si="94"/>
        <v>2.1274372961407146E-4</v>
      </c>
      <c r="S311" s="58">
        <f t="shared" si="95"/>
        <v>7.2872698016248984E-12</v>
      </c>
      <c r="T311" s="52">
        <f t="shared" si="89"/>
        <v>1.5503209563016757E-15</v>
      </c>
    </row>
    <row r="312" spans="2:20" ht="15.75" customHeight="1" x14ac:dyDescent="0.25">
      <c r="B312" s="33">
        <f t="shared" si="100"/>
        <v>37.666666666666686</v>
      </c>
      <c r="C312" s="34"/>
      <c r="D312" s="35">
        <f>(8/12)*D304</f>
        <v>1.6899999999999999E-3</v>
      </c>
      <c r="E312" s="36">
        <f>E304-(8/12)*F304</f>
        <v>970957.04951268644</v>
      </c>
      <c r="F312" s="36">
        <f t="shared" si="101"/>
        <v>205.46190733287949</v>
      </c>
      <c r="G312" s="31">
        <f t="shared" si="83"/>
        <v>0.99831000000000003</v>
      </c>
      <c r="H312" s="32"/>
      <c r="I312" s="51">
        <f t="shared" si="90"/>
        <v>24.666666666666586</v>
      </c>
      <c r="J312" s="51">
        <f t="shared" si="91"/>
        <v>89.666666666665265</v>
      </c>
      <c r="K312" s="52">
        <f t="shared" si="38"/>
        <v>7.2282666666666662E-2</v>
      </c>
      <c r="L312" s="53">
        <f t="shared" si="87"/>
        <v>0.92771733333333328</v>
      </c>
      <c r="M312" s="52">
        <f t="shared" si="92"/>
        <v>1.9928825603259375E-4</v>
      </c>
      <c r="N312" s="58">
        <f t="shared" si="88"/>
        <v>0.1073940494758044</v>
      </c>
      <c r="Q312" s="51">
        <f t="shared" si="93"/>
        <v>24.666666666666586</v>
      </c>
      <c r="R312" s="52">
        <f t="shared" si="94"/>
        <v>1.9928825603259375E-4</v>
      </c>
      <c r="S312" s="58">
        <f t="shared" si="95"/>
        <v>6.6805286608183661E-12</v>
      </c>
      <c r="T312" s="52">
        <f t="shared" si="89"/>
        <v>1.3313509061902511E-15</v>
      </c>
    </row>
    <row r="313" spans="2:20" ht="15.75" customHeight="1" x14ac:dyDescent="0.25">
      <c r="B313" s="33">
        <f t="shared" si="100"/>
        <v>37.750000000000021</v>
      </c>
      <c r="C313" s="34"/>
      <c r="D313" s="35">
        <f>(9/12)*D304</f>
        <v>1.9012499999999999E-3</v>
      </c>
      <c r="E313" s="36">
        <f>E304-(9/12)*F304</f>
        <v>970751.58760535356</v>
      </c>
      <c r="F313" s="36">
        <f t="shared" si="101"/>
        <v>205.46190733299591</v>
      </c>
      <c r="G313" s="31">
        <f t="shared" si="83"/>
        <v>0.99809875000000003</v>
      </c>
      <c r="H313" s="32"/>
      <c r="I313" s="51">
        <f t="shared" si="90"/>
        <v>24.749999999999918</v>
      </c>
      <c r="J313" s="51">
        <f t="shared" si="91"/>
        <v>89.749999999998593</v>
      </c>
      <c r="K313" s="52">
        <f t="shared" si="38"/>
        <v>8.1318000000000001E-2</v>
      </c>
      <c r="L313" s="53">
        <f t="shared" si="87"/>
        <v>0.918682</v>
      </c>
      <c r="M313" s="52">
        <f t="shared" si="92"/>
        <v>1.8488316945120843E-4</v>
      </c>
      <c r="N313" s="58">
        <f t="shared" si="88"/>
        <v>0.10661886387130956</v>
      </c>
      <c r="Q313" s="51">
        <f t="shared" si="93"/>
        <v>24.749999999999918</v>
      </c>
      <c r="R313" s="52">
        <f t="shared" si="94"/>
        <v>1.8488316945120843E-4</v>
      </c>
      <c r="S313" s="58">
        <f t="shared" si="95"/>
        <v>6.1243050419327484E-12</v>
      </c>
      <c r="T313" s="52">
        <f t="shared" si="89"/>
        <v>1.1322809268385425E-15</v>
      </c>
    </row>
    <row r="314" spans="2:20" ht="15.75" customHeight="1" x14ac:dyDescent="0.25">
      <c r="B314" s="33">
        <f t="shared" si="100"/>
        <v>37.833333333333357</v>
      </c>
      <c r="C314" s="34"/>
      <c r="D314" s="35">
        <f>(10/12)*D304</f>
        <v>2.1125000000000002E-3</v>
      </c>
      <c r="E314" s="36">
        <f>E304-(10/12)*F304</f>
        <v>970546.12569802057</v>
      </c>
      <c r="F314" s="36">
        <f t="shared" si="101"/>
        <v>205.46190733287949</v>
      </c>
      <c r="G314" s="31">
        <f t="shared" si="83"/>
        <v>0.99788750000000004</v>
      </c>
      <c r="H314" s="32"/>
      <c r="I314" s="51">
        <f t="shared" si="90"/>
        <v>24.83333333333325</v>
      </c>
      <c r="J314" s="51">
        <f t="shared" si="91"/>
        <v>89.833333333331922</v>
      </c>
      <c r="K314" s="52">
        <f t="shared" si="38"/>
        <v>9.0353333333333341E-2</v>
      </c>
      <c r="L314" s="53">
        <f t="shared" si="87"/>
        <v>0.90964666666666671</v>
      </c>
      <c r="M314" s="52">
        <f t="shared" si="92"/>
        <v>1.6984883987777508E-4</v>
      </c>
      <c r="N314" s="58">
        <f t="shared" si="88"/>
        <v>0.10584927366734528</v>
      </c>
      <c r="Q314" s="51">
        <f t="shared" si="93"/>
        <v>24.83333333333325</v>
      </c>
      <c r="R314" s="52">
        <f t="shared" si="94"/>
        <v>1.6984883987777508E-4</v>
      </c>
      <c r="S314" s="58">
        <f t="shared" si="95"/>
        <v>5.614392834900044E-12</v>
      </c>
      <c r="T314" s="52">
        <f t="shared" si="89"/>
        <v>9.5359810962586526E-16</v>
      </c>
    </row>
    <row r="315" spans="2:20" ht="15.75" customHeight="1" x14ac:dyDescent="0.25">
      <c r="B315" s="33">
        <f t="shared" si="100"/>
        <v>37.916666666666693</v>
      </c>
      <c r="C315" s="34"/>
      <c r="D315" s="35">
        <f>(11/12)*D304</f>
        <v>2.3237499999999999E-3</v>
      </c>
      <c r="E315" s="36">
        <f>E304-(11/12)*F304</f>
        <v>970340.66379068769</v>
      </c>
      <c r="F315" s="36">
        <f t="shared" si="101"/>
        <v>205.46190733299591</v>
      </c>
      <c r="G315" s="31">
        <f t="shared" si="83"/>
        <v>0.99767625000000004</v>
      </c>
      <c r="H315" s="32"/>
      <c r="I315" s="51">
        <f t="shared" si="90"/>
        <v>24.916666666666583</v>
      </c>
      <c r="J315" s="51">
        <f t="shared" si="91"/>
        <v>89.91666666666525</v>
      </c>
      <c r="K315" s="52">
        <f t="shared" si="38"/>
        <v>9.9388666666666667E-2</v>
      </c>
      <c r="L315" s="53">
        <f t="shared" si="87"/>
        <v>0.90061133333333332</v>
      </c>
      <c r="M315" s="52">
        <f t="shared" si="92"/>
        <v>1.5450243103201853E-4</v>
      </c>
      <c r="N315" s="58">
        <f t="shared" si="88"/>
        <v>0.1050852384755105</v>
      </c>
      <c r="Q315" s="51">
        <f t="shared" si="93"/>
        <v>24.916666666666583</v>
      </c>
      <c r="R315" s="52">
        <f t="shared" si="94"/>
        <v>1.5450243103201853E-4</v>
      </c>
      <c r="S315" s="58">
        <f t="shared" si="95"/>
        <v>5.1469361321409792E-12</v>
      </c>
      <c r="T315" s="52">
        <f t="shared" si="89"/>
        <v>7.9521414478231581E-16</v>
      </c>
    </row>
    <row r="316" spans="2:20" ht="15.75" customHeight="1" x14ac:dyDescent="0.25">
      <c r="B316" s="27">
        <v>38</v>
      </c>
      <c r="C316" s="28">
        <v>2.73</v>
      </c>
      <c r="D316" s="29">
        <f>C316/1000</f>
        <v>2.7299999999999998E-3</v>
      </c>
      <c r="E316" s="30">
        <f>E304-F304</f>
        <v>970135.20188335469</v>
      </c>
      <c r="F316" s="48">
        <f>D316*E316</f>
        <v>2648.469101141558</v>
      </c>
      <c r="G316" s="31">
        <f t="shared" si="83"/>
        <v>0.99726999999999999</v>
      </c>
      <c r="H316" s="49"/>
      <c r="I316" s="51">
        <f t="shared" si="90"/>
        <v>24.999999999999915</v>
      </c>
      <c r="J316" s="51">
        <f t="shared" si="91"/>
        <v>89.999999999998579</v>
      </c>
      <c r="K316" s="52">
        <f t="shared" si="38"/>
        <v>0.115832</v>
      </c>
      <c r="L316" s="53">
        <f t="shared" si="87"/>
        <v>0.88416799999999995</v>
      </c>
      <c r="M316" s="52">
        <f t="shared" si="92"/>
        <v>1.3914664041498757E-4</v>
      </c>
      <c r="N316" s="58">
        <f t="shared" si="88"/>
        <v>0.1043267181989334</v>
      </c>
      <c r="Q316" s="51">
        <f t="shared" si="93"/>
        <v>24.999999999999915</v>
      </c>
      <c r="R316" s="52">
        <f t="shared" si="94"/>
        <v>1.3914664041498757E-4</v>
      </c>
      <c r="S316" s="58">
        <f t="shared" si="95"/>
        <v>4.718400070559006E-12</v>
      </c>
      <c r="T316" s="52">
        <f t="shared" si="89"/>
        <v>6.5654951795212604E-16</v>
      </c>
    </row>
    <row r="317" spans="2:20" ht="15.75" customHeight="1" x14ac:dyDescent="0.25">
      <c r="B317" s="33">
        <f t="shared" ref="B317:B327" si="102">B316+1/12</f>
        <v>38.083333333333336</v>
      </c>
      <c r="C317" s="34"/>
      <c r="D317" s="35">
        <f>(1/12)*D316</f>
        <v>2.2749999999999997E-4</v>
      </c>
      <c r="E317" s="36">
        <f>E316-(1/12)*F316</f>
        <v>969914.49612492626</v>
      </c>
      <c r="F317" s="36">
        <f t="shared" ref="F317:F327" si="103">E317-E318</f>
        <v>220.70575842855033</v>
      </c>
      <c r="G317" s="31">
        <f t="shared" si="83"/>
        <v>0.99977249999999995</v>
      </c>
      <c r="H317" s="37"/>
      <c r="I317" s="51">
        <f t="shared" si="90"/>
        <v>25.083333333333247</v>
      </c>
      <c r="J317" s="51">
        <f t="shared" si="91"/>
        <v>90.083333333331908</v>
      </c>
      <c r="K317" s="52">
        <f t="shared" si="38"/>
        <v>9.652666666666667E-3</v>
      </c>
      <c r="L317" s="53">
        <f t="shared" si="87"/>
        <v>0.99034733333333336</v>
      </c>
      <c r="M317" s="52">
        <f t="shared" si="92"/>
        <v>1.2302900676243873E-4</v>
      </c>
      <c r="N317" s="58">
        <f t="shared" si="88"/>
        <v>0.10357367303016708</v>
      </c>
      <c r="Q317" s="51">
        <f t="shared" si="93"/>
        <v>25.083333333333247</v>
      </c>
      <c r="R317" s="52">
        <f t="shared" si="94"/>
        <v>1.2302900676243873E-4</v>
      </c>
      <c r="S317" s="58">
        <f t="shared" si="95"/>
        <v>4.325544101241889E-12</v>
      </c>
      <c r="T317" s="52">
        <f t="shared" si="89"/>
        <v>5.3216739448291529E-16</v>
      </c>
    </row>
    <row r="318" spans="2:20" ht="15.75" customHeight="1" x14ac:dyDescent="0.25">
      <c r="B318" s="33">
        <f t="shared" si="102"/>
        <v>38.166666666666671</v>
      </c>
      <c r="C318" s="34"/>
      <c r="D318" s="35">
        <f>(2/12)*D316</f>
        <v>4.5499999999999995E-4</v>
      </c>
      <c r="E318" s="36">
        <f>E316-(2/12)*F316</f>
        <v>969693.79036649771</v>
      </c>
      <c r="F318" s="36">
        <f t="shared" si="103"/>
        <v>220.70575842843391</v>
      </c>
      <c r="G318" s="31">
        <f t="shared" si="83"/>
        <v>0.99954500000000002</v>
      </c>
      <c r="H318" s="32"/>
      <c r="I318" s="51">
        <f t="shared" si="90"/>
        <v>25.166666666666579</v>
      </c>
      <c r="J318" s="51">
        <f t="shared" si="91"/>
        <v>90.166666666665236</v>
      </c>
      <c r="K318" s="52">
        <f t="shared" si="38"/>
        <v>1.9305333333333334E-2</v>
      </c>
      <c r="L318" s="53">
        <f t="shared" si="87"/>
        <v>0.98069466666666671</v>
      </c>
      <c r="M318" s="52">
        <f t="shared" si="92"/>
        <v>1.2184144876982984E-4</v>
      </c>
      <c r="N318" s="58">
        <f t="shared" si="88"/>
        <v>0.10282606344910059</v>
      </c>
      <c r="Q318" s="51">
        <f t="shared" si="93"/>
        <v>25.166666666666579</v>
      </c>
      <c r="R318" s="52">
        <f t="shared" si="94"/>
        <v>1.2184144876982984E-4</v>
      </c>
      <c r="S318" s="58">
        <f t="shared" si="95"/>
        <v>3.9653974847393314E-12</v>
      </c>
      <c r="T318" s="52">
        <f t="shared" si="89"/>
        <v>4.8314977448887938E-16</v>
      </c>
    </row>
    <row r="319" spans="2:20" ht="15.75" customHeight="1" x14ac:dyDescent="0.25">
      <c r="B319" s="33">
        <f t="shared" si="102"/>
        <v>38.250000000000007</v>
      </c>
      <c r="C319" s="34"/>
      <c r="D319" s="35">
        <f>(3/12)*D316</f>
        <v>6.8249999999999995E-4</v>
      </c>
      <c r="E319" s="36">
        <f>E316-(3/12)*F316</f>
        <v>969473.08460806927</v>
      </c>
      <c r="F319" s="36">
        <f t="shared" si="103"/>
        <v>220.70575842843391</v>
      </c>
      <c r="G319" s="31">
        <f t="shared" si="83"/>
        <v>0.99931749999999997</v>
      </c>
      <c r="H319" s="32"/>
      <c r="I319" s="51">
        <f t="shared" si="90"/>
        <v>25.249999999999911</v>
      </c>
      <c r="J319" s="51">
        <f t="shared" si="91"/>
        <v>90.249999999998565</v>
      </c>
      <c r="K319" s="52">
        <f t="shared" si="38"/>
        <v>2.8958000000000001E-2</v>
      </c>
      <c r="L319" s="53">
        <f t="shared" si="87"/>
        <v>0.97104199999999996</v>
      </c>
      <c r="M319" s="52">
        <f t="shared" si="92"/>
        <v>1.1948925898751203E-4</v>
      </c>
      <c r="N319" s="58">
        <f t="shared" si="88"/>
        <v>0.10208385022088468</v>
      </c>
      <c r="Q319" s="51">
        <f t="shared" si="93"/>
        <v>25.249999999999911</v>
      </c>
      <c r="R319" s="52">
        <f t="shared" si="94"/>
        <v>1.1948925898751203E-4</v>
      </c>
      <c r="S319" s="58">
        <f t="shared" si="95"/>
        <v>3.6352368266139077E-12</v>
      </c>
      <c r="T319" s="52">
        <f t="shared" si="89"/>
        <v>4.3437175465621055E-16</v>
      </c>
    </row>
    <row r="320" spans="2:20" ht="15.75" customHeight="1" x14ac:dyDescent="0.25">
      <c r="B320" s="33">
        <f t="shared" si="102"/>
        <v>38.333333333333343</v>
      </c>
      <c r="C320" s="34"/>
      <c r="D320" s="35">
        <f>(4/12)*D316</f>
        <v>9.0999999999999989E-4</v>
      </c>
      <c r="E320" s="36">
        <f>E316-(4/12)*F316</f>
        <v>969252.37884964084</v>
      </c>
      <c r="F320" s="36">
        <f t="shared" si="103"/>
        <v>220.70575842843391</v>
      </c>
      <c r="G320" s="31">
        <f t="shared" si="83"/>
        <v>0.99909000000000003</v>
      </c>
      <c r="H320" s="32"/>
      <c r="I320" s="51">
        <f t="shared" si="90"/>
        <v>25.333333333333243</v>
      </c>
      <c r="J320" s="51">
        <f t="shared" si="91"/>
        <v>90.333333333331893</v>
      </c>
      <c r="K320" s="52">
        <f t="shared" si="38"/>
        <v>3.8610666666666668E-2</v>
      </c>
      <c r="L320" s="53">
        <f t="shared" si="87"/>
        <v>0.96138933333333332</v>
      </c>
      <c r="M320" s="52">
        <f t="shared" si="92"/>
        <v>1.1602908902575165E-4</v>
      </c>
      <c r="N320" s="58">
        <f t="shared" si="88"/>
        <v>0.10134699439387292</v>
      </c>
      <c r="Q320" s="51">
        <f t="shared" si="93"/>
        <v>25.333333333333243</v>
      </c>
      <c r="R320" s="52">
        <f t="shared" si="94"/>
        <v>1.1602908902575165E-4</v>
      </c>
      <c r="S320" s="58">
        <f t="shared" si="95"/>
        <v>3.3325654833915349E-12</v>
      </c>
      <c r="T320" s="52">
        <f t="shared" si="89"/>
        <v>3.8667453715658351E-16</v>
      </c>
    </row>
    <row r="321" spans="2:20" ht="15.75" customHeight="1" x14ac:dyDescent="0.25">
      <c r="B321" s="33">
        <f t="shared" si="102"/>
        <v>38.416666666666679</v>
      </c>
      <c r="C321" s="34"/>
      <c r="D321" s="35">
        <f>(5/12)*D316</f>
        <v>1.1375000000000001E-3</v>
      </c>
      <c r="E321" s="36">
        <f>E316-(5/12)*F316</f>
        <v>969031.6730912124</v>
      </c>
      <c r="F321" s="36">
        <f t="shared" si="103"/>
        <v>220.70575842855033</v>
      </c>
      <c r="G321" s="31">
        <f t="shared" si="83"/>
        <v>0.99886249999999999</v>
      </c>
      <c r="H321" s="32"/>
      <c r="I321" s="51">
        <f t="shared" si="90"/>
        <v>25.416666666666575</v>
      </c>
      <c r="J321" s="51">
        <f t="shared" si="91"/>
        <v>90.416666666665222</v>
      </c>
      <c r="K321" s="52">
        <f t="shared" si="38"/>
        <v>4.8263333333333339E-2</v>
      </c>
      <c r="L321" s="53">
        <f t="shared" si="87"/>
        <v>0.95173666666666668</v>
      </c>
      <c r="M321" s="52">
        <f t="shared" si="92"/>
        <v>1.1154912854574137E-4</v>
      </c>
      <c r="N321" s="58">
        <f t="shared" si="88"/>
        <v>0.10061545729757737</v>
      </c>
      <c r="Q321" s="51">
        <f t="shared" si="93"/>
        <v>25.416666666666575</v>
      </c>
      <c r="R321" s="52">
        <f t="shared" si="94"/>
        <v>1.1154912854574137E-4</v>
      </c>
      <c r="S321" s="58">
        <f t="shared" si="95"/>
        <v>3.0550946831812015E-12</v>
      </c>
      <c r="T321" s="52">
        <f t="shared" si="89"/>
        <v>3.4079314953359086E-16</v>
      </c>
    </row>
    <row r="322" spans="2:20" ht="15.75" customHeight="1" x14ac:dyDescent="0.25">
      <c r="B322" s="33">
        <f t="shared" si="102"/>
        <v>38.500000000000014</v>
      </c>
      <c r="C322" s="34"/>
      <c r="D322" s="35">
        <f>(6/12)*D316</f>
        <v>1.3649999999999999E-3</v>
      </c>
      <c r="E322" s="36">
        <f>E316-(6/12)*F316</f>
        <v>968810.96733278385</v>
      </c>
      <c r="F322" s="36">
        <f t="shared" si="103"/>
        <v>220.70575842843391</v>
      </c>
      <c r="G322" s="31">
        <f t="shared" si="83"/>
        <v>0.99863500000000005</v>
      </c>
      <c r="H322" s="32"/>
      <c r="I322" s="51">
        <f t="shared" si="90"/>
        <v>25.499999999999908</v>
      </c>
      <c r="J322" s="51">
        <f t="shared" si="91"/>
        <v>90.49999999999855</v>
      </c>
      <c r="K322" s="52">
        <f t="shared" si="38"/>
        <v>5.7916000000000002E-2</v>
      </c>
      <c r="L322" s="53">
        <f t="shared" si="87"/>
        <v>0.94208400000000003</v>
      </c>
      <c r="M322" s="52">
        <f t="shared" si="92"/>
        <v>1.061653957716954E-4</v>
      </c>
      <c r="N322" s="58">
        <f t="shared" si="88"/>
        <v>9.9889200540639322E-2</v>
      </c>
      <c r="Q322" s="51">
        <f t="shared" si="93"/>
        <v>25.499999999999908</v>
      </c>
      <c r="R322" s="52">
        <f t="shared" si="94"/>
        <v>1.061653957716954E-4</v>
      </c>
      <c r="S322" s="58">
        <f t="shared" si="95"/>
        <v>2.8007262181997156E-12</v>
      </c>
      <c r="T322" s="52">
        <f t="shared" si="89"/>
        <v>2.9734020740333656E-16</v>
      </c>
    </row>
    <row r="323" spans="2:20" ht="15.75" customHeight="1" x14ac:dyDescent="0.25">
      <c r="B323" s="33">
        <f t="shared" si="102"/>
        <v>38.58333333333335</v>
      </c>
      <c r="C323" s="34"/>
      <c r="D323" s="35">
        <f>(7/12)*D316</f>
        <v>1.5924999999999999E-3</v>
      </c>
      <c r="E323" s="36">
        <f>E316-(7/12)*F316</f>
        <v>968590.26157435542</v>
      </c>
      <c r="F323" s="36">
        <f t="shared" si="103"/>
        <v>220.70575842843391</v>
      </c>
      <c r="G323" s="31">
        <f t="shared" si="83"/>
        <v>0.9984075</v>
      </c>
      <c r="H323" s="32"/>
      <c r="I323" s="51">
        <f t="shared" si="90"/>
        <v>25.58333333333324</v>
      </c>
      <c r="J323" s="51">
        <f t="shared" si="91"/>
        <v>90.583333333331879</v>
      </c>
      <c r="K323" s="52">
        <f t="shared" si="38"/>
        <v>6.756866666666668E-2</v>
      </c>
      <c r="L323" s="53">
        <f t="shared" si="87"/>
        <v>0.93243133333333328</v>
      </c>
      <c r="M323" s="52">
        <f t="shared" si="92"/>
        <v>1.000167207101819E-4</v>
      </c>
      <c r="N323" s="58">
        <f t="shared" si="88"/>
        <v>9.9168186008814191E-2</v>
      </c>
      <c r="Q323" s="51">
        <f t="shared" si="93"/>
        <v>25.58333333333324</v>
      </c>
      <c r="R323" s="52">
        <f t="shared" si="94"/>
        <v>1.000167207101819E-4</v>
      </c>
      <c r="S323" s="58">
        <f t="shared" si="95"/>
        <v>2.5675365783241132E-12</v>
      </c>
      <c r="T323" s="52">
        <f t="shared" si="89"/>
        <v>2.5679658886741891E-16</v>
      </c>
    </row>
    <row r="324" spans="2:20" ht="15.75" customHeight="1" x14ac:dyDescent="0.25">
      <c r="B324" s="33">
        <f t="shared" si="102"/>
        <v>38.666666666666686</v>
      </c>
      <c r="C324" s="34"/>
      <c r="D324" s="35">
        <f>(8/12)*D316</f>
        <v>1.8199999999999998E-3</v>
      </c>
      <c r="E324" s="36">
        <f>E316-(8/12)*F316</f>
        <v>968369.55581592699</v>
      </c>
      <c r="F324" s="36">
        <f t="shared" si="103"/>
        <v>220.70575842843391</v>
      </c>
      <c r="G324" s="31">
        <f t="shared" si="83"/>
        <v>0.99817999999999996</v>
      </c>
      <c r="H324" s="32"/>
      <c r="I324" s="51">
        <f t="shared" si="90"/>
        <v>25.666666666666572</v>
      </c>
      <c r="J324" s="51">
        <f t="shared" si="91"/>
        <v>90.666666666665208</v>
      </c>
      <c r="K324" s="52">
        <f t="shared" si="38"/>
        <v>7.7221333333333336E-2</v>
      </c>
      <c r="L324" s="53">
        <f t="shared" si="87"/>
        <v>0.92277866666666664</v>
      </c>
      <c r="M324" s="52">
        <f t="shared" si="92"/>
        <v>9.3258724247422513E-5</v>
      </c>
      <c r="N324" s="58">
        <f t="shared" si="88"/>
        <v>9.8452375862971619E-2</v>
      </c>
      <c r="Q324" s="51">
        <f t="shared" si="93"/>
        <v>25.666666666666572</v>
      </c>
      <c r="R324" s="52">
        <f t="shared" si="94"/>
        <v>9.3258724247422513E-5</v>
      </c>
      <c r="S324" s="58">
        <f t="shared" si="95"/>
        <v>2.3537624056912418E-12</v>
      </c>
      <c r="T324" s="52">
        <f t="shared" si="89"/>
        <v>2.1950887913630935E-16</v>
      </c>
    </row>
    <row r="325" spans="2:20" ht="15.75" customHeight="1" x14ac:dyDescent="0.25">
      <c r="B325" s="33">
        <f t="shared" si="102"/>
        <v>38.750000000000021</v>
      </c>
      <c r="C325" s="34"/>
      <c r="D325" s="35">
        <f>(9/12)*D316</f>
        <v>2.0474999999999998E-3</v>
      </c>
      <c r="E325" s="36">
        <f>E316-(9/12)*F316</f>
        <v>968148.85005749855</v>
      </c>
      <c r="F325" s="36">
        <f t="shared" si="103"/>
        <v>220.70575842855033</v>
      </c>
      <c r="G325" s="31">
        <f t="shared" si="83"/>
        <v>0.99795250000000002</v>
      </c>
      <c r="H325" s="32"/>
      <c r="I325" s="51">
        <f t="shared" si="90"/>
        <v>25.749999999999904</v>
      </c>
      <c r="J325" s="51">
        <f t="shared" si="91"/>
        <v>90.749999999998536</v>
      </c>
      <c r="K325" s="52">
        <f t="shared" si="38"/>
        <v>8.6874000000000007E-2</v>
      </c>
      <c r="L325" s="53">
        <f t="shared" si="87"/>
        <v>0.91312599999999999</v>
      </c>
      <c r="M325" s="52">
        <f t="shared" si="92"/>
        <v>8.6057161216070881E-5</v>
      </c>
      <c r="N325" s="58">
        <f t="shared" si="88"/>
        <v>9.774173253710948E-2</v>
      </c>
      <c r="Q325" s="51">
        <f t="shared" si="93"/>
        <v>25.749999999999904</v>
      </c>
      <c r="R325" s="52">
        <f t="shared" si="94"/>
        <v>8.6057161216070881E-5</v>
      </c>
      <c r="S325" s="58">
        <f t="shared" si="95"/>
        <v>2.157787160353372E-12</v>
      </c>
      <c r="T325" s="52">
        <f t="shared" si="89"/>
        <v>1.8569303752849793E-16</v>
      </c>
    </row>
    <row r="326" spans="2:20" ht="15.75" customHeight="1" x14ac:dyDescent="0.25">
      <c r="B326" s="33">
        <f t="shared" si="102"/>
        <v>38.833333333333357</v>
      </c>
      <c r="C326" s="34"/>
      <c r="D326" s="35">
        <f>(10/12)*D316</f>
        <v>2.2750000000000001E-3</v>
      </c>
      <c r="E326" s="36">
        <f>E316-(10/12)*F316</f>
        <v>967928.14429907</v>
      </c>
      <c r="F326" s="36">
        <f t="shared" si="103"/>
        <v>220.70575842843391</v>
      </c>
      <c r="G326" s="31">
        <f t="shared" si="83"/>
        <v>0.99772499999999997</v>
      </c>
      <c r="H326" s="32"/>
      <c r="I326" s="51">
        <f t="shared" si="90"/>
        <v>25.833333333333236</v>
      </c>
      <c r="J326" s="51">
        <f t="shared" si="91"/>
        <v>90.833333333331865</v>
      </c>
      <c r="K326" s="52">
        <f t="shared" si="38"/>
        <v>9.6526666666666677E-2</v>
      </c>
      <c r="L326" s="53">
        <f t="shared" si="87"/>
        <v>0.90347333333333335</v>
      </c>
      <c r="M326" s="52">
        <f t="shared" si="92"/>
        <v>7.8581031392585944E-5</v>
      </c>
      <c r="N326" s="58">
        <f t="shared" si="88"/>
        <v>9.7036218736382338E-2</v>
      </c>
      <c r="Q326" s="51">
        <f t="shared" si="93"/>
        <v>25.833333333333236</v>
      </c>
      <c r="R326" s="52">
        <f t="shared" si="94"/>
        <v>7.8581031392585944E-5</v>
      </c>
      <c r="S326" s="58">
        <f t="shared" si="95"/>
        <v>1.9781288961570101E-12</v>
      </c>
      <c r="T326" s="52">
        <f t="shared" si="89"/>
        <v>1.5544340888749539E-16</v>
      </c>
    </row>
    <row r="327" spans="2:20" ht="15.75" customHeight="1" x14ac:dyDescent="0.25">
      <c r="B327" s="33">
        <f t="shared" si="102"/>
        <v>38.916666666666693</v>
      </c>
      <c r="C327" s="34"/>
      <c r="D327" s="35">
        <f>(11/12)*D316</f>
        <v>2.5024999999999995E-3</v>
      </c>
      <c r="E327" s="36">
        <f>E316-(11/12)*F316</f>
        <v>967707.43854064157</v>
      </c>
      <c r="F327" s="36">
        <f t="shared" si="103"/>
        <v>220.70575842843391</v>
      </c>
      <c r="G327" s="31">
        <f t="shared" si="83"/>
        <v>0.99749750000000004</v>
      </c>
      <c r="H327" s="32"/>
      <c r="I327" s="51">
        <f t="shared" si="90"/>
        <v>25.916666666666568</v>
      </c>
      <c r="J327" s="51">
        <f t="shared" si="91"/>
        <v>90.916666666665193</v>
      </c>
      <c r="K327" s="52">
        <f t="shared" si="38"/>
        <v>0.10617933333333333</v>
      </c>
      <c r="L327" s="53">
        <f t="shared" si="87"/>
        <v>0.89382066666666671</v>
      </c>
      <c r="M327" s="52">
        <f t="shared" si="92"/>
        <v>7.099586636903094E-5</v>
      </c>
      <c r="N327" s="58">
        <f t="shared" si="88"/>
        <v>9.633579743514438E-2</v>
      </c>
      <c r="Q327" s="51">
        <f t="shared" si="93"/>
        <v>25.916666666666568</v>
      </c>
      <c r="R327" s="52">
        <f t="shared" si="94"/>
        <v>7.099586636903094E-5</v>
      </c>
      <c r="S327" s="58">
        <f t="shared" si="95"/>
        <v>1.813429054407086E-12</v>
      </c>
      <c r="T327" s="52">
        <f t="shared" si="89"/>
        <v>1.2874596681640362E-16</v>
      </c>
    </row>
    <row r="328" spans="2:20" ht="15.75" customHeight="1" x14ac:dyDescent="0.25">
      <c r="B328" s="27">
        <v>39</v>
      </c>
      <c r="C328" s="28">
        <v>2.94</v>
      </c>
      <c r="D328" s="29">
        <f>C328/1000</f>
        <v>2.9399999999999999E-3</v>
      </c>
      <c r="E328" s="30">
        <f>E316-F316</f>
        <v>967486.73278221313</v>
      </c>
      <c r="F328" s="48">
        <f>D328*E328</f>
        <v>2844.4109943797066</v>
      </c>
      <c r="G328" s="31">
        <f t="shared" si="83"/>
        <v>0.99705999999999995</v>
      </c>
      <c r="H328" s="49"/>
      <c r="I328" s="51">
        <f t="shared" si="90"/>
        <v>25.999999999999901</v>
      </c>
      <c r="J328" s="51">
        <f t="shared" si="91"/>
        <v>90.999999999998522</v>
      </c>
      <c r="K328" s="52">
        <f t="shared" si="38"/>
        <v>0.123677</v>
      </c>
      <c r="L328" s="53">
        <f t="shared" si="87"/>
        <v>0.87632299999999996</v>
      </c>
      <c r="M328" s="52">
        <f t="shared" si="92"/>
        <v>6.3457572608544821E-5</v>
      </c>
      <c r="N328" s="58">
        <f t="shared" si="88"/>
        <v>9.5640431875006163E-2</v>
      </c>
      <c r="Q328" s="51">
        <f t="shared" si="93"/>
        <v>25.999999999999901</v>
      </c>
      <c r="R328" s="52">
        <f t="shared" si="94"/>
        <v>6.3457572608544821E-5</v>
      </c>
      <c r="S328" s="58">
        <f t="shared" si="95"/>
        <v>1.6624421905754038E-12</v>
      </c>
      <c r="T328" s="52">
        <f t="shared" si="89"/>
        <v>1.0549454601594699E-16</v>
      </c>
    </row>
    <row r="329" spans="2:20" ht="15.75" customHeight="1" x14ac:dyDescent="0.25">
      <c r="B329" s="33">
        <f t="shared" ref="B329:B339" si="104">B328+1/12</f>
        <v>39.083333333333336</v>
      </c>
      <c r="C329" s="34"/>
      <c r="D329" s="35">
        <f>(1/12)*D328</f>
        <v>2.4499999999999999E-4</v>
      </c>
      <c r="E329" s="36">
        <f>E328-(1/12)*F328</f>
        <v>967249.69853268145</v>
      </c>
      <c r="F329" s="36">
        <f t="shared" ref="F329:F339" si="105">E329-E330</f>
        <v>237.03424953157082</v>
      </c>
      <c r="G329" s="31">
        <f t="shared" si="83"/>
        <v>0.99975499999999995</v>
      </c>
      <c r="H329" s="37"/>
      <c r="I329" s="51">
        <f t="shared" si="90"/>
        <v>26.083333333333233</v>
      </c>
      <c r="J329" s="51">
        <f t="shared" si="91"/>
        <v>91.083333333331851</v>
      </c>
      <c r="K329" s="52">
        <f t="shared" si="38"/>
        <v>1.0306416666666665E-2</v>
      </c>
      <c r="L329" s="53">
        <f t="shared" si="87"/>
        <v>0.98969358333333335</v>
      </c>
      <c r="M329" s="52">
        <f t="shared" si="92"/>
        <v>5.5609330401037824E-5</v>
      </c>
      <c r="N329" s="58">
        <f t="shared" si="88"/>
        <v>9.4950085562905531E-2</v>
      </c>
      <c r="Q329" s="51">
        <f t="shared" si="93"/>
        <v>26.083333333333233</v>
      </c>
      <c r="R329" s="52">
        <f t="shared" si="94"/>
        <v>5.5609330401037824E-5</v>
      </c>
      <c r="S329" s="58">
        <f t="shared" si="95"/>
        <v>1.5240265563676898E-12</v>
      </c>
      <c r="T329" s="52">
        <f t="shared" si="89"/>
        <v>8.4750096313006756E-17</v>
      </c>
    </row>
    <row r="330" spans="2:20" ht="15.75" customHeight="1" x14ac:dyDescent="0.25">
      <c r="B330" s="33">
        <f t="shared" si="104"/>
        <v>39.166666666666671</v>
      </c>
      <c r="C330" s="34"/>
      <c r="D330" s="35">
        <f>(2/12)*D328</f>
        <v>4.8999999999999998E-4</v>
      </c>
      <c r="E330" s="36">
        <f>E328-(2/12)*F328</f>
        <v>967012.66428314988</v>
      </c>
      <c r="F330" s="36">
        <f t="shared" si="105"/>
        <v>237.03424953168724</v>
      </c>
      <c r="G330" s="31">
        <f t="shared" si="83"/>
        <v>0.99951000000000001</v>
      </c>
      <c r="H330" s="32"/>
      <c r="I330" s="51">
        <f t="shared" si="90"/>
        <v>26.166666666666565</v>
      </c>
      <c r="J330" s="51">
        <f t="shared" si="91"/>
        <v>91.166666666665179</v>
      </c>
      <c r="K330" s="52">
        <f t="shared" si="38"/>
        <v>2.061283333333333E-2</v>
      </c>
      <c r="L330" s="53">
        <f t="shared" si="87"/>
        <v>0.9793871666666667</v>
      </c>
      <c r="M330" s="52">
        <f t="shared" si="92"/>
        <v>5.5036197471370398E-5</v>
      </c>
      <c r="N330" s="58">
        <f t="shared" si="88"/>
        <v>9.4264722269192497E-2</v>
      </c>
      <c r="Q330" s="51">
        <f t="shared" si="93"/>
        <v>26.166666666666565</v>
      </c>
      <c r="R330" s="52">
        <f t="shared" si="94"/>
        <v>5.5036197471370398E-5</v>
      </c>
      <c r="S330" s="58">
        <f t="shared" si="95"/>
        <v>1.3971354659316307E-12</v>
      </c>
      <c r="T330" s="52">
        <f t="shared" si="89"/>
        <v>7.6893023397268317E-17</v>
      </c>
    </row>
    <row r="331" spans="2:20" ht="15.75" customHeight="1" x14ac:dyDescent="0.25">
      <c r="B331" s="33">
        <f t="shared" si="104"/>
        <v>39.250000000000007</v>
      </c>
      <c r="C331" s="34"/>
      <c r="D331" s="35">
        <f>(3/12)*D328</f>
        <v>7.3499999999999998E-4</v>
      </c>
      <c r="E331" s="36">
        <f>E328-(3/12)*F328</f>
        <v>966775.63003361819</v>
      </c>
      <c r="F331" s="36">
        <f t="shared" si="105"/>
        <v>237.03424953157082</v>
      </c>
      <c r="G331" s="31">
        <f t="shared" si="83"/>
        <v>0.99926499999999996</v>
      </c>
      <c r="H331" s="32"/>
      <c r="I331" s="51">
        <f t="shared" si="90"/>
        <v>26.249999999999897</v>
      </c>
      <c r="J331" s="51">
        <f t="shared" si="91"/>
        <v>91.249999999998508</v>
      </c>
      <c r="K331" s="52">
        <f t="shared" si="38"/>
        <v>3.0919249999999999E-2</v>
      </c>
      <c r="L331" s="53">
        <f t="shared" si="87"/>
        <v>0.96908075000000005</v>
      </c>
      <c r="M331" s="52">
        <f t="shared" si="92"/>
        <v>5.390174550559262E-5</v>
      </c>
      <c r="N331" s="58">
        <f t="shared" si="88"/>
        <v>9.358430602572787E-2</v>
      </c>
      <c r="Q331" s="51">
        <f t="shared" si="93"/>
        <v>26.249999999999897</v>
      </c>
      <c r="R331" s="52">
        <f t="shared" si="94"/>
        <v>5.390174550559262E-5</v>
      </c>
      <c r="S331" s="58">
        <f t="shared" si="95"/>
        <v>1.2808093809180626E-12</v>
      </c>
      <c r="T331" s="52">
        <f t="shared" si="89"/>
        <v>6.9037861291421052E-17</v>
      </c>
    </row>
    <row r="332" spans="2:20" ht="15.75" customHeight="1" x14ac:dyDescent="0.25">
      <c r="B332" s="33">
        <f t="shared" si="104"/>
        <v>39.333333333333343</v>
      </c>
      <c r="C332" s="34"/>
      <c r="D332" s="35">
        <f>(4/12)*D328</f>
        <v>9.7999999999999997E-4</v>
      </c>
      <c r="E332" s="36">
        <f>E328-(4/12)*F328</f>
        <v>966538.59578408662</v>
      </c>
      <c r="F332" s="36">
        <f t="shared" si="105"/>
        <v>237.03424953168724</v>
      </c>
      <c r="G332" s="31">
        <f t="shared" si="83"/>
        <v>0.99902000000000002</v>
      </c>
      <c r="H332" s="32"/>
      <c r="I332" s="51">
        <f t="shared" si="90"/>
        <v>26.333333333333229</v>
      </c>
      <c r="J332" s="51">
        <f t="shared" si="91"/>
        <v>91.333333333331836</v>
      </c>
      <c r="K332" s="52">
        <f t="shared" si="38"/>
        <v>4.122566666666666E-2</v>
      </c>
      <c r="L332" s="53">
        <f t="shared" si="87"/>
        <v>0.9587743333333334</v>
      </c>
      <c r="M332" s="52">
        <f t="shared" si="92"/>
        <v>5.2235143960868831E-5</v>
      </c>
      <c r="N332" s="58">
        <f t="shared" si="88"/>
        <v>9.2908801123995591E-2</v>
      </c>
      <c r="Q332" s="51">
        <f t="shared" si="93"/>
        <v>26.333333333333229</v>
      </c>
      <c r="R332" s="52">
        <f t="shared" si="94"/>
        <v>5.2235143960868831E-5</v>
      </c>
      <c r="S332" s="58">
        <f t="shared" si="95"/>
        <v>1.1741686545433298E-12</v>
      </c>
      <c r="T332" s="52">
        <f t="shared" si="89"/>
        <v>6.1332868704410487E-17</v>
      </c>
    </row>
    <row r="333" spans="2:20" ht="15.75" customHeight="1" x14ac:dyDescent="0.25">
      <c r="B333" s="33">
        <f t="shared" si="104"/>
        <v>39.416666666666679</v>
      </c>
      <c r="C333" s="34"/>
      <c r="D333" s="35">
        <f>(5/12)*D328</f>
        <v>1.225E-3</v>
      </c>
      <c r="E333" s="36">
        <f>E328-(5/12)*F328</f>
        <v>966301.56153455493</v>
      </c>
      <c r="F333" s="36">
        <f t="shared" si="105"/>
        <v>237.03424953168724</v>
      </c>
      <c r="G333" s="31">
        <f t="shared" si="83"/>
        <v>0.99877499999999997</v>
      </c>
      <c r="H333" s="32"/>
      <c r="I333" s="51">
        <f t="shared" si="90"/>
        <v>26.416666666666561</v>
      </c>
      <c r="J333" s="51">
        <f t="shared" si="91"/>
        <v>91.416666666665165</v>
      </c>
      <c r="K333" s="52">
        <f t="shared" si="38"/>
        <v>5.1532083333333333E-2</v>
      </c>
      <c r="L333" s="53">
        <f t="shared" si="87"/>
        <v>0.94846791666666663</v>
      </c>
      <c r="M333" s="52">
        <f t="shared" si="92"/>
        <v>5.0081715327652706E-5</v>
      </c>
      <c r="N333" s="58">
        <f t="shared" si="88"/>
        <v>9.2238172113228878E-2</v>
      </c>
      <c r="Q333" s="51">
        <f t="shared" si="93"/>
        <v>26.416666666666561</v>
      </c>
      <c r="R333" s="52">
        <f t="shared" si="94"/>
        <v>5.0081715327652706E-5</v>
      </c>
      <c r="S333" s="58">
        <f t="shared" si="95"/>
        <v>1.0764068797839999E-12</v>
      </c>
      <c r="T333" s="52">
        <f t="shared" si="89"/>
        <v>5.3908302930069174E-17</v>
      </c>
    </row>
    <row r="334" spans="2:20" ht="15.75" customHeight="1" x14ac:dyDescent="0.25">
      <c r="B334" s="33">
        <f t="shared" si="104"/>
        <v>39.500000000000014</v>
      </c>
      <c r="C334" s="34"/>
      <c r="D334" s="35">
        <f>(6/12)*D328</f>
        <v>1.47E-3</v>
      </c>
      <c r="E334" s="36">
        <f>E328-(6/12)*F328</f>
        <v>966064.52728502324</v>
      </c>
      <c r="F334" s="36">
        <f t="shared" si="105"/>
        <v>237.03424953157082</v>
      </c>
      <c r="G334" s="31">
        <f t="shared" si="83"/>
        <v>0.99853000000000003</v>
      </c>
      <c r="H334" s="32"/>
      <c r="I334" s="51">
        <f t="shared" si="90"/>
        <v>26.499999999999893</v>
      </c>
      <c r="J334" s="51">
        <f t="shared" si="91"/>
        <v>91.499999999998494</v>
      </c>
      <c r="K334" s="52">
        <f t="shared" si="38"/>
        <v>6.1838499999999998E-2</v>
      </c>
      <c r="L334" s="53">
        <f t="shared" si="87"/>
        <v>0.93816149999999998</v>
      </c>
      <c r="M334" s="52">
        <f t="shared" si="92"/>
        <v>4.7500900199911828E-5</v>
      </c>
      <c r="N334" s="58">
        <f t="shared" si="88"/>
        <v>9.157238379854947E-2</v>
      </c>
      <c r="Q334" s="51">
        <f t="shared" si="93"/>
        <v>26.499999999999893</v>
      </c>
      <c r="R334" s="52">
        <f t="shared" si="94"/>
        <v>4.7500900199911828E-5</v>
      </c>
      <c r="S334" s="58">
        <f t="shared" si="95"/>
        <v>9.867847914037239E-13</v>
      </c>
      <c r="T334" s="52">
        <f t="shared" si="89"/>
        <v>4.68731658952591E-17</v>
      </c>
    </row>
    <row r="335" spans="2:20" ht="15.75" customHeight="1" x14ac:dyDescent="0.25">
      <c r="B335" s="33">
        <f t="shared" si="104"/>
        <v>39.58333333333335</v>
      </c>
      <c r="C335" s="34"/>
      <c r="D335" s="35">
        <f>(7/12)*D328</f>
        <v>1.7150000000000002E-3</v>
      </c>
      <c r="E335" s="36">
        <f>E328-(7/12)*F328</f>
        <v>965827.49303549167</v>
      </c>
      <c r="F335" s="36">
        <f t="shared" si="105"/>
        <v>237.03424953168724</v>
      </c>
      <c r="G335" s="31">
        <f t="shared" si="83"/>
        <v>0.99828499999999998</v>
      </c>
      <c r="H335" s="32"/>
      <c r="I335" s="51">
        <f t="shared" si="90"/>
        <v>26.583333333333226</v>
      </c>
      <c r="J335" s="51">
        <f t="shared" si="91"/>
        <v>91.583333333331822</v>
      </c>
      <c r="K335" s="52">
        <f t="shared" si="38"/>
        <v>7.214491666666667E-2</v>
      </c>
      <c r="L335" s="53">
        <f t="shared" si="87"/>
        <v>0.92785508333333333</v>
      </c>
      <c r="M335" s="52">
        <f t="shared" si="92"/>
        <v>4.4563515782899579E-5</v>
      </c>
      <c r="N335" s="58">
        <f t="shared" si="88"/>
        <v>9.0911401239120934E-2</v>
      </c>
      <c r="Q335" s="51">
        <f t="shared" si="93"/>
        <v>26.583333333333226</v>
      </c>
      <c r="R335" s="52">
        <f t="shared" si="94"/>
        <v>4.4563515782899579E-5</v>
      </c>
      <c r="S335" s="58">
        <f t="shared" si="95"/>
        <v>9.0462467569985539E-13</v>
      </c>
      <c r="T335" s="52">
        <f t="shared" si="89"/>
        <v>4.0313256013150918E-17</v>
      </c>
    </row>
    <row r="336" spans="2:20" ht="15.75" customHeight="1" x14ac:dyDescent="0.25">
      <c r="B336" s="33">
        <f t="shared" si="104"/>
        <v>39.666666666666686</v>
      </c>
      <c r="C336" s="34"/>
      <c r="D336" s="35">
        <f>(8/12)*D328</f>
        <v>1.9599999999999999E-3</v>
      </c>
      <c r="E336" s="36">
        <f>E328-(8/12)*F328</f>
        <v>965590.45878595999</v>
      </c>
      <c r="F336" s="36">
        <f t="shared" si="105"/>
        <v>237.03424953168724</v>
      </c>
      <c r="G336" s="31">
        <f t="shared" si="83"/>
        <v>0.99804000000000004</v>
      </c>
      <c r="H336" s="32"/>
      <c r="I336" s="51">
        <f t="shared" si="90"/>
        <v>26.666666666666558</v>
      </c>
      <c r="J336" s="51">
        <f t="shared" si="91"/>
        <v>91.666666666665151</v>
      </c>
      <c r="K336" s="52">
        <f t="shared" si="38"/>
        <v>8.2451333333333321E-2</v>
      </c>
      <c r="L336" s="53">
        <f t="shared" si="87"/>
        <v>0.91754866666666668</v>
      </c>
      <c r="M336" s="52">
        <f t="shared" si="92"/>
        <v>4.1348484650368602E-5</v>
      </c>
      <c r="N336" s="58">
        <f t="shared" si="88"/>
        <v>9.0255189746314732E-2</v>
      </c>
      <c r="Q336" s="51">
        <f t="shared" si="93"/>
        <v>26.666666666666558</v>
      </c>
      <c r="R336" s="52">
        <f t="shared" si="94"/>
        <v>4.1348484650368602E-5</v>
      </c>
      <c r="S336" s="58">
        <f t="shared" si="95"/>
        <v>8.2930524569693659E-13</v>
      </c>
      <c r="T336" s="52">
        <f t="shared" si="89"/>
        <v>3.4290515222169946E-17</v>
      </c>
    </row>
    <row r="337" spans="2:20" ht="15.75" customHeight="1" x14ac:dyDescent="0.25">
      <c r="B337" s="33">
        <f t="shared" si="104"/>
        <v>39.750000000000021</v>
      </c>
      <c r="C337" s="34"/>
      <c r="D337" s="35">
        <f>(9/12)*D328</f>
        <v>2.2049999999999999E-3</v>
      </c>
      <c r="E337" s="36">
        <f>E328-(9/12)*F328</f>
        <v>965353.4245364283</v>
      </c>
      <c r="F337" s="36">
        <f t="shared" si="105"/>
        <v>237.03424953157082</v>
      </c>
      <c r="G337" s="31">
        <f t="shared" si="83"/>
        <v>0.99779499999999999</v>
      </c>
      <c r="H337" s="32"/>
      <c r="I337" s="51">
        <f t="shared" si="90"/>
        <v>26.74999999999989</v>
      </c>
      <c r="J337" s="51">
        <f t="shared" si="91"/>
        <v>91.749999999998479</v>
      </c>
      <c r="K337" s="52">
        <f t="shared" si="38"/>
        <v>9.275775E-2</v>
      </c>
      <c r="L337" s="53">
        <f t="shared" si="87"/>
        <v>0.90724225000000003</v>
      </c>
      <c r="M337" s="52">
        <f t="shared" si="92"/>
        <v>3.7939246959632842E-5</v>
      </c>
      <c r="N337" s="58">
        <f t="shared" si="88"/>
        <v>8.9603714881889812E-2</v>
      </c>
      <c r="Q337" s="51">
        <f t="shared" si="93"/>
        <v>26.74999999999989</v>
      </c>
      <c r="R337" s="52">
        <f t="shared" si="94"/>
        <v>3.7939246959632842E-5</v>
      </c>
      <c r="S337" s="58">
        <f t="shared" si="95"/>
        <v>7.6025694303373549E-13</v>
      </c>
      <c r="T337" s="52">
        <f t="shared" si="89"/>
        <v>2.8843575914532408E-17</v>
      </c>
    </row>
    <row r="338" spans="2:20" ht="15.75" customHeight="1" x14ac:dyDescent="0.25">
      <c r="B338" s="33">
        <f t="shared" si="104"/>
        <v>39.833333333333357</v>
      </c>
      <c r="C338" s="34"/>
      <c r="D338" s="35">
        <f>(10/12)*D328</f>
        <v>2.4499999999999999E-3</v>
      </c>
      <c r="E338" s="36">
        <f>E328-(10/12)*F328</f>
        <v>965116.39028689673</v>
      </c>
      <c r="F338" s="36">
        <f t="shared" si="105"/>
        <v>237.03424953168724</v>
      </c>
      <c r="G338" s="31">
        <f t="shared" si="83"/>
        <v>0.99755000000000005</v>
      </c>
      <c r="H338" s="32"/>
      <c r="I338" s="51">
        <f t="shared" si="90"/>
        <v>26.833333333333222</v>
      </c>
      <c r="J338" s="51">
        <f t="shared" si="91"/>
        <v>91.833333333331808</v>
      </c>
      <c r="K338" s="52">
        <f t="shared" si="38"/>
        <v>0.10306416666666667</v>
      </c>
      <c r="L338" s="53">
        <f t="shared" si="87"/>
        <v>0.89693583333333338</v>
      </c>
      <c r="M338" s="52">
        <f t="shared" si="92"/>
        <v>3.4420087774962963E-5</v>
      </c>
      <c r="N338" s="58">
        <f t="shared" si="88"/>
        <v>8.8956942456185253E-2</v>
      </c>
      <c r="Q338" s="51">
        <f t="shared" si="93"/>
        <v>26.833333333333222</v>
      </c>
      <c r="R338" s="52">
        <f t="shared" si="94"/>
        <v>3.4420087774962963E-5</v>
      </c>
      <c r="S338" s="58">
        <f t="shared" ref="S338:S401" si="106">IF(Q338&lt;&gt;"",(1+$M$10)^-(12*Q338),"")</f>
        <v>6.9695763101711406E-13</v>
      </c>
      <c r="T338" s="52">
        <f t="shared" si="89"/>
        <v>2.3989342835039316E-17</v>
      </c>
    </row>
    <row r="339" spans="2:20" ht="15.75" customHeight="1" x14ac:dyDescent="0.25">
      <c r="B339" s="33">
        <f t="shared" si="104"/>
        <v>39.916666666666693</v>
      </c>
      <c r="C339" s="34"/>
      <c r="D339" s="35">
        <f>(11/12)*D328</f>
        <v>2.6949999999999999E-3</v>
      </c>
      <c r="E339" s="36">
        <f>E328-(11/12)*F328</f>
        <v>964879.35603736504</v>
      </c>
      <c r="F339" s="36">
        <f t="shared" si="105"/>
        <v>237.03424953157082</v>
      </c>
      <c r="G339" s="31">
        <f t="shared" si="83"/>
        <v>0.997305</v>
      </c>
      <c r="H339" s="32"/>
      <c r="I339" s="128">
        <f t="shared" si="90"/>
        <v>26.916666666666554</v>
      </c>
      <c r="J339" s="128">
        <f t="shared" si="91"/>
        <v>91.916666666665137</v>
      </c>
      <c r="K339" s="129">
        <f>IFERROR(VLOOKUP(J339,$B$3:$F$1060,3,TRUE),"")</f>
        <v>0.10306416666666667</v>
      </c>
      <c r="L339" s="130">
        <f t="shared" si="87"/>
        <v>0.89693583333333338</v>
      </c>
      <c r="M339" s="129">
        <f t="shared" si="92"/>
        <v>3.0872610111842888E-5</v>
      </c>
      <c r="N339" s="131">
        <f t="shared" si="88"/>
        <v>8.8314838526326017E-2</v>
      </c>
      <c r="O339" s="132"/>
      <c r="Q339" s="51">
        <f t="shared" si="93"/>
        <v>26.916666666666554</v>
      </c>
      <c r="R339" s="52">
        <f t="shared" si="94"/>
        <v>3.0872610111842888E-5</v>
      </c>
      <c r="S339" s="58">
        <f t="shared" si="106"/>
        <v>6.3892864627404179E-13</v>
      </c>
      <c r="T339" s="52">
        <f t="shared" si="89"/>
        <v>1.9725394985706071E-17</v>
      </c>
    </row>
    <row r="340" spans="2:20" ht="15.75" customHeight="1" x14ac:dyDescent="0.25">
      <c r="B340" s="27">
        <v>40</v>
      </c>
      <c r="C340" s="28">
        <v>3.1659999999999999</v>
      </c>
      <c r="D340" s="29">
        <f>C340/1000</f>
        <v>3.166E-3</v>
      </c>
      <c r="E340" s="30">
        <f>E328-F328</f>
        <v>964642.32178783347</v>
      </c>
      <c r="F340" s="48">
        <f>D340*E340</f>
        <v>3054.0575907802809</v>
      </c>
      <c r="G340" s="31">
        <f t="shared" si="83"/>
        <v>0.996834</v>
      </c>
      <c r="H340" s="49"/>
      <c r="I340" s="51">
        <f t="shared" si="90"/>
        <v>26.999999999999886</v>
      </c>
      <c r="J340" s="51">
        <f t="shared" si="91"/>
        <v>91.999999999998465</v>
      </c>
      <c r="K340" s="52">
        <f t="shared" ref="K340:K594" si="107">IFERROR(VLOOKUP(J341,$B$3:$F$1060,3,TRUE),"")</f>
        <v>0.13197300000000001</v>
      </c>
      <c r="L340" s="53">
        <f t="shared" si="87"/>
        <v>0.86802699999999999</v>
      </c>
      <c r="M340" s="52">
        <f t="shared" si="92"/>
        <v>2.7690750277840897E-5</v>
      </c>
      <c r="N340" s="58">
        <f t="shared" si="88"/>
        <v>8.7677369394441595E-2</v>
      </c>
      <c r="Q340" s="51">
        <f t="shared" si="93"/>
        <v>26.999999999999886</v>
      </c>
      <c r="R340" s="52">
        <f t="shared" si="94"/>
        <v>2.7690750277840897E-5</v>
      </c>
      <c r="S340" s="58">
        <f t="shared" si="106"/>
        <v>5.8573117914474117E-13</v>
      </c>
      <c r="T340" s="52">
        <f t="shared" si="89"/>
        <v>1.6219335811642319E-17</v>
      </c>
    </row>
    <row r="341" spans="2:20" ht="15.75" customHeight="1" x14ac:dyDescent="0.25">
      <c r="B341" s="33">
        <f t="shared" ref="B341:B351" si="108">B340+1/12</f>
        <v>40.083333333333336</v>
      </c>
      <c r="C341" s="34"/>
      <c r="D341" s="35">
        <f>(1/12)*D340</f>
        <v>2.6383333333333331E-4</v>
      </c>
      <c r="E341" s="36">
        <f>E340-(1/12)*F340</f>
        <v>964387.81698860181</v>
      </c>
      <c r="F341" s="36">
        <f t="shared" ref="F341:F351" si="109">E341-E342</f>
        <v>254.50479923177045</v>
      </c>
      <c r="G341" s="31">
        <f t="shared" si="83"/>
        <v>0.99973616666666665</v>
      </c>
      <c r="H341" s="37"/>
      <c r="I341" s="51">
        <f t="shared" si="90"/>
        <v>27.083333333333218</v>
      </c>
      <c r="J341" s="51">
        <f t="shared" si="91"/>
        <v>92.083333333331794</v>
      </c>
      <c r="K341" s="52">
        <f t="shared" si="107"/>
        <v>1.0997750000000001E-2</v>
      </c>
      <c r="L341" s="53">
        <f t="shared" si="87"/>
        <v>0.98900224999999997</v>
      </c>
      <c r="M341" s="52">
        <f t="shared" si="92"/>
        <v>2.4036318891423401E-5</v>
      </c>
      <c r="N341" s="58">
        <f t="shared" si="88"/>
        <v>8.7044501605897495E-2</v>
      </c>
      <c r="Q341" s="51">
        <f t="shared" si="93"/>
        <v>27.083333333333218</v>
      </c>
      <c r="R341" s="52">
        <f t="shared" si="94"/>
        <v>2.4036318891423401E-5</v>
      </c>
      <c r="S341" s="58">
        <f t="shared" si="106"/>
        <v>5.3696295544579259E-13</v>
      </c>
      <c r="T341" s="52">
        <f t="shared" si="89"/>
        <v>1.2906612829976247E-17</v>
      </c>
    </row>
    <row r="342" spans="2:20" ht="15.75" customHeight="1" x14ac:dyDescent="0.25">
      <c r="B342" s="33">
        <f t="shared" si="108"/>
        <v>40.166666666666671</v>
      </c>
      <c r="C342" s="34"/>
      <c r="D342" s="35">
        <f>(2/12)*D340</f>
        <v>5.2766666666666663E-4</v>
      </c>
      <c r="E342" s="36">
        <f>E340-(2/12)*F340</f>
        <v>964133.31218937004</v>
      </c>
      <c r="F342" s="36">
        <f t="shared" si="109"/>
        <v>254.50479923165403</v>
      </c>
      <c r="G342" s="31">
        <f t="shared" si="83"/>
        <v>0.9994723333333333</v>
      </c>
      <c r="H342" s="32"/>
      <c r="I342" s="51">
        <f t="shared" si="90"/>
        <v>27.166666666666551</v>
      </c>
      <c r="J342" s="51">
        <f t="shared" si="91"/>
        <v>92.166666666665122</v>
      </c>
      <c r="K342" s="52">
        <f t="shared" si="107"/>
        <v>2.1995500000000001E-2</v>
      </c>
      <c r="L342" s="53">
        <f t="shared" si="87"/>
        <v>0.97800449999999994</v>
      </c>
      <c r="M342" s="52">
        <f t="shared" si="92"/>
        <v>2.3771973465335247E-5</v>
      </c>
      <c r="N342" s="58">
        <f t="shared" si="88"/>
        <v>8.64162019475396E-2</v>
      </c>
      <c r="Q342" s="51">
        <f t="shared" si="93"/>
        <v>27.166666666666551</v>
      </c>
      <c r="R342" s="52">
        <f t="shared" si="94"/>
        <v>2.3771973465335247E-5</v>
      </c>
      <c r="S342" s="58">
        <f t="shared" si="106"/>
        <v>4.9225519451104647E-13</v>
      </c>
      <c r="T342" s="52">
        <f t="shared" si="89"/>
        <v>1.1701877422090037E-17</v>
      </c>
    </row>
    <row r="343" spans="2:20" ht="15.75" customHeight="1" x14ac:dyDescent="0.25">
      <c r="B343" s="33">
        <f t="shared" si="108"/>
        <v>40.250000000000007</v>
      </c>
      <c r="C343" s="34"/>
      <c r="D343" s="35">
        <f>(3/12)*D340</f>
        <v>7.9149999999999999E-4</v>
      </c>
      <c r="E343" s="36">
        <f>E340-(3/12)*F340</f>
        <v>963878.80739013839</v>
      </c>
      <c r="F343" s="36">
        <f t="shared" si="109"/>
        <v>254.50479923165403</v>
      </c>
      <c r="G343" s="31">
        <f t="shared" si="83"/>
        <v>0.99920850000000005</v>
      </c>
      <c r="H343" s="32"/>
      <c r="I343" s="51">
        <f t="shared" si="90"/>
        <v>27.249999999999883</v>
      </c>
      <c r="J343" s="51">
        <f t="shared" si="91"/>
        <v>92.249999999998451</v>
      </c>
      <c r="K343" s="52">
        <f t="shared" si="107"/>
        <v>3.2993250000000002E-2</v>
      </c>
      <c r="L343" s="53">
        <f t="shared" si="87"/>
        <v>0.96700675000000003</v>
      </c>
      <c r="M343" s="52">
        <f t="shared" si="92"/>
        <v>2.3249097022978465E-5</v>
      </c>
      <c r="N343" s="58">
        <f t="shared" si="88"/>
        <v>8.5792437445951039E-2</v>
      </c>
      <c r="Q343" s="51">
        <f t="shared" si="93"/>
        <v>27.249999999999883</v>
      </c>
      <c r="R343" s="52">
        <f t="shared" si="94"/>
        <v>2.3249097022978465E-5</v>
      </c>
      <c r="S343" s="58">
        <f t="shared" si="106"/>
        <v>4.5126982050733476E-13</v>
      </c>
      <c r="T343" s="52">
        <f t="shared" si="89"/>
        <v>1.0491615840517102E-17</v>
      </c>
    </row>
    <row r="344" spans="2:20" ht="15.75" customHeight="1" x14ac:dyDescent="0.25">
      <c r="B344" s="33">
        <f t="shared" si="108"/>
        <v>40.333333333333343</v>
      </c>
      <c r="C344" s="34"/>
      <c r="D344" s="35">
        <f>(4/12)*D340</f>
        <v>1.0553333333333333E-3</v>
      </c>
      <c r="E344" s="36">
        <f>E340-(4/12)*F340</f>
        <v>963624.30259090674</v>
      </c>
      <c r="F344" s="36">
        <f t="shared" si="109"/>
        <v>254.50479923177045</v>
      </c>
      <c r="G344" s="31">
        <f t="shared" si="83"/>
        <v>0.9989446666666667</v>
      </c>
      <c r="H344" s="32"/>
      <c r="I344" s="51">
        <f t="shared" si="90"/>
        <v>27.333333333333215</v>
      </c>
      <c r="J344" s="51">
        <f t="shared" si="91"/>
        <v>92.33333333333178</v>
      </c>
      <c r="K344" s="52">
        <f t="shared" si="107"/>
        <v>4.3991000000000002E-2</v>
      </c>
      <c r="L344" s="53">
        <f t="shared" si="87"/>
        <v>0.956009</v>
      </c>
      <c r="M344" s="52">
        <f t="shared" si="92"/>
        <v>2.248203375262508E-5</v>
      </c>
      <c r="N344" s="58">
        <f t="shared" si="88"/>
        <v>8.5173175365721832E-2</v>
      </c>
      <c r="Q344" s="51">
        <f t="shared" si="93"/>
        <v>27.333333333333215</v>
      </c>
      <c r="R344" s="52">
        <f t="shared" si="94"/>
        <v>2.248203375262508E-5</v>
      </c>
      <c r="S344" s="58">
        <f t="shared" si="106"/>
        <v>4.1369690593717046E-13</v>
      </c>
      <c r="T344" s="52">
        <f t="shared" si="89"/>
        <v>9.3007478026360285E-18</v>
      </c>
    </row>
    <row r="345" spans="2:20" ht="15.75" customHeight="1" x14ac:dyDescent="0.25">
      <c r="B345" s="33">
        <f t="shared" si="108"/>
        <v>40.416666666666679</v>
      </c>
      <c r="C345" s="34"/>
      <c r="D345" s="35">
        <f>(5/12)*D340</f>
        <v>1.3191666666666666E-3</v>
      </c>
      <c r="E345" s="36">
        <f>E340-(5/12)*F340</f>
        <v>963369.79779167497</v>
      </c>
      <c r="F345" s="36">
        <f t="shared" si="109"/>
        <v>254.50479923165403</v>
      </c>
      <c r="G345" s="31">
        <f t="shared" si="83"/>
        <v>0.99868083333333335</v>
      </c>
      <c r="H345" s="32"/>
      <c r="I345" s="51">
        <f t="shared" si="90"/>
        <v>27.416666666666547</v>
      </c>
      <c r="J345" s="51">
        <f t="shared" si="91"/>
        <v>92.416666666665108</v>
      </c>
      <c r="K345" s="52">
        <f t="shared" si="107"/>
        <v>5.4988750000000003E-2</v>
      </c>
      <c r="L345" s="53">
        <f t="shared" si="87"/>
        <v>0.94501124999999997</v>
      </c>
      <c r="M345" s="52">
        <f t="shared" si="92"/>
        <v>2.149302660581335E-5</v>
      </c>
      <c r="N345" s="58">
        <f t="shared" si="88"/>
        <v>8.4558383207730861E-2</v>
      </c>
      <c r="Q345" s="51">
        <f t="shared" si="93"/>
        <v>27.416666666666547</v>
      </c>
      <c r="R345" s="52">
        <f t="shared" si="94"/>
        <v>2.149302660581335E-5</v>
      </c>
      <c r="S345" s="58">
        <f t="shared" si="106"/>
        <v>3.792523279965427E-13</v>
      </c>
      <c r="T345" s="52">
        <f t="shared" si="89"/>
        <v>8.1512803759463427E-18</v>
      </c>
    </row>
    <row r="346" spans="2:20" ht="15.75" customHeight="1" x14ac:dyDescent="0.25">
      <c r="B346" s="33">
        <f t="shared" si="108"/>
        <v>40.500000000000014</v>
      </c>
      <c r="C346" s="34"/>
      <c r="D346" s="35">
        <f>(6/12)*D340</f>
        <v>1.583E-3</v>
      </c>
      <c r="E346" s="36">
        <f>E340-(6/12)*F340</f>
        <v>963115.29299244331</v>
      </c>
      <c r="F346" s="36">
        <f t="shared" si="109"/>
        <v>254.50479923165403</v>
      </c>
      <c r="G346" s="31">
        <f t="shared" si="83"/>
        <v>0.998417</v>
      </c>
      <c r="H346" s="32"/>
      <c r="I346" s="51">
        <f t="shared" si="90"/>
        <v>27.499999999999879</v>
      </c>
      <c r="J346" s="51">
        <f t="shared" si="91"/>
        <v>92.499999999998437</v>
      </c>
      <c r="K346" s="52">
        <f t="shared" si="107"/>
        <v>6.5986500000000003E-2</v>
      </c>
      <c r="L346" s="53">
        <f t="shared" si="87"/>
        <v>0.93401350000000005</v>
      </c>
      <c r="M346" s="52">
        <f t="shared" si="92"/>
        <v>2.031115193904293E-5</v>
      </c>
      <c r="N346" s="58">
        <f t="shared" si="88"/>
        <v>8.3948028707440253E-2</v>
      </c>
      <c r="Q346" s="51">
        <f t="shared" si="93"/>
        <v>27.499999999999879</v>
      </c>
      <c r="R346" s="52">
        <f t="shared" si="94"/>
        <v>2.031115193904293E-5</v>
      </c>
      <c r="S346" s="58">
        <f t="shared" si="106"/>
        <v>3.4767562006529011E-13</v>
      </c>
      <c r="T346" s="52">
        <f t="shared" si="89"/>
        <v>7.0616923446470702E-18</v>
      </c>
    </row>
    <row r="347" spans="2:20" ht="15.75" customHeight="1" x14ac:dyDescent="0.25">
      <c r="B347" s="33">
        <f t="shared" si="108"/>
        <v>40.58333333333335</v>
      </c>
      <c r="C347" s="34"/>
      <c r="D347" s="35">
        <f>(7/12)*D340</f>
        <v>1.8468333333333334E-3</v>
      </c>
      <c r="E347" s="36">
        <f>E340-(7/12)*F340</f>
        <v>962860.78819321166</v>
      </c>
      <c r="F347" s="36">
        <f t="shared" si="109"/>
        <v>254.50479923165403</v>
      </c>
      <c r="G347" s="31">
        <f t="shared" si="83"/>
        <v>0.99815316666666665</v>
      </c>
      <c r="H347" s="32"/>
      <c r="I347" s="51">
        <f t="shared" si="90"/>
        <v>27.583333333333211</v>
      </c>
      <c r="J347" s="51">
        <f t="shared" si="91"/>
        <v>92.583333333331765</v>
      </c>
      <c r="K347" s="52">
        <f t="shared" si="107"/>
        <v>7.6984250000000004E-2</v>
      </c>
      <c r="L347" s="53">
        <f t="shared" si="87"/>
        <v>0.92301575000000002</v>
      </c>
      <c r="M347" s="52">
        <f t="shared" si="92"/>
        <v>1.8970890111617276E-5</v>
      </c>
      <c r="N347" s="58">
        <f t="shared" si="88"/>
        <v>8.3342079833202215E-2</v>
      </c>
      <c r="Q347" s="51">
        <f t="shared" si="93"/>
        <v>27.583333333333211</v>
      </c>
      <c r="R347" s="52">
        <f t="shared" si="94"/>
        <v>1.8970890111617276E-5</v>
      </c>
      <c r="S347" s="58">
        <f t="shared" si="106"/>
        <v>3.1872800208331339E-13</v>
      </c>
      <c r="T347" s="52">
        <f t="shared" si="89"/>
        <v>6.0465539030178609E-18</v>
      </c>
    </row>
    <row r="348" spans="2:20" ht="15.75" customHeight="1" x14ac:dyDescent="0.25">
      <c r="B348" s="33">
        <f t="shared" si="108"/>
        <v>40.666666666666686</v>
      </c>
      <c r="C348" s="34"/>
      <c r="D348" s="35">
        <f>(8/12)*D340</f>
        <v>2.1106666666666665E-3</v>
      </c>
      <c r="E348" s="36">
        <f>E340-(8/12)*F340</f>
        <v>962606.28339398</v>
      </c>
      <c r="F348" s="36">
        <f t="shared" si="109"/>
        <v>254.50479923177045</v>
      </c>
      <c r="G348" s="31">
        <f t="shared" si="83"/>
        <v>0.99788933333333329</v>
      </c>
      <c r="H348" s="32"/>
      <c r="I348" s="51">
        <f t="shared" si="90"/>
        <v>27.666666666666544</v>
      </c>
      <c r="J348" s="51">
        <f t="shared" si="91"/>
        <v>92.666666666665094</v>
      </c>
      <c r="K348" s="52">
        <f t="shared" si="107"/>
        <v>8.7982000000000005E-2</v>
      </c>
      <c r="L348" s="53">
        <f t="shared" si="87"/>
        <v>0.912018</v>
      </c>
      <c r="M348" s="52">
        <f t="shared" si="92"/>
        <v>1.7510430364542004E-5</v>
      </c>
      <c r="N348" s="58">
        <f t="shared" si="88"/>
        <v>8.2740504784577992E-2</v>
      </c>
      <c r="Q348" s="51">
        <f t="shared" si="93"/>
        <v>27.666666666666544</v>
      </c>
      <c r="R348" s="52">
        <f t="shared" si="94"/>
        <v>1.7510430364542004E-5</v>
      </c>
      <c r="S348" s="58">
        <f t="shared" si="106"/>
        <v>2.9219057491849289E-13</v>
      </c>
      <c r="T348" s="52">
        <f t="shared" si="89"/>
        <v>5.1163827152857633E-18</v>
      </c>
    </row>
    <row r="349" spans="2:20" ht="15.75" customHeight="1" x14ac:dyDescent="0.25">
      <c r="B349" s="33">
        <f t="shared" si="108"/>
        <v>40.750000000000021</v>
      </c>
      <c r="C349" s="34"/>
      <c r="D349" s="35">
        <f>(9/12)*D340</f>
        <v>2.3744999999999999E-3</v>
      </c>
      <c r="E349" s="36">
        <f>E340-(9/12)*F340</f>
        <v>962351.77859474823</v>
      </c>
      <c r="F349" s="36">
        <f t="shared" si="109"/>
        <v>254.50479923165403</v>
      </c>
      <c r="G349" s="31">
        <f t="shared" si="83"/>
        <v>0.99762550000000005</v>
      </c>
      <c r="H349" s="32"/>
      <c r="I349" s="51">
        <f t="shared" si="90"/>
        <v>27.749999999999876</v>
      </c>
      <c r="J349" s="51">
        <f t="shared" si="91"/>
        <v>92.749999999998423</v>
      </c>
      <c r="K349" s="52">
        <f t="shared" si="107"/>
        <v>9.8979750000000005E-2</v>
      </c>
      <c r="L349" s="53">
        <f t="shared" si="87"/>
        <v>0.90102024999999997</v>
      </c>
      <c r="M349" s="52">
        <f t="shared" si="92"/>
        <v>1.5969827680208871E-5</v>
      </c>
      <c r="N349" s="58">
        <f t="shared" si="88"/>
        <v>8.2143271990668953E-2</v>
      </c>
      <c r="Q349" s="51">
        <f t="shared" si="93"/>
        <v>27.749999999999876</v>
      </c>
      <c r="R349" s="52">
        <f t="shared" si="94"/>
        <v>1.5969827680208871E-5</v>
      </c>
      <c r="S349" s="58">
        <f t="shared" si="106"/>
        <v>2.6786266507227963E-13</v>
      </c>
      <c r="T349" s="52">
        <f t="shared" si="89"/>
        <v>4.2777206031658094E-18</v>
      </c>
    </row>
    <row r="350" spans="2:20" ht="15.75" customHeight="1" x14ac:dyDescent="0.25">
      <c r="B350" s="33">
        <f t="shared" si="108"/>
        <v>40.833333333333357</v>
      </c>
      <c r="C350" s="34"/>
      <c r="D350" s="35">
        <f>(10/12)*D340</f>
        <v>2.6383333333333332E-3</v>
      </c>
      <c r="E350" s="36">
        <f>E340-(10/12)*F340</f>
        <v>962097.27379551658</v>
      </c>
      <c r="F350" s="36">
        <f t="shared" si="109"/>
        <v>254.50479923165403</v>
      </c>
      <c r="G350" s="31">
        <f t="shared" si="83"/>
        <v>0.9973616666666667</v>
      </c>
      <c r="H350" s="32"/>
      <c r="I350" s="51">
        <f t="shared" si="90"/>
        <v>27.833333333333208</v>
      </c>
      <c r="J350" s="51">
        <f t="shared" si="91"/>
        <v>92.833333333331751</v>
      </c>
      <c r="K350" s="52">
        <f t="shared" si="107"/>
        <v>0.10997750000000001</v>
      </c>
      <c r="L350" s="53">
        <f t="shared" si="87"/>
        <v>0.89002249999999994</v>
      </c>
      <c r="M350" s="52">
        <f t="shared" si="92"/>
        <v>1.4389138128878717E-5</v>
      </c>
      <c r="N350" s="58">
        <f t="shared" si="88"/>
        <v>8.1550350108459679E-2</v>
      </c>
      <c r="Q350" s="51">
        <f t="shared" si="93"/>
        <v>27.833333333333208</v>
      </c>
      <c r="R350" s="52">
        <f t="shared" si="94"/>
        <v>1.4389138128878717E-5</v>
      </c>
      <c r="S350" s="58">
        <f t="shared" si="106"/>
        <v>2.455603072057985E-13</v>
      </c>
      <c r="T350" s="52">
        <f t="shared" si="89"/>
        <v>3.5334011793541269E-18</v>
      </c>
    </row>
    <row r="351" spans="2:20" ht="15.75" customHeight="1" x14ac:dyDescent="0.25">
      <c r="B351" s="33">
        <f t="shared" si="108"/>
        <v>40.916666666666693</v>
      </c>
      <c r="C351" s="34"/>
      <c r="D351" s="35">
        <f>(11/12)*D340</f>
        <v>2.9021666666666666E-3</v>
      </c>
      <c r="E351" s="36">
        <f>E340-(11/12)*F340</f>
        <v>961842.76899628493</v>
      </c>
      <c r="F351" s="36">
        <f t="shared" si="109"/>
        <v>254.50479923177045</v>
      </c>
      <c r="G351" s="31">
        <f t="shared" si="83"/>
        <v>0.99709783333333335</v>
      </c>
      <c r="H351" s="32"/>
      <c r="I351" s="51">
        <f t="shared" si="90"/>
        <v>27.91666666666654</v>
      </c>
      <c r="J351" s="51">
        <f t="shared" si="91"/>
        <v>92.91666666666508</v>
      </c>
      <c r="K351" s="52">
        <f t="shared" si="107"/>
        <v>0.12097525000000001</v>
      </c>
      <c r="L351" s="53">
        <f t="shared" si="87"/>
        <v>0.87902475000000002</v>
      </c>
      <c r="M351" s="52">
        <f t="shared" si="92"/>
        <v>1.2806656690309958E-5</v>
      </c>
      <c r="N351" s="58">
        <f t="shared" si="88"/>
        <v>8.0961708021173126E-2</v>
      </c>
      <c r="Q351" s="51">
        <f t="shared" si="93"/>
        <v>27.91666666666654</v>
      </c>
      <c r="R351" s="52">
        <f t="shared" si="94"/>
        <v>1.2806656690309958E-5</v>
      </c>
      <c r="S351" s="58">
        <f t="shared" si="106"/>
        <v>2.2511485301146973E-13</v>
      </c>
      <c r="T351" s="52">
        <f t="shared" si="89"/>
        <v>2.8829686384074816E-18</v>
      </c>
    </row>
    <row r="352" spans="2:20" ht="15.75" customHeight="1" x14ac:dyDescent="0.25">
      <c r="B352" s="27">
        <v>41</v>
      </c>
      <c r="C352" s="28">
        <v>3.41</v>
      </c>
      <c r="D352" s="29">
        <f>C352/1000</f>
        <v>3.4100000000000003E-3</v>
      </c>
      <c r="E352" s="30">
        <f>E340-F340</f>
        <v>961588.26419705315</v>
      </c>
      <c r="F352" s="48">
        <f>D352*E352</f>
        <v>3279.0159809119514</v>
      </c>
      <c r="G352" s="31">
        <f t="shared" si="83"/>
        <v>0.99658999999999998</v>
      </c>
      <c r="H352" s="49"/>
      <c r="I352" s="51">
        <f t="shared" si="90"/>
        <v>27.999999999999872</v>
      </c>
      <c r="J352" s="51">
        <f t="shared" si="91"/>
        <v>92.999999999998408</v>
      </c>
      <c r="K352" s="52">
        <f t="shared" si="107"/>
        <v>0.140737</v>
      </c>
      <c r="L352" s="53">
        <f t="shared" si="87"/>
        <v>0.859263</v>
      </c>
      <c r="M352" s="52">
        <f t="shared" si="92"/>
        <v>1.1257368195535539E-5</v>
      </c>
      <c r="N352" s="58">
        <f t="shared" si="88"/>
        <v>8.0377314836637639E-2</v>
      </c>
      <c r="Q352" s="51">
        <f t="shared" si="93"/>
        <v>27.999999999999872</v>
      </c>
      <c r="R352" s="52">
        <f t="shared" si="94"/>
        <v>1.1257368195535539E-5</v>
      </c>
      <c r="S352" s="58">
        <f t="shared" si="106"/>
        <v>2.063716959105451E-13</v>
      </c>
      <c r="T352" s="52">
        <f t="shared" si="89"/>
        <v>2.3232021660021021E-18</v>
      </c>
    </row>
    <row r="353" spans="2:20" ht="15.75" customHeight="1" x14ac:dyDescent="0.25">
      <c r="B353" s="33">
        <f t="shared" ref="B353:B363" si="110">B352+1/12</f>
        <v>41.083333333333336</v>
      </c>
      <c r="C353" s="34"/>
      <c r="D353" s="35">
        <f>(1/12)*D352</f>
        <v>2.8416666666666667E-4</v>
      </c>
      <c r="E353" s="36">
        <f>E352-(1/12)*F352</f>
        <v>961315.01286531053</v>
      </c>
      <c r="F353" s="36">
        <f t="shared" ref="F353:F363" si="111">E353-E354</f>
        <v>273.25133174273651</v>
      </c>
      <c r="G353" s="31">
        <f t="shared" si="83"/>
        <v>0.99971583333333336</v>
      </c>
      <c r="H353" s="37"/>
      <c r="I353" s="51">
        <f t="shared" si="90"/>
        <v>28.083333333333204</v>
      </c>
      <c r="J353" s="51">
        <f t="shared" si="91"/>
        <v>93.083333333331737</v>
      </c>
      <c r="K353" s="52">
        <f t="shared" si="107"/>
        <v>1.1728083333333333E-2</v>
      </c>
      <c r="L353" s="53">
        <f t="shared" si="87"/>
        <v>0.98827191666666669</v>
      </c>
      <c r="M353" s="52">
        <f t="shared" si="92"/>
        <v>9.673039967800454E-6</v>
      </c>
      <c r="N353" s="58">
        <f t="shared" si="88"/>
        <v>7.9797139885665613E-2</v>
      </c>
      <c r="Q353" s="51">
        <f t="shared" si="93"/>
        <v>28.083333333333204</v>
      </c>
      <c r="R353" s="52">
        <f t="shared" si="94"/>
        <v>9.673039967800454E-6</v>
      </c>
      <c r="S353" s="58">
        <f t="shared" si="106"/>
        <v>1.8918910193289065E-13</v>
      </c>
      <c r="T353" s="52">
        <f t="shared" si="89"/>
        <v>1.8300337444691255E-18</v>
      </c>
    </row>
    <row r="354" spans="2:20" ht="15.75" customHeight="1" x14ac:dyDescent="0.25">
      <c r="B354" s="33">
        <f t="shared" si="110"/>
        <v>41.166666666666671</v>
      </c>
      <c r="C354" s="34"/>
      <c r="D354" s="35">
        <f>(2/12)*D352</f>
        <v>5.6833333333333334E-4</v>
      </c>
      <c r="E354" s="36">
        <f>E352-(2/12)*F352</f>
        <v>961041.7615335678</v>
      </c>
      <c r="F354" s="36">
        <f t="shared" si="111"/>
        <v>273.2513317426201</v>
      </c>
      <c r="G354" s="31">
        <f t="shared" si="83"/>
        <v>0.99943166666666672</v>
      </c>
      <c r="H354" s="32"/>
      <c r="I354" s="51">
        <f t="shared" si="90"/>
        <v>28.166666666666536</v>
      </c>
      <c r="J354" s="51">
        <f t="shared" si="91"/>
        <v>93.166666666665066</v>
      </c>
      <c r="K354" s="52">
        <f t="shared" si="107"/>
        <v>2.3456166666666667E-2</v>
      </c>
      <c r="L354" s="53">
        <f t="shared" si="87"/>
        <v>0.97654383333333339</v>
      </c>
      <c r="M354" s="52">
        <f t="shared" si="92"/>
        <v>9.5595937489714262E-6</v>
      </c>
      <c r="N354" s="58">
        <f t="shared" si="88"/>
        <v>7.9221152720444096E-2</v>
      </c>
      <c r="Q354" s="51">
        <f t="shared" si="93"/>
        <v>28.166666666666536</v>
      </c>
      <c r="R354" s="52">
        <f t="shared" si="94"/>
        <v>9.5595937489714262E-6</v>
      </c>
      <c r="S354" s="58">
        <f t="shared" si="106"/>
        <v>1.7343713793818227E-13</v>
      </c>
      <c r="T354" s="52">
        <f t="shared" si="89"/>
        <v>1.6579885796733423E-18</v>
      </c>
    </row>
    <row r="355" spans="2:20" ht="15.75" customHeight="1" x14ac:dyDescent="0.25">
      <c r="B355" s="33">
        <f t="shared" si="110"/>
        <v>41.250000000000007</v>
      </c>
      <c r="C355" s="34"/>
      <c r="D355" s="35">
        <f>(3/12)*D352</f>
        <v>8.5250000000000007E-4</v>
      </c>
      <c r="E355" s="36">
        <f>E352-(3/12)*F352</f>
        <v>960768.51020182518</v>
      </c>
      <c r="F355" s="36">
        <f t="shared" si="111"/>
        <v>273.2513317426201</v>
      </c>
      <c r="G355" s="31">
        <f t="shared" si="83"/>
        <v>0.99914749999999997</v>
      </c>
      <c r="H355" s="32"/>
      <c r="I355" s="51">
        <f t="shared" si="90"/>
        <v>28.249999999999869</v>
      </c>
      <c r="J355" s="51">
        <f t="shared" si="91"/>
        <v>93.249999999998394</v>
      </c>
      <c r="K355" s="52">
        <f t="shared" si="107"/>
        <v>3.518425E-2</v>
      </c>
      <c r="L355" s="53">
        <f t="shared" si="87"/>
        <v>0.96481574999999997</v>
      </c>
      <c r="M355" s="52">
        <f t="shared" si="92"/>
        <v>9.3353623247299278E-6</v>
      </c>
      <c r="N355" s="58">
        <f t="shared" si="88"/>
        <v>7.8649323112936723E-2</v>
      </c>
      <c r="Q355" s="51">
        <f t="shared" si="93"/>
        <v>28.249999999999869</v>
      </c>
      <c r="R355" s="52">
        <f t="shared" si="94"/>
        <v>9.3353623247299278E-6</v>
      </c>
      <c r="S355" s="58">
        <f t="shared" si="106"/>
        <v>1.5899668907386708E-13</v>
      </c>
      <c r="T355" s="52">
        <f t="shared" si="89"/>
        <v>1.4842917009369773E-18</v>
      </c>
    </row>
    <row r="356" spans="2:20" ht="15.75" customHeight="1" x14ac:dyDescent="0.25">
      <c r="B356" s="33">
        <f t="shared" si="110"/>
        <v>41.333333333333343</v>
      </c>
      <c r="C356" s="34"/>
      <c r="D356" s="35">
        <f>(4/12)*D352</f>
        <v>1.1366666666666667E-3</v>
      </c>
      <c r="E356" s="36">
        <f>E352-(4/12)*F352</f>
        <v>960495.25887008256</v>
      </c>
      <c r="F356" s="36">
        <f t="shared" si="111"/>
        <v>273.25133174273651</v>
      </c>
      <c r="G356" s="31">
        <f t="shared" si="83"/>
        <v>0.99886333333333333</v>
      </c>
      <c r="H356" s="32"/>
      <c r="I356" s="51">
        <f t="shared" si="90"/>
        <v>28.333333333333201</v>
      </c>
      <c r="J356" s="51">
        <f t="shared" si="91"/>
        <v>93.333333333331723</v>
      </c>
      <c r="K356" s="52">
        <f t="shared" si="107"/>
        <v>4.6912333333333334E-2</v>
      </c>
      <c r="L356" s="53">
        <f t="shared" si="87"/>
        <v>0.95308766666666667</v>
      </c>
      <c r="M356" s="52">
        <f t="shared" si="92"/>
        <v>9.0069046028560484E-6</v>
      </c>
      <c r="N356" s="58">
        <f t="shared" si="88"/>
        <v>7.8081621053297537E-2</v>
      </c>
      <c r="Q356" s="51">
        <f t="shared" si="93"/>
        <v>28.333333333333201</v>
      </c>
      <c r="R356" s="52">
        <f t="shared" si="94"/>
        <v>9.0069046028560484E-6</v>
      </c>
      <c r="S356" s="58">
        <f t="shared" si="106"/>
        <v>1.457585580399881E-13</v>
      </c>
      <c r="T356" s="52">
        <f t="shared" si="89"/>
        <v>1.3128334273160293E-18</v>
      </c>
    </row>
    <row r="357" spans="2:20" ht="15.75" customHeight="1" x14ac:dyDescent="0.25">
      <c r="B357" s="33">
        <f t="shared" si="110"/>
        <v>41.416666666666679</v>
      </c>
      <c r="C357" s="34"/>
      <c r="D357" s="35">
        <f>(5/12)*D352</f>
        <v>1.4208333333333334E-3</v>
      </c>
      <c r="E357" s="36">
        <f>E352-(5/12)*F352</f>
        <v>960222.00753833982</v>
      </c>
      <c r="F357" s="36">
        <f t="shared" si="111"/>
        <v>273.2513317426201</v>
      </c>
      <c r="G357" s="31">
        <f t="shared" si="83"/>
        <v>0.99857916666666668</v>
      </c>
      <c r="H357" s="32"/>
      <c r="I357" s="51">
        <f t="shared" si="90"/>
        <v>28.416666666666533</v>
      </c>
      <c r="J357" s="51">
        <f t="shared" si="91"/>
        <v>93.416666666665051</v>
      </c>
      <c r="K357" s="52">
        <f t="shared" si="107"/>
        <v>5.8640416666666667E-2</v>
      </c>
      <c r="L357" s="53">
        <f t="shared" si="87"/>
        <v>0.94135958333333336</v>
      </c>
      <c r="M357" s="52">
        <f t="shared" si="92"/>
        <v>8.5843696918253309E-6</v>
      </c>
      <c r="N357" s="58">
        <f t="shared" si="88"/>
        <v>7.7518016748295754E-2</v>
      </c>
      <c r="Q357" s="51">
        <f t="shared" si="93"/>
        <v>28.416666666666533</v>
      </c>
      <c r="R357" s="52">
        <f t="shared" si="94"/>
        <v>8.5843696918253309E-6</v>
      </c>
      <c r="S357" s="58">
        <f t="shared" si="106"/>
        <v>1.3362263934959213E-13</v>
      </c>
      <c r="T357" s="52">
        <f t="shared" si="89"/>
        <v>1.1470661353743456E-18</v>
      </c>
    </row>
    <row r="358" spans="2:20" ht="15.75" customHeight="1" x14ac:dyDescent="0.25">
      <c r="B358" s="33">
        <f t="shared" si="110"/>
        <v>41.500000000000014</v>
      </c>
      <c r="C358" s="34"/>
      <c r="D358" s="35">
        <f>(6/12)*D352</f>
        <v>1.7050000000000001E-3</v>
      </c>
      <c r="E358" s="36">
        <f>E352-(6/12)*F352</f>
        <v>959948.7562065972</v>
      </c>
      <c r="F358" s="36">
        <f t="shared" si="111"/>
        <v>273.25133174273651</v>
      </c>
      <c r="G358" s="31">
        <f t="shared" si="83"/>
        <v>0.99829500000000004</v>
      </c>
      <c r="H358" s="32"/>
      <c r="I358" s="51">
        <f t="shared" si="90"/>
        <v>28.499999999999865</v>
      </c>
      <c r="J358" s="51">
        <f t="shared" si="91"/>
        <v>93.49999999999838</v>
      </c>
      <c r="K358" s="52">
        <f t="shared" si="107"/>
        <v>7.03685E-2</v>
      </c>
      <c r="L358" s="53">
        <f t="shared" si="87"/>
        <v>0.92963149999999994</v>
      </c>
      <c r="M358" s="52">
        <f t="shared" si="92"/>
        <v>8.0809786762759883E-6</v>
      </c>
      <c r="N358" s="58">
        <f t="shared" si="88"/>
        <v>7.6958480619752551E-2</v>
      </c>
      <c r="Q358" s="51">
        <f t="shared" si="93"/>
        <v>28.499999999999865</v>
      </c>
      <c r="R358" s="52">
        <f t="shared" si="94"/>
        <v>8.0809786762759883E-6</v>
      </c>
      <c r="S358" s="58">
        <f t="shared" si="106"/>
        <v>1.2249716234056514E-13</v>
      </c>
      <c r="T358" s="52">
        <f t="shared" si="89"/>
        <v>9.8989695677842497E-19</v>
      </c>
    </row>
    <row r="359" spans="2:20" ht="15.75" customHeight="1" x14ac:dyDescent="0.25">
      <c r="B359" s="33">
        <f t="shared" si="110"/>
        <v>41.58333333333335</v>
      </c>
      <c r="C359" s="34"/>
      <c r="D359" s="35">
        <f>(7/12)*D352</f>
        <v>1.9891666666666669E-3</v>
      </c>
      <c r="E359" s="36">
        <f>E352-(7/12)*F352</f>
        <v>959675.50487485447</v>
      </c>
      <c r="F359" s="36">
        <f t="shared" si="111"/>
        <v>273.2513317426201</v>
      </c>
      <c r="G359" s="31">
        <f t="shared" si="83"/>
        <v>0.99801083333333329</v>
      </c>
      <c r="H359" s="32"/>
      <c r="I359" s="51">
        <f t="shared" si="90"/>
        <v>28.583333333333197</v>
      </c>
      <c r="J359" s="51">
        <f t="shared" si="91"/>
        <v>93.583333333331709</v>
      </c>
      <c r="K359" s="52">
        <f t="shared" si="107"/>
        <v>8.2096583333333334E-2</v>
      </c>
      <c r="L359" s="53">
        <f t="shared" si="87"/>
        <v>0.91790341666666664</v>
      </c>
      <c r="M359" s="52">
        <f t="shared" si="92"/>
        <v>7.5123323282944613E-6</v>
      </c>
      <c r="N359" s="58">
        <f t="shared" si="88"/>
        <v>7.6402983302988572E-2</v>
      </c>
      <c r="Q359" s="51">
        <f t="shared" si="93"/>
        <v>28.583333333333197</v>
      </c>
      <c r="R359" s="52">
        <f t="shared" si="94"/>
        <v>7.5123323282944613E-6</v>
      </c>
      <c r="S359" s="58">
        <f t="shared" si="106"/>
        <v>1.1229799721462193E-13</v>
      </c>
      <c r="T359" s="52">
        <f t="shared" si="89"/>
        <v>8.4361987487812572E-19</v>
      </c>
    </row>
    <row r="360" spans="2:20" ht="15.75" customHeight="1" x14ac:dyDescent="0.25">
      <c r="B360" s="33">
        <f t="shared" si="110"/>
        <v>41.666666666666686</v>
      </c>
      <c r="C360" s="34"/>
      <c r="D360" s="35">
        <f>(8/12)*D352</f>
        <v>2.2733333333333334E-3</v>
      </c>
      <c r="E360" s="36">
        <f>E352-(8/12)*F352</f>
        <v>959402.25354311184</v>
      </c>
      <c r="F360" s="36">
        <f t="shared" si="111"/>
        <v>273.2513317426201</v>
      </c>
      <c r="G360" s="31">
        <f t="shared" si="83"/>
        <v>0.99772666666666665</v>
      </c>
      <c r="H360" s="32"/>
      <c r="I360" s="51">
        <f t="shared" si="90"/>
        <v>28.666666666666529</v>
      </c>
      <c r="J360" s="51">
        <f t="shared" si="91"/>
        <v>93.666666666665037</v>
      </c>
      <c r="K360" s="52">
        <f t="shared" si="107"/>
        <v>9.3824666666666667E-2</v>
      </c>
      <c r="L360" s="53">
        <f t="shared" si="87"/>
        <v>0.90617533333333333</v>
      </c>
      <c r="M360" s="52">
        <f t="shared" si="92"/>
        <v>6.8955955112769408E-6</v>
      </c>
      <c r="N360" s="58">
        <f t="shared" si="88"/>
        <v>7.5851495645282915E-2</v>
      </c>
      <c r="Q360" s="51">
        <f t="shared" si="93"/>
        <v>28.666666666666529</v>
      </c>
      <c r="R360" s="52">
        <f t="shared" si="94"/>
        <v>6.8955955112769408E-6</v>
      </c>
      <c r="S360" s="58">
        <f t="shared" si="106"/>
        <v>1.0294801885577231E-13</v>
      </c>
      <c r="T360" s="52">
        <f t="shared" si="89"/>
        <v>7.0988789671671741E-19</v>
      </c>
    </row>
    <row r="361" spans="2:20" ht="15.75" customHeight="1" x14ac:dyDescent="0.25">
      <c r="B361" s="33">
        <f t="shared" si="110"/>
        <v>41.750000000000021</v>
      </c>
      <c r="C361" s="34"/>
      <c r="D361" s="35">
        <f>(9/12)*D352</f>
        <v>2.5575000000000003E-3</v>
      </c>
      <c r="E361" s="36">
        <f>E352-(9/12)*F352</f>
        <v>959129.00221136922</v>
      </c>
      <c r="F361" s="36">
        <f t="shared" si="111"/>
        <v>273.25133174273651</v>
      </c>
      <c r="G361" s="31">
        <f t="shared" si="83"/>
        <v>0.99744250000000001</v>
      </c>
      <c r="H361" s="32"/>
      <c r="I361" s="51">
        <f t="shared" si="90"/>
        <v>28.749999999999861</v>
      </c>
      <c r="J361" s="51">
        <f t="shared" si="91"/>
        <v>93.749999999998366</v>
      </c>
      <c r="K361" s="52">
        <f t="shared" si="107"/>
        <v>0.10555275</v>
      </c>
      <c r="L361" s="53">
        <f t="shared" si="87"/>
        <v>0.89444725000000003</v>
      </c>
      <c r="M361" s="52">
        <f t="shared" si="92"/>
        <v>6.2486185609632189E-6</v>
      </c>
      <c r="N361" s="58">
        <f t="shared" si="88"/>
        <v>7.5303988704343197E-2</v>
      </c>
      <c r="Q361" s="51">
        <f t="shared" si="93"/>
        <v>28.749999999999861</v>
      </c>
      <c r="R361" s="52">
        <f t="shared" si="94"/>
        <v>6.2486185609632189E-6</v>
      </c>
      <c r="S361" s="58">
        <f t="shared" si="106"/>
        <v>9.4376523617542492E-14</v>
      </c>
      <c r="T361" s="52">
        <f t="shared" si="89"/>
        <v>5.8972289719575957E-19</v>
      </c>
    </row>
    <row r="362" spans="2:20" ht="15.75" customHeight="1" x14ac:dyDescent="0.25">
      <c r="B362" s="33">
        <f t="shared" si="110"/>
        <v>41.833333333333357</v>
      </c>
      <c r="C362" s="34"/>
      <c r="D362" s="35">
        <f>(10/12)*D352</f>
        <v>2.8416666666666668E-3</v>
      </c>
      <c r="E362" s="36">
        <f>E352-(10/12)*F352</f>
        <v>958855.75087962649</v>
      </c>
      <c r="F362" s="36">
        <f t="shared" si="111"/>
        <v>273.2513317426201</v>
      </c>
      <c r="G362" s="31">
        <f t="shared" si="83"/>
        <v>0.99715833333333337</v>
      </c>
      <c r="H362" s="32"/>
      <c r="I362" s="51">
        <f t="shared" si="90"/>
        <v>28.833333333333194</v>
      </c>
      <c r="J362" s="51">
        <f t="shared" si="91"/>
        <v>93.833333333331694</v>
      </c>
      <c r="K362" s="52">
        <f t="shared" si="107"/>
        <v>0.11728083333333333</v>
      </c>
      <c r="L362" s="53">
        <f t="shared" si="87"/>
        <v>0.88271916666666672</v>
      </c>
      <c r="M362" s="52">
        <f t="shared" si="92"/>
        <v>5.589059688152509E-6</v>
      </c>
      <c r="N362" s="58">
        <f t="shared" si="88"/>
        <v>7.4760433746786634E-2</v>
      </c>
      <c r="Q362" s="51">
        <f t="shared" si="93"/>
        <v>28.833333333333194</v>
      </c>
      <c r="R362" s="52">
        <f t="shared" si="94"/>
        <v>5.589059688152509E-6</v>
      </c>
      <c r="S362" s="58">
        <f t="shared" si="106"/>
        <v>8.6518694668723828E-14</v>
      </c>
      <c r="T362" s="52">
        <f t="shared" si="89"/>
        <v>4.8355814864453976E-19</v>
      </c>
    </row>
    <row r="363" spans="2:20" ht="15.75" customHeight="1" x14ac:dyDescent="0.25">
      <c r="B363" s="33">
        <f t="shared" si="110"/>
        <v>41.916666666666693</v>
      </c>
      <c r="C363" s="34"/>
      <c r="D363" s="35">
        <f>(11/12)*D352</f>
        <v>3.1258333333333333E-3</v>
      </c>
      <c r="E363" s="36">
        <f>E352-(11/12)*F352</f>
        <v>958582.49954788387</v>
      </c>
      <c r="F363" s="36">
        <f t="shared" si="111"/>
        <v>273.2513317426201</v>
      </c>
      <c r="G363" s="31">
        <f t="shared" si="83"/>
        <v>0.99687416666666662</v>
      </c>
      <c r="H363" s="32"/>
      <c r="I363" s="51">
        <f t="shared" si="90"/>
        <v>28.916666666666526</v>
      </c>
      <c r="J363" s="51">
        <f t="shared" si="91"/>
        <v>93.916666666665023</v>
      </c>
      <c r="K363" s="52">
        <f t="shared" si="107"/>
        <v>0.12900891666666667</v>
      </c>
      <c r="L363" s="53">
        <f t="shared" si="87"/>
        <v>0.8709910833333333</v>
      </c>
      <c r="M363" s="52">
        <f t="shared" si="92"/>
        <v>4.9335701103762426E-6</v>
      </c>
      <c r="N363" s="58">
        <f t="shared" si="88"/>
        <v>7.4220802246632092E-2</v>
      </c>
      <c r="Q363" s="51">
        <f t="shared" si="93"/>
        <v>28.916666666666526</v>
      </c>
      <c r="R363" s="52">
        <f t="shared" si="94"/>
        <v>4.9335701103762426E-6</v>
      </c>
      <c r="S363" s="58">
        <f t="shared" si="106"/>
        <v>7.9315111854665195E-14</v>
      </c>
      <c r="T363" s="52">
        <f t="shared" si="89"/>
        <v>3.913066651473246E-19</v>
      </c>
    </row>
    <row r="364" spans="2:20" ht="15.75" customHeight="1" x14ac:dyDescent="0.25">
      <c r="B364" s="27">
        <v>42</v>
      </c>
      <c r="C364" s="28">
        <v>3.6719999999999997</v>
      </c>
      <c r="D364" s="29">
        <f>C364/1000</f>
        <v>3.6719999999999999E-3</v>
      </c>
      <c r="E364" s="30">
        <f>E352-F352</f>
        <v>958309.24821614125</v>
      </c>
      <c r="F364" s="48">
        <f>D364*E364</f>
        <v>3518.9115594496707</v>
      </c>
      <c r="G364" s="31">
        <f t="shared" si="83"/>
        <v>0.99632799999999999</v>
      </c>
      <c r="H364" s="49"/>
      <c r="I364" s="51">
        <f t="shared" si="90"/>
        <v>28.999999999999858</v>
      </c>
      <c r="J364" s="51">
        <f t="shared" si="91"/>
        <v>93.999999999998352</v>
      </c>
      <c r="K364" s="52">
        <f t="shared" si="107"/>
        <v>0.14998300000000001</v>
      </c>
      <c r="L364" s="53">
        <f t="shared" si="87"/>
        <v>0.85001700000000002</v>
      </c>
      <c r="M364" s="52">
        <f t="shared" si="92"/>
        <v>4.2970955751375561E-6</v>
      </c>
      <c r="N364" s="58">
        <f t="shared" si="88"/>
        <v>7.3685065883803066E-2</v>
      </c>
      <c r="Q364" s="51">
        <f t="shared" si="93"/>
        <v>28.999999999999858</v>
      </c>
      <c r="R364" s="52">
        <f t="shared" si="94"/>
        <v>4.2970955751375561E-6</v>
      </c>
      <c r="S364" s="58">
        <f t="shared" si="106"/>
        <v>7.2711302367720335E-14</v>
      </c>
      <c r="T364" s="52">
        <f t="shared" si="89"/>
        <v>3.1244741566681996E-19</v>
      </c>
    </row>
    <row r="365" spans="2:20" ht="15.75" customHeight="1" x14ac:dyDescent="0.25">
      <c r="B365" s="33">
        <f t="shared" ref="B365:B375" si="112">B364+1/12</f>
        <v>42.083333333333336</v>
      </c>
      <c r="C365" s="34"/>
      <c r="D365" s="35">
        <f>(1/12)*D364</f>
        <v>3.0599999999999996E-4</v>
      </c>
      <c r="E365" s="36">
        <f>E364-(1/12)*F364</f>
        <v>958016.00558618712</v>
      </c>
      <c r="F365" s="36">
        <f t="shared" ref="F365:F375" si="113">E365-E366</f>
        <v>293.24262995412573</v>
      </c>
      <c r="G365" s="31">
        <f t="shared" si="83"/>
        <v>0.99969399999999997</v>
      </c>
      <c r="H365" s="37"/>
      <c r="I365" s="51">
        <f t="shared" si="90"/>
        <v>29.08333333333319</v>
      </c>
      <c r="J365" s="51">
        <f t="shared" si="91"/>
        <v>94.08333333333168</v>
      </c>
      <c r="K365" s="52">
        <f t="shared" si="107"/>
        <v>1.2498583333333334E-2</v>
      </c>
      <c r="L365" s="53">
        <f t="shared" si="87"/>
        <v>0.98750141666666669</v>
      </c>
      <c r="M365" s="52">
        <f t="shared" si="92"/>
        <v>3.6526042894917003E-6</v>
      </c>
      <c r="N365" s="58">
        <f t="shared" si="88"/>
        <v>7.3153196542641422E-2</v>
      </c>
      <c r="Q365" s="51">
        <f t="shared" si="93"/>
        <v>29.08333333333319</v>
      </c>
      <c r="R365" s="52">
        <f t="shared" si="94"/>
        <v>3.6526042894917003E-6</v>
      </c>
      <c r="S365" s="58">
        <f t="shared" si="106"/>
        <v>6.6657328829059495E-14</v>
      </c>
      <c r="T365" s="52">
        <f t="shared" si="89"/>
        <v>2.4347284520708147E-19</v>
      </c>
    </row>
    <row r="366" spans="2:20" ht="15.75" customHeight="1" x14ac:dyDescent="0.25">
      <c r="B366" s="33">
        <f t="shared" si="112"/>
        <v>42.166666666666671</v>
      </c>
      <c r="C366" s="34"/>
      <c r="D366" s="35">
        <f>(2/12)*D364</f>
        <v>6.1199999999999991E-4</v>
      </c>
      <c r="E366" s="36">
        <f>E364-(2/12)*F364</f>
        <v>957722.762956233</v>
      </c>
      <c r="F366" s="36">
        <f t="shared" si="113"/>
        <v>293.24262995412573</v>
      </c>
      <c r="G366" s="31">
        <f t="shared" si="83"/>
        <v>0.99938800000000005</v>
      </c>
      <c r="H366" s="32"/>
      <c r="I366" s="51">
        <f t="shared" si="90"/>
        <v>29.166666666666522</v>
      </c>
      <c r="J366" s="51">
        <f t="shared" si="91"/>
        <v>94.166666666665009</v>
      </c>
      <c r="K366" s="52">
        <f t="shared" si="107"/>
        <v>2.4997166666666668E-2</v>
      </c>
      <c r="L366" s="53">
        <f t="shared" si="87"/>
        <v>0.97500283333333337</v>
      </c>
      <c r="M366" s="52">
        <f t="shared" si="92"/>
        <v>3.6069519103957975E-6</v>
      </c>
      <c r="N366" s="58">
        <f t="shared" si="88"/>
        <v>7.2625166310431824E-2</v>
      </c>
      <c r="Q366" s="51">
        <f t="shared" si="93"/>
        <v>29.166666666666522</v>
      </c>
      <c r="R366" s="52">
        <f t="shared" si="94"/>
        <v>3.6069519103957975E-6</v>
      </c>
      <c r="S366" s="58">
        <f t="shared" si="106"/>
        <v>6.1107411666963793E-14</v>
      </c>
      <c r="T366" s="52">
        <f t="shared" si="89"/>
        <v>2.2041149525149749E-19</v>
      </c>
    </row>
    <row r="367" spans="2:20" ht="15.75" customHeight="1" x14ac:dyDescent="0.25">
      <c r="B367" s="33">
        <f t="shared" si="112"/>
        <v>42.250000000000007</v>
      </c>
      <c r="C367" s="34"/>
      <c r="D367" s="35">
        <f>(3/12)*D364</f>
        <v>9.1799999999999998E-4</v>
      </c>
      <c r="E367" s="36">
        <f>E364-(3/12)*F364</f>
        <v>957429.52032627887</v>
      </c>
      <c r="F367" s="36">
        <f t="shared" si="113"/>
        <v>293.24262995412573</v>
      </c>
      <c r="G367" s="31">
        <f t="shared" si="83"/>
        <v>0.99908200000000003</v>
      </c>
      <c r="H367" s="32"/>
      <c r="I367" s="51">
        <f t="shared" si="90"/>
        <v>29.249999999999854</v>
      </c>
      <c r="J367" s="51">
        <f t="shared" si="91"/>
        <v>94.249999999998337</v>
      </c>
      <c r="K367" s="52">
        <f t="shared" si="107"/>
        <v>3.7495750000000001E-2</v>
      </c>
      <c r="L367" s="53">
        <f t="shared" si="87"/>
        <v>0.96250424999999995</v>
      </c>
      <c r="M367" s="52">
        <f t="shared" si="92"/>
        <v>3.5167883323329822E-6</v>
      </c>
      <c r="N367" s="58">
        <f t="shared" si="88"/>
        <v>7.2100947475936997E-2</v>
      </c>
      <c r="Q367" s="51">
        <f t="shared" si="93"/>
        <v>29.249999999999854</v>
      </c>
      <c r="R367" s="52">
        <f t="shared" si="94"/>
        <v>3.5167883323329822E-6</v>
      </c>
      <c r="S367" s="58">
        <f t="shared" si="106"/>
        <v>5.6019582936061117E-14</v>
      </c>
      <c r="T367" s="52">
        <f t="shared" si="89"/>
        <v>1.9700901565169955E-19</v>
      </c>
    </row>
    <row r="368" spans="2:20" ht="15.75" customHeight="1" x14ac:dyDescent="0.25">
      <c r="B368" s="33">
        <f t="shared" si="112"/>
        <v>42.333333333333343</v>
      </c>
      <c r="C368" s="34"/>
      <c r="D368" s="35">
        <f>(4/12)*D364</f>
        <v>1.2239999999999998E-3</v>
      </c>
      <c r="E368" s="36">
        <f>E364-(4/12)*F364</f>
        <v>957136.27769632475</v>
      </c>
      <c r="F368" s="36">
        <f t="shared" si="113"/>
        <v>293.24262995424215</v>
      </c>
      <c r="G368" s="31">
        <f t="shared" si="83"/>
        <v>0.998776</v>
      </c>
      <c r="H368" s="32"/>
      <c r="I368" s="51">
        <f t="shared" si="90"/>
        <v>29.333333333333186</v>
      </c>
      <c r="J368" s="51">
        <f t="shared" si="91"/>
        <v>94.333333333331666</v>
      </c>
      <c r="K368" s="52">
        <f t="shared" si="107"/>
        <v>4.9994333333333335E-2</v>
      </c>
      <c r="L368" s="53">
        <f t="shared" si="87"/>
        <v>0.95000566666666664</v>
      </c>
      <c r="M368" s="52">
        <f t="shared" si="92"/>
        <v>3.3849237162209075E-6</v>
      </c>
      <c r="N368" s="58">
        <f t="shared" si="88"/>
        <v>7.1580512527943188E-2</v>
      </c>
      <c r="Q368" s="51">
        <f t="shared" si="93"/>
        <v>29.333333333333186</v>
      </c>
      <c r="R368" s="52">
        <f t="shared" si="94"/>
        <v>3.3849237162209075E-6</v>
      </c>
      <c r="S368" s="58">
        <f t="shared" si="106"/>
        <v>5.135536895971646E-14</v>
      </c>
      <c r="T368" s="52">
        <f t="shared" si="89"/>
        <v>1.7383400634701928E-19</v>
      </c>
    </row>
    <row r="369" spans="2:20" ht="15.75" customHeight="1" x14ac:dyDescent="0.25">
      <c r="B369" s="33">
        <f t="shared" si="112"/>
        <v>42.416666666666679</v>
      </c>
      <c r="C369" s="34"/>
      <c r="D369" s="35">
        <f>(5/12)*D364</f>
        <v>1.5300000000000001E-3</v>
      </c>
      <c r="E369" s="36">
        <f>E364-(5/12)*F364</f>
        <v>956843.0350663705</v>
      </c>
      <c r="F369" s="36">
        <f t="shared" si="113"/>
        <v>293.24262995412573</v>
      </c>
      <c r="G369" s="31">
        <f t="shared" si="83"/>
        <v>0.99846999999999997</v>
      </c>
      <c r="H369" s="32"/>
      <c r="I369" s="51">
        <f t="shared" si="90"/>
        <v>29.416666666666519</v>
      </c>
      <c r="J369" s="51">
        <f t="shared" si="91"/>
        <v>94.416666666664995</v>
      </c>
      <c r="K369" s="52">
        <f t="shared" si="107"/>
        <v>6.2492916666666669E-2</v>
      </c>
      <c r="L369" s="53">
        <f t="shared" si="87"/>
        <v>0.93750708333333332</v>
      </c>
      <c r="M369" s="52">
        <f t="shared" si="92"/>
        <v>3.2156967116442541E-6</v>
      </c>
      <c r="N369" s="58">
        <f t="shared" si="88"/>
        <v>7.1063834153816646E-2</v>
      </c>
      <c r="Q369" s="51">
        <f t="shared" si="93"/>
        <v>29.416666666666519</v>
      </c>
      <c r="R369" s="52">
        <f t="shared" si="94"/>
        <v>3.2156967116442541E-6</v>
      </c>
      <c r="S369" s="58">
        <f t="shared" si="106"/>
        <v>4.7079499395752882E-14</v>
      </c>
      <c r="T369" s="52">
        <f t="shared" si="89"/>
        <v>1.513933913927802E-19</v>
      </c>
    </row>
    <row r="370" spans="2:20" ht="15.75" customHeight="1" x14ac:dyDescent="0.25">
      <c r="B370" s="33">
        <f t="shared" si="112"/>
        <v>42.500000000000014</v>
      </c>
      <c r="C370" s="34"/>
      <c r="D370" s="35">
        <f>(6/12)*D364</f>
        <v>1.836E-3</v>
      </c>
      <c r="E370" s="36">
        <f>E364-(6/12)*F364</f>
        <v>956549.79243641638</v>
      </c>
      <c r="F370" s="36">
        <f t="shared" si="113"/>
        <v>293.24262995412573</v>
      </c>
      <c r="G370" s="31">
        <f t="shared" si="83"/>
        <v>0.99816400000000005</v>
      </c>
      <c r="H370" s="32"/>
      <c r="I370" s="51">
        <f t="shared" si="90"/>
        <v>29.499999999999851</v>
      </c>
      <c r="J370" s="51">
        <f t="shared" si="91"/>
        <v>94.499999999998323</v>
      </c>
      <c r="K370" s="52">
        <f t="shared" si="107"/>
        <v>7.4991500000000003E-2</v>
      </c>
      <c r="L370" s="53">
        <f t="shared" si="87"/>
        <v>0.92500850000000001</v>
      </c>
      <c r="M370" s="52">
        <f t="shared" si="92"/>
        <v>3.0147384450181957E-6</v>
      </c>
      <c r="N370" s="58">
        <f t="shared" si="88"/>
        <v>7.0550885238070071E-2</v>
      </c>
      <c r="Q370" s="51">
        <f t="shared" si="93"/>
        <v>29.499999999999851</v>
      </c>
      <c r="R370" s="52">
        <f t="shared" si="94"/>
        <v>3.0147384450181957E-6</v>
      </c>
      <c r="S370" s="58">
        <f t="shared" si="106"/>
        <v>4.315964052547899E-14</v>
      </c>
      <c r="T370" s="52">
        <f t="shared" si="89"/>
        <v>1.3011502756532683E-19</v>
      </c>
    </row>
    <row r="371" spans="2:20" ht="15.75" customHeight="1" x14ac:dyDescent="0.25">
      <c r="B371" s="33">
        <f t="shared" si="112"/>
        <v>42.58333333333335</v>
      </c>
      <c r="C371" s="34"/>
      <c r="D371" s="35">
        <f>(7/12)*D364</f>
        <v>2.1420000000000002E-3</v>
      </c>
      <c r="E371" s="36">
        <f>E364-(7/12)*F364</f>
        <v>956256.54980646225</v>
      </c>
      <c r="F371" s="36">
        <f t="shared" si="113"/>
        <v>293.24262995412573</v>
      </c>
      <c r="G371" s="31">
        <f t="shared" si="83"/>
        <v>0.99785800000000002</v>
      </c>
      <c r="H371" s="32"/>
      <c r="I371" s="51">
        <f t="shared" si="90"/>
        <v>29.583333333333183</v>
      </c>
      <c r="J371" s="51">
        <f t="shared" si="91"/>
        <v>94.583333333331652</v>
      </c>
      <c r="K371" s="52">
        <f t="shared" si="107"/>
        <v>8.7490083333333343E-2</v>
      </c>
      <c r="L371" s="53">
        <f t="shared" si="87"/>
        <v>0.9125099166666667</v>
      </c>
      <c r="M371" s="52">
        <f t="shared" si="92"/>
        <v>2.7886586869186135E-6</v>
      </c>
      <c r="N371" s="58">
        <f t="shared" si="88"/>
        <v>7.0041638860939642E-2</v>
      </c>
      <c r="Q371" s="51">
        <f t="shared" si="93"/>
        <v>29.583333333333183</v>
      </c>
      <c r="R371" s="52">
        <f t="shared" si="94"/>
        <v>2.7886586869186135E-6</v>
      </c>
      <c r="S371" s="58">
        <f t="shared" si="106"/>
        <v>3.9566150749185822E-14</v>
      </c>
      <c r="T371" s="52">
        <f t="shared" si="89"/>
        <v>1.1033648999464846E-19</v>
      </c>
    </row>
    <row r="372" spans="2:20" ht="15.75" customHeight="1" x14ac:dyDescent="0.25">
      <c r="B372" s="33">
        <f t="shared" si="112"/>
        <v>42.666666666666686</v>
      </c>
      <c r="C372" s="34"/>
      <c r="D372" s="35">
        <f>(8/12)*D364</f>
        <v>2.4479999999999997E-3</v>
      </c>
      <c r="E372" s="36">
        <f>E364-(8/12)*F364</f>
        <v>955963.30717650813</v>
      </c>
      <c r="F372" s="36">
        <f t="shared" si="113"/>
        <v>293.24262995412573</v>
      </c>
      <c r="G372" s="31">
        <f t="shared" si="83"/>
        <v>0.99755199999999999</v>
      </c>
      <c r="H372" s="32"/>
      <c r="I372" s="51">
        <f t="shared" si="90"/>
        <v>29.666666666666515</v>
      </c>
      <c r="J372" s="51">
        <f t="shared" si="91"/>
        <v>94.66666666666498</v>
      </c>
      <c r="K372" s="52">
        <f t="shared" si="107"/>
        <v>9.998866666666667E-2</v>
      </c>
      <c r="L372" s="53">
        <f t="shared" si="87"/>
        <v>0.90001133333333327</v>
      </c>
      <c r="M372" s="52">
        <f t="shared" si="92"/>
        <v>2.5446787060118801E-6</v>
      </c>
      <c r="N372" s="58">
        <f t="shared" si="88"/>
        <v>6.9536068296972231E-2</v>
      </c>
      <c r="Q372" s="51">
        <f t="shared" si="93"/>
        <v>29.666666666666515</v>
      </c>
      <c r="R372" s="52">
        <f t="shared" si="94"/>
        <v>2.5446787060118801E-6</v>
      </c>
      <c r="S372" s="58">
        <f t="shared" si="106"/>
        <v>3.627185643919179E-14</v>
      </c>
      <c r="T372" s="52">
        <f t="shared" si="89"/>
        <v>9.2300220708331244E-20</v>
      </c>
    </row>
    <row r="373" spans="2:20" ht="15.75" customHeight="1" x14ac:dyDescent="0.25">
      <c r="B373" s="33">
        <f t="shared" si="112"/>
        <v>42.750000000000021</v>
      </c>
      <c r="C373" s="34"/>
      <c r="D373" s="35">
        <f>(9/12)*D364</f>
        <v>2.7539999999999999E-3</v>
      </c>
      <c r="E373" s="36">
        <f>E364-(9/12)*F364</f>
        <v>955670.064546554</v>
      </c>
      <c r="F373" s="36">
        <f t="shared" si="113"/>
        <v>293.24262995412573</v>
      </c>
      <c r="G373" s="31">
        <f t="shared" si="83"/>
        <v>0.99724599999999997</v>
      </c>
      <c r="H373" s="32"/>
      <c r="I373" s="51">
        <f t="shared" si="90"/>
        <v>29.749999999999847</v>
      </c>
      <c r="J373" s="51">
        <f t="shared" si="91"/>
        <v>94.749999999998309</v>
      </c>
      <c r="K373" s="52">
        <f t="shared" si="107"/>
        <v>0.11248725000000001</v>
      </c>
      <c r="L373" s="53">
        <f t="shared" si="87"/>
        <v>0.88751274999999996</v>
      </c>
      <c r="M373" s="52">
        <f t="shared" si="92"/>
        <v>2.2902396751026936E-6</v>
      </c>
      <c r="N373" s="58">
        <f t="shared" si="88"/>
        <v>6.9034147013622857E-2</v>
      </c>
      <c r="Q373" s="51">
        <f t="shared" si="93"/>
        <v>29.749999999999847</v>
      </c>
      <c r="R373" s="52">
        <f t="shared" si="94"/>
        <v>2.2902396751026936E-6</v>
      </c>
      <c r="S373" s="58">
        <f t="shared" si="106"/>
        <v>3.3251846455455659E-14</v>
      </c>
      <c r="T373" s="52">
        <f t="shared" si="89"/>
        <v>7.615469802270742E-20</v>
      </c>
    </row>
    <row r="374" spans="2:20" ht="15.75" customHeight="1" x14ac:dyDescent="0.25">
      <c r="B374" s="33">
        <f t="shared" si="112"/>
        <v>42.833333333333357</v>
      </c>
      <c r="C374" s="34"/>
      <c r="D374" s="35">
        <f>(10/12)*D364</f>
        <v>3.0600000000000002E-3</v>
      </c>
      <c r="E374" s="36">
        <f>E364-(10/12)*F364</f>
        <v>955376.82191659987</v>
      </c>
      <c r="F374" s="36">
        <f t="shared" si="113"/>
        <v>293.24262995412573</v>
      </c>
      <c r="G374" s="31">
        <f t="shared" si="83"/>
        <v>0.99694000000000005</v>
      </c>
      <c r="H374" s="32"/>
      <c r="I374" s="51">
        <f t="shared" si="90"/>
        <v>29.833333333333179</v>
      </c>
      <c r="J374" s="51">
        <f t="shared" si="91"/>
        <v>94.833333333331638</v>
      </c>
      <c r="K374" s="52">
        <f t="shared" si="107"/>
        <v>0.12498583333333334</v>
      </c>
      <c r="L374" s="53">
        <f t="shared" si="87"/>
        <v>0.87501416666666665</v>
      </c>
      <c r="M374" s="52">
        <f t="shared" si="92"/>
        <v>2.0326169122094981E-6</v>
      </c>
      <c r="N374" s="58">
        <f t="shared" si="88"/>
        <v>6.8535848669862218E-2</v>
      </c>
      <c r="Q374" s="51">
        <f t="shared" si="93"/>
        <v>29.833333333333179</v>
      </c>
      <c r="R374" s="52">
        <f t="shared" si="94"/>
        <v>2.0326169122094981E-6</v>
      </c>
      <c r="S374" s="58">
        <f t="shared" si="106"/>
        <v>3.048328376990665E-14</v>
      </c>
      <c r="T374" s="52">
        <f t="shared" si="89"/>
        <v>6.1960838130393559E-20</v>
      </c>
    </row>
    <row r="375" spans="2:20" ht="15.75" customHeight="1" x14ac:dyDescent="0.25">
      <c r="B375" s="33">
        <f t="shared" si="112"/>
        <v>42.916666666666693</v>
      </c>
      <c r="C375" s="34"/>
      <c r="D375" s="35">
        <f>(11/12)*D364</f>
        <v>3.3659999999999996E-3</v>
      </c>
      <c r="E375" s="36">
        <f>E364-(11/12)*F364</f>
        <v>955083.57928664575</v>
      </c>
      <c r="F375" s="36">
        <f t="shared" si="113"/>
        <v>293.24262995412573</v>
      </c>
      <c r="G375" s="31">
        <f t="shared" si="83"/>
        <v>0.99663400000000002</v>
      </c>
      <c r="H375" s="32"/>
      <c r="I375" s="51">
        <f t="shared" si="90"/>
        <v>29.916666666666512</v>
      </c>
      <c r="J375" s="51">
        <f t="shared" si="91"/>
        <v>94.916666666664966</v>
      </c>
      <c r="K375" s="52">
        <f t="shared" si="107"/>
        <v>0.13748441666666666</v>
      </c>
      <c r="L375" s="53">
        <f t="shared" si="87"/>
        <v>0.86251558333333334</v>
      </c>
      <c r="M375" s="52">
        <f t="shared" si="92"/>
        <v>1.778568593589567E-6</v>
      </c>
      <c r="N375" s="58">
        <f t="shared" si="88"/>
        <v>6.8041147114794365E-2</v>
      </c>
      <c r="Q375" s="51">
        <f t="shared" si="93"/>
        <v>29.916666666666512</v>
      </c>
      <c r="R375" s="52">
        <f t="shared" si="94"/>
        <v>1.778568593589567E-6</v>
      </c>
      <c r="S375" s="58">
        <f t="shared" si="106"/>
        <v>2.7945232775011739E-14</v>
      </c>
      <c r="T375" s="52">
        <f t="shared" si="89"/>
        <v>4.9702513354185704E-20</v>
      </c>
    </row>
    <row r="376" spans="2:20" ht="15.75" customHeight="1" x14ac:dyDescent="0.25">
      <c r="B376" s="27">
        <v>43</v>
      </c>
      <c r="C376" s="28">
        <v>3.9540000000000002</v>
      </c>
      <c r="D376" s="29">
        <f>C376/1000</f>
        <v>3.954E-3</v>
      </c>
      <c r="E376" s="30">
        <f>E364-F364</f>
        <v>954790.33665669162</v>
      </c>
      <c r="F376" s="48">
        <f>D376*E376</f>
        <v>3775.2409911405589</v>
      </c>
      <c r="G376" s="31">
        <f t="shared" si="83"/>
        <v>0.99604599999999999</v>
      </c>
      <c r="H376" s="49"/>
      <c r="I376" s="51">
        <f t="shared" si="90"/>
        <v>29.999999999999844</v>
      </c>
      <c r="J376" s="51">
        <f t="shared" si="91"/>
        <v>94.999999999998295</v>
      </c>
      <c r="K376" s="52">
        <f t="shared" si="107"/>
        <v>0.159723</v>
      </c>
      <c r="L376" s="53">
        <f t="shared" si="87"/>
        <v>0.84027699999999994</v>
      </c>
      <c r="M376" s="52">
        <f t="shared" si="92"/>
        <v>1.5340431279982517E-6</v>
      </c>
      <c r="N376" s="58">
        <f t="shared" si="88"/>
        <v>6.7550016386284245E-2</v>
      </c>
      <c r="Q376" s="51">
        <f t="shared" si="93"/>
        <v>29.999999999999844</v>
      </c>
      <c r="R376" s="52">
        <f t="shared" si="94"/>
        <v>1.5340431279982517E-6</v>
      </c>
      <c r="S376" s="58">
        <f t="shared" si="106"/>
        <v>2.5618500970703625E-14</v>
      </c>
      <c r="T376" s="52">
        <f t="shared" si="89"/>
        <v>3.9299885363724438E-20</v>
      </c>
    </row>
    <row r="377" spans="2:20" ht="15.75" customHeight="1" x14ac:dyDescent="0.25">
      <c r="B377" s="33">
        <f t="shared" ref="B377:B387" si="114">B376+1/12</f>
        <v>43.083333333333336</v>
      </c>
      <c r="C377" s="34"/>
      <c r="D377" s="35">
        <f>(1/12)*D376</f>
        <v>3.2949999999999999E-4</v>
      </c>
      <c r="E377" s="36">
        <f>E376-(1/12)*F376</f>
        <v>954475.73324076319</v>
      </c>
      <c r="F377" s="36">
        <f t="shared" ref="F377:F387" si="115">E377-E378</f>
        <v>314.60341592831537</v>
      </c>
      <c r="G377" s="31">
        <f t="shared" si="83"/>
        <v>0.99967050000000002</v>
      </c>
      <c r="H377" s="37"/>
      <c r="I377" s="51">
        <f t="shared" si="90"/>
        <v>30.083333333333176</v>
      </c>
      <c r="J377" s="51">
        <f t="shared" si="91"/>
        <v>95.083333333331623</v>
      </c>
      <c r="K377" s="52">
        <f t="shared" si="107"/>
        <v>1.3310249999999999E-2</v>
      </c>
      <c r="L377" s="53">
        <f t="shared" si="87"/>
        <v>0.98668975000000003</v>
      </c>
      <c r="M377" s="52">
        <f t="shared" si="92"/>
        <v>1.2890211574649868E-6</v>
      </c>
      <c r="N377" s="58">
        <f t="shared" si="88"/>
        <v>6.706243070959518E-2</v>
      </c>
      <c r="Q377" s="51">
        <f t="shared" si="93"/>
        <v>30.083333333333176</v>
      </c>
      <c r="R377" s="52">
        <f t="shared" si="94"/>
        <v>1.2890211574649868E-6</v>
      </c>
      <c r="S377" s="58">
        <f t="shared" si="106"/>
        <v>2.3485493832522368E-14</v>
      </c>
      <c r="T377" s="52">
        <f t="shared" si="89"/>
        <v>3.0273298443634792E-20</v>
      </c>
    </row>
    <row r="378" spans="2:20" ht="15.75" customHeight="1" x14ac:dyDescent="0.25">
      <c r="B378" s="33">
        <f t="shared" si="114"/>
        <v>43.166666666666671</v>
      </c>
      <c r="C378" s="34"/>
      <c r="D378" s="35">
        <f>(2/12)*D376</f>
        <v>6.5899999999999997E-4</v>
      </c>
      <c r="E378" s="36">
        <f>E376-(2/12)*F376</f>
        <v>954161.12982483488</v>
      </c>
      <c r="F378" s="36">
        <f t="shared" si="115"/>
        <v>314.60341592843179</v>
      </c>
      <c r="G378" s="31">
        <f t="shared" si="83"/>
        <v>0.99934100000000003</v>
      </c>
      <c r="H378" s="32"/>
      <c r="I378" s="51">
        <f t="shared" si="90"/>
        <v>30.166666666666508</v>
      </c>
      <c r="J378" s="51">
        <f t="shared" si="91"/>
        <v>95.166666666664952</v>
      </c>
      <c r="K378" s="52">
        <f t="shared" si="107"/>
        <v>2.6620499999999998E-2</v>
      </c>
      <c r="L378" s="53">
        <f t="shared" si="87"/>
        <v>0.97337949999999995</v>
      </c>
      <c r="M378" s="52">
        <f t="shared" si="92"/>
        <v>1.2718639636038384E-6</v>
      </c>
      <c r="N378" s="58">
        <f t="shared" si="88"/>
        <v>6.6578364496036282E-2</v>
      </c>
      <c r="Q378" s="51">
        <f t="shared" si="93"/>
        <v>30.166666666666508</v>
      </c>
      <c r="R378" s="52">
        <f t="shared" si="94"/>
        <v>1.2718639636038384E-6</v>
      </c>
      <c r="S378" s="58">
        <f t="shared" si="106"/>
        <v>2.153008176349606E-14</v>
      </c>
      <c r="T378" s="52">
        <f t="shared" si="89"/>
        <v>2.7383335128434819E-20</v>
      </c>
    </row>
    <row r="379" spans="2:20" ht="15.75" customHeight="1" x14ac:dyDescent="0.25">
      <c r="B379" s="33">
        <f t="shared" si="114"/>
        <v>43.250000000000007</v>
      </c>
      <c r="C379" s="34"/>
      <c r="D379" s="35">
        <f>(3/12)*D376</f>
        <v>9.8850000000000001E-4</v>
      </c>
      <c r="E379" s="36">
        <f>E376-(3/12)*F376</f>
        <v>953846.52640890644</v>
      </c>
      <c r="F379" s="36">
        <f t="shared" si="115"/>
        <v>314.60341592831537</v>
      </c>
      <c r="G379" s="31">
        <f t="shared" si="83"/>
        <v>0.99901150000000005</v>
      </c>
      <c r="H379" s="32"/>
      <c r="I379" s="51">
        <f t="shared" si="90"/>
        <v>30.24999999999984</v>
      </c>
      <c r="J379" s="51">
        <f t="shared" si="91"/>
        <v>95.24999999999828</v>
      </c>
      <c r="K379" s="52">
        <f t="shared" si="107"/>
        <v>3.9930750000000001E-2</v>
      </c>
      <c r="L379" s="53">
        <f t="shared" si="87"/>
        <v>0.96006924999999999</v>
      </c>
      <c r="M379" s="52">
        <f t="shared" si="92"/>
        <v>1.2380063089607224E-6</v>
      </c>
      <c r="N379" s="58">
        <f t="shared" si="88"/>
        <v>6.6097792341619444E-2</v>
      </c>
      <c r="Q379" s="51">
        <f t="shared" si="93"/>
        <v>30.24999999999984</v>
      </c>
      <c r="R379" s="52">
        <f t="shared" si="94"/>
        <v>1.2380063089607224E-6</v>
      </c>
      <c r="S379" s="58">
        <f t="shared" si="106"/>
        <v>1.9737478123662491E-14</v>
      </c>
      <c r="T379" s="52">
        <f t="shared" si="89"/>
        <v>2.4435122440068404E-20</v>
      </c>
    </row>
    <row r="380" spans="2:20" ht="15.75" customHeight="1" x14ac:dyDescent="0.25">
      <c r="B380" s="33">
        <f t="shared" si="114"/>
        <v>43.333333333333343</v>
      </c>
      <c r="C380" s="34"/>
      <c r="D380" s="35">
        <f>(4/12)*D376</f>
        <v>1.3179999999999999E-3</v>
      </c>
      <c r="E380" s="36">
        <f>E376-(4/12)*F376</f>
        <v>953531.92299297813</v>
      </c>
      <c r="F380" s="36">
        <f t="shared" si="115"/>
        <v>314.60341592843179</v>
      </c>
      <c r="G380" s="31">
        <f t="shared" si="83"/>
        <v>0.99868199999999996</v>
      </c>
      <c r="H380" s="32"/>
      <c r="I380" s="51">
        <f t="shared" si="90"/>
        <v>30.333333333333172</v>
      </c>
      <c r="J380" s="51">
        <f t="shared" si="91"/>
        <v>95.333333333331609</v>
      </c>
      <c r="K380" s="52">
        <f t="shared" si="107"/>
        <v>5.3240999999999997E-2</v>
      </c>
      <c r="L380" s="53">
        <f t="shared" si="87"/>
        <v>0.94675900000000002</v>
      </c>
      <c r="M380" s="52">
        <f t="shared" si="92"/>
        <v>1.1885717885391891E-6</v>
      </c>
      <c r="N380" s="58">
        <f t="shared" si="88"/>
        <v>6.5620689025726181E-2</v>
      </c>
      <c r="Q380" s="51">
        <f t="shared" si="93"/>
        <v>30.333333333333172</v>
      </c>
      <c r="R380" s="52">
        <f t="shared" si="94"/>
        <v>1.1885717885391891E-6</v>
      </c>
      <c r="S380" s="58">
        <f t="shared" si="106"/>
        <v>1.8094127414906701E-14</v>
      </c>
      <c r="T380" s="52">
        <f t="shared" si="89"/>
        <v>2.1506169383591632E-20</v>
      </c>
    </row>
    <row r="381" spans="2:20" ht="15.75" customHeight="1" x14ac:dyDescent="0.25">
      <c r="B381" s="33">
        <f t="shared" si="114"/>
        <v>43.416666666666679</v>
      </c>
      <c r="C381" s="34"/>
      <c r="D381" s="35">
        <f>(5/12)*D376</f>
        <v>1.6475000000000001E-3</v>
      </c>
      <c r="E381" s="36">
        <f>E376-(5/12)*F376</f>
        <v>953217.3195770497</v>
      </c>
      <c r="F381" s="36">
        <f t="shared" si="115"/>
        <v>314.60341592831537</v>
      </c>
      <c r="G381" s="31">
        <f t="shared" si="83"/>
        <v>0.99835249999999998</v>
      </c>
      <c r="H381" s="32"/>
      <c r="I381" s="51">
        <f t="shared" si="90"/>
        <v>30.416666666666504</v>
      </c>
      <c r="J381" s="51">
        <f t="shared" si="91"/>
        <v>95.416666666664938</v>
      </c>
      <c r="K381" s="52">
        <f t="shared" si="107"/>
        <v>6.6551250000000006E-2</v>
      </c>
      <c r="L381" s="53">
        <f t="shared" si="87"/>
        <v>0.93344874999999994</v>
      </c>
      <c r="M381" s="52">
        <f t="shared" si="92"/>
        <v>1.1252910379455741E-6</v>
      </c>
      <c r="N381" s="58">
        <f t="shared" si="88"/>
        <v>6.5147029509784043E-2</v>
      </c>
      <c r="Q381" s="51">
        <f t="shared" si="93"/>
        <v>30.416666666666504</v>
      </c>
      <c r="R381" s="52">
        <f t="shared" si="94"/>
        <v>1.1252910379455741E-6</v>
      </c>
      <c r="S381" s="58">
        <f t="shared" si="106"/>
        <v>1.6587602775573144E-14</v>
      </c>
      <c r="T381" s="52">
        <f t="shared" si="89"/>
        <v>1.8665880744353587E-20</v>
      </c>
    </row>
    <row r="382" spans="2:20" ht="15.75" customHeight="1" x14ac:dyDescent="0.25">
      <c r="B382" s="33">
        <f t="shared" si="114"/>
        <v>43.500000000000014</v>
      </c>
      <c r="C382" s="34"/>
      <c r="D382" s="35">
        <f>(6/12)*D376</f>
        <v>1.977E-3</v>
      </c>
      <c r="E382" s="36">
        <f>E376-(6/12)*F376</f>
        <v>952902.71616112138</v>
      </c>
      <c r="F382" s="36">
        <f t="shared" si="115"/>
        <v>314.60341592843179</v>
      </c>
      <c r="G382" s="31">
        <f t="shared" si="83"/>
        <v>0.99802299999999999</v>
      </c>
      <c r="H382" s="32"/>
      <c r="I382" s="51">
        <f t="shared" si="90"/>
        <v>30.499999999999837</v>
      </c>
      <c r="J382" s="51">
        <f t="shared" si="91"/>
        <v>95.499999999998266</v>
      </c>
      <c r="K382" s="52">
        <f t="shared" si="107"/>
        <v>7.9861500000000002E-2</v>
      </c>
      <c r="L382" s="53">
        <f t="shared" si="87"/>
        <v>0.92013849999999997</v>
      </c>
      <c r="M382" s="52">
        <f t="shared" si="92"/>
        <v>1.0504015127564986E-6</v>
      </c>
      <c r="N382" s="58">
        <f t="shared" si="88"/>
        <v>6.4676788935952592E-2</v>
      </c>
      <c r="Q382" s="51">
        <f t="shared" si="93"/>
        <v>30.499999999999837</v>
      </c>
      <c r="R382" s="52">
        <f t="shared" si="94"/>
        <v>1.0504015127564986E-6</v>
      </c>
      <c r="S382" s="58">
        <f t="shared" si="106"/>
        <v>1.5206512009721066E-14</v>
      </c>
      <c r="T382" s="52">
        <f t="shared" si="89"/>
        <v>1.5972943218760871E-20</v>
      </c>
    </row>
    <row r="383" spans="2:20" ht="15.75" customHeight="1" x14ac:dyDescent="0.25">
      <c r="B383" s="33">
        <f t="shared" si="114"/>
        <v>43.58333333333335</v>
      </c>
      <c r="C383" s="34"/>
      <c r="D383" s="35">
        <f>(7/12)*D376</f>
        <v>2.3065000000000004E-3</v>
      </c>
      <c r="E383" s="36">
        <f>E376-(7/12)*F376</f>
        <v>952588.11274519295</v>
      </c>
      <c r="F383" s="36">
        <f t="shared" si="115"/>
        <v>314.60341592831537</v>
      </c>
      <c r="G383" s="31">
        <f t="shared" si="83"/>
        <v>0.99769350000000001</v>
      </c>
      <c r="H383" s="32"/>
      <c r="I383" s="51">
        <f t="shared" si="90"/>
        <v>30.583333333333169</v>
      </c>
      <c r="J383" s="51">
        <f t="shared" si="91"/>
        <v>95.583333333331595</v>
      </c>
      <c r="K383" s="52">
        <f t="shared" si="107"/>
        <v>9.3171750000000012E-2</v>
      </c>
      <c r="L383" s="53">
        <f t="shared" si="87"/>
        <v>0.90682825</v>
      </c>
      <c r="M383" s="52">
        <f t="shared" si="92"/>
        <v>9.6651487234549535E-7</v>
      </c>
      <c r="N383" s="58">
        <f t="shared" si="88"/>
        <v>6.4209942625818833E-2</v>
      </c>
      <c r="Q383" s="51">
        <f t="shared" si="93"/>
        <v>30.583333333333169</v>
      </c>
      <c r="R383" s="52">
        <f t="shared" si="94"/>
        <v>9.6651487234549535E-7</v>
      </c>
      <c r="S383" s="58">
        <f t="shared" si="106"/>
        <v>1.394041144042298E-14</v>
      </c>
      <c r="T383" s="52">
        <f t="shared" si="89"/>
        <v>1.3473614983784099E-20</v>
      </c>
    </row>
    <row r="384" spans="2:20" ht="15.75" customHeight="1" x14ac:dyDescent="0.25">
      <c r="B384" s="33">
        <f t="shared" si="114"/>
        <v>43.666666666666686</v>
      </c>
      <c r="C384" s="34"/>
      <c r="D384" s="35">
        <f>(8/12)*D376</f>
        <v>2.6359999999999999E-3</v>
      </c>
      <c r="E384" s="36">
        <f>E376-(8/12)*F376</f>
        <v>952273.50932926463</v>
      </c>
      <c r="F384" s="36">
        <f t="shared" si="115"/>
        <v>314.60341592843179</v>
      </c>
      <c r="G384" s="31">
        <f t="shared" si="83"/>
        <v>0.99736400000000003</v>
      </c>
      <c r="H384" s="32"/>
      <c r="I384" s="51">
        <f t="shared" si="90"/>
        <v>30.666666666666501</v>
      </c>
      <c r="J384" s="51">
        <f t="shared" si="91"/>
        <v>95.666666666664923</v>
      </c>
      <c r="K384" s="52">
        <f t="shared" si="107"/>
        <v>0.10648199999999999</v>
      </c>
      <c r="L384" s="53">
        <f t="shared" si="87"/>
        <v>0.89351800000000003</v>
      </c>
      <c r="M384" s="52">
        <f t="shared" si="92"/>
        <v>8.7646299028803895E-7</v>
      </c>
      <c r="N384" s="58">
        <f t="shared" si="88"/>
        <v>6.3746466079102074E-2</v>
      </c>
      <c r="Q384" s="51">
        <f t="shared" si="93"/>
        <v>30.666666666666501</v>
      </c>
      <c r="R384" s="52">
        <f t="shared" si="94"/>
        <v>8.7646299028803895E-7</v>
      </c>
      <c r="S384" s="58">
        <f t="shared" si="106"/>
        <v>1.2779726935673521E-14</v>
      </c>
      <c r="T384" s="52">
        <f t="shared" si="89"/>
        <v>1.1200957685105011E-20</v>
      </c>
    </row>
    <row r="385" spans="2:20" ht="15.75" customHeight="1" x14ac:dyDescent="0.25">
      <c r="B385" s="33">
        <f t="shared" si="114"/>
        <v>43.750000000000021</v>
      </c>
      <c r="C385" s="34"/>
      <c r="D385" s="35">
        <f>(9/12)*D376</f>
        <v>2.9655000000000003E-3</v>
      </c>
      <c r="E385" s="36">
        <f>E376-(9/12)*F376</f>
        <v>951958.9059133362</v>
      </c>
      <c r="F385" s="36">
        <f t="shared" si="115"/>
        <v>314.60341592843179</v>
      </c>
      <c r="G385" s="31">
        <f t="shared" si="83"/>
        <v>0.99703450000000005</v>
      </c>
      <c r="H385" s="32"/>
      <c r="I385" s="51">
        <f t="shared" si="90"/>
        <v>30.749999999999833</v>
      </c>
      <c r="J385" s="51">
        <f t="shared" si="91"/>
        <v>95.749999999998252</v>
      </c>
      <c r="K385" s="52">
        <f t="shared" si="107"/>
        <v>0.11979225</v>
      </c>
      <c r="L385" s="53">
        <f t="shared" si="87"/>
        <v>0.88020774999999996</v>
      </c>
      <c r="M385" s="52">
        <f t="shared" si="92"/>
        <v>7.8313545815618806E-7</v>
      </c>
      <c r="N385" s="58">
        <f t="shared" si="88"/>
        <v>6.3286334972368172E-2</v>
      </c>
      <c r="Q385" s="51">
        <f t="shared" si="93"/>
        <v>30.749999999999833</v>
      </c>
      <c r="R385" s="52">
        <f t="shared" si="94"/>
        <v>7.8313545815618806E-7</v>
      </c>
      <c r="S385" s="58">
        <f t="shared" si="106"/>
        <v>1.1715681509714739E-14</v>
      </c>
      <c r="T385" s="52">
        <f t="shared" si="89"/>
        <v>9.1749656067224328E-21</v>
      </c>
    </row>
    <row r="386" spans="2:20" ht="15.75" customHeight="1" x14ac:dyDescent="0.25">
      <c r="B386" s="33">
        <f t="shared" si="114"/>
        <v>43.833333333333357</v>
      </c>
      <c r="C386" s="34"/>
      <c r="D386" s="35">
        <f>(10/12)*D376</f>
        <v>3.2950000000000002E-3</v>
      </c>
      <c r="E386" s="36">
        <f>E376-(10/12)*F376</f>
        <v>951644.30249740777</v>
      </c>
      <c r="F386" s="36">
        <f t="shared" si="115"/>
        <v>314.60341592831537</v>
      </c>
      <c r="G386" s="31">
        <f t="shared" si="83"/>
        <v>0.99670499999999995</v>
      </c>
      <c r="H386" s="32"/>
      <c r="I386" s="51">
        <f t="shared" si="90"/>
        <v>30.833333333333165</v>
      </c>
      <c r="J386" s="51">
        <f t="shared" si="91"/>
        <v>95.833333333331581</v>
      </c>
      <c r="K386" s="52">
        <f t="shared" si="107"/>
        <v>0.13310250000000001</v>
      </c>
      <c r="L386" s="53">
        <f t="shared" si="87"/>
        <v>0.86689749999999999</v>
      </c>
      <c r="M386" s="52">
        <f t="shared" si="92"/>
        <v>6.8932189956887743E-7</v>
      </c>
      <c r="N386" s="58">
        <f t="shared" si="88"/>
        <v>6.2829525157752961E-2</v>
      </c>
      <c r="Q386" s="51">
        <f t="shared" si="93"/>
        <v>30.833333333333165</v>
      </c>
      <c r="R386" s="52">
        <f t="shared" si="94"/>
        <v>6.8932189956887743E-7</v>
      </c>
      <c r="S386" s="58">
        <f t="shared" si="106"/>
        <v>1.0740228952304925E-14</v>
      </c>
      <c r="T386" s="52">
        <f t="shared" si="89"/>
        <v>7.4034750232074859E-21</v>
      </c>
    </row>
    <row r="387" spans="2:20" ht="15.75" customHeight="1" x14ac:dyDescent="0.25">
      <c r="B387" s="33">
        <f t="shared" si="114"/>
        <v>43.916666666666693</v>
      </c>
      <c r="C387" s="34"/>
      <c r="D387" s="35">
        <f>(11/12)*D376</f>
        <v>3.6244999999999997E-3</v>
      </c>
      <c r="E387" s="36">
        <f>E376-(11/12)*F376</f>
        <v>951329.69908147946</v>
      </c>
      <c r="F387" s="36">
        <f t="shared" si="115"/>
        <v>314.60341592843179</v>
      </c>
      <c r="G387" s="31">
        <f t="shared" si="83"/>
        <v>0.99637549999999997</v>
      </c>
      <c r="H387" s="32"/>
      <c r="I387" s="51">
        <f t="shared" si="90"/>
        <v>30.916666666666497</v>
      </c>
      <c r="J387" s="51">
        <f t="shared" si="91"/>
        <v>95.916666666664909</v>
      </c>
      <c r="K387" s="52">
        <f t="shared" si="107"/>
        <v>0.14641275000000001</v>
      </c>
      <c r="L387" s="53">
        <f t="shared" si="87"/>
        <v>0.85358725000000002</v>
      </c>
      <c r="M387" s="52">
        <f t="shared" si="92"/>
        <v>5.975714314315109E-7</v>
      </c>
      <c r="N387" s="58">
        <f t="shared" si="88"/>
        <v>6.2376012661695068E-2</v>
      </c>
      <c r="Q387" s="51">
        <f t="shared" si="93"/>
        <v>30.916666666666497</v>
      </c>
      <c r="R387" s="52">
        <f t="shared" si="94"/>
        <v>5.975714314315109E-7</v>
      </c>
      <c r="S387" s="58">
        <f t="shared" si="106"/>
        <v>9.8459929840425989E-15</v>
      </c>
      <c r="T387" s="52">
        <f t="shared" si="89"/>
        <v>5.883684121338949E-21</v>
      </c>
    </row>
    <row r="388" spans="2:20" ht="15.75" customHeight="1" x14ac:dyDescent="0.25">
      <c r="B388" s="27">
        <v>44</v>
      </c>
      <c r="C388" s="28">
        <v>4.258</v>
      </c>
      <c r="D388" s="29">
        <f>C388/1000</f>
        <v>4.2579999999999996E-3</v>
      </c>
      <c r="E388" s="30">
        <f>E376-F376</f>
        <v>951015.09566555102</v>
      </c>
      <c r="F388" s="48">
        <f>D388*E388</f>
        <v>4049.422277343916</v>
      </c>
      <c r="G388" s="31">
        <f t="shared" si="83"/>
        <v>0.99574200000000002</v>
      </c>
      <c r="H388" s="49"/>
      <c r="I388" s="51">
        <f t="shared" si="90"/>
        <v>30.999999999999829</v>
      </c>
      <c r="J388" s="51">
        <f t="shared" si="91"/>
        <v>95.999999999998238</v>
      </c>
      <c r="K388" s="52">
        <f t="shared" si="107"/>
        <v>0.16997000000000001</v>
      </c>
      <c r="L388" s="53">
        <f t="shared" si="87"/>
        <v>0.83003000000000005</v>
      </c>
      <c r="M388" s="52">
        <f t="shared" si="92"/>
        <v>5.1007935483418702E-7</v>
      </c>
      <c r="N388" s="58">
        <f t="shared" si="88"/>
        <v>6.1925773683677687E-2</v>
      </c>
      <c r="Q388" s="51">
        <f t="shared" si="93"/>
        <v>30.999999999999829</v>
      </c>
      <c r="R388" s="52">
        <f t="shared" si="94"/>
        <v>5.1007935483418702E-7</v>
      </c>
      <c r="S388" s="58">
        <f t="shared" si="106"/>
        <v>9.0262114776437207E-15</v>
      </c>
      <c r="T388" s="52">
        <f t="shared" si="89"/>
        <v>4.6040841271134432E-21</v>
      </c>
    </row>
    <row r="389" spans="2:20" ht="15.75" customHeight="1" x14ac:dyDescent="0.25">
      <c r="B389" s="33">
        <f t="shared" ref="B389:B399" si="116">B388+1/12</f>
        <v>44.083333333333336</v>
      </c>
      <c r="C389" s="34"/>
      <c r="D389" s="35">
        <f>(1/12)*D388</f>
        <v>3.548333333333333E-4</v>
      </c>
      <c r="E389" s="36">
        <f>E388-(1/12)*F388</f>
        <v>950677.64380910574</v>
      </c>
      <c r="F389" s="36">
        <f t="shared" ref="F389:F399" si="117">E389-E390</f>
        <v>337.4518564454047</v>
      </c>
      <c r="G389" s="31">
        <f t="shared" si="83"/>
        <v>0.9996451666666667</v>
      </c>
      <c r="H389" s="37"/>
      <c r="I389" s="51">
        <f t="shared" si="90"/>
        <v>31.083333333333162</v>
      </c>
      <c r="J389" s="51">
        <f t="shared" si="91"/>
        <v>96.083333333331566</v>
      </c>
      <c r="K389" s="52">
        <f t="shared" si="107"/>
        <v>1.4164166666666667E-2</v>
      </c>
      <c r="L389" s="53">
        <f t="shared" si="87"/>
        <v>0.98583583333333336</v>
      </c>
      <c r="M389" s="52">
        <f t="shared" si="92"/>
        <v>4.2338116689302029E-7</v>
      </c>
      <c r="N389" s="58">
        <f t="shared" si="88"/>
        <v>6.1478784594979595E-2</v>
      </c>
      <c r="Q389" s="51">
        <f t="shared" si="93"/>
        <v>31.083333333333162</v>
      </c>
      <c r="R389" s="52">
        <f t="shared" si="94"/>
        <v>4.2338116689302029E-7</v>
      </c>
      <c r="S389" s="58">
        <f t="shared" si="106"/>
        <v>8.2746853233787272E-15</v>
      </c>
      <c r="T389" s="52">
        <f t="shared" si="89"/>
        <v>3.5033459278846344E-21</v>
      </c>
    </row>
    <row r="390" spans="2:20" ht="15.75" customHeight="1" x14ac:dyDescent="0.25">
      <c r="B390" s="33">
        <f t="shared" si="116"/>
        <v>44.166666666666671</v>
      </c>
      <c r="C390" s="34"/>
      <c r="D390" s="35">
        <f>(2/12)*D388</f>
        <v>7.0966666666666661E-4</v>
      </c>
      <c r="E390" s="36">
        <f>E388-(2/12)*F388</f>
        <v>950340.19195266033</v>
      </c>
      <c r="F390" s="36">
        <f t="shared" si="117"/>
        <v>337.45185644528829</v>
      </c>
      <c r="G390" s="31">
        <f t="shared" si="83"/>
        <v>0.99929033333333328</v>
      </c>
      <c r="H390" s="32"/>
      <c r="I390" s="51">
        <f t="shared" si="90"/>
        <v>31.166666666666494</v>
      </c>
      <c r="J390" s="51">
        <f t="shared" si="91"/>
        <v>96.166666666664895</v>
      </c>
      <c r="K390" s="52">
        <f t="shared" si="107"/>
        <v>2.8328333333333334E-2</v>
      </c>
      <c r="L390" s="53">
        <f t="shared" si="87"/>
        <v>0.97167166666666671</v>
      </c>
      <c r="M390" s="52">
        <f t="shared" si="92"/>
        <v>4.1738432548161972E-7</v>
      </c>
      <c r="N390" s="58">
        <f t="shared" si="88"/>
        <v>6.1035021937434909E-2</v>
      </c>
      <c r="Q390" s="51">
        <f t="shared" si="93"/>
        <v>31.166666666666494</v>
      </c>
      <c r="R390" s="52">
        <f t="shared" si="94"/>
        <v>4.1738432548161972E-7</v>
      </c>
      <c r="S390" s="58">
        <f t="shared" si="106"/>
        <v>7.5857315519947713E-15</v>
      </c>
      <c r="T390" s="52">
        <f t="shared" si="89"/>
        <v>3.166165447113978E-21</v>
      </c>
    </row>
    <row r="391" spans="2:20" ht="15.75" customHeight="1" x14ac:dyDescent="0.25">
      <c r="B391" s="33">
        <f t="shared" si="116"/>
        <v>44.250000000000007</v>
      </c>
      <c r="C391" s="34"/>
      <c r="D391" s="35">
        <f>(3/12)*D388</f>
        <v>1.0644999999999999E-3</v>
      </c>
      <c r="E391" s="36">
        <f>E388-(3/12)*F388</f>
        <v>950002.74009621504</v>
      </c>
      <c r="F391" s="36">
        <f t="shared" si="117"/>
        <v>337.45185644528829</v>
      </c>
      <c r="G391" s="31">
        <f t="shared" si="83"/>
        <v>0.99893549999999998</v>
      </c>
      <c r="H391" s="32"/>
      <c r="I391" s="51">
        <f t="shared" si="90"/>
        <v>31.249999999999826</v>
      </c>
      <c r="J391" s="51">
        <f t="shared" si="91"/>
        <v>96.249999999998224</v>
      </c>
      <c r="K391" s="52">
        <f t="shared" si="107"/>
        <v>4.2492500000000002E-2</v>
      </c>
      <c r="L391" s="53">
        <f t="shared" si="87"/>
        <v>0.95750749999999996</v>
      </c>
      <c r="M391" s="52">
        <f t="shared" si="92"/>
        <v>4.0556052318126794E-7</v>
      </c>
      <c r="N391" s="58">
        <f t="shared" si="88"/>
        <v>6.0594462422202282E-2</v>
      </c>
      <c r="Q391" s="51">
        <f t="shared" si="93"/>
        <v>31.249999999999826</v>
      </c>
      <c r="R391" s="52">
        <f t="shared" si="94"/>
        <v>4.0556052318126794E-7</v>
      </c>
      <c r="S391" s="58">
        <f t="shared" si="106"/>
        <v>6.9541403606430886E-15</v>
      </c>
      <c r="T391" s="52">
        <f t="shared" si="89"/>
        <v>2.8203248029383825E-21</v>
      </c>
    </row>
    <row r="392" spans="2:20" ht="15.75" customHeight="1" x14ac:dyDescent="0.25">
      <c r="B392" s="33">
        <f t="shared" si="116"/>
        <v>44.333333333333343</v>
      </c>
      <c r="C392" s="34"/>
      <c r="D392" s="35">
        <f>(4/12)*D388</f>
        <v>1.4193333333333332E-3</v>
      </c>
      <c r="E392" s="36">
        <f>E388-(4/12)*F388</f>
        <v>949665.28823976975</v>
      </c>
      <c r="F392" s="36">
        <f t="shared" si="117"/>
        <v>337.4518564454047</v>
      </c>
      <c r="G392" s="31">
        <f t="shared" si="83"/>
        <v>0.99858066666666667</v>
      </c>
      <c r="H392" s="32"/>
      <c r="I392" s="51">
        <f t="shared" si="90"/>
        <v>31.333333333333158</v>
      </c>
      <c r="J392" s="51">
        <f t="shared" si="91"/>
        <v>96.333333333331552</v>
      </c>
      <c r="K392" s="52">
        <f t="shared" si="107"/>
        <v>5.6656666666666668E-2</v>
      </c>
      <c r="L392" s="53">
        <f t="shared" si="87"/>
        <v>0.94334333333333331</v>
      </c>
      <c r="M392" s="52">
        <f t="shared" si="92"/>
        <v>3.8832724264998787E-7</v>
      </c>
      <c r="N392" s="58">
        <f t="shared" si="88"/>
        <v>6.0157082928542584E-2</v>
      </c>
      <c r="Q392" s="51">
        <f t="shared" si="93"/>
        <v>31.333333333333158</v>
      </c>
      <c r="R392" s="52">
        <f t="shared" si="94"/>
        <v>3.8832724264998787E-7</v>
      </c>
      <c r="S392" s="58">
        <f t="shared" si="106"/>
        <v>6.3751357168456936E-15</v>
      </c>
      <c r="T392" s="52">
        <f t="shared" si="89"/>
        <v>2.4756388744421421E-21</v>
      </c>
    </row>
    <row r="393" spans="2:20" ht="15.75" customHeight="1" x14ac:dyDescent="0.25">
      <c r="B393" s="33">
        <f t="shared" si="116"/>
        <v>44.416666666666679</v>
      </c>
      <c r="C393" s="34"/>
      <c r="D393" s="35">
        <f>(5/12)*D388</f>
        <v>1.7741666666666665E-3</v>
      </c>
      <c r="E393" s="36">
        <f>E388-(5/12)*F388</f>
        <v>949327.83638332435</v>
      </c>
      <c r="F393" s="36">
        <f t="shared" si="117"/>
        <v>337.45185644528829</v>
      </c>
      <c r="G393" s="31">
        <f t="shared" si="83"/>
        <v>0.99822583333333337</v>
      </c>
      <c r="H393" s="32"/>
      <c r="I393" s="51">
        <f t="shared" si="90"/>
        <v>31.41666666666649</v>
      </c>
      <c r="J393" s="51">
        <f t="shared" si="91"/>
        <v>96.416666666664881</v>
      </c>
      <c r="K393" s="52">
        <f t="shared" si="107"/>
        <v>7.0820833333333347E-2</v>
      </c>
      <c r="L393" s="53">
        <f t="shared" si="87"/>
        <v>0.92917916666666667</v>
      </c>
      <c r="M393" s="52">
        <f t="shared" si="92"/>
        <v>3.6632591550558171E-7</v>
      </c>
      <c r="N393" s="58">
        <f t="shared" si="88"/>
        <v>5.972286050260537E-2</v>
      </c>
      <c r="Q393" s="51">
        <f t="shared" si="93"/>
        <v>31.41666666666649</v>
      </c>
      <c r="R393" s="52">
        <f t="shared" si="94"/>
        <v>3.6632591550558171E-7</v>
      </c>
      <c r="S393" s="58">
        <f t="shared" si="106"/>
        <v>5.8443392425923405E-15</v>
      </c>
      <c r="T393" s="52">
        <f t="shared" si="89"/>
        <v>2.140932923567837E-21</v>
      </c>
    </row>
    <row r="394" spans="2:20" ht="15.75" customHeight="1" x14ac:dyDescent="0.25">
      <c r="B394" s="33">
        <f t="shared" si="116"/>
        <v>44.500000000000014</v>
      </c>
      <c r="C394" s="34"/>
      <c r="D394" s="35">
        <f>(6/12)*D388</f>
        <v>2.1289999999999998E-3</v>
      </c>
      <c r="E394" s="36">
        <f>E388-(6/12)*F388</f>
        <v>948990.38452687906</v>
      </c>
      <c r="F394" s="36">
        <f t="shared" si="117"/>
        <v>337.45185644528829</v>
      </c>
      <c r="G394" s="31">
        <f t="shared" si="83"/>
        <v>0.99787099999999995</v>
      </c>
      <c r="H394" s="32"/>
      <c r="I394" s="51">
        <f t="shared" si="90"/>
        <v>31.499999999999822</v>
      </c>
      <c r="J394" s="51">
        <f t="shared" si="91"/>
        <v>96.499999999998209</v>
      </c>
      <c r="K394" s="52">
        <f t="shared" si="107"/>
        <v>8.4985000000000005E-2</v>
      </c>
      <c r="L394" s="53">
        <f t="shared" si="87"/>
        <v>0.91501500000000002</v>
      </c>
      <c r="M394" s="52">
        <f t="shared" si="92"/>
        <v>3.4038240889788016E-7</v>
      </c>
      <c r="N394" s="58">
        <f t="shared" si="88"/>
        <v>5.9291772356224348E-2</v>
      </c>
      <c r="Q394" s="51">
        <f t="shared" si="93"/>
        <v>31.499999999999822</v>
      </c>
      <c r="R394" s="52">
        <f t="shared" si="94"/>
        <v>3.4038240889788016E-7</v>
      </c>
      <c r="S394" s="58">
        <f t="shared" si="106"/>
        <v>5.3577371054627512E-15</v>
      </c>
      <c r="T394" s="52">
        <f t="shared" si="89"/>
        <v>1.8236794621989669E-21</v>
      </c>
    </row>
    <row r="395" spans="2:20" ht="15.75" customHeight="1" x14ac:dyDescent="0.25">
      <c r="B395" s="33">
        <f t="shared" si="116"/>
        <v>44.58333333333335</v>
      </c>
      <c r="C395" s="34"/>
      <c r="D395" s="35">
        <f>(7/12)*D388</f>
        <v>2.4838333333333331E-3</v>
      </c>
      <c r="E395" s="36">
        <f>E388-(7/12)*F388</f>
        <v>948652.93267043377</v>
      </c>
      <c r="F395" s="36">
        <f t="shared" si="117"/>
        <v>337.4518564454047</v>
      </c>
      <c r="G395" s="31">
        <f t="shared" si="83"/>
        <v>0.99751616666666665</v>
      </c>
      <c r="H395" s="32"/>
      <c r="I395" s="51">
        <f t="shared" si="90"/>
        <v>31.583333333333155</v>
      </c>
      <c r="J395" s="51">
        <f t="shared" si="91"/>
        <v>96.583333333331538</v>
      </c>
      <c r="K395" s="52">
        <f t="shared" si="107"/>
        <v>9.9149166666666677E-2</v>
      </c>
      <c r="L395" s="53">
        <f t="shared" si="87"/>
        <v>0.90085083333333338</v>
      </c>
      <c r="M395" s="52">
        <f t="shared" si="92"/>
        <v>3.114550098776938E-7</v>
      </c>
      <c r="N395" s="58">
        <f t="shared" si="88"/>
        <v>5.8863795865721602E-2</v>
      </c>
      <c r="Q395" s="51">
        <f t="shared" si="93"/>
        <v>31.583333333333155</v>
      </c>
      <c r="R395" s="52">
        <f t="shared" si="94"/>
        <v>3.114550098776938E-7</v>
      </c>
      <c r="S395" s="58">
        <f t="shared" si="106"/>
        <v>4.9116496664077145E-15</v>
      </c>
      <c r="T395" s="52">
        <f t="shared" si="89"/>
        <v>1.5297578953667862E-21</v>
      </c>
    </row>
    <row r="396" spans="2:20" ht="15.75" customHeight="1" x14ac:dyDescent="0.25">
      <c r="B396" s="33">
        <f t="shared" si="116"/>
        <v>44.666666666666686</v>
      </c>
      <c r="C396" s="34"/>
      <c r="D396" s="35">
        <f>(8/12)*D388</f>
        <v>2.8386666666666664E-3</v>
      </c>
      <c r="E396" s="36">
        <f>E388-(8/12)*F388</f>
        <v>948315.48081398837</v>
      </c>
      <c r="F396" s="36">
        <f t="shared" si="117"/>
        <v>337.45185644528829</v>
      </c>
      <c r="G396" s="31">
        <f t="shared" si="83"/>
        <v>0.99716133333333334</v>
      </c>
      <c r="H396" s="32"/>
      <c r="I396" s="51">
        <f t="shared" si="90"/>
        <v>31.666666666666487</v>
      </c>
      <c r="J396" s="51">
        <f t="shared" si="91"/>
        <v>96.666666666664867</v>
      </c>
      <c r="K396" s="52">
        <f t="shared" si="107"/>
        <v>0.11331333333333334</v>
      </c>
      <c r="L396" s="53">
        <f t="shared" si="87"/>
        <v>0.88668666666666662</v>
      </c>
      <c r="M396" s="52">
        <f t="shared" si="92"/>
        <v>2.8057450519416204E-7</v>
      </c>
      <c r="N396" s="58">
        <f t="shared" si="88"/>
        <v>5.8438908570720149E-2</v>
      </c>
      <c r="Q396" s="51">
        <f t="shared" si="93"/>
        <v>31.666666666666487</v>
      </c>
      <c r="R396" s="52">
        <f t="shared" si="94"/>
        <v>2.8057450519416204E-7</v>
      </c>
      <c r="S396" s="58">
        <f t="shared" si="106"/>
        <v>4.5027036546690315E-15</v>
      </c>
      <c r="T396" s="52">
        <f t="shared" si="89"/>
        <v>1.2633438499447086E-21</v>
      </c>
    </row>
    <row r="397" spans="2:20" ht="15.75" customHeight="1" x14ac:dyDescent="0.25">
      <c r="B397" s="33">
        <f t="shared" si="116"/>
        <v>44.750000000000021</v>
      </c>
      <c r="C397" s="34"/>
      <c r="D397" s="35">
        <f>(9/12)*D388</f>
        <v>3.1934999999999997E-3</v>
      </c>
      <c r="E397" s="36">
        <f>E388-(9/12)*F388</f>
        <v>947978.02895754308</v>
      </c>
      <c r="F397" s="36">
        <f t="shared" si="117"/>
        <v>337.45185644528829</v>
      </c>
      <c r="G397" s="31">
        <f t="shared" si="83"/>
        <v>0.99680650000000004</v>
      </c>
      <c r="H397" s="32"/>
      <c r="I397" s="51">
        <f t="shared" si="90"/>
        <v>31.749999999999819</v>
      </c>
      <c r="J397" s="51">
        <f t="shared" si="91"/>
        <v>96.749999999998195</v>
      </c>
      <c r="K397" s="52">
        <f t="shared" si="107"/>
        <v>0.12747750000000002</v>
      </c>
      <c r="L397" s="53">
        <f t="shared" si="87"/>
        <v>0.87252249999999998</v>
      </c>
      <c r="M397" s="52">
        <f t="shared" si="92"/>
        <v>2.487816727622609E-7</v>
      </c>
      <c r="N397" s="58">
        <f t="shared" si="88"/>
        <v>5.8017088172965095E-2</v>
      </c>
      <c r="Q397" s="51">
        <f t="shared" si="93"/>
        <v>31.749999999999819</v>
      </c>
      <c r="R397" s="52">
        <f t="shared" si="94"/>
        <v>2.487816727622609E-7</v>
      </c>
      <c r="S397" s="58">
        <f t="shared" si="106"/>
        <v>4.1278066594269069E-15</v>
      </c>
      <c r="T397" s="52">
        <f t="shared" si="89"/>
        <v>1.0269226455714261E-21</v>
      </c>
    </row>
    <row r="398" spans="2:20" ht="15.75" customHeight="1" x14ac:dyDescent="0.25">
      <c r="B398" s="33">
        <f t="shared" si="116"/>
        <v>44.833333333333357</v>
      </c>
      <c r="C398" s="34"/>
      <c r="D398" s="35">
        <f>(10/12)*D388</f>
        <v>3.548333333333333E-3</v>
      </c>
      <c r="E398" s="36">
        <f>E388-(10/12)*F388</f>
        <v>947640.57710109779</v>
      </c>
      <c r="F398" s="36">
        <f t="shared" si="117"/>
        <v>337.4518564454047</v>
      </c>
      <c r="G398" s="31">
        <f t="shared" si="83"/>
        <v>0.99645166666666662</v>
      </c>
      <c r="H398" s="32"/>
      <c r="I398" s="51">
        <f t="shared" si="90"/>
        <v>31.833333333333151</v>
      </c>
      <c r="J398" s="51">
        <f t="shared" si="91"/>
        <v>96.833333333331524</v>
      </c>
      <c r="K398" s="52">
        <f t="shared" si="107"/>
        <v>0.14164166666666669</v>
      </c>
      <c r="L398" s="53">
        <f t="shared" si="87"/>
        <v>0.85835833333333333</v>
      </c>
      <c r="M398" s="52">
        <f t="shared" si="92"/>
        <v>2.1706760707270978E-7</v>
      </c>
      <c r="N398" s="58">
        <f t="shared" si="88"/>
        <v>5.7598312535153566E-2</v>
      </c>
      <c r="Q398" s="51">
        <f t="shared" si="93"/>
        <v>31.833333333333151</v>
      </c>
      <c r="R398" s="52">
        <f t="shared" si="94"/>
        <v>2.1706760707270978E-7</v>
      </c>
      <c r="S398" s="58">
        <f t="shared" si="106"/>
        <v>3.7841237452838035E-15</v>
      </c>
      <c r="T398" s="52">
        <f t="shared" si="89"/>
        <v>8.2141068625577555E-22</v>
      </c>
    </row>
    <row r="399" spans="2:20" ht="15.75" customHeight="1" x14ac:dyDescent="0.25">
      <c r="B399" s="33">
        <f t="shared" si="116"/>
        <v>44.916666666666693</v>
      </c>
      <c r="C399" s="34"/>
      <c r="D399" s="35">
        <f>(11/12)*D388</f>
        <v>3.9031666666666663E-3</v>
      </c>
      <c r="E399" s="36">
        <f>E388-(11/12)*F388</f>
        <v>947303.12524465239</v>
      </c>
      <c r="F399" s="36">
        <f t="shared" si="117"/>
        <v>337.45185644528829</v>
      </c>
      <c r="G399" s="31">
        <f t="shared" si="83"/>
        <v>0.99609683333333332</v>
      </c>
      <c r="H399" s="32"/>
      <c r="I399" s="51">
        <f t="shared" si="90"/>
        <v>31.916666666666483</v>
      </c>
      <c r="J399" s="51">
        <f t="shared" si="91"/>
        <v>96.916666666664852</v>
      </c>
      <c r="K399" s="52">
        <f t="shared" si="107"/>
        <v>0.15580583333333334</v>
      </c>
      <c r="L399" s="53">
        <f t="shared" si="87"/>
        <v>0.84419416666666669</v>
      </c>
      <c r="M399" s="52">
        <f t="shared" si="92"/>
        <v>1.8632178942758604E-7</v>
      </c>
      <c r="N399" s="58">
        <f t="shared" si="88"/>
        <v>5.718255967977301E-2</v>
      </c>
      <c r="Q399" s="51">
        <f t="shared" si="93"/>
        <v>31.916666666666483</v>
      </c>
      <c r="R399" s="52">
        <f t="shared" si="94"/>
        <v>1.8632178942758604E-7</v>
      </c>
      <c r="S399" s="58">
        <f t="shared" si="106"/>
        <v>3.4690560147526171E-15</v>
      </c>
      <c r="T399" s="52">
        <f t="shared" si="89"/>
        <v>6.4636072429323794E-22</v>
      </c>
    </row>
    <row r="400" spans="2:20" ht="15.75" customHeight="1" x14ac:dyDescent="0.25">
      <c r="B400" s="27">
        <v>45</v>
      </c>
      <c r="C400" s="28">
        <v>4.585</v>
      </c>
      <c r="D400" s="29">
        <f>C400/1000</f>
        <v>4.5849999999999997E-3</v>
      </c>
      <c r="E400" s="30">
        <f>E388-F388</f>
        <v>946965.6733882071</v>
      </c>
      <c r="F400" s="48">
        <f>D400*E400</f>
        <v>4341.8376124849292</v>
      </c>
      <c r="G400" s="31">
        <f t="shared" si="83"/>
        <v>0.99541500000000005</v>
      </c>
      <c r="H400" s="49"/>
      <c r="I400" s="51">
        <f t="shared" si="90"/>
        <v>31.999999999999815</v>
      </c>
      <c r="J400" s="51">
        <f t="shared" si="91"/>
        <v>96.999999999998181</v>
      </c>
      <c r="K400" s="52">
        <f t="shared" si="107"/>
        <v>0.180733</v>
      </c>
      <c r="L400" s="53">
        <f t="shared" si="87"/>
        <v>0.81926699999999997</v>
      </c>
      <c r="M400" s="52">
        <f t="shared" si="92"/>
        <v>1.5729176775766314E-7</v>
      </c>
      <c r="N400" s="58">
        <f t="shared" si="88"/>
        <v>5.6769807787947629E-2</v>
      </c>
      <c r="Q400" s="51">
        <f t="shared" si="93"/>
        <v>31.999999999999815</v>
      </c>
      <c r="R400" s="52">
        <f t="shared" si="94"/>
        <v>1.5729176775766314E-7</v>
      </c>
      <c r="S400" s="58">
        <f t="shared" si="106"/>
        <v>3.1802209556412552E-15</v>
      </c>
      <c r="T400" s="52">
        <f t="shared" si="89"/>
        <v>5.0022257597277789E-22</v>
      </c>
    </row>
    <row r="401" spans="2:20" ht="15.75" customHeight="1" x14ac:dyDescent="0.25">
      <c r="B401" s="33">
        <f t="shared" ref="B401:B411" si="118">B400+1/12</f>
        <v>45.083333333333336</v>
      </c>
      <c r="C401" s="34"/>
      <c r="D401" s="35">
        <f>(1/12)*D400</f>
        <v>3.8208333333333329E-4</v>
      </c>
      <c r="E401" s="36">
        <f>E400-(1/12)*F400</f>
        <v>946603.85358716664</v>
      </c>
      <c r="F401" s="36">
        <f t="shared" ref="F401:F411" si="119">E401-E402</f>
        <v>361.81980104034301</v>
      </c>
      <c r="G401" s="31">
        <f t="shared" si="83"/>
        <v>0.99961791666666666</v>
      </c>
      <c r="H401" s="37"/>
      <c r="I401" s="51">
        <f t="shared" si="90"/>
        <v>32.083333333333151</v>
      </c>
      <c r="J401" s="51">
        <f t="shared" si="91"/>
        <v>97.08333333333151</v>
      </c>
      <c r="K401" s="52">
        <f t="shared" si="107"/>
        <v>1.5061083333333333E-2</v>
      </c>
      <c r="L401" s="53">
        <f t="shared" si="87"/>
        <v>0.98493891666666666</v>
      </c>
      <c r="M401" s="52">
        <f t="shared" si="92"/>
        <v>1.2886395469551741E-7</v>
      </c>
      <c r="N401" s="58">
        <f t="shared" si="88"/>
        <v>5.6360035198293391E-2</v>
      </c>
      <c r="Q401" s="51">
        <f t="shared" si="93"/>
        <v>32.083333333333151</v>
      </c>
      <c r="R401" s="52">
        <f t="shared" si="94"/>
        <v>1.2886395469551741E-7</v>
      </c>
      <c r="S401" s="58">
        <f t="shared" si="106"/>
        <v>2.9154344247222935E-15</v>
      </c>
      <c r="T401" s="52">
        <f t="shared" si="89"/>
        <v>3.7569440962516549E-22</v>
      </c>
    </row>
    <row r="402" spans="2:20" ht="15.75" customHeight="1" x14ac:dyDescent="0.25">
      <c r="B402" s="33">
        <f t="shared" si="118"/>
        <v>45.166666666666671</v>
      </c>
      <c r="C402" s="34"/>
      <c r="D402" s="35">
        <f>(2/12)*D400</f>
        <v>7.6416666666666657E-4</v>
      </c>
      <c r="E402" s="36">
        <f>E400-(2/12)*F400</f>
        <v>946242.0337861263</v>
      </c>
      <c r="F402" s="36">
        <f t="shared" si="119"/>
        <v>361.81980104045942</v>
      </c>
      <c r="G402" s="31">
        <f t="shared" si="83"/>
        <v>0.99923583333333332</v>
      </c>
      <c r="H402" s="32"/>
      <c r="I402" s="51">
        <f t="shared" si="90"/>
        <v>32.166666666666487</v>
      </c>
      <c r="J402" s="51">
        <f t="shared" si="91"/>
        <v>97.166666666664838</v>
      </c>
      <c r="K402" s="52">
        <f t="shared" si="107"/>
        <v>3.0122166666666665E-2</v>
      </c>
      <c r="L402" s="53">
        <f t="shared" si="87"/>
        <v>0.96987783333333333</v>
      </c>
      <c r="M402" s="52">
        <f t="shared" si="92"/>
        <v>1.2692312393518533E-7</v>
      </c>
      <c r="N402" s="58">
        <f t="shared" si="88"/>
        <v>5.5953220405781212E-2</v>
      </c>
      <c r="Q402" s="51">
        <f t="shared" si="93"/>
        <v>32.166666666666487</v>
      </c>
      <c r="R402" s="52">
        <f t="shared" si="94"/>
        <v>1.2692312393518533E-7</v>
      </c>
      <c r="S402" s="58">
        <f t="shared" ref="S402:S465" si="120">IF(Q402&lt;&gt;"",(1+$M$10)^-(12*Q402),"")</f>
        <v>2.6726941314497411E-15</v>
      </c>
      <c r="T402" s="52">
        <f t="shared" si="89"/>
        <v>3.3922668848683801E-22</v>
      </c>
    </row>
    <row r="403" spans="2:20" ht="15.75" customHeight="1" x14ac:dyDescent="0.25">
      <c r="B403" s="33">
        <f t="shared" si="118"/>
        <v>45.250000000000007</v>
      </c>
      <c r="C403" s="34"/>
      <c r="D403" s="35">
        <f>(3/12)*D400</f>
        <v>1.1462499999999999E-3</v>
      </c>
      <c r="E403" s="36">
        <f>E400-(3/12)*F400</f>
        <v>945880.21398508584</v>
      </c>
      <c r="F403" s="36">
        <f t="shared" si="119"/>
        <v>361.81980104034301</v>
      </c>
      <c r="G403" s="31">
        <f t="shared" si="83"/>
        <v>0.99885374999999998</v>
      </c>
      <c r="H403" s="32"/>
      <c r="I403" s="51">
        <f t="shared" si="90"/>
        <v>32.249999999999822</v>
      </c>
      <c r="J403" s="51">
        <f t="shared" si="91"/>
        <v>97.249999999998167</v>
      </c>
      <c r="K403" s="52">
        <f t="shared" si="107"/>
        <v>4.5183250000000001E-2</v>
      </c>
      <c r="L403" s="53">
        <f t="shared" si="87"/>
        <v>0.95481674999999999</v>
      </c>
      <c r="M403" s="52">
        <f t="shared" si="92"/>
        <v>1.230999244421557E-7</v>
      </c>
      <c r="N403" s="58">
        <f t="shared" si="88"/>
        <v>5.5549342060608457E-2</v>
      </c>
      <c r="Q403" s="51">
        <f t="shared" si="93"/>
        <v>32.249999999999822</v>
      </c>
      <c r="R403" s="52">
        <f t="shared" si="94"/>
        <v>1.230999244421557E-7</v>
      </c>
      <c r="S403" s="58">
        <f t="shared" si="120"/>
        <v>2.4501644968283973E-15</v>
      </c>
      <c r="T403" s="52">
        <f t="shared" si="89"/>
        <v>3.0161506443042813E-22</v>
      </c>
    </row>
    <row r="404" spans="2:20" ht="15.75" customHeight="1" x14ac:dyDescent="0.25">
      <c r="B404" s="33">
        <f t="shared" si="118"/>
        <v>45.333333333333343</v>
      </c>
      <c r="C404" s="34"/>
      <c r="D404" s="35">
        <f>(4/12)*D400</f>
        <v>1.5283333333333331E-3</v>
      </c>
      <c r="E404" s="36">
        <f>E400-(4/12)*F400</f>
        <v>945518.39418404549</v>
      </c>
      <c r="F404" s="36">
        <f t="shared" si="119"/>
        <v>361.81980104045942</v>
      </c>
      <c r="G404" s="31">
        <f t="shared" si="83"/>
        <v>0.99847166666666665</v>
      </c>
      <c r="H404" s="32"/>
      <c r="I404" s="51">
        <f t="shared" si="90"/>
        <v>32.333333333333158</v>
      </c>
      <c r="J404" s="51">
        <f t="shared" si="91"/>
        <v>97.333333333331495</v>
      </c>
      <c r="K404" s="52">
        <f t="shared" si="107"/>
        <v>6.024433333333333E-2</v>
      </c>
      <c r="L404" s="53">
        <f t="shared" si="87"/>
        <v>0.93975566666666666</v>
      </c>
      <c r="M404" s="52">
        <f t="shared" si="92"/>
        <v>1.1753786978110467E-7</v>
      </c>
      <c r="N404" s="58">
        <f t="shared" si="88"/>
        <v>5.5148378967078332E-2</v>
      </c>
      <c r="Q404" s="51">
        <f t="shared" si="93"/>
        <v>32.333333333333158</v>
      </c>
      <c r="R404" s="52">
        <f t="shared" si="94"/>
        <v>1.1753786978110467E-7</v>
      </c>
      <c r="S404" s="58">
        <f t="shared" si="120"/>
        <v>2.2461627729402602E-15</v>
      </c>
      <c r="T404" s="52">
        <f t="shared" si="89"/>
        <v>2.6400918751301728E-22</v>
      </c>
    </row>
    <row r="405" spans="2:20" ht="15.75" customHeight="1" x14ac:dyDescent="0.25">
      <c r="B405" s="33">
        <f t="shared" si="118"/>
        <v>45.416666666666679</v>
      </c>
      <c r="C405" s="34"/>
      <c r="D405" s="35">
        <f>(5/12)*D400</f>
        <v>1.9104166666666666E-3</v>
      </c>
      <c r="E405" s="36">
        <f>E400-(5/12)*F400</f>
        <v>945156.57438300503</v>
      </c>
      <c r="F405" s="36">
        <f t="shared" si="119"/>
        <v>361.81980104034301</v>
      </c>
      <c r="G405" s="31">
        <f t="shared" si="83"/>
        <v>0.99808958333333331</v>
      </c>
      <c r="H405" s="32"/>
      <c r="I405" s="51">
        <f t="shared" si="90"/>
        <v>32.416666666666494</v>
      </c>
      <c r="J405" s="51">
        <f t="shared" si="91"/>
        <v>97.416666666664824</v>
      </c>
      <c r="K405" s="52">
        <f t="shared" si="107"/>
        <v>7.5305416666666666E-2</v>
      </c>
      <c r="L405" s="53">
        <f t="shared" si="87"/>
        <v>0.92469458333333332</v>
      </c>
      <c r="M405" s="52">
        <f t="shared" si="92"/>
        <v>1.1045687917472187E-7</v>
      </c>
      <c r="N405" s="58">
        <f t="shared" si="88"/>
        <v>5.4750310082487673E-2</v>
      </c>
      <c r="Q405" s="51">
        <f t="shared" si="93"/>
        <v>32.416666666666494</v>
      </c>
      <c r="R405" s="52">
        <f t="shared" si="94"/>
        <v>1.1045687917472187E-7</v>
      </c>
      <c r="S405" s="58">
        <f t="shared" si="120"/>
        <v>2.0591463181649532E-15</v>
      </c>
      <c r="T405" s="52">
        <f t="shared" si="89"/>
        <v>2.2744687606861965E-22</v>
      </c>
    </row>
    <row r="406" spans="2:20" ht="15.75" customHeight="1" x14ac:dyDescent="0.25">
      <c r="B406" s="33">
        <f t="shared" si="118"/>
        <v>45.500000000000014</v>
      </c>
      <c r="C406" s="34"/>
      <c r="D406" s="35">
        <f>(6/12)*D400</f>
        <v>2.2924999999999998E-3</v>
      </c>
      <c r="E406" s="36">
        <f>E400-(6/12)*F400</f>
        <v>944794.75458196469</v>
      </c>
      <c r="F406" s="36">
        <f t="shared" si="119"/>
        <v>361.81980104045942</v>
      </c>
      <c r="G406" s="31">
        <f t="shared" si="83"/>
        <v>0.99770749999999997</v>
      </c>
      <c r="H406" s="32"/>
      <c r="I406" s="51">
        <f t="shared" si="90"/>
        <v>32.499999999999829</v>
      </c>
      <c r="J406" s="51">
        <f t="shared" si="91"/>
        <v>97.499999999998153</v>
      </c>
      <c r="K406" s="52">
        <f t="shared" si="107"/>
        <v>9.0366500000000002E-2</v>
      </c>
      <c r="L406" s="53">
        <f t="shared" si="87"/>
        <v>0.90963349999999998</v>
      </c>
      <c r="M406" s="52">
        <f t="shared" si="92"/>
        <v>1.0213887786476978E-7</v>
      </c>
      <c r="N406" s="58">
        <f t="shared" si="88"/>
        <v>5.4355114516022554E-2</v>
      </c>
      <c r="Q406" s="51">
        <f t="shared" si="93"/>
        <v>32.499999999999829</v>
      </c>
      <c r="R406" s="52">
        <f t="shared" si="94"/>
        <v>1.0213887786476978E-7</v>
      </c>
      <c r="S406" s="58">
        <f t="shared" si="120"/>
        <v>1.8877009318705696E-15</v>
      </c>
      <c r="T406" s="52">
        <f t="shared" si="89"/>
        <v>1.928076549255402E-22</v>
      </c>
    </row>
    <row r="407" spans="2:20" ht="15.75" customHeight="1" x14ac:dyDescent="0.25">
      <c r="B407" s="33">
        <f t="shared" si="118"/>
        <v>45.58333333333335</v>
      </c>
      <c r="C407" s="34"/>
      <c r="D407" s="35">
        <f>(7/12)*D400</f>
        <v>2.6745833333333335E-3</v>
      </c>
      <c r="E407" s="36">
        <f>E400-(7/12)*F400</f>
        <v>944432.93478092423</v>
      </c>
      <c r="F407" s="36">
        <f t="shared" si="119"/>
        <v>361.81980104045942</v>
      </c>
      <c r="G407" s="31">
        <f t="shared" si="83"/>
        <v>0.99732541666666663</v>
      </c>
      <c r="H407" s="32"/>
      <c r="I407" s="51">
        <f t="shared" si="90"/>
        <v>32.583333333333165</v>
      </c>
      <c r="J407" s="51">
        <f t="shared" si="91"/>
        <v>97.583333333331481</v>
      </c>
      <c r="K407" s="52">
        <f t="shared" si="107"/>
        <v>0.10542758333333334</v>
      </c>
      <c r="L407" s="53">
        <f t="shared" si="87"/>
        <v>0.89457241666666665</v>
      </c>
      <c r="M407" s="52">
        <f t="shared" si="92"/>
        <v>9.2908944958203054E-8</v>
      </c>
      <c r="N407" s="58">
        <f t="shared" si="88"/>
        <v>5.3962771527661879E-2</v>
      </c>
      <c r="Q407" s="51">
        <f t="shared" si="93"/>
        <v>32.583333333333165</v>
      </c>
      <c r="R407" s="52">
        <f t="shared" si="94"/>
        <v>9.2908944958203054E-8</v>
      </c>
      <c r="S407" s="58">
        <f t="shared" si="120"/>
        <v>1.730530160363068E-15</v>
      </c>
      <c r="T407" s="52">
        <f t="shared" si="89"/>
        <v>1.6078173141768259E-22</v>
      </c>
    </row>
    <row r="408" spans="2:20" ht="15.75" customHeight="1" x14ac:dyDescent="0.25">
      <c r="B408" s="33">
        <f t="shared" si="118"/>
        <v>45.666666666666686</v>
      </c>
      <c r="C408" s="34"/>
      <c r="D408" s="35">
        <f>(8/12)*D400</f>
        <v>3.0566666666666663E-3</v>
      </c>
      <c r="E408" s="36">
        <f>E400-(8/12)*F400</f>
        <v>944071.11497988377</v>
      </c>
      <c r="F408" s="36">
        <f t="shared" si="119"/>
        <v>361.81980104034301</v>
      </c>
      <c r="G408" s="31">
        <f t="shared" si="83"/>
        <v>0.99694333333333329</v>
      </c>
      <c r="H408" s="32"/>
      <c r="I408" s="51">
        <f t="shared" si="90"/>
        <v>32.666666666666501</v>
      </c>
      <c r="J408" s="51">
        <f t="shared" si="91"/>
        <v>97.66666666666481</v>
      </c>
      <c r="K408" s="52">
        <f t="shared" si="107"/>
        <v>0.12048866666666666</v>
      </c>
      <c r="L408" s="53">
        <f t="shared" si="87"/>
        <v>0.87951133333333331</v>
      </c>
      <c r="M408" s="52">
        <f t="shared" si="92"/>
        <v>8.3113779421210021E-8</v>
      </c>
      <c r="N408" s="58">
        <f t="shared" si="88"/>
        <v>5.3573260527089057E-2</v>
      </c>
      <c r="Q408" s="51">
        <f t="shared" si="93"/>
        <v>32.666666666666501</v>
      </c>
      <c r="R408" s="52">
        <f t="shared" si="94"/>
        <v>8.3113779421210021E-8</v>
      </c>
      <c r="S408" s="58">
        <f t="shared" si="120"/>
        <v>1.5864454932268574E-15</v>
      </c>
      <c r="T408" s="52">
        <f t="shared" si="89"/>
        <v>1.3185548078782976E-22</v>
      </c>
    </row>
    <row r="409" spans="2:20" ht="15.75" customHeight="1" x14ac:dyDescent="0.25">
      <c r="B409" s="33">
        <f t="shared" si="118"/>
        <v>45.750000000000021</v>
      </c>
      <c r="C409" s="34"/>
      <c r="D409" s="35">
        <f>(9/12)*D400</f>
        <v>3.43875E-3</v>
      </c>
      <c r="E409" s="36">
        <f>E400-(9/12)*F400</f>
        <v>943709.29517884343</v>
      </c>
      <c r="F409" s="36">
        <f t="shared" si="119"/>
        <v>361.81980104045942</v>
      </c>
      <c r="G409" s="31">
        <f t="shared" si="83"/>
        <v>0.99656124999999995</v>
      </c>
      <c r="H409" s="32"/>
      <c r="I409" s="51">
        <f t="shared" si="90"/>
        <v>32.749999999999837</v>
      </c>
      <c r="J409" s="51">
        <f t="shared" si="91"/>
        <v>97.749999999998138</v>
      </c>
      <c r="K409" s="52">
        <f t="shared" si="107"/>
        <v>0.13554975</v>
      </c>
      <c r="L409" s="53">
        <f t="shared" si="87"/>
        <v>0.86445024999999998</v>
      </c>
      <c r="M409" s="52">
        <f t="shared" si="92"/>
        <v>7.3099510957120981E-8</v>
      </c>
      <c r="N409" s="58">
        <f t="shared" si="88"/>
        <v>5.3186561072611278E-2</v>
      </c>
      <c r="Q409" s="51">
        <f t="shared" si="93"/>
        <v>32.749999999999837</v>
      </c>
      <c r="R409" s="52">
        <f t="shared" si="94"/>
        <v>7.3099510957120981E-8</v>
      </c>
      <c r="S409" s="58">
        <f t="shared" si="120"/>
        <v>1.4543573759221718E-15</v>
      </c>
      <c r="T409" s="52">
        <f t="shared" si="89"/>
        <v>1.0631281293679253E-22</v>
      </c>
    </row>
    <row r="410" spans="2:20" ht="15.75" customHeight="1" x14ac:dyDescent="0.25">
      <c r="B410" s="33">
        <f t="shared" si="118"/>
        <v>45.833333333333357</v>
      </c>
      <c r="C410" s="34"/>
      <c r="D410" s="35">
        <f>(10/12)*D400</f>
        <v>3.8208333333333332E-3</v>
      </c>
      <c r="E410" s="36">
        <f>E400-(10/12)*F400</f>
        <v>943347.47537780297</v>
      </c>
      <c r="F410" s="36">
        <f t="shared" si="119"/>
        <v>361.81980104034301</v>
      </c>
      <c r="G410" s="31">
        <f t="shared" si="83"/>
        <v>0.99617916666666662</v>
      </c>
      <c r="H410" s="32"/>
      <c r="I410" s="51">
        <f t="shared" si="90"/>
        <v>32.833333333333172</v>
      </c>
      <c r="J410" s="51">
        <f t="shared" si="91"/>
        <v>97.833333333331467</v>
      </c>
      <c r="K410" s="52">
        <f t="shared" si="107"/>
        <v>0.15061083333333333</v>
      </c>
      <c r="L410" s="53">
        <f t="shared" si="87"/>
        <v>0.84938916666666664</v>
      </c>
      <c r="M410" s="52">
        <f t="shared" si="92"/>
        <v>6.3190890521760964E-8</v>
      </c>
      <c r="N410" s="58">
        <f t="shared" si="88"/>
        <v>5.2802652870086841E-2</v>
      </c>
      <c r="Q410" s="51">
        <f t="shared" si="93"/>
        <v>32.833333333333172</v>
      </c>
      <c r="R410" s="52">
        <f t="shared" si="94"/>
        <v>6.3190890521760964E-8</v>
      </c>
      <c r="S410" s="58">
        <f t="shared" si="120"/>
        <v>1.3332669706773085E-15</v>
      </c>
      <c r="T410" s="52">
        <f t="shared" si="89"/>
        <v>8.425032718034969E-23</v>
      </c>
    </row>
    <row r="411" spans="2:20" ht="15.75" customHeight="1" x14ac:dyDescent="0.25">
      <c r="B411" s="33">
        <f t="shared" si="118"/>
        <v>45.916666666666693</v>
      </c>
      <c r="C411" s="34"/>
      <c r="D411" s="35">
        <f>(11/12)*D400</f>
        <v>4.2029166666666664E-3</v>
      </c>
      <c r="E411" s="36">
        <f>E400-(11/12)*F400</f>
        <v>942985.65557676263</v>
      </c>
      <c r="F411" s="36">
        <f t="shared" si="119"/>
        <v>361.81980104045942</v>
      </c>
      <c r="G411" s="31">
        <f t="shared" si="83"/>
        <v>0.99579708333333339</v>
      </c>
      <c r="H411" s="32"/>
      <c r="I411" s="51">
        <f t="shared" si="90"/>
        <v>32.916666666666508</v>
      </c>
      <c r="J411" s="51">
        <f t="shared" si="91"/>
        <v>97.916666666664796</v>
      </c>
      <c r="K411" s="52">
        <f t="shared" si="107"/>
        <v>0.16567191666666667</v>
      </c>
      <c r="L411" s="53">
        <f t="shared" si="87"/>
        <v>0.8343280833333333</v>
      </c>
      <c r="M411" s="52">
        <f t="shared" si="92"/>
        <v>5.3673657841203112E-8</v>
      </c>
      <c r="N411" s="58">
        <f t="shared" si="88"/>
        <v>5.2421515771860078E-2</v>
      </c>
      <c r="Q411" s="51">
        <f t="shared" si="93"/>
        <v>32.916666666666508</v>
      </c>
      <c r="R411" s="52">
        <f t="shared" si="94"/>
        <v>5.3673657841203112E-8</v>
      </c>
      <c r="S411" s="58">
        <f t="shared" si="120"/>
        <v>1.2222586033724446E-15</v>
      </c>
      <c r="T411" s="52">
        <f t="shared" si="89"/>
        <v>6.560309007087938E-23</v>
      </c>
    </row>
    <row r="412" spans="2:20" ht="15.75" customHeight="1" x14ac:dyDescent="0.25">
      <c r="B412" s="27">
        <v>46</v>
      </c>
      <c r="C412" s="28">
        <v>4.9379999999999997</v>
      </c>
      <c r="D412" s="29">
        <f>C412/1000</f>
        <v>4.9379999999999997E-3</v>
      </c>
      <c r="E412" s="30">
        <f>E400-F400</f>
        <v>942623.83577572217</v>
      </c>
      <c r="F412" s="48">
        <f>D412*E412</f>
        <v>4654.6765010605159</v>
      </c>
      <c r="G412" s="31">
        <f t="shared" si="83"/>
        <v>0.995062</v>
      </c>
      <c r="H412" s="49"/>
      <c r="I412" s="51">
        <f t="shared" si="90"/>
        <v>32.999999999999844</v>
      </c>
      <c r="J412" s="51">
        <f t="shared" si="91"/>
        <v>97.999999999998124</v>
      </c>
      <c r="K412" s="52">
        <f t="shared" si="107"/>
        <v>0.19202000000000002</v>
      </c>
      <c r="L412" s="53">
        <f t="shared" si="87"/>
        <v>0.80797999999999992</v>
      </c>
      <c r="M412" s="52">
        <f t="shared" si="92"/>
        <v>4.4781440072140126E-8</v>
      </c>
      <c r="N412" s="58">
        <f t="shared" si="88"/>
        <v>5.2043129775703904E-2</v>
      </c>
      <c r="Q412" s="51">
        <f t="shared" si="93"/>
        <v>32.999999999999844</v>
      </c>
      <c r="R412" s="52">
        <f t="shared" si="94"/>
        <v>4.4781440072140126E-8</v>
      </c>
      <c r="S412" s="58">
        <f t="shared" si="120"/>
        <v>1.1204928392991155E-15</v>
      </c>
      <c r="T412" s="52">
        <f t="shared" si="89"/>
        <v>5.0177282934335475E-23</v>
      </c>
    </row>
    <row r="413" spans="2:20" ht="15.75" customHeight="1" x14ac:dyDescent="0.25">
      <c r="B413" s="33">
        <f t="shared" ref="B413:B423" si="121">B412+1/12</f>
        <v>46.083333333333336</v>
      </c>
      <c r="C413" s="34"/>
      <c r="D413" s="35">
        <f>(1/12)*D412</f>
        <v>4.1149999999999997E-4</v>
      </c>
      <c r="E413" s="36">
        <f>E412-(1/12)*F412</f>
        <v>942235.94606730051</v>
      </c>
      <c r="F413" s="36">
        <f t="shared" ref="F413:F423" si="122">E413-E414</f>
        <v>387.88970842177514</v>
      </c>
      <c r="G413" s="31">
        <f t="shared" si="83"/>
        <v>0.99958849999999999</v>
      </c>
      <c r="H413" s="37"/>
      <c r="I413" s="51">
        <f t="shared" si="90"/>
        <v>33.083333333333179</v>
      </c>
      <c r="J413" s="51">
        <f t="shared" si="91"/>
        <v>98.083333333331453</v>
      </c>
      <c r="K413" s="52">
        <f t="shared" si="107"/>
        <v>1.6001666666666668E-2</v>
      </c>
      <c r="L413" s="53">
        <f t="shared" si="87"/>
        <v>0.98399833333333331</v>
      </c>
      <c r="M413" s="52">
        <f t="shared" si="92"/>
        <v>3.6182507949487775E-8</v>
      </c>
      <c r="N413" s="58">
        <f t="shared" si="88"/>
        <v>5.1667475023770268E-2</v>
      </c>
      <c r="Q413" s="51">
        <f t="shared" si="93"/>
        <v>33.083333333333179</v>
      </c>
      <c r="R413" s="52">
        <f t="shared" si="94"/>
        <v>3.6182507949487775E-8</v>
      </c>
      <c r="S413" s="58">
        <f t="shared" si="120"/>
        <v>1.0272001354348637E-15</v>
      </c>
      <c r="T413" s="52">
        <f t="shared" si="89"/>
        <v>3.7166677066086873E-23</v>
      </c>
    </row>
    <row r="414" spans="2:20" ht="15.75" customHeight="1" x14ac:dyDescent="0.25">
      <c r="B414" s="33">
        <f t="shared" si="121"/>
        <v>46.166666666666671</v>
      </c>
      <c r="C414" s="34"/>
      <c r="D414" s="35">
        <f>(2/12)*D412</f>
        <v>8.2299999999999995E-4</v>
      </c>
      <c r="E414" s="36">
        <f>E412-(2/12)*F412</f>
        <v>941848.05635887873</v>
      </c>
      <c r="F414" s="36">
        <f t="shared" si="122"/>
        <v>387.88970842165872</v>
      </c>
      <c r="G414" s="31">
        <f t="shared" si="83"/>
        <v>0.99917699999999998</v>
      </c>
      <c r="H414" s="32"/>
      <c r="I414" s="51">
        <f t="shared" si="90"/>
        <v>33.166666666666515</v>
      </c>
      <c r="J414" s="51">
        <f t="shared" si="91"/>
        <v>98.166666666664781</v>
      </c>
      <c r="K414" s="52">
        <f t="shared" si="107"/>
        <v>3.2003333333333335E-2</v>
      </c>
      <c r="L414" s="53">
        <f t="shared" si="87"/>
        <v>0.96799666666666662</v>
      </c>
      <c r="M414" s="52">
        <f t="shared" si="92"/>
        <v>3.5603527518116055E-8</v>
      </c>
      <c r="N414" s="58">
        <f t="shared" si="88"/>
        <v>5.1294531801547798E-2</v>
      </c>
      <c r="Q414" s="51">
        <f t="shared" si="93"/>
        <v>33.166666666666515</v>
      </c>
      <c r="R414" s="52">
        <f t="shared" si="94"/>
        <v>3.5603527518116055E-8</v>
      </c>
      <c r="S414" s="58">
        <f t="shared" si="120"/>
        <v>9.4167502123209272E-16</v>
      </c>
      <c r="T414" s="52">
        <f t="shared" si="89"/>
        <v>3.3526952531559334E-23</v>
      </c>
    </row>
    <row r="415" spans="2:20" ht="15.75" customHeight="1" x14ac:dyDescent="0.25">
      <c r="B415" s="33">
        <f t="shared" si="121"/>
        <v>46.250000000000007</v>
      </c>
      <c r="C415" s="34"/>
      <c r="D415" s="35">
        <f>(3/12)*D412</f>
        <v>1.2344999999999999E-3</v>
      </c>
      <c r="E415" s="36">
        <f>E412-(3/12)*F412</f>
        <v>941460.16665045707</v>
      </c>
      <c r="F415" s="36">
        <f t="shared" si="122"/>
        <v>387.88970842177514</v>
      </c>
      <c r="G415" s="31">
        <f t="shared" si="83"/>
        <v>0.99876549999999997</v>
      </c>
      <c r="H415" s="32"/>
      <c r="I415" s="51">
        <f t="shared" si="90"/>
        <v>33.249999999999851</v>
      </c>
      <c r="J415" s="51">
        <f t="shared" si="91"/>
        <v>98.24999999999811</v>
      </c>
      <c r="K415" s="52">
        <f t="shared" si="107"/>
        <v>4.8005000000000006E-2</v>
      </c>
      <c r="L415" s="53">
        <f t="shared" si="87"/>
        <v>0.95199500000000004</v>
      </c>
      <c r="M415" s="52">
        <f t="shared" si="92"/>
        <v>3.4464095959111279E-8</v>
      </c>
      <c r="N415" s="58">
        <f t="shared" si="88"/>
        <v>5.0924280536827363E-2</v>
      </c>
      <c r="Q415" s="51">
        <f t="shared" si="93"/>
        <v>33.249999999999851</v>
      </c>
      <c r="R415" s="52">
        <f t="shared" si="94"/>
        <v>3.4464095959111279E-8</v>
      </c>
      <c r="S415" s="58">
        <f t="shared" si="120"/>
        <v>8.6327076391695638E-16</v>
      </c>
      <c r="T415" s="52">
        <f t="shared" si="89"/>
        <v>2.9751846446329282E-23</v>
      </c>
    </row>
    <row r="416" spans="2:20" ht="15.75" customHeight="1" x14ac:dyDescent="0.25">
      <c r="B416" s="33">
        <f t="shared" si="121"/>
        <v>46.333333333333343</v>
      </c>
      <c r="C416" s="34"/>
      <c r="D416" s="35">
        <f>(4/12)*D412</f>
        <v>1.6459999999999999E-3</v>
      </c>
      <c r="E416" s="36">
        <f>E412-(4/12)*F412</f>
        <v>941072.2769420353</v>
      </c>
      <c r="F416" s="36">
        <f t="shared" si="122"/>
        <v>387.88970842165872</v>
      </c>
      <c r="G416" s="31">
        <f t="shared" si="83"/>
        <v>0.99835399999999996</v>
      </c>
      <c r="H416" s="32"/>
      <c r="I416" s="51">
        <f t="shared" si="90"/>
        <v>33.333333333333186</v>
      </c>
      <c r="J416" s="51">
        <f t="shared" si="91"/>
        <v>98.333333333331439</v>
      </c>
      <c r="K416" s="52">
        <f t="shared" si="107"/>
        <v>6.400666666666667E-2</v>
      </c>
      <c r="L416" s="53">
        <f t="shared" si="87"/>
        <v>0.93599333333333334</v>
      </c>
      <c r="M416" s="52">
        <f t="shared" si="92"/>
        <v>3.2809647032594143E-8</v>
      </c>
      <c r="N416" s="58">
        <f t="shared" si="88"/>
        <v>5.0556701798674844E-2</v>
      </c>
      <c r="Q416" s="51">
        <f t="shared" si="93"/>
        <v>33.333333333333186</v>
      </c>
      <c r="R416" s="52">
        <f t="shared" si="94"/>
        <v>3.2809647032594143E-8</v>
      </c>
      <c r="S416" s="58">
        <f t="shared" si="120"/>
        <v>7.9139447795769237E-16</v>
      </c>
      <c r="T416" s="52">
        <f t="shared" si="89"/>
        <v>2.5965373485335993E-23</v>
      </c>
    </row>
    <row r="417" spans="2:20" ht="15.75" customHeight="1" x14ac:dyDescent="0.25">
      <c r="B417" s="33">
        <f t="shared" si="121"/>
        <v>46.416666666666679</v>
      </c>
      <c r="C417" s="34"/>
      <c r="D417" s="35">
        <f>(5/12)*D412</f>
        <v>2.0574999999999999E-3</v>
      </c>
      <c r="E417" s="36">
        <f>E412-(5/12)*F412</f>
        <v>940684.38723361364</v>
      </c>
      <c r="F417" s="36">
        <f t="shared" si="122"/>
        <v>387.88970842177514</v>
      </c>
      <c r="G417" s="31">
        <f t="shared" si="83"/>
        <v>0.99794249999999995</v>
      </c>
      <c r="H417" s="32"/>
      <c r="I417" s="51">
        <f t="shared" si="90"/>
        <v>33.416666666666522</v>
      </c>
      <c r="J417" s="51">
        <f t="shared" si="91"/>
        <v>98.416666666664767</v>
      </c>
      <c r="K417" s="52">
        <f t="shared" si="107"/>
        <v>8.0008333333333348E-2</v>
      </c>
      <c r="L417" s="53">
        <f t="shared" si="87"/>
        <v>0.91999166666666665</v>
      </c>
      <c r="M417" s="52">
        <f t="shared" si="92"/>
        <v>3.0709610891527902E-8</v>
      </c>
      <c r="N417" s="58">
        <f t="shared" si="88"/>
        <v>5.0191776296411299E-2</v>
      </c>
      <c r="Q417" s="51">
        <f t="shared" si="93"/>
        <v>33.416666666666522</v>
      </c>
      <c r="R417" s="52">
        <f t="shared" si="94"/>
        <v>3.0709610891527902E-8</v>
      </c>
      <c r="S417" s="58">
        <f t="shared" si="120"/>
        <v>7.2550264172061339E-16</v>
      </c>
      <c r="T417" s="52">
        <f t="shared" si="89"/>
        <v>2.2279903828015615E-23</v>
      </c>
    </row>
    <row r="418" spans="2:20" ht="15.75" customHeight="1" x14ac:dyDescent="0.25">
      <c r="B418" s="33">
        <f t="shared" si="121"/>
        <v>46.500000000000014</v>
      </c>
      <c r="C418" s="34"/>
      <c r="D418" s="35">
        <f>(6/12)*D412</f>
        <v>2.4689999999999998E-3</v>
      </c>
      <c r="E418" s="36">
        <f>E412-(6/12)*F412</f>
        <v>940296.49752519187</v>
      </c>
      <c r="F418" s="36">
        <f t="shared" si="122"/>
        <v>387.88970842165872</v>
      </c>
      <c r="G418" s="31">
        <f t="shared" si="83"/>
        <v>0.99753099999999995</v>
      </c>
      <c r="H418" s="32"/>
      <c r="I418" s="51">
        <f t="shared" si="90"/>
        <v>33.499999999999858</v>
      </c>
      <c r="J418" s="51">
        <f t="shared" si="91"/>
        <v>98.499999999998096</v>
      </c>
      <c r="K418" s="52">
        <f t="shared" si="107"/>
        <v>9.6010000000000012E-2</v>
      </c>
      <c r="L418" s="53">
        <f t="shared" si="87"/>
        <v>0.90398999999999996</v>
      </c>
      <c r="M418" s="52">
        <f t="shared" si="92"/>
        <v>2.8252586106781574E-8</v>
      </c>
      <c r="N418" s="58">
        <f t="shared" si="88"/>
        <v>4.9829484878600776E-2</v>
      </c>
      <c r="Q418" s="51">
        <f t="shared" si="93"/>
        <v>33.499999999999858</v>
      </c>
      <c r="R418" s="52">
        <f t="shared" si="94"/>
        <v>2.8252586106781574E-8</v>
      </c>
      <c r="S418" s="58">
        <f t="shared" si="120"/>
        <v>6.6509698741129096E-16</v>
      </c>
      <c r="T418" s="52">
        <f t="shared" si="89"/>
        <v>1.879070990619852E-23</v>
      </c>
    </row>
    <row r="419" spans="2:20" ht="15.75" customHeight="1" x14ac:dyDescent="0.25">
      <c r="B419" s="33">
        <f t="shared" si="121"/>
        <v>46.58333333333335</v>
      </c>
      <c r="C419" s="34"/>
      <c r="D419" s="35">
        <f>(7/12)*D412</f>
        <v>2.8804999999999998E-3</v>
      </c>
      <c r="E419" s="36">
        <f>E412-(7/12)*F412</f>
        <v>939908.60781677021</v>
      </c>
      <c r="F419" s="36">
        <f t="shared" si="122"/>
        <v>387.88970842165872</v>
      </c>
      <c r="G419" s="31">
        <f t="shared" si="83"/>
        <v>0.99711950000000005</v>
      </c>
      <c r="H419" s="32"/>
      <c r="I419" s="51">
        <f t="shared" si="90"/>
        <v>33.583333333333194</v>
      </c>
      <c r="J419" s="51">
        <f t="shared" si="91"/>
        <v>98.583333333331424</v>
      </c>
      <c r="K419" s="52">
        <f t="shared" si="107"/>
        <v>0.11201166666666669</v>
      </c>
      <c r="L419" s="53">
        <f t="shared" si="87"/>
        <v>0.88798833333333327</v>
      </c>
      <c r="M419" s="52">
        <f t="shared" si="92"/>
        <v>2.5540055314669474E-8</v>
      </c>
      <c r="N419" s="58">
        <f t="shared" si="88"/>
        <v>4.9469808532045009E-2</v>
      </c>
      <c r="Q419" s="51">
        <f t="shared" si="93"/>
        <v>33.583333333333194</v>
      </c>
      <c r="R419" s="52">
        <f t="shared" si="94"/>
        <v>2.5540055314669474E-8</v>
      </c>
      <c r="S419" s="58">
        <f t="shared" si="120"/>
        <v>6.0972073322087603E-16</v>
      </c>
      <c r="T419" s="52">
        <f t="shared" si="89"/>
        <v>1.5572301252962003E-23</v>
      </c>
    </row>
    <row r="420" spans="2:20" ht="15.75" customHeight="1" x14ac:dyDescent="0.25">
      <c r="B420" s="33">
        <f t="shared" si="121"/>
        <v>46.666666666666686</v>
      </c>
      <c r="C420" s="34"/>
      <c r="D420" s="35">
        <f>(8/12)*D412</f>
        <v>3.2919999999999998E-3</v>
      </c>
      <c r="E420" s="36">
        <f>E412-(8/12)*F412</f>
        <v>939520.71810834855</v>
      </c>
      <c r="F420" s="36">
        <f t="shared" si="122"/>
        <v>387.88970842177514</v>
      </c>
      <c r="G420" s="31">
        <f t="shared" si="83"/>
        <v>0.99670800000000004</v>
      </c>
      <c r="H420" s="32"/>
      <c r="I420" s="51">
        <f t="shared" si="90"/>
        <v>33.666666666666529</v>
      </c>
      <c r="J420" s="51">
        <f t="shared" si="91"/>
        <v>98.666666666664753</v>
      </c>
      <c r="K420" s="52">
        <f t="shared" si="107"/>
        <v>0.12801333333333334</v>
      </c>
      <c r="L420" s="53">
        <f t="shared" si="87"/>
        <v>0.87198666666666669</v>
      </c>
      <c r="M420" s="52">
        <f t="shared" si="92"/>
        <v>2.2679271152114486E-8</v>
      </c>
      <c r="N420" s="58">
        <f t="shared" si="88"/>
        <v>4.9112728380785786E-2</v>
      </c>
      <c r="Q420" s="51">
        <f t="shared" si="93"/>
        <v>33.666666666666529</v>
      </c>
      <c r="R420" s="52">
        <f t="shared" si="94"/>
        <v>2.2679271152114486E-8</v>
      </c>
      <c r="S420" s="58">
        <f t="shared" si="120"/>
        <v>5.5895512918555269E-16</v>
      </c>
      <c r="T420" s="52">
        <f t="shared" si="89"/>
        <v>1.2676694936664331E-23</v>
      </c>
    </row>
    <row r="421" spans="2:20" ht="15.75" customHeight="1" x14ac:dyDescent="0.25">
      <c r="B421" s="33">
        <f t="shared" si="121"/>
        <v>46.750000000000021</v>
      </c>
      <c r="C421" s="34"/>
      <c r="D421" s="35">
        <f>(9/12)*D412</f>
        <v>3.7034999999999998E-3</v>
      </c>
      <c r="E421" s="36">
        <f>E412-(9/12)*F412</f>
        <v>939132.82839992677</v>
      </c>
      <c r="F421" s="36">
        <f t="shared" si="122"/>
        <v>387.88970842165872</v>
      </c>
      <c r="G421" s="31">
        <f t="shared" si="83"/>
        <v>0.99629650000000003</v>
      </c>
      <c r="H421" s="32"/>
      <c r="I421" s="51">
        <f t="shared" si="90"/>
        <v>33.749999999999865</v>
      </c>
      <c r="J421" s="51">
        <f t="shared" si="91"/>
        <v>98.749999999998082</v>
      </c>
      <c r="K421" s="52">
        <f t="shared" si="107"/>
        <v>0.144015</v>
      </c>
      <c r="L421" s="53">
        <f t="shared" si="87"/>
        <v>0.855985</v>
      </c>
      <c r="M421" s="52">
        <f t="shared" si="92"/>
        <v>1.9776022054361805E-8</v>
      </c>
      <c r="N421" s="58">
        <f t="shared" si="88"/>
        <v>4.8758225685114301E-2</v>
      </c>
      <c r="Q421" s="51">
        <f t="shared" si="93"/>
        <v>33.749999999999865</v>
      </c>
      <c r="R421" s="52">
        <f t="shared" si="94"/>
        <v>1.9776022054361805E-8</v>
      </c>
      <c r="S421" s="58">
        <f t="shared" si="120"/>
        <v>5.124162906391727E-16</v>
      </c>
      <c r="T421" s="52">
        <f t="shared" si="89"/>
        <v>1.0133555864694548E-23</v>
      </c>
    </row>
    <row r="422" spans="2:20" ht="15.75" customHeight="1" x14ac:dyDescent="0.25">
      <c r="B422" s="33">
        <f t="shared" si="121"/>
        <v>46.833333333333357</v>
      </c>
      <c r="C422" s="34"/>
      <c r="D422" s="35">
        <f>(10/12)*D412</f>
        <v>4.1149999999999997E-3</v>
      </c>
      <c r="E422" s="36">
        <f>E412-(10/12)*F412</f>
        <v>938744.93869150511</v>
      </c>
      <c r="F422" s="36">
        <f t="shared" si="122"/>
        <v>387.88970842177514</v>
      </c>
      <c r="G422" s="31">
        <f t="shared" si="83"/>
        <v>0.99588500000000002</v>
      </c>
      <c r="H422" s="32"/>
      <c r="I422" s="51">
        <f t="shared" si="90"/>
        <v>33.833333333333201</v>
      </c>
      <c r="J422" s="51">
        <f t="shared" si="91"/>
        <v>98.83333333333141</v>
      </c>
      <c r="K422" s="52">
        <f t="shared" si="107"/>
        <v>0.1600166666666667</v>
      </c>
      <c r="L422" s="53">
        <f t="shared" si="87"/>
        <v>0.8399833333333333</v>
      </c>
      <c r="M422" s="52">
        <f t="shared" si="92"/>
        <v>1.6927978238202891E-8</v>
      </c>
      <c r="N422" s="58">
        <f t="shared" si="88"/>
        <v>4.8406281840587526E-2</v>
      </c>
      <c r="Q422" s="51">
        <f t="shared" si="93"/>
        <v>33.833333333333201</v>
      </c>
      <c r="R422" s="52">
        <f t="shared" si="94"/>
        <v>1.6927978238202891E-8</v>
      </c>
      <c r="S422" s="58">
        <f t="shared" si="120"/>
        <v>4.6975229531393595E-16</v>
      </c>
      <c r="T422" s="52">
        <f t="shared" si="89"/>
        <v>7.9519566324201657E-24</v>
      </c>
    </row>
    <row r="423" spans="2:20" ht="15.75" customHeight="1" x14ac:dyDescent="0.25">
      <c r="B423" s="33">
        <f t="shared" si="121"/>
        <v>46.916666666666693</v>
      </c>
      <c r="C423" s="34"/>
      <c r="D423" s="35">
        <f>(11/12)*D412</f>
        <v>4.5264999999999993E-3</v>
      </c>
      <c r="E423" s="36">
        <f>E412-(11/12)*F412</f>
        <v>938357.04898308334</v>
      </c>
      <c r="F423" s="36">
        <f t="shared" si="122"/>
        <v>387.88970842165872</v>
      </c>
      <c r="G423" s="31">
        <f t="shared" si="83"/>
        <v>0.99547350000000001</v>
      </c>
      <c r="H423" s="32"/>
      <c r="I423" s="51">
        <f t="shared" si="90"/>
        <v>33.916666666666536</v>
      </c>
      <c r="J423" s="51">
        <f t="shared" si="91"/>
        <v>98.916666666664739</v>
      </c>
      <c r="K423" s="52">
        <f t="shared" si="107"/>
        <v>0.17601833333333336</v>
      </c>
      <c r="L423" s="53">
        <f t="shared" si="87"/>
        <v>0.82398166666666661</v>
      </c>
      <c r="M423" s="52">
        <f t="shared" si="92"/>
        <v>1.4219219587119791E-8</v>
      </c>
      <c r="N423" s="58">
        <f t="shared" si="88"/>
        <v>4.8056878377052054E-2</v>
      </c>
      <c r="Q423" s="51">
        <f t="shared" si="93"/>
        <v>33.916666666666536</v>
      </c>
      <c r="R423" s="52">
        <f t="shared" si="94"/>
        <v>1.4219219587119791E-8</v>
      </c>
      <c r="S423" s="58">
        <f t="shared" si="120"/>
        <v>4.3064052213768939E-16</v>
      </c>
      <c r="T423" s="52">
        <f t="shared" si="89"/>
        <v>6.1233721473877266E-24</v>
      </c>
    </row>
    <row r="424" spans="2:20" ht="15.75" customHeight="1" x14ac:dyDescent="0.25">
      <c r="B424" s="27">
        <v>47</v>
      </c>
      <c r="C424" s="28">
        <v>5.3169999999999993</v>
      </c>
      <c r="D424" s="29">
        <f>C424/1000</f>
        <v>5.3169999999999997E-3</v>
      </c>
      <c r="E424" s="30">
        <f>E412-F412</f>
        <v>937969.15927466168</v>
      </c>
      <c r="F424" s="48">
        <f>D424*E424</f>
        <v>4987.1820198633759</v>
      </c>
      <c r="G424" s="31">
        <f t="shared" si="83"/>
        <v>0.99468299999999998</v>
      </c>
      <c r="H424" s="49"/>
      <c r="I424" s="51">
        <f t="shared" si="90"/>
        <v>33.999999999999872</v>
      </c>
      <c r="J424" s="51">
        <f t="shared" si="91"/>
        <v>98.999999999998067</v>
      </c>
      <c r="K424" s="52">
        <f t="shared" si="107"/>
        <v>0.20383699999999999</v>
      </c>
      <c r="L424" s="53">
        <f t="shared" si="87"/>
        <v>0.79616299999999995</v>
      </c>
      <c r="M424" s="52">
        <f t="shared" si="92"/>
        <v>1.1716376254094277E-8</v>
      </c>
      <c r="N424" s="58">
        <f t="shared" si="88"/>
        <v>4.7709996957674687E-2</v>
      </c>
      <c r="Q424" s="51">
        <f t="shared" si="93"/>
        <v>33.999999999999872</v>
      </c>
      <c r="R424" s="52">
        <f t="shared" si="94"/>
        <v>1.1716376254094277E-8</v>
      </c>
      <c r="S424" s="58">
        <f t="shared" si="120"/>
        <v>3.9478521160409257E-16</v>
      </c>
      <c r="T424" s="52">
        <f t="shared" si="89"/>
        <v>4.6254520787057741E-24</v>
      </c>
    </row>
    <row r="425" spans="2:20" ht="15.75" customHeight="1" x14ac:dyDescent="0.25">
      <c r="B425" s="33">
        <f t="shared" ref="B425:B435" si="123">B424+1/12</f>
        <v>47.083333333333336</v>
      </c>
      <c r="C425" s="34"/>
      <c r="D425" s="35">
        <f>(1/12)*D424</f>
        <v>4.4308333333333331E-4</v>
      </c>
      <c r="E425" s="36">
        <f>E424-(1/12)*F424</f>
        <v>937553.56077300641</v>
      </c>
      <c r="F425" s="36">
        <f t="shared" ref="F425:F435" si="124">E425-E426</f>
        <v>415.59850165527314</v>
      </c>
      <c r="G425" s="31">
        <f t="shared" si="83"/>
        <v>0.99955691666666668</v>
      </c>
      <c r="H425" s="37"/>
      <c r="I425" s="51">
        <f t="shared" si="90"/>
        <v>34.083333333333208</v>
      </c>
      <c r="J425" s="51">
        <f t="shared" si="91"/>
        <v>99.083333333331396</v>
      </c>
      <c r="K425" s="52">
        <f t="shared" si="107"/>
        <v>1.6986416666666664E-2</v>
      </c>
      <c r="L425" s="53">
        <f t="shared" si="87"/>
        <v>0.98301358333333333</v>
      </c>
      <c r="M425" s="52">
        <f t="shared" si="92"/>
        <v>9.3281452675884605E-9</v>
      </c>
      <c r="N425" s="58">
        <f t="shared" si="88"/>
        <v>4.7365619377980041E-2</v>
      </c>
      <c r="Q425" s="51">
        <f t="shared" si="93"/>
        <v>34.083333333333208</v>
      </c>
      <c r="R425" s="52">
        <f t="shared" si="94"/>
        <v>9.3281452675884605E-9</v>
      </c>
      <c r="S425" s="58">
        <f t="shared" si="120"/>
        <v>3.6191522926738482E-16</v>
      </c>
      <c r="T425" s="52">
        <f t="shared" si="89"/>
        <v>3.3759978331587486E-24</v>
      </c>
    </row>
    <row r="426" spans="2:20" ht="15.75" customHeight="1" x14ac:dyDescent="0.25">
      <c r="B426" s="33">
        <f t="shared" si="123"/>
        <v>47.166666666666671</v>
      </c>
      <c r="C426" s="34"/>
      <c r="D426" s="35">
        <f>(2/12)*D424</f>
        <v>8.8616666666666661E-4</v>
      </c>
      <c r="E426" s="36">
        <f>E424-(2/12)*F424</f>
        <v>937137.96227135113</v>
      </c>
      <c r="F426" s="36">
        <f t="shared" si="124"/>
        <v>415.59850165527314</v>
      </c>
      <c r="G426" s="31">
        <f t="shared" si="83"/>
        <v>0.99911383333333337</v>
      </c>
      <c r="H426" s="32"/>
      <c r="I426" s="51">
        <f t="shared" si="90"/>
        <v>34.166666666666544</v>
      </c>
      <c r="J426" s="51">
        <f t="shared" si="91"/>
        <v>99.166666666664725</v>
      </c>
      <c r="K426" s="52">
        <f t="shared" si="107"/>
        <v>3.3972833333333327E-2</v>
      </c>
      <c r="L426" s="53">
        <f t="shared" si="87"/>
        <v>0.96602716666666666</v>
      </c>
      <c r="M426" s="52">
        <f t="shared" si="92"/>
        <v>9.1696935053460074E-9</v>
      </c>
      <c r="N426" s="58">
        <f t="shared" si="88"/>
        <v>4.7023727564895333E-2</v>
      </c>
      <c r="Q426" s="51">
        <f t="shared" si="93"/>
        <v>34.166666666666544</v>
      </c>
      <c r="R426" s="52">
        <f t="shared" si="94"/>
        <v>9.1696935053460074E-9</v>
      </c>
      <c r="S426" s="58">
        <f t="shared" si="120"/>
        <v>3.3178201544950371E-16</v>
      </c>
      <c r="T426" s="52">
        <f t="shared" si="89"/>
        <v>3.042339392257923E-24</v>
      </c>
    </row>
    <row r="427" spans="2:20" ht="15.75" customHeight="1" x14ac:dyDescent="0.25">
      <c r="B427" s="33">
        <f t="shared" si="123"/>
        <v>47.250000000000007</v>
      </c>
      <c r="C427" s="34"/>
      <c r="D427" s="35">
        <f>(3/12)*D424</f>
        <v>1.3292499999999999E-3</v>
      </c>
      <c r="E427" s="36">
        <f>E424-(3/12)*F424</f>
        <v>936722.36376969586</v>
      </c>
      <c r="F427" s="36">
        <f t="shared" si="124"/>
        <v>415.59850165527314</v>
      </c>
      <c r="G427" s="31">
        <f t="shared" si="83"/>
        <v>0.99867075000000005</v>
      </c>
      <c r="H427" s="32"/>
      <c r="I427" s="51">
        <f t="shared" si="90"/>
        <v>34.249999999999879</v>
      </c>
      <c r="J427" s="51">
        <f t="shared" si="91"/>
        <v>99.249999999998053</v>
      </c>
      <c r="K427" s="52">
        <f t="shared" si="107"/>
        <v>5.0959249999999998E-2</v>
      </c>
      <c r="L427" s="53">
        <f t="shared" si="87"/>
        <v>0.94904074999999999</v>
      </c>
      <c r="M427" s="52">
        <f t="shared" si="92"/>
        <v>8.8581730361711387E-9</v>
      </c>
      <c r="N427" s="58">
        <f t="shared" si="88"/>
        <v>4.6684303575801701E-2</v>
      </c>
      <c r="Q427" s="51">
        <f t="shared" si="93"/>
        <v>34.249999999999879</v>
      </c>
      <c r="R427" s="52">
        <f t="shared" si="94"/>
        <v>8.8581730361711387E-9</v>
      </c>
      <c r="S427" s="58">
        <f t="shared" si="120"/>
        <v>3.0415770565545217E-16</v>
      </c>
      <c r="T427" s="52">
        <f t="shared" si="89"/>
        <v>2.6942815869808041E-24</v>
      </c>
    </row>
    <row r="428" spans="2:20" ht="15.75" customHeight="1" x14ac:dyDescent="0.25">
      <c r="B428" s="33">
        <f t="shared" si="123"/>
        <v>47.333333333333343</v>
      </c>
      <c r="C428" s="34"/>
      <c r="D428" s="35">
        <f>(4/12)*D424</f>
        <v>1.7723333333333332E-3</v>
      </c>
      <c r="E428" s="36">
        <f>E424-(4/12)*F424</f>
        <v>936306.76526804059</v>
      </c>
      <c r="F428" s="36">
        <f t="shared" si="124"/>
        <v>415.59850165527314</v>
      </c>
      <c r="G428" s="31">
        <f t="shared" si="83"/>
        <v>0.99822766666666662</v>
      </c>
      <c r="H428" s="32"/>
      <c r="I428" s="51">
        <f t="shared" si="90"/>
        <v>34.333333333333215</v>
      </c>
      <c r="J428" s="51">
        <f t="shared" si="91"/>
        <v>99.333333333331382</v>
      </c>
      <c r="K428" s="52">
        <f t="shared" si="107"/>
        <v>6.7945666666666654E-2</v>
      </c>
      <c r="L428" s="53">
        <f t="shared" si="87"/>
        <v>0.93205433333333332</v>
      </c>
      <c r="M428" s="52">
        <f t="shared" si="92"/>
        <v>8.4067671818776348E-9</v>
      </c>
      <c r="N428" s="58">
        <f t="shared" si="88"/>
        <v>4.6347329597592753E-2</v>
      </c>
      <c r="Q428" s="51">
        <f t="shared" si="93"/>
        <v>34.333333333333215</v>
      </c>
      <c r="R428" s="52">
        <f t="shared" si="94"/>
        <v>8.4067671818776348E-9</v>
      </c>
      <c r="S428" s="58">
        <f t="shared" si="120"/>
        <v>2.7883340748367986E-16</v>
      </c>
      <c r="T428" s="52">
        <f t="shared" si="89"/>
        <v>2.3440875392449134E-24</v>
      </c>
    </row>
    <row r="429" spans="2:20" ht="15.75" customHeight="1" x14ac:dyDescent="0.25">
      <c r="B429" s="33">
        <f t="shared" si="123"/>
        <v>47.416666666666679</v>
      </c>
      <c r="C429" s="34"/>
      <c r="D429" s="35">
        <f>(5/12)*D424</f>
        <v>2.2154166666666667E-3</v>
      </c>
      <c r="E429" s="36">
        <f>E424-(5/12)*F424</f>
        <v>935891.16676638531</v>
      </c>
      <c r="F429" s="36">
        <f t="shared" si="124"/>
        <v>415.59850165527314</v>
      </c>
      <c r="G429" s="31">
        <f t="shared" si="83"/>
        <v>0.99778458333333331</v>
      </c>
      <c r="H429" s="32"/>
      <c r="I429" s="51">
        <f t="shared" si="90"/>
        <v>34.416666666666551</v>
      </c>
      <c r="J429" s="51">
        <f t="shared" si="91"/>
        <v>99.41666666666471</v>
      </c>
      <c r="K429" s="52">
        <f t="shared" si="107"/>
        <v>8.4932083333333339E-2</v>
      </c>
      <c r="L429" s="53">
        <f t="shared" si="87"/>
        <v>0.91506791666666665</v>
      </c>
      <c r="M429" s="52">
        <f t="shared" si="92"/>
        <v>7.8355637811935042E-9</v>
      </c>
      <c r="N429" s="58">
        <f t="shared" si="88"/>
        <v>4.6012787945739632E-2</v>
      </c>
      <c r="Q429" s="51">
        <f t="shared" si="93"/>
        <v>34.416666666666551</v>
      </c>
      <c r="R429" s="52">
        <f t="shared" si="94"/>
        <v>7.8355637811935042E-9</v>
      </c>
      <c r="S429" s="58">
        <f t="shared" si="120"/>
        <v>2.5561762100162718E-16</v>
      </c>
      <c r="T429" s="52">
        <f t="shared" si="89"/>
        <v>2.0029081729551979E-24</v>
      </c>
    </row>
    <row r="430" spans="2:20" ht="15.75" customHeight="1" x14ac:dyDescent="0.25">
      <c r="B430" s="33">
        <f t="shared" si="123"/>
        <v>47.500000000000014</v>
      </c>
      <c r="C430" s="34"/>
      <c r="D430" s="35">
        <f>(6/12)*D424</f>
        <v>2.6584999999999998E-3</v>
      </c>
      <c r="E430" s="36">
        <f>E424-(6/12)*F424</f>
        <v>935475.56826473004</v>
      </c>
      <c r="F430" s="36">
        <f t="shared" si="124"/>
        <v>415.59850165527314</v>
      </c>
      <c r="G430" s="31">
        <f t="shared" si="83"/>
        <v>0.99734149999999999</v>
      </c>
      <c r="H430" s="32"/>
      <c r="I430" s="51">
        <f t="shared" si="90"/>
        <v>34.499999999999886</v>
      </c>
      <c r="J430" s="51">
        <f t="shared" si="91"/>
        <v>99.499999999998039</v>
      </c>
      <c r="K430" s="52">
        <f t="shared" si="107"/>
        <v>0.1019185</v>
      </c>
      <c r="L430" s="53">
        <f t="shared" si="87"/>
        <v>0.89808149999999998</v>
      </c>
      <c r="M430" s="52">
        <f t="shared" si="92"/>
        <v>7.1700730251655291E-9</v>
      </c>
      <c r="N430" s="58">
        <f t="shared" si="88"/>
        <v>4.5680661063362882E-2</v>
      </c>
      <c r="Q430" s="51">
        <f t="shared" si="93"/>
        <v>34.499999999999886</v>
      </c>
      <c r="R430" s="52">
        <f t="shared" si="94"/>
        <v>7.1700730251655291E-9</v>
      </c>
      <c r="S430" s="58">
        <f t="shared" si="120"/>
        <v>2.3433479064145626E-16</v>
      </c>
      <c r="T430" s="52">
        <f t="shared" si="89"/>
        <v>1.6801975612361171E-24</v>
      </c>
    </row>
    <row r="431" spans="2:20" ht="15.75" customHeight="1" x14ac:dyDescent="0.25">
      <c r="B431" s="33">
        <f t="shared" si="123"/>
        <v>47.58333333333335</v>
      </c>
      <c r="C431" s="34"/>
      <c r="D431" s="35">
        <f>(7/12)*D424</f>
        <v>3.1015833333333334E-3</v>
      </c>
      <c r="E431" s="36">
        <f>E424-(7/12)*F424</f>
        <v>935059.96976307477</v>
      </c>
      <c r="F431" s="36">
        <f t="shared" si="124"/>
        <v>415.59850165538955</v>
      </c>
      <c r="G431" s="31">
        <f t="shared" si="83"/>
        <v>0.99689841666666668</v>
      </c>
      <c r="H431" s="32"/>
      <c r="I431" s="51">
        <f t="shared" si="90"/>
        <v>34.583333333333222</v>
      </c>
      <c r="J431" s="51">
        <f t="shared" si="91"/>
        <v>99.583333333331367</v>
      </c>
      <c r="K431" s="52">
        <f t="shared" si="107"/>
        <v>0.11890491666666667</v>
      </c>
      <c r="L431" s="53">
        <f t="shared" si="87"/>
        <v>0.88109508333333331</v>
      </c>
      <c r="M431" s="52">
        <f t="shared" si="92"/>
        <v>6.4393099375501957E-9</v>
      </c>
      <c r="N431" s="58">
        <f t="shared" si="88"/>
        <v>4.5350931520311201E-2</v>
      </c>
      <c r="Q431" s="51">
        <f t="shared" si="93"/>
        <v>34.583333333333222</v>
      </c>
      <c r="R431" s="52">
        <f t="shared" si="94"/>
        <v>6.4393099375501957E-9</v>
      </c>
      <c r="S431" s="58">
        <f t="shared" si="120"/>
        <v>2.1482397766555216E-16</v>
      </c>
      <c r="T431" s="52">
        <f t="shared" si="89"/>
        <v>1.3833181742058514E-24</v>
      </c>
    </row>
    <row r="432" spans="2:20" ht="15.75" customHeight="1" x14ac:dyDescent="0.25">
      <c r="B432" s="33">
        <f t="shared" si="123"/>
        <v>47.666666666666686</v>
      </c>
      <c r="C432" s="34"/>
      <c r="D432" s="35">
        <f>(8/12)*D424</f>
        <v>3.5446666666666665E-3</v>
      </c>
      <c r="E432" s="36">
        <f>E424-(8/12)*F424</f>
        <v>934644.37126141938</v>
      </c>
      <c r="F432" s="36">
        <f t="shared" si="124"/>
        <v>415.59850165527314</v>
      </c>
      <c r="G432" s="31">
        <f t="shared" si="83"/>
        <v>0.99645533333333336</v>
      </c>
      <c r="H432" s="32"/>
      <c r="I432" s="51">
        <f t="shared" si="90"/>
        <v>34.666666666666558</v>
      </c>
      <c r="J432" s="51">
        <f t="shared" si="91"/>
        <v>99.666666666664696</v>
      </c>
      <c r="K432" s="52">
        <f t="shared" si="107"/>
        <v>0.13589133333333331</v>
      </c>
      <c r="L432" s="53">
        <f t="shared" si="87"/>
        <v>0.86410866666666664</v>
      </c>
      <c r="M432" s="52">
        <f t="shared" si="92"/>
        <v>5.6736443260349514E-9</v>
      </c>
      <c r="N432" s="58">
        <f t="shared" si="88"/>
        <v>4.5023582012246516E-2</v>
      </c>
      <c r="Q432" s="51">
        <f t="shared" si="93"/>
        <v>34.666666666666558</v>
      </c>
      <c r="R432" s="52">
        <f t="shared" si="94"/>
        <v>5.6736443260349514E-9</v>
      </c>
      <c r="S432" s="58">
        <f t="shared" si="120"/>
        <v>1.9693764316311052E-16</v>
      </c>
      <c r="T432" s="52">
        <f t="shared" si="89"/>
        <v>1.117354141715078E-24</v>
      </c>
    </row>
    <row r="433" spans="2:20" ht="15.75" customHeight="1" x14ac:dyDescent="0.25">
      <c r="B433" s="33">
        <f t="shared" si="123"/>
        <v>47.750000000000021</v>
      </c>
      <c r="C433" s="34"/>
      <c r="D433" s="35">
        <f>(9/12)*D424</f>
        <v>3.98775E-3</v>
      </c>
      <c r="E433" s="36">
        <f>E424-(9/12)*F424</f>
        <v>934228.77275976411</v>
      </c>
      <c r="F433" s="36">
        <f t="shared" si="124"/>
        <v>415.59850165527314</v>
      </c>
      <c r="G433" s="31">
        <f t="shared" si="83"/>
        <v>0.99601225000000004</v>
      </c>
      <c r="H433" s="32"/>
      <c r="I433" s="51">
        <f t="shared" si="90"/>
        <v>34.749999999999893</v>
      </c>
      <c r="J433" s="51">
        <f t="shared" si="91"/>
        <v>99.749999999998025</v>
      </c>
      <c r="K433" s="52">
        <f t="shared" si="107"/>
        <v>0.15287774999999998</v>
      </c>
      <c r="L433" s="53">
        <f t="shared" si="87"/>
        <v>0.84712224999999997</v>
      </c>
      <c r="M433" s="52">
        <f t="shared" si="92"/>
        <v>4.9026452337109604E-9</v>
      </c>
      <c r="N433" s="58">
        <f t="shared" si="88"/>
        <v>4.4698595359736019E-2</v>
      </c>
      <c r="Q433" s="51">
        <f t="shared" si="93"/>
        <v>34.749999999999893</v>
      </c>
      <c r="R433" s="52">
        <f t="shared" si="94"/>
        <v>4.9026452337109604E-9</v>
      </c>
      <c r="S433" s="58">
        <f t="shared" si="120"/>
        <v>1.8054053237493961E-16</v>
      </c>
      <c r="T433" s="52">
        <f t="shared" si="89"/>
        <v>8.8512618053963695E-25</v>
      </c>
    </row>
    <row r="434" spans="2:20" ht="15.75" customHeight="1" x14ac:dyDescent="0.25">
      <c r="B434" s="33">
        <f t="shared" si="123"/>
        <v>47.833333333333357</v>
      </c>
      <c r="C434" s="34"/>
      <c r="D434" s="35">
        <f>(10/12)*D424</f>
        <v>4.4308333333333335E-3</v>
      </c>
      <c r="E434" s="36">
        <f>E424-(10/12)*F424</f>
        <v>933813.17425810883</v>
      </c>
      <c r="F434" s="36">
        <f t="shared" si="124"/>
        <v>415.59850165527314</v>
      </c>
      <c r="G434" s="31">
        <f t="shared" si="83"/>
        <v>0.99556916666666662</v>
      </c>
      <c r="H434" s="32"/>
      <c r="I434" s="51">
        <f t="shared" si="90"/>
        <v>34.833333333333229</v>
      </c>
      <c r="J434" s="51">
        <f t="shared" si="91"/>
        <v>99.833333333331353</v>
      </c>
      <c r="K434" s="52">
        <f t="shared" si="107"/>
        <v>0.16986416666666668</v>
      </c>
      <c r="L434" s="53">
        <f t="shared" si="87"/>
        <v>0.8301358333333333</v>
      </c>
      <c r="M434" s="52">
        <f t="shared" si="92"/>
        <v>4.1531398613330046E-9</v>
      </c>
      <c r="N434" s="58">
        <f t="shared" si="88"/>
        <v>4.437595450735049E-2</v>
      </c>
      <c r="Q434" s="51">
        <f t="shared" si="93"/>
        <v>34.833333333333229</v>
      </c>
      <c r="R434" s="52">
        <f t="shared" si="94"/>
        <v>4.1531398613330046E-9</v>
      </c>
      <c r="S434" s="58">
        <f t="shared" si="120"/>
        <v>1.6550865190983417E-16</v>
      </c>
      <c r="T434" s="52">
        <f t="shared" si="89"/>
        <v>6.8738057964222123E-25</v>
      </c>
    </row>
    <row r="435" spans="2:20" ht="15.75" customHeight="1" x14ac:dyDescent="0.25">
      <c r="B435" s="33">
        <f t="shared" si="123"/>
        <v>47.916666666666693</v>
      </c>
      <c r="C435" s="34"/>
      <c r="D435" s="35">
        <f>(11/12)*D424</f>
        <v>4.8739166666666662E-3</v>
      </c>
      <c r="E435" s="36">
        <f>E424-(11/12)*F424</f>
        <v>933397.57575645356</v>
      </c>
      <c r="F435" s="36">
        <f t="shared" si="124"/>
        <v>415.59850165527314</v>
      </c>
      <c r="G435" s="31">
        <f t="shared" si="83"/>
        <v>0.9951260833333333</v>
      </c>
      <c r="H435" s="32"/>
      <c r="I435" s="51">
        <f t="shared" si="90"/>
        <v>34.916666666666565</v>
      </c>
      <c r="J435" s="51">
        <f t="shared" si="91"/>
        <v>99.916666666664682</v>
      </c>
      <c r="K435" s="52">
        <f t="shared" si="107"/>
        <v>0.18685058333333332</v>
      </c>
      <c r="L435" s="53">
        <f t="shared" si="87"/>
        <v>0.81314941666666662</v>
      </c>
      <c r="M435" s="52">
        <f t="shared" si="92"/>
        <v>3.447670219737558E-9</v>
      </c>
      <c r="N435" s="58">
        <f t="shared" si="88"/>
        <v>4.4055642522769181E-2</v>
      </c>
      <c r="Q435" s="51">
        <f t="shared" si="93"/>
        <v>34.916666666666565</v>
      </c>
      <c r="R435" s="52">
        <f t="shared" si="94"/>
        <v>3.447670219737558E-9</v>
      </c>
      <c r="S435" s="58">
        <f t="shared" si="120"/>
        <v>1.5172833211836268E-16</v>
      </c>
      <c r="T435" s="52">
        <f t="shared" si="89"/>
        <v>5.2310925213492864E-25</v>
      </c>
    </row>
    <row r="436" spans="2:20" ht="15.75" customHeight="1" x14ac:dyDescent="0.25">
      <c r="B436" s="27">
        <v>48</v>
      </c>
      <c r="C436" s="28">
        <v>5.7249999999999996</v>
      </c>
      <c r="D436" s="29">
        <f>C436/1000</f>
        <v>5.7250000000000001E-3</v>
      </c>
      <c r="E436" s="30">
        <f>E424-F424</f>
        <v>932981.97725479829</v>
      </c>
      <c r="F436" s="48">
        <f>D436*E436</f>
        <v>5341.3218197837205</v>
      </c>
      <c r="G436" s="31">
        <f t="shared" si="83"/>
        <v>0.99427500000000002</v>
      </c>
      <c r="H436" s="49"/>
      <c r="I436" s="51">
        <f t="shared" si="90"/>
        <v>34.999999999999901</v>
      </c>
      <c r="J436" s="51">
        <f t="shared" si="91"/>
        <v>99.99999999999801</v>
      </c>
      <c r="K436" s="52" t="str">
        <f t="shared" si="107"/>
        <v/>
      </c>
      <c r="L436" s="53" t="e">
        <f t="shared" si="87"/>
        <v>#VALUE!</v>
      </c>
      <c r="M436" s="52">
        <f t="shared" si="92"/>
        <v>2.8034710280386335E-9</v>
      </c>
      <c r="N436" s="58">
        <f t="shared" si="88"/>
        <v>4.3737642595891336E-2</v>
      </c>
      <c r="Q436" s="51">
        <f t="shared" si="93"/>
        <v>34.999999999999901</v>
      </c>
      <c r="R436" s="52">
        <f t="shared" si="94"/>
        <v>2.8034710280386335E-9</v>
      </c>
      <c r="S436" s="58">
        <f t="shared" si="120"/>
        <v>1.3909536753378701E-16</v>
      </c>
      <c r="T436" s="52">
        <f t="shared" si="89"/>
        <v>3.8994983301535745E-25</v>
      </c>
    </row>
    <row r="437" spans="2:20" ht="15.75" customHeight="1" x14ac:dyDescent="0.25">
      <c r="B437" s="33">
        <f t="shared" ref="B437:B447" si="125">B436+1/12</f>
        <v>48.083333333333336</v>
      </c>
      <c r="C437" s="34"/>
      <c r="D437" s="35">
        <f>(1/12)*D436</f>
        <v>4.7708333333333332E-4</v>
      </c>
      <c r="E437" s="36">
        <f>E436-(1/12)*F436</f>
        <v>932536.86710314965</v>
      </c>
      <c r="F437" s="36">
        <f t="shared" ref="F437:F447" si="126">E437-E438</f>
        <v>445.11015164863784</v>
      </c>
      <c r="G437" s="31">
        <f t="shared" si="83"/>
        <v>0.99952291666666671</v>
      </c>
      <c r="H437" s="37"/>
      <c r="I437" s="51" t="str">
        <f t="shared" si="90"/>
        <v/>
      </c>
      <c r="J437" s="51" t="str">
        <f t="shared" si="91"/>
        <v/>
      </c>
      <c r="K437" s="52" t="str">
        <f t="shared" si="107"/>
        <v/>
      </c>
      <c r="L437" s="53" t="str">
        <f t="shared" si="87"/>
        <v/>
      </c>
      <c r="M437" s="52" t="str">
        <f t="shared" si="92"/>
        <v/>
      </c>
      <c r="N437" s="58" t="str">
        <f t="shared" si="88"/>
        <v/>
      </c>
      <c r="Q437" s="51" t="str">
        <f t="shared" si="93"/>
        <v/>
      </c>
      <c r="R437" s="52" t="str">
        <f t="shared" si="94"/>
        <v/>
      </c>
      <c r="S437" s="58" t="str">
        <f t="shared" si="120"/>
        <v/>
      </c>
      <c r="T437" s="52" t="str">
        <f t="shared" si="89"/>
        <v/>
      </c>
    </row>
    <row r="438" spans="2:20" ht="15.75" customHeight="1" x14ac:dyDescent="0.25">
      <c r="B438" s="33">
        <f t="shared" si="125"/>
        <v>48.166666666666671</v>
      </c>
      <c r="C438" s="34"/>
      <c r="D438" s="35">
        <f>(2/12)*D436</f>
        <v>9.5416666666666664E-4</v>
      </c>
      <c r="E438" s="36">
        <f>E436-(2/12)*F436</f>
        <v>932091.75695150101</v>
      </c>
      <c r="F438" s="36">
        <f t="shared" si="126"/>
        <v>445.11015164863784</v>
      </c>
      <c r="G438" s="31">
        <f t="shared" si="83"/>
        <v>0.9990458333333333</v>
      </c>
      <c r="H438" s="32"/>
      <c r="I438" s="51" t="str">
        <f t="shared" si="90"/>
        <v/>
      </c>
      <c r="J438" s="51" t="str">
        <f t="shared" si="91"/>
        <v/>
      </c>
      <c r="K438" s="52" t="str">
        <f t="shared" si="107"/>
        <v/>
      </c>
      <c r="L438" s="53" t="str">
        <f t="shared" si="87"/>
        <v/>
      </c>
      <c r="M438" s="52" t="str">
        <f t="shared" si="92"/>
        <v/>
      </c>
      <c r="N438" s="58" t="str">
        <f t="shared" si="88"/>
        <v/>
      </c>
      <c r="Q438" s="51" t="str">
        <f t="shared" si="93"/>
        <v/>
      </c>
      <c r="R438" s="52" t="str">
        <f t="shared" si="94"/>
        <v/>
      </c>
      <c r="S438" s="58" t="str">
        <f t="shared" si="120"/>
        <v/>
      </c>
      <c r="T438" s="52" t="str">
        <f t="shared" si="89"/>
        <v/>
      </c>
    </row>
    <row r="439" spans="2:20" ht="15.75" customHeight="1" x14ac:dyDescent="0.25">
      <c r="B439" s="33">
        <f t="shared" si="125"/>
        <v>48.250000000000007</v>
      </c>
      <c r="C439" s="34"/>
      <c r="D439" s="35">
        <f>(3/12)*D436</f>
        <v>1.43125E-3</v>
      </c>
      <c r="E439" s="36">
        <f>E436-(3/12)*F436</f>
        <v>931646.64679985237</v>
      </c>
      <c r="F439" s="36">
        <f t="shared" si="126"/>
        <v>445.11015164863784</v>
      </c>
      <c r="G439" s="31">
        <f t="shared" si="83"/>
        <v>0.99856875</v>
      </c>
      <c r="H439" s="32"/>
      <c r="I439" s="51" t="str">
        <f t="shared" si="90"/>
        <v/>
      </c>
      <c r="J439" s="51" t="str">
        <f t="shared" si="91"/>
        <v/>
      </c>
      <c r="K439" s="52" t="str">
        <f t="shared" si="107"/>
        <v/>
      </c>
      <c r="L439" s="53" t="str">
        <f t="shared" si="87"/>
        <v/>
      </c>
      <c r="M439" s="52" t="str">
        <f t="shared" si="92"/>
        <v/>
      </c>
      <c r="N439" s="58" t="str">
        <f t="shared" si="88"/>
        <v/>
      </c>
      <c r="Q439" s="51" t="str">
        <f t="shared" si="93"/>
        <v/>
      </c>
      <c r="R439" s="52" t="str">
        <f t="shared" si="94"/>
        <v/>
      </c>
      <c r="S439" s="58" t="str">
        <f t="shared" si="120"/>
        <v/>
      </c>
      <c r="T439" s="52" t="str">
        <f t="shared" si="89"/>
        <v/>
      </c>
    </row>
    <row r="440" spans="2:20" ht="15.75" customHeight="1" x14ac:dyDescent="0.25">
      <c r="B440" s="33">
        <f t="shared" si="125"/>
        <v>48.333333333333343</v>
      </c>
      <c r="C440" s="34"/>
      <c r="D440" s="35">
        <f>(4/12)*D436</f>
        <v>1.9083333333333333E-3</v>
      </c>
      <c r="E440" s="36">
        <f>E436-(4/12)*F436</f>
        <v>931201.53664820374</v>
      </c>
      <c r="F440" s="36">
        <f t="shared" si="126"/>
        <v>445.11015164863784</v>
      </c>
      <c r="G440" s="31">
        <f t="shared" si="83"/>
        <v>0.99809166666666671</v>
      </c>
      <c r="H440" s="32"/>
      <c r="I440" s="51" t="str">
        <f t="shared" si="90"/>
        <v/>
      </c>
      <c r="J440" s="51" t="str">
        <f t="shared" si="91"/>
        <v/>
      </c>
      <c r="K440" s="52" t="str">
        <f t="shared" si="107"/>
        <v/>
      </c>
      <c r="L440" s="53" t="str">
        <f t="shared" si="87"/>
        <v/>
      </c>
      <c r="M440" s="52" t="str">
        <f t="shared" si="92"/>
        <v/>
      </c>
      <c r="N440" s="58" t="str">
        <f t="shared" si="88"/>
        <v/>
      </c>
      <c r="Q440" s="51" t="str">
        <f t="shared" si="93"/>
        <v/>
      </c>
      <c r="R440" s="52" t="str">
        <f t="shared" si="94"/>
        <v/>
      </c>
      <c r="S440" s="58" t="str">
        <f t="shared" si="120"/>
        <v/>
      </c>
      <c r="T440" s="52" t="str">
        <f t="shared" si="89"/>
        <v/>
      </c>
    </row>
    <row r="441" spans="2:20" ht="15.75" customHeight="1" x14ac:dyDescent="0.25">
      <c r="B441" s="33">
        <f t="shared" si="125"/>
        <v>48.416666666666679</v>
      </c>
      <c r="C441" s="34"/>
      <c r="D441" s="35">
        <f>(5/12)*D436</f>
        <v>2.3854166666666668E-3</v>
      </c>
      <c r="E441" s="36">
        <f>E436-(5/12)*F436</f>
        <v>930756.4264965551</v>
      </c>
      <c r="F441" s="36">
        <f t="shared" si="126"/>
        <v>445.11015164863784</v>
      </c>
      <c r="G441" s="31">
        <f t="shared" si="83"/>
        <v>0.9976145833333333</v>
      </c>
      <c r="H441" s="32"/>
      <c r="I441" s="51" t="str">
        <f t="shared" si="90"/>
        <v/>
      </c>
      <c r="J441" s="51" t="str">
        <f t="shared" si="91"/>
        <v/>
      </c>
      <c r="K441" s="52" t="str">
        <f t="shared" si="107"/>
        <v/>
      </c>
      <c r="L441" s="53" t="str">
        <f t="shared" si="87"/>
        <v/>
      </c>
      <c r="M441" s="52" t="str">
        <f t="shared" si="92"/>
        <v/>
      </c>
      <c r="N441" s="58" t="str">
        <f t="shared" si="88"/>
        <v/>
      </c>
      <c r="Q441" s="51" t="str">
        <f t="shared" si="93"/>
        <v/>
      </c>
      <c r="R441" s="52" t="str">
        <f t="shared" si="94"/>
        <v/>
      </c>
      <c r="S441" s="58" t="str">
        <f t="shared" si="120"/>
        <v/>
      </c>
      <c r="T441" s="52" t="str">
        <f t="shared" si="89"/>
        <v/>
      </c>
    </row>
    <row r="442" spans="2:20" ht="15.75" customHeight="1" x14ac:dyDescent="0.25">
      <c r="B442" s="33">
        <f t="shared" si="125"/>
        <v>48.500000000000014</v>
      </c>
      <c r="C442" s="34"/>
      <c r="D442" s="35">
        <f>(6/12)*D436</f>
        <v>2.8625E-3</v>
      </c>
      <c r="E442" s="36">
        <f>E436-(6/12)*F436</f>
        <v>930311.31634490646</v>
      </c>
      <c r="F442" s="36">
        <f t="shared" si="126"/>
        <v>445.11015164863784</v>
      </c>
      <c r="G442" s="31">
        <f t="shared" si="83"/>
        <v>0.99713750000000001</v>
      </c>
      <c r="H442" s="32"/>
      <c r="I442" s="51" t="str">
        <f t="shared" si="90"/>
        <v/>
      </c>
      <c r="J442" s="51" t="str">
        <f t="shared" si="91"/>
        <v/>
      </c>
      <c r="K442" s="52" t="str">
        <f t="shared" si="107"/>
        <v/>
      </c>
      <c r="L442" s="53" t="str">
        <f t="shared" si="87"/>
        <v/>
      </c>
      <c r="M442" s="52" t="str">
        <f t="shared" si="92"/>
        <v/>
      </c>
      <c r="N442" s="58" t="str">
        <f t="shared" si="88"/>
        <v/>
      </c>
      <c r="Q442" s="51" t="str">
        <f t="shared" si="93"/>
        <v/>
      </c>
      <c r="R442" s="52" t="str">
        <f t="shared" si="94"/>
        <v/>
      </c>
      <c r="S442" s="58" t="str">
        <f t="shared" si="120"/>
        <v/>
      </c>
      <c r="T442" s="52" t="str">
        <f t="shared" si="89"/>
        <v/>
      </c>
    </row>
    <row r="443" spans="2:20" ht="15.75" customHeight="1" x14ac:dyDescent="0.25">
      <c r="B443" s="33">
        <f t="shared" si="125"/>
        <v>48.58333333333335</v>
      </c>
      <c r="C443" s="34"/>
      <c r="D443" s="35">
        <f>(7/12)*D436</f>
        <v>3.3395833333333337E-3</v>
      </c>
      <c r="E443" s="36">
        <f>E436-(7/12)*F436</f>
        <v>929866.20619325782</v>
      </c>
      <c r="F443" s="36">
        <f t="shared" si="126"/>
        <v>445.11015164863784</v>
      </c>
      <c r="G443" s="31">
        <f t="shared" si="83"/>
        <v>0.99666041666666672</v>
      </c>
      <c r="H443" s="32"/>
      <c r="I443" s="51" t="str">
        <f t="shared" si="90"/>
        <v/>
      </c>
      <c r="J443" s="51" t="str">
        <f t="shared" si="91"/>
        <v/>
      </c>
      <c r="K443" s="52" t="str">
        <f t="shared" si="107"/>
        <v/>
      </c>
      <c r="L443" s="53" t="str">
        <f t="shared" si="87"/>
        <v/>
      </c>
      <c r="M443" s="52" t="str">
        <f t="shared" si="92"/>
        <v/>
      </c>
      <c r="N443" s="58" t="str">
        <f t="shared" si="88"/>
        <v/>
      </c>
      <c r="Q443" s="51" t="str">
        <f t="shared" si="93"/>
        <v/>
      </c>
      <c r="R443" s="52" t="str">
        <f t="shared" si="94"/>
        <v/>
      </c>
      <c r="S443" s="58" t="str">
        <f t="shared" si="120"/>
        <v/>
      </c>
      <c r="T443" s="52" t="str">
        <f t="shared" si="89"/>
        <v/>
      </c>
    </row>
    <row r="444" spans="2:20" ht="15.75" customHeight="1" x14ac:dyDescent="0.25">
      <c r="B444" s="33">
        <f t="shared" si="125"/>
        <v>48.666666666666686</v>
      </c>
      <c r="C444" s="34"/>
      <c r="D444" s="35">
        <f>(8/12)*D436</f>
        <v>3.8166666666666666E-3</v>
      </c>
      <c r="E444" s="36">
        <f>E436-(8/12)*F436</f>
        <v>929421.09604160918</v>
      </c>
      <c r="F444" s="36">
        <f t="shared" si="126"/>
        <v>445.11015164863784</v>
      </c>
      <c r="G444" s="31">
        <f t="shared" si="83"/>
        <v>0.99618333333333331</v>
      </c>
      <c r="H444" s="32"/>
      <c r="I444" s="51" t="str">
        <f t="shared" si="90"/>
        <v/>
      </c>
      <c r="J444" s="51" t="str">
        <f t="shared" si="91"/>
        <v/>
      </c>
      <c r="K444" s="52" t="str">
        <f t="shared" si="107"/>
        <v/>
      </c>
      <c r="L444" s="53" t="str">
        <f t="shared" si="87"/>
        <v/>
      </c>
      <c r="M444" s="52" t="str">
        <f t="shared" si="92"/>
        <v/>
      </c>
      <c r="N444" s="58" t="str">
        <f t="shared" si="88"/>
        <v/>
      </c>
      <c r="Q444" s="51" t="str">
        <f t="shared" si="93"/>
        <v/>
      </c>
      <c r="R444" s="52" t="str">
        <f t="shared" si="94"/>
        <v/>
      </c>
      <c r="S444" s="58" t="str">
        <f t="shared" si="120"/>
        <v/>
      </c>
      <c r="T444" s="52" t="str">
        <f t="shared" si="89"/>
        <v/>
      </c>
    </row>
    <row r="445" spans="2:20" ht="15.75" customHeight="1" x14ac:dyDescent="0.25">
      <c r="B445" s="33">
        <f t="shared" si="125"/>
        <v>48.750000000000021</v>
      </c>
      <c r="C445" s="34"/>
      <c r="D445" s="35">
        <f>(9/12)*D436</f>
        <v>4.2937499999999998E-3</v>
      </c>
      <c r="E445" s="36">
        <f>E436-(9/12)*F436</f>
        <v>928975.98588996055</v>
      </c>
      <c r="F445" s="36">
        <f t="shared" si="126"/>
        <v>445.11015164863784</v>
      </c>
      <c r="G445" s="31">
        <f t="shared" si="83"/>
        <v>0.99570625000000001</v>
      </c>
      <c r="H445" s="32"/>
      <c r="I445" s="51" t="str">
        <f t="shared" si="90"/>
        <v/>
      </c>
      <c r="J445" s="51" t="str">
        <f t="shared" si="91"/>
        <v/>
      </c>
      <c r="K445" s="52" t="str">
        <f t="shared" si="107"/>
        <v/>
      </c>
      <c r="L445" s="53" t="str">
        <f t="shared" si="87"/>
        <v/>
      </c>
      <c r="M445" s="52" t="str">
        <f t="shared" si="92"/>
        <v/>
      </c>
      <c r="N445" s="58" t="str">
        <f t="shared" si="88"/>
        <v/>
      </c>
      <c r="Q445" s="51" t="str">
        <f t="shared" si="93"/>
        <v/>
      </c>
      <c r="R445" s="52" t="str">
        <f t="shared" si="94"/>
        <v/>
      </c>
      <c r="S445" s="58" t="str">
        <f t="shared" si="120"/>
        <v/>
      </c>
      <c r="T445" s="52" t="str">
        <f t="shared" si="89"/>
        <v/>
      </c>
    </row>
    <row r="446" spans="2:20" ht="15.75" customHeight="1" x14ac:dyDescent="0.25">
      <c r="B446" s="33">
        <f t="shared" si="125"/>
        <v>48.833333333333357</v>
      </c>
      <c r="C446" s="34"/>
      <c r="D446" s="35">
        <f>(10/12)*D436</f>
        <v>4.7708333333333335E-3</v>
      </c>
      <c r="E446" s="36">
        <f>E436-(10/12)*F436</f>
        <v>928530.87573831191</v>
      </c>
      <c r="F446" s="36">
        <f t="shared" si="126"/>
        <v>445.11015164875425</v>
      </c>
      <c r="G446" s="31">
        <f t="shared" si="83"/>
        <v>0.99522916666666672</v>
      </c>
      <c r="H446" s="32"/>
      <c r="I446" s="51" t="str">
        <f t="shared" si="90"/>
        <v/>
      </c>
      <c r="J446" s="51" t="str">
        <f t="shared" si="91"/>
        <v/>
      </c>
      <c r="K446" s="52" t="str">
        <f t="shared" si="107"/>
        <v/>
      </c>
      <c r="L446" s="53" t="str">
        <f t="shared" si="87"/>
        <v/>
      </c>
      <c r="M446" s="52" t="str">
        <f t="shared" si="92"/>
        <v/>
      </c>
      <c r="N446" s="58" t="str">
        <f t="shared" si="88"/>
        <v/>
      </c>
      <c r="Q446" s="51" t="str">
        <f t="shared" si="93"/>
        <v/>
      </c>
      <c r="R446" s="52" t="str">
        <f t="shared" si="94"/>
        <v/>
      </c>
      <c r="S446" s="58" t="str">
        <f t="shared" si="120"/>
        <v/>
      </c>
      <c r="T446" s="52" t="str">
        <f t="shared" si="89"/>
        <v/>
      </c>
    </row>
    <row r="447" spans="2:20" ht="15.75" customHeight="1" x14ac:dyDescent="0.25">
      <c r="B447" s="33">
        <f t="shared" si="125"/>
        <v>48.916666666666693</v>
      </c>
      <c r="C447" s="34"/>
      <c r="D447" s="35">
        <f>(11/12)*D436</f>
        <v>5.2479166666666664E-3</v>
      </c>
      <c r="E447" s="36">
        <f>E436-(11/12)*F436</f>
        <v>928085.76558666315</v>
      </c>
      <c r="F447" s="36">
        <f t="shared" si="126"/>
        <v>445.11015164863784</v>
      </c>
      <c r="G447" s="31">
        <f t="shared" si="83"/>
        <v>0.99475208333333331</v>
      </c>
      <c r="H447" s="32"/>
      <c r="I447" s="51" t="str">
        <f t="shared" si="90"/>
        <v/>
      </c>
      <c r="J447" s="51" t="str">
        <f t="shared" si="91"/>
        <v/>
      </c>
      <c r="K447" s="52" t="str">
        <f t="shared" si="107"/>
        <v/>
      </c>
      <c r="L447" s="53" t="str">
        <f t="shared" si="87"/>
        <v/>
      </c>
      <c r="M447" s="52" t="str">
        <f t="shared" si="92"/>
        <v/>
      </c>
      <c r="N447" s="58" t="str">
        <f t="shared" si="88"/>
        <v/>
      </c>
      <c r="Q447" s="51" t="str">
        <f t="shared" si="93"/>
        <v/>
      </c>
      <c r="R447" s="52" t="str">
        <f t="shared" si="94"/>
        <v/>
      </c>
      <c r="S447" s="58" t="str">
        <f t="shared" si="120"/>
        <v/>
      </c>
      <c r="T447" s="52" t="str">
        <f t="shared" si="89"/>
        <v/>
      </c>
    </row>
    <row r="448" spans="2:20" ht="15.75" customHeight="1" x14ac:dyDescent="0.25">
      <c r="B448" s="27">
        <v>49</v>
      </c>
      <c r="C448" s="28">
        <v>6.1640000000000006</v>
      </c>
      <c r="D448" s="29">
        <f>C448/1000</f>
        <v>6.1640000000000002E-3</v>
      </c>
      <c r="E448" s="30">
        <f>E436-F436</f>
        <v>927640.65543501452</v>
      </c>
      <c r="F448" s="48">
        <f>D448*E448</f>
        <v>5717.9770001014294</v>
      </c>
      <c r="G448" s="31">
        <f t="shared" si="83"/>
        <v>0.99383600000000005</v>
      </c>
      <c r="H448" s="49"/>
      <c r="I448" s="51" t="str">
        <f t="shared" si="90"/>
        <v/>
      </c>
      <c r="J448" s="51" t="str">
        <f t="shared" si="91"/>
        <v/>
      </c>
      <c r="K448" s="52" t="str">
        <f t="shared" si="107"/>
        <v/>
      </c>
      <c r="L448" s="53" t="str">
        <f t="shared" si="87"/>
        <v/>
      </c>
      <c r="M448" s="52" t="str">
        <f t="shared" si="92"/>
        <v/>
      </c>
      <c r="N448" s="58" t="str">
        <f t="shared" si="88"/>
        <v/>
      </c>
      <c r="Q448" s="51" t="str">
        <f t="shared" si="93"/>
        <v/>
      </c>
      <c r="R448" s="52" t="str">
        <f t="shared" si="94"/>
        <v/>
      </c>
      <c r="S448" s="58" t="str">
        <f t="shared" si="120"/>
        <v/>
      </c>
      <c r="T448" s="52" t="str">
        <f t="shared" si="89"/>
        <v/>
      </c>
    </row>
    <row r="449" spans="2:20" ht="15.75" customHeight="1" x14ac:dyDescent="0.25">
      <c r="B449" s="33">
        <f t="shared" ref="B449:B459" si="127">B448+1/12</f>
        <v>49.083333333333336</v>
      </c>
      <c r="C449" s="34"/>
      <c r="D449" s="35">
        <f>(1/12)*D448</f>
        <v>5.1366666666666661E-4</v>
      </c>
      <c r="E449" s="36">
        <f>E448-(1/12)*F448</f>
        <v>927164.15735167277</v>
      </c>
      <c r="F449" s="36">
        <f t="shared" ref="F449:F459" si="128">E449-E450</f>
        <v>476.49808334186673</v>
      </c>
      <c r="G449" s="31">
        <f t="shared" si="83"/>
        <v>0.99948633333333337</v>
      </c>
      <c r="H449" s="37"/>
      <c r="I449" s="51" t="str">
        <f t="shared" si="90"/>
        <v/>
      </c>
      <c r="J449" s="51" t="str">
        <f t="shared" si="91"/>
        <v/>
      </c>
      <c r="K449" s="52" t="str">
        <f t="shared" si="107"/>
        <v/>
      </c>
      <c r="L449" s="53" t="str">
        <f t="shared" si="87"/>
        <v/>
      </c>
      <c r="M449" s="52" t="str">
        <f t="shared" si="92"/>
        <v/>
      </c>
      <c r="N449" s="58" t="str">
        <f t="shared" si="88"/>
        <v/>
      </c>
      <c r="Q449" s="51" t="str">
        <f t="shared" si="93"/>
        <v/>
      </c>
      <c r="R449" s="52" t="str">
        <f t="shared" si="94"/>
        <v/>
      </c>
      <c r="S449" s="58" t="str">
        <f t="shared" si="120"/>
        <v/>
      </c>
      <c r="T449" s="52" t="str">
        <f t="shared" si="89"/>
        <v/>
      </c>
    </row>
    <row r="450" spans="2:20" ht="15.75" customHeight="1" x14ac:dyDescent="0.25">
      <c r="B450" s="33">
        <f t="shared" si="127"/>
        <v>49.166666666666671</v>
      </c>
      <c r="C450" s="34"/>
      <c r="D450" s="35">
        <f>(2/12)*D448</f>
        <v>1.0273333333333332E-3</v>
      </c>
      <c r="E450" s="36">
        <f>E448-(2/12)*F448</f>
        <v>926687.6592683309</v>
      </c>
      <c r="F450" s="36">
        <f t="shared" si="128"/>
        <v>476.49808334175032</v>
      </c>
      <c r="G450" s="31">
        <f t="shared" si="83"/>
        <v>0.99897266666666662</v>
      </c>
      <c r="H450" s="32"/>
      <c r="I450" s="51" t="str">
        <f t="shared" si="90"/>
        <v/>
      </c>
      <c r="J450" s="51" t="str">
        <f t="shared" si="91"/>
        <v/>
      </c>
      <c r="K450" s="52" t="str">
        <f t="shared" si="107"/>
        <v/>
      </c>
      <c r="L450" s="53" t="str">
        <f t="shared" si="87"/>
        <v/>
      </c>
      <c r="M450" s="52" t="str">
        <f t="shared" si="92"/>
        <v/>
      </c>
      <c r="N450" s="58" t="str">
        <f t="shared" si="88"/>
        <v/>
      </c>
      <c r="Q450" s="51" t="str">
        <f t="shared" si="93"/>
        <v/>
      </c>
      <c r="R450" s="52" t="str">
        <f t="shared" si="94"/>
        <v/>
      </c>
      <c r="S450" s="58" t="str">
        <f t="shared" si="120"/>
        <v/>
      </c>
      <c r="T450" s="52" t="str">
        <f t="shared" si="89"/>
        <v/>
      </c>
    </row>
    <row r="451" spans="2:20" ht="15.75" customHeight="1" x14ac:dyDescent="0.25">
      <c r="B451" s="33">
        <f t="shared" si="127"/>
        <v>49.250000000000007</v>
      </c>
      <c r="C451" s="34"/>
      <c r="D451" s="35">
        <f>(3/12)*D448</f>
        <v>1.5410000000000001E-3</v>
      </c>
      <c r="E451" s="36">
        <f>E448-(3/12)*F448</f>
        <v>926211.16118498915</v>
      </c>
      <c r="F451" s="36">
        <f t="shared" si="128"/>
        <v>476.49808334175032</v>
      </c>
      <c r="G451" s="31">
        <f t="shared" si="83"/>
        <v>0.99845899999999999</v>
      </c>
      <c r="H451" s="32"/>
      <c r="I451" s="51" t="str">
        <f t="shared" si="90"/>
        <v/>
      </c>
      <c r="J451" s="51" t="str">
        <f t="shared" si="91"/>
        <v/>
      </c>
      <c r="K451" s="52" t="str">
        <f t="shared" si="107"/>
        <v/>
      </c>
      <c r="L451" s="53" t="str">
        <f t="shared" si="87"/>
        <v/>
      </c>
      <c r="M451" s="52" t="str">
        <f t="shared" si="92"/>
        <v/>
      </c>
      <c r="N451" s="58" t="str">
        <f t="shared" si="88"/>
        <v/>
      </c>
      <c r="Q451" s="51" t="str">
        <f t="shared" si="93"/>
        <v/>
      </c>
      <c r="R451" s="52" t="str">
        <f t="shared" si="94"/>
        <v/>
      </c>
      <c r="S451" s="58" t="str">
        <f t="shared" si="120"/>
        <v/>
      </c>
      <c r="T451" s="52" t="str">
        <f t="shared" si="89"/>
        <v/>
      </c>
    </row>
    <row r="452" spans="2:20" ht="15.75" customHeight="1" x14ac:dyDescent="0.25">
      <c r="B452" s="33">
        <f t="shared" si="127"/>
        <v>49.333333333333343</v>
      </c>
      <c r="C452" s="34"/>
      <c r="D452" s="35">
        <f>(4/12)*D448</f>
        <v>2.0546666666666664E-3</v>
      </c>
      <c r="E452" s="36">
        <f>E448-(4/12)*F448</f>
        <v>925734.6631016474</v>
      </c>
      <c r="F452" s="36">
        <f t="shared" si="128"/>
        <v>476.49808334186673</v>
      </c>
      <c r="G452" s="31">
        <f t="shared" si="83"/>
        <v>0.99794533333333335</v>
      </c>
      <c r="H452" s="32"/>
      <c r="I452" s="51" t="str">
        <f t="shared" si="90"/>
        <v/>
      </c>
      <c r="J452" s="51" t="str">
        <f t="shared" si="91"/>
        <v/>
      </c>
      <c r="K452" s="52" t="str">
        <f t="shared" si="107"/>
        <v/>
      </c>
      <c r="L452" s="53" t="str">
        <f t="shared" si="87"/>
        <v/>
      </c>
      <c r="M452" s="52" t="str">
        <f t="shared" si="92"/>
        <v/>
      </c>
      <c r="N452" s="58" t="str">
        <f t="shared" si="88"/>
        <v/>
      </c>
      <c r="Q452" s="51" t="str">
        <f t="shared" si="93"/>
        <v/>
      </c>
      <c r="R452" s="52" t="str">
        <f t="shared" si="94"/>
        <v/>
      </c>
      <c r="S452" s="58" t="str">
        <f t="shared" si="120"/>
        <v/>
      </c>
      <c r="T452" s="52" t="str">
        <f t="shared" si="89"/>
        <v/>
      </c>
    </row>
    <row r="453" spans="2:20" ht="15.75" customHeight="1" x14ac:dyDescent="0.25">
      <c r="B453" s="33">
        <f t="shared" si="127"/>
        <v>49.416666666666679</v>
      </c>
      <c r="C453" s="34"/>
      <c r="D453" s="35">
        <f>(5/12)*D448</f>
        <v>2.5683333333333335E-3</v>
      </c>
      <c r="E453" s="36">
        <f>E448-(5/12)*F448</f>
        <v>925258.16501830553</v>
      </c>
      <c r="F453" s="36">
        <f t="shared" si="128"/>
        <v>476.49808334175032</v>
      </c>
      <c r="G453" s="31">
        <f t="shared" si="83"/>
        <v>0.99743166666666672</v>
      </c>
      <c r="H453" s="32"/>
      <c r="I453" s="51" t="str">
        <f t="shared" si="90"/>
        <v/>
      </c>
      <c r="J453" s="51" t="str">
        <f t="shared" si="91"/>
        <v/>
      </c>
      <c r="K453" s="52" t="str">
        <f t="shared" si="107"/>
        <v/>
      </c>
      <c r="L453" s="53" t="str">
        <f t="shared" si="87"/>
        <v/>
      </c>
      <c r="M453" s="52" t="str">
        <f t="shared" si="92"/>
        <v/>
      </c>
      <c r="N453" s="58" t="str">
        <f t="shared" si="88"/>
        <v/>
      </c>
      <c r="Q453" s="51" t="str">
        <f t="shared" si="93"/>
        <v/>
      </c>
      <c r="R453" s="52" t="str">
        <f t="shared" si="94"/>
        <v/>
      </c>
      <c r="S453" s="58" t="str">
        <f t="shared" si="120"/>
        <v/>
      </c>
      <c r="T453" s="52" t="str">
        <f t="shared" si="89"/>
        <v/>
      </c>
    </row>
    <row r="454" spans="2:20" ht="15.75" customHeight="1" x14ac:dyDescent="0.25">
      <c r="B454" s="33">
        <f t="shared" si="127"/>
        <v>49.500000000000014</v>
      </c>
      <c r="C454" s="34"/>
      <c r="D454" s="35">
        <f>(6/12)*D448</f>
        <v>3.0820000000000001E-3</v>
      </c>
      <c r="E454" s="36">
        <f>E448-(6/12)*F448</f>
        <v>924781.66693496378</v>
      </c>
      <c r="F454" s="36">
        <f t="shared" si="128"/>
        <v>476.49808334175032</v>
      </c>
      <c r="G454" s="31">
        <f t="shared" si="83"/>
        <v>0.99691799999999997</v>
      </c>
      <c r="H454" s="32"/>
      <c r="I454" s="51" t="str">
        <f t="shared" si="90"/>
        <v/>
      </c>
      <c r="J454" s="51" t="str">
        <f t="shared" si="91"/>
        <v/>
      </c>
      <c r="K454" s="52" t="str">
        <f t="shared" si="107"/>
        <v/>
      </c>
      <c r="L454" s="53" t="str">
        <f t="shared" si="87"/>
        <v/>
      </c>
      <c r="M454" s="52" t="str">
        <f t="shared" si="92"/>
        <v/>
      </c>
      <c r="N454" s="58" t="str">
        <f t="shared" si="88"/>
        <v/>
      </c>
      <c r="Q454" s="51" t="str">
        <f t="shared" si="93"/>
        <v/>
      </c>
      <c r="R454" s="52" t="str">
        <f t="shared" si="94"/>
        <v/>
      </c>
      <c r="S454" s="58" t="str">
        <f t="shared" si="120"/>
        <v/>
      </c>
      <c r="T454" s="52" t="str">
        <f t="shared" si="89"/>
        <v/>
      </c>
    </row>
    <row r="455" spans="2:20" ht="15.75" customHeight="1" x14ac:dyDescent="0.25">
      <c r="B455" s="33">
        <f t="shared" si="127"/>
        <v>49.58333333333335</v>
      </c>
      <c r="C455" s="34"/>
      <c r="D455" s="35">
        <f>(7/12)*D448</f>
        <v>3.5956666666666671E-3</v>
      </c>
      <c r="E455" s="36">
        <f>E448-(7/12)*F448</f>
        <v>924305.16885162203</v>
      </c>
      <c r="F455" s="36">
        <f t="shared" si="128"/>
        <v>476.49808334175032</v>
      </c>
      <c r="G455" s="31">
        <f t="shared" si="83"/>
        <v>0.99640433333333334</v>
      </c>
      <c r="H455" s="32"/>
      <c r="I455" s="51" t="str">
        <f t="shared" si="90"/>
        <v/>
      </c>
      <c r="J455" s="51" t="str">
        <f t="shared" si="91"/>
        <v/>
      </c>
      <c r="K455" s="52" t="str">
        <f t="shared" si="107"/>
        <v/>
      </c>
      <c r="L455" s="53" t="str">
        <f t="shared" si="87"/>
        <v/>
      </c>
      <c r="M455" s="52" t="str">
        <f t="shared" si="92"/>
        <v/>
      </c>
      <c r="N455" s="58" t="str">
        <f t="shared" si="88"/>
        <v/>
      </c>
      <c r="Q455" s="51" t="str">
        <f t="shared" si="93"/>
        <v/>
      </c>
      <c r="R455" s="52" t="str">
        <f t="shared" si="94"/>
        <v/>
      </c>
      <c r="S455" s="58" t="str">
        <f t="shared" si="120"/>
        <v/>
      </c>
      <c r="T455" s="52" t="str">
        <f t="shared" si="89"/>
        <v/>
      </c>
    </row>
    <row r="456" spans="2:20" ht="15.75" customHeight="1" x14ac:dyDescent="0.25">
      <c r="B456" s="33">
        <f t="shared" si="127"/>
        <v>49.666666666666686</v>
      </c>
      <c r="C456" s="34"/>
      <c r="D456" s="35">
        <f>(8/12)*D448</f>
        <v>4.1093333333333329E-3</v>
      </c>
      <c r="E456" s="36">
        <f>E448-(8/12)*F448</f>
        <v>923828.67076828028</v>
      </c>
      <c r="F456" s="36">
        <f t="shared" si="128"/>
        <v>476.49808334186673</v>
      </c>
      <c r="G456" s="31">
        <f t="shared" si="83"/>
        <v>0.9958906666666667</v>
      </c>
      <c r="H456" s="32"/>
      <c r="I456" s="51" t="str">
        <f t="shared" si="90"/>
        <v/>
      </c>
      <c r="J456" s="51" t="str">
        <f t="shared" si="91"/>
        <v/>
      </c>
      <c r="K456" s="52" t="str">
        <f t="shared" si="107"/>
        <v/>
      </c>
      <c r="L456" s="53" t="str">
        <f t="shared" si="87"/>
        <v/>
      </c>
      <c r="M456" s="52" t="str">
        <f t="shared" si="92"/>
        <v/>
      </c>
      <c r="N456" s="58" t="str">
        <f t="shared" si="88"/>
        <v/>
      </c>
      <c r="Q456" s="51" t="str">
        <f t="shared" si="93"/>
        <v/>
      </c>
      <c r="R456" s="52" t="str">
        <f t="shared" si="94"/>
        <v/>
      </c>
      <c r="S456" s="58" t="str">
        <f t="shared" si="120"/>
        <v/>
      </c>
      <c r="T456" s="52" t="str">
        <f t="shared" si="89"/>
        <v/>
      </c>
    </row>
    <row r="457" spans="2:20" ht="15.75" customHeight="1" x14ac:dyDescent="0.25">
      <c r="B457" s="33">
        <f t="shared" si="127"/>
        <v>49.750000000000021</v>
      </c>
      <c r="C457" s="34"/>
      <c r="D457" s="35">
        <f>(9/12)*D448</f>
        <v>4.6230000000000004E-3</v>
      </c>
      <c r="E457" s="36">
        <f>E448-(9/12)*F448</f>
        <v>923352.17268493841</v>
      </c>
      <c r="F457" s="36">
        <f t="shared" si="128"/>
        <v>476.49808334175032</v>
      </c>
      <c r="G457" s="31">
        <f t="shared" si="83"/>
        <v>0.99537699999999996</v>
      </c>
      <c r="H457" s="32"/>
      <c r="I457" s="51" t="str">
        <f t="shared" si="90"/>
        <v/>
      </c>
      <c r="J457" s="51" t="str">
        <f t="shared" si="91"/>
        <v/>
      </c>
      <c r="K457" s="52" t="str">
        <f t="shared" si="107"/>
        <v/>
      </c>
      <c r="L457" s="53" t="str">
        <f t="shared" si="87"/>
        <v/>
      </c>
      <c r="M457" s="52" t="str">
        <f t="shared" si="92"/>
        <v/>
      </c>
      <c r="N457" s="58" t="str">
        <f t="shared" si="88"/>
        <v/>
      </c>
      <c r="Q457" s="51" t="str">
        <f t="shared" si="93"/>
        <v/>
      </c>
      <c r="R457" s="52" t="str">
        <f t="shared" si="94"/>
        <v/>
      </c>
      <c r="S457" s="58" t="str">
        <f t="shared" si="120"/>
        <v/>
      </c>
      <c r="T457" s="52" t="str">
        <f t="shared" si="89"/>
        <v/>
      </c>
    </row>
    <row r="458" spans="2:20" ht="15.75" customHeight="1" x14ac:dyDescent="0.25">
      <c r="B458" s="33">
        <f t="shared" si="127"/>
        <v>49.833333333333357</v>
      </c>
      <c r="C458" s="34"/>
      <c r="D458" s="35">
        <f>(10/12)*D448</f>
        <v>5.136666666666667E-3</v>
      </c>
      <c r="E458" s="36">
        <f>E448-(10/12)*F448</f>
        <v>922875.67460159666</v>
      </c>
      <c r="F458" s="36">
        <f t="shared" si="128"/>
        <v>476.49808334175032</v>
      </c>
      <c r="G458" s="31">
        <f t="shared" si="83"/>
        <v>0.99486333333333332</v>
      </c>
      <c r="H458" s="32"/>
      <c r="I458" s="51" t="str">
        <f t="shared" si="90"/>
        <v/>
      </c>
      <c r="J458" s="51" t="str">
        <f t="shared" si="91"/>
        <v/>
      </c>
      <c r="K458" s="52" t="str">
        <f t="shared" si="107"/>
        <v/>
      </c>
      <c r="L458" s="53" t="str">
        <f t="shared" si="87"/>
        <v/>
      </c>
      <c r="M458" s="52" t="str">
        <f t="shared" si="92"/>
        <v/>
      </c>
      <c r="N458" s="58" t="str">
        <f t="shared" si="88"/>
        <v/>
      </c>
      <c r="Q458" s="51" t="str">
        <f t="shared" si="93"/>
        <v/>
      </c>
      <c r="R458" s="52" t="str">
        <f t="shared" si="94"/>
        <v/>
      </c>
      <c r="S458" s="58" t="str">
        <f t="shared" si="120"/>
        <v/>
      </c>
      <c r="T458" s="52" t="str">
        <f t="shared" si="89"/>
        <v/>
      </c>
    </row>
    <row r="459" spans="2:20" ht="15.75" customHeight="1" x14ac:dyDescent="0.25">
      <c r="B459" s="33">
        <f t="shared" si="127"/>
        <v>49.916666666666693</v>
      </c>
      <c r="C459" s="34"/>
      <c r="D459" s="35">
        <f>(11/12)*D448</f>
        <v>5.6503333333333336E-3</v>
      </c>
      <c r="E459" s="36">
        <f>E448-(11/12)*F448</f>
        <v>922399.17651825491</v>
      </c>
      <c r="F459" s="36">
        <f t="shared" si="128"/>
        <v>476.49808334186673</v>
      </c>
      <c r="G459" s="31">
        <f t="shared" si="83"/>
        <v>0.99434966666666669</v>
      </c>
      <c r="H459" s="32"/>
      <c r="I459" s="51" t="str">
        <f t="shared" si="90"/>
        <v/>
      </c>
      <c r="J459" s="51" t="str">
        <f t="shared" si="91"/>
        <v/>
      </c>
      <c r="K459" s="52" t="str">
        <f t="shared" si="107"/>
        <v/>
      </c>
      <c r="L459" s="53" t="str">
        <f t="shared" si="87"/>
        <v/>
      </c>
      <c r="M459" s="52" t="str">
        <f t="shared" si="92"/>
        <v/>
      </c>
      <c r="N459" s="58" t="str">
        <f t="shared" si="88"/>
        <v/>
      </c>
      <c r="Q459" s="51" t="str">
        <f t="shared" si="93"/>
        <v/>
      </c>
      <c r="R459" s="52" t="str">
        <f t="shared" si="94"/>
        <v/>
      </c>
      <c r="S459" s="58" t="str">
        <f t="shared" si="120"/>
        <v/>
      </c>
      <c r="T459" s="52" t="str">
        <f t="shared" si="89"/>
        <v/>
      </c>
    </row>
    <row r="460" spans="2:20" ht="15.75" customHeight="1" x14ac:dyDescent="0.25">
      <c r="B460" s="27">
        <v>50</v>
      </c>
      <c r="C460" s="28">
        <v>6.6369999999999996</v>
      </c>
      <c r="D460" s="29">
        <f>C460/1000</f>
        <v>6.6369999999999997E-3</v>
      </c>
      <c r="E460" s="30">
        <f>E448-F448</f>
        <v>921922.67843491305</v>
      </c>
      <c r="F460" s="48">
        <f>D460*E460</f>
        <v>6118.8008167725175</v>
      </c>
      <c r="G460" s="31">
        <f t="shared" si="83"/>
        <v>0.993363</v>
      </c>
      <c r="H460" s="49"/>
      <c r="I460" s="51" t="str">
        <f t="shared" si="90"/>
        <v/>
      </c>
      <c r="J460" s="51" t="str">
        <f t="shared" si="91"/>
        <v/>
      </c>
      <c r="K460" s="52" t="str">
        <f t="shared" si="107"/>
        <v/>
      </c>
      <c r="L460" s="53" t="str">
        <f t="shared" si="87"/>
        <v/>
      </c>
      <c r="M460" s="52" t="str">
        <f t="shared" si="92"/>
        <v/>
      </c>
      <c r="N460" s="58" t="str">
        <f t="shared" si="88"/>
        <v/>
      </c>
      <c r="Q460" s="51" t="str">
        <f t="shared" si="93"/>
        <v/>
      </c>
      <c r="R460" s="52" t="str">
        <f t="shared" si="94"/>
        <v/>
      </c>
      <c r="S460" s="58" t="str">
        <f t="shared" si="120"/>
        <v/>
      </c>
      <c r="T460" s="52" t="str">
        <f t="shared" si="89"/>
        <v/>
      </c>
    </row>
    <row r="461" spans="2:20" ht="15.75" customHeight="1" x14ac:dyDescent="0.25">
      <c r="B461" s="33">
        <f t="shared" ref="B461:B471" si="129">B460+1/12</f>
        <v>50.083333333333336</v>
      </c>
      <c r="C461" s="34"/>
      <c r="D461" s="35">
        <f>(1/12)*D460</f>
        <v>5.5308333333333327E-4</v>
      </c>
      <c r="E461" s="36">
        <f>E460-(1/12)*F460</f>
        <v>921412.77836684871</v>
      </c>
      <c r="F461" s="36">
        <f t="shared" ref="F461:F471" si="130">E461-E462</f>
        <v>509.90006806445308</v>
      </c>
      <c r="G461" s="31">
        <f t="shared" si="83"/>
        <v>0.99944691666666663</v>
      </c>
      <c r="H461" s="37"/>
      <c r="I461" s="51" t="str">
        <f t="shared" si="90"/>
        <v/>
      </c>
      <c r="J461" s="51" t="str">
        <f t="shared" si="91"/>
        <v/>
      </c>
      <c r="K461" s="52" t="str">
        <f t="shared" si="107"/>
        <v/>
      </c>
      <c r="L461" s="53" t="str">
        <f t="shared" si="87"/>
        <v/>
      </c>
      <c r="M461" s="52" t="str">
        <f t="shared" si="92"/>
        <v/>
      </c>
      <c r="N461" s="58" t="str">
        <f t="shared" si="88"/>
        <v/>
      </c>
      <c r="Q461" s="51" t="str">
        <f t="shared" si="93"/>
        <v/>
      </c>
      <c r="R461" s="52" t="str">
        <f t="shared" si="94"/>
        <v/>
      </c>
      <c r="S461" s="58" t="str">
        <f t="shared" si="120"/>
        <v/>
      </c>
      <c r="T461" s="52" t="str">
        <f t="shared" si="89"/>
        <v/>
      </c>
    </row>
    <row r="462" spans="2:20" ht="15.75" customHeight="1" x14ac:dyDescent="0.25">
      <c r="B462" s="33">
        <f t="shared" si="129"/>
        <v>50.166666666666671</v>
      </c>
      <c r="C462" s="34"/>
      <c r="D462" s="35">
        <f>(2/12)*D460</f>
        <v>1.1061666666666665E-3</v>
      </c>
      <c r="E462" s="36">
        <f>E460-(2/12)*F460</f>
        <v>920902.87829878426</v>
      </c>
      <c r="F462" s="36">
        <f t="shared" si="130"/>
        <v>509.90006806433666</v>
      </c>
      <c r="G462" s="31">
        <f t="shared" si="83"/>
        <v>0.99889383333333337</v>
      </c>
      <c r="H462" s="32"/>
      <c r="I462" s="51" t="str">
        <f t="shared" si="90"/>
        <v/>
      </c>
      <c r="J462" s="51" t="str">
        <f t="shared" si="91"/>
        <v/>
      </c>
      <c r="K462" s="52" t="str">
        <f t="shared" si="107"/>
        <v/>
      </c>
      <c r="L462" s="53" t="str">
        <f t="shared" si="87"/>
        <v/>
      </c>
      <c r="M462" s="52" t="str">
        <f t="shared" si="92"/>
        <v/>
      </c>
      <c r="N462" s="58" t="str">
        <f t="shared" si="88"/>
        <v/>
      </c>
      <c r="Q462" s="51" t="str">
        <f t="shared" si="93"/>
        <v/>
      </c>
      <c r="R462" s="52" t="str">
        <f t="shared" si="94"/>
        <v/>
      </c>
      <c r="S462" s="58" t="str">
        <f t="shared" si="120"/>
        <v/>
      </c>
      <c r="T462" s="52" t="str">
        <f t="shared" si="89"/>
        <v/>
      </c>
    </row>
    <row r="463" spans="2:20" ht="15.75" customHeight="1" x14ac:dyDescent="0.25">
      <c r="B463" s="33">
        <f t="shared" si="129"/>
        <v>50.250000000000007</v>
      </c>
      <c r="C463" s="34"/>
      <c r="D463" s="35">
        <f>(3/12)*D460</f>
        <v>1.6592499999999999E-3</v>
      </c>
      <c r="E463" s="36">
        <f>E460-(3/12)*F460</f>
        <v>920392.97823071992</v>
      </c>
      <c r="F463" s="36">
        <f t="shared" si="130"/>
        <v>509.90006806433666</v>
      </c>
      <c r="G463" s="31">
        <f t="shared" si="83"/>
        <v>0.99834075</v>
      </c>
      <c r="H463" s="32"/>
      <c r="I463" s="51" t="str">
        <f t="shared" si="90"/>
        <v/>
      </c>
      <c r="J463" s="51" t="str">
        <f t="shared" si="91"/>
        <v/>
      </c>
      <c r="K463" s="52" t="str">
        <f t="shared" si="107"/>
        <v/>
      </c>
      <c r="L463" s="53" t="str">
        <f t="shared" si="87"/>
        <v/>
      </c>
      <c r="M463" s="52" t="str">
        <f t="shared" si="92"/>
        <v/>
      </c>
      <c r="N463" s="58" t="str">
        <f t="shared" si="88"/>
        <v/>
      </c>
      <c r="Q463" s="51" t="str">
        <f t="shared" si="93"/>
        <v/>
      </c>
      <c r="R463" s="52" t="str">
        <f t="shared" si="94"/>
        <v/>
      </c>
      <c r="S463" s="58" t="str">
        <f t="shared" si="120"/>
        <v/>
      </c>
      <c r="T463" s="52" t="str">
        <f t="shared" si="89"/>
        <v/>
      </c>
    </row>
    <row r="464" spans="2:20" ht="15.75" customHeight="1" x14ac:dyDescent="0.25">
      <c r="B464" s="33">
        <f t="shared" si="129"/>
        <v>50.333333333333343</v>
      </c>
      <c r="C464" s="34"/>
      <c r="D464" s="35">
        <f>(4/12)*D460</f>
        <v>2.2123333333333331E-3</v>
      </c>
      <c r="E464" s="36">
        <f>E460-(4/12)*F460</f>
        <v>919883.07816265558</v>
      </c>
      <c r="F464" s="36">
        <f t="shared" si="130"/>
        <v>509.90006806445308</v>
      </c>
      <c r="G464" s="31">
        <f t="shared" si="83"/>
        <v>0.99778766666666663</v>
      </c>
      <c r="H464" s="32"/>
      <c r="I464" s="51" t="str">
        <f t="shared" si="90"/>
        <v/>
      </c>
      <c r="J464" s="51" t="str">
        <f t="shared" si="91"/>
        <v/>
      </c>
      <c r="K464" s="52" t="str">
        <f t="shared" si="107"/>
        <v/>
      </c>
      <c r="L464" s="53" t="str">
        <f t="shared" si="87"/>
        <v/>
      </c>
      <c r="M464" s="52" t="str">
        <f t="shared" si="92"/>
        <v/>
      </c>
      <c r="N464" s="58" t="str">
        <f t="shared" si="88"/>
        <v/>
      </c>
      <c r="Q464" s="51" t="str">
        <f t="shared" si="93"/>
        <v/>
      </c>
      <c r="R464" s="52" t="str">
        <f t="shared" si="94"/>
        <v/>
      </c>
      <c r="S464" s="58" t="str">
        <f t="shared" si="120"/>
        <v/>
      </c>
      <c r="T464" s="52" t="str">
        <f t="shared" si="89"/>
        <v/>
      </c>
    </row>
    <row r="465" spans="2:20" ht="15.75" customHeight="1" x14ac:dyDescent="0.25">
      <c r="B465" s="33">
        <f t="shared" si="129"/>
        <v>50.416666666666679</v>
      </c>
      <c r="C465" s="34"/>
      <c r="D465" s="35">
        <f>(5/12)*D460</f>
        <v>2.7654166666666665E-3</v>
      </c>
      <c r="E465" s="36">
        <f>E460-(5/12)*F460</f>
        <v>919373.17809459113</v>
      </c>
      <c r="F465" s="36">
        <f t="shared" si="130"/>
        <v>509.90006806433666</v>
      </c>
      <c r="G465" s="31">
        <f t="shared" si="83"/>
        <v>0.99723458333333337</v>
      </c>
      <c r="H465" s="32"/>
      <c r="I465" s="51" t="str">
        <f t="shared" si="90"/>
        <v/>
      </c>
      <c r="J465" s="51" t="str">
        <f t="shared" si="91"/>
        <v/>
      </c>
      <c r="K465" s="52" t="str">
        <f t="shared" si="107"/>
        <v/>
      </c>
      <c r="L465" s="53" t="str">
        <f t="shared" si="87"/>
        <v/>
      </c>
      <c r="M465" s="52" t="str">
        <f t="shared" si="92"/>
        <v/>
      </c>
      <c r="N465" s="58" t="str">
        <f t="shared" si="88"/>
        <v/>
      </c>
      <c r="Q465" s="51" t="str">
        <f t="shared" si="93"/>
        <v/>
      </c>
      <c r="R465" s="52" t="str">
        <f t="shared" si="94"/>
        <v/>
      </c>
      <c r="S465" s="58" t="str">
        <f t="shared" si="120"/>
        <v/>
      </c>
      <c r="T465" s="52" t="str">
        <f t="shared" si="89"/>
        <v/>
      </c>
    </row>
    <row r="466" spans="2:20" ht="15.75" customHeight="1" x14ac:dyDescent="0.25">
      <c r="B466" s="33">
        <f t="shared" si="129"/>
        <v>50.500000000000014</v>
      </c>
      <c r="C466" s="34"/>
      <c r="D466" s="35">
        <f>(6/12)*D460</f>
        <v>3.3184999999999998E-3</v>
      </c>
      <c r="E466" s="36">
        <f>E460-(6/12)*F460</f>
        <v>918863.27802652679</v>
      </c>
      <c r="F466" s="36">
        <f t="shared" si="130"/>
        <v>509.90006806433666</v>
      </c>
      <c r="G466" s="31">
        <f t="shared" si="83"/>
        <v>0.9966815</v>
      </c>
      <c r="H466" s="32"/>
      <c r="I466" s="51" t="str">
        <f t="shared" si="90"/>
        <v/>
      </c>
      <c r="J466" s="51" t="str">
        <f t="shared" si="91"/>
        <v/>
      </c>
      <c r="K466" s="52" t="str">
        <f t="shared" si="107"/>
        <v/>
      </c>
      <c r="L466" s="53" t="str">
        <f t="shared" si="87"/>
        <v/>
      </c>
      <c r="M466" s="52" t="str">
        <f t="shared" si="92"/>
        <v/>
      </c>
      <c r="N466" s="58" t="str">
        <f t="shared" si="88"/>
        <v/>
      </c>
      <c r="Q466" s="51" t="str">
        <f t="shared" si="93"/>
        <v/>
      </c>
      <c r="R466" s="52" t="str">
        <f t="shared" si="94"/>
        <v/>
      </c>
      <c r="S466" s="58" t="str">
        <f t="shared" ref="S466:S529" si="131">IF(Q466&lt;&gt;"",(1+$M$10)^-(12*Q466),"")</f>
        <v/>
      </c>
      <c r="T466" s="52" t="str">
        <f t="shared" si="89"/>
        <v/>
      </c>
    </row>
    <row r="467" spans="2:20" ht="15.75" customHeight="1" x14ac:dyDescent="0.25">
      <c r="B467" s="33">
        <f t="shared" si="129"/>
        <v>50.58333333333335</v>
      </c>
      <c r="C467" s="34"/>
      <c r="D467" s="35">
        <f>(7/12)*D460</f>
        <v>3.8715833333333332E-3</v>
      </c>
      <c r="E467" s="36">
        <f>E460-(7/12)*F460</f>
        <v>918353.37795846246</v>
      </c>
      <c r="F467" s="36">
        <f t="shared" si="130"/>
        <v>509.90006806445308</v>
      </c>
      <c r="G467" s="31">
        <f t="shared" si="83"/>
        <v>0.99612841666666663</v>
      </c>
      <c r="H467" s="32"/>
      <c r="I467" s="51" t="str">
        <f t="shared" si="90"/>
        <v/>
      </c>
      <c r="J467" s="51" t="str">
        <f t="shared" si="91"/>
        <v/>
      </c>
      <c r="K467" s="52" t="str">
        <f t="shared" si="107"/>
        <v/>
      </c>
      <c r="L467" s="53" t="str">
        <f t="shared" si="87"/>
        <v/>
      </c>
      <c r="M467" s="52" t="str">
        <f t="shared" si="92"/>
        <v/>
      </c>
      <c r="N467" s="58" t="str">
        <f t="shared" si="88"/>
        <v/>
      </c>
      <c r="Q467" s="51" t="str">
        <f t="shared" si="93"/>
        <v/>
      </c>
      <c r="R467" s="52" t="str">
        <f t="shared" si="94"/>
        <v/>
      </c>
      <c r="S467" s="58" t="str">
        <f t="shared" si="131"/>
        <v/>
      </c>
      <c r="T467" s="52" t="str">
        <f t="shared" si="89"/>
        <v/>
      </c>
    </row>
    <row r="468" spans="2:20" ht="15.75" customHeight="1" x14ac:dyDescent="0.25">
      <c r="B468" s="33">
        <f t="shared" si="129"/>
        <v>50.666666666666686</v>
      </c>
      <c r="C468" s="34"/>
      <c r="D468" s="35">
        <f>(8/12)*D460</f>
        <v>4.4246666666666662E-3</v>
      </c>
      <c r="E468" s="36">
        <f>E460-(8/12)*F460</f>
        <v>917843.477890398</v>
      </c>
      <c r="F468" s="36">
        <f t="shared" si="130"/>
        <v>509.90006806433666</v>
      </c>
      <c r="G468" s="31">
        <f t="shared" si="83"/>
        <v>0.99557533333333337</v>
      </c>
      <c r="H468" s="32"/>
      <c r="I468" s="51" t="str">
        <f t="shared" si="90"/>
        <v/>
      </c>
      <c r="J468" s="51" t="str">
        <f t="shared" si="91"/>
        <v/>
      </c>
      <c r="K468" s="52" t="str">
        <f t="shared" si="107"/>
        <v/>
      </c>
      <c r="L468" s="53" t="str">
        <f t="shared" si="87"/>
        <v/>
      </c>
      <c r="M468" s="52" t="str">
        <f t="shared" si="92"/>
        <v/>
      </c>
      <c r="N468" s="58" t="str">
        <f t="shared" si="88"/>
        <v/>
      </c>
      <c r="Q468" s="51" t="str">
        <f t="shared" si="93"/>
        <v/>
      </c>
      <c r="R468" s="52" t="str">
        <f t="shared" si="94"/>
        <v/>
      </c>
      <c r="S468" s="58" t="str">
        <f t="shared" si="131"/>
        <v/>
      </c>
      <c r="T468" s="52" t="str">
        <f t="shared" si="89"/>
        <v/>
      </c>
    </row>
    <row r="469" spans="2:20" ht="15.75" customHeight="1" x14ac:dyDescent="0.25">
      <c r="B469" s="33">
        <f t="shared" si="129"/>
        <v>50.750000000000021</v>
      </c>
      <c r="C469" s="34"/>
      <c r="D469" s="35">
        <f>(9/12)*D460</f>
        <v>4.9777499999999995E-3</v>
      </c>
      <c r="E469" s="36">
        <f>E460-(9/12)*F460</f>
        <v>917333.57782233367</v>
      </c>
      <c r="F469" s="36">
        <f t="shared" si="130"/>
        <v>509.90006806433666</v>
      </c>
      <c r="G469" s="31">
        <f t="shared" si="83"/>
        <v>0.99502225</v>
      </c>
      <c r="H469" s="32"/>
      <c r="I469" s="51" t="str">
        <f t="shared" si="90"/>
        <v/>
      </c>
      <c r="J469" s="51" t="str">
        <f t="shared" si="91"/>
        <v/>
      </c>
      <c r="K469" s="52" t="str">
        <f t="shared" si="107"/>
        <v/>
      </c>
      <c r="L469" s="53" t="str">
        <f t="shared" si="87"/>
        <v/>
      </c>
      <c r="M469" s="52" t="str">
        <f t="shared" si="92"/>
        <v/>
      </c>
      <c r="N469" s="58" t="str">
        <f t="shared" si="88"/>
        <v/>
      </c>
      <c r="Q469" s="51" t="str">
        <f t="shared" si="93"/>
        <v/>
      </c>
      <c r="R469" s="52" t="str">
        <f t="shared" si="94"/>
        <v/>
      </c>
      <c r="S469" s="58" t="str">
        <f t="shared" si="131"/>
        <v/>
      </c>
      <c r="T469" s="52" t="str">
        <f t="shared" si="89"/>
        <v/>
      </c>
    </row>
    <row r="470" spans="2:20" ht="15.75" customHeight="1" x14ac:dyDescent="0.25">
      <c r="B470" s="33">
        <f t="shared" si="129"/>
        <v>50.833333333333357</v>
      </c>
      <c r="C470" s="34"/>
      <c r="D470" s="35">
        <f>(10/12)*D460</f>
        <v>5.5308333333333329E-3</v>
      </c>
      <c r="E470" s="36">
        <f>E460-(10/12)*F460</f>
        <v>916823.67775426933</v>
      </c>
      <c r="F470" s="36">
        <f t="shared" si="130"/>
        <v>509.90006806445308</v>
      </c>
      <c r="G470" s="31">
        <f t="shared" si="83"/>
        <v>0.99446916666666663</v>
      </c>
      <c r="H470" s="32"/>
      <c r="I470" s="51" t="str">
        <f t="shared" si="90"/>
        <v/>
      </c>
      <c r="J470" s="51" t="str">
        <f t="shared" si="91"/>
        <v/>
      </c>
      <c r="K470" s="52" t="str">
        <f t="shared" si="107"/>
        <v/>
      </c>
      <c r="L470" s="53" t="str">
        <f t="shared" si="87"/>
        <v/>
      </c>
      <c r="M470" s="52" t="str">
        <f t="shared" si="92"/>
        <v/>
      </c>
      <c r="N470" s="58" t="str">
        <f t="shared" si="88"/>
        <v/>
      </c>
      <c r="Q470" s="51" t="str">
        <f t="shared" si="93"/>
        <v/>
      </c>
      <c r="R470" s="52" t="str">
        <f t="shared" si="94"/>
        <v/>
      </c>
      <c r="S470" s="58" t="str">
        <f t="shared" si="131"/>
        <v/>
      </c>
      <c r="T470" s="52" t="str">
        <f t="shared" si="89"/>
        <v/>
      </c>
    </row>
    <row r="471" spans="2:20" ht="15.75" customHeight="1" x14ac:dyDescent="0.25">
      <c r="B471" s="33">
        <f t="shared" si="129"/>
        <v>50.916666666666693</v>
      </c>
      <c r="C471" s="34"/>
      <c r="D471" s="35">
        <f>(11/12)*D460</f>
        <v>6.0839166666666663E-3</v>
      </c>
      <c r="E471" s="36">
        <f>E460-(11/12)*F460</f>
        <v>916313.77768620488</v>
      </c>
      <c r="F471" s="36">
        <f t="shared" si="130"/>
        <v>509.90006806433666</v>
      </c>
      <c r="G471" s="31">
        <f t="shared" si="83"/>
        <v>0.99391608333333337</v>
      </c>
      <c r="H471" s="32"/>
      <c r="I471" s="51" t="str">
        <f t="shared" si="90"/>
        <v/>
      </c>
      <c r="J471" s="51" t="str">
        <f t="shared" si="91"/>
        <v/>
      </c>
      <c r="K471" s="52" t="str">
        <f t="shared" si="107"/>
        <v/>
      </c>
      <c r="L471" s="53" t="str">
        <f t="shared" si="87"/>
        <v/>
      </c>
      <c r="M471" s="52" t="str">
        <f t="shared" si="92"/>
        <v/>
      </c>
      <c r="N471" s="58" t="str">
        <f t="shared" si="88"/>
        <v/>
      </c>
      <c r="Q471" s="51" t="str">
        <f t="shared" si="93"/>
        <v/>
      </c>
      <c r="R471" s="52" t="str">
        <f t="shared" si="94"/>
        <v/>
      </c>
      <c r="S471" s="58" t="str">
        <f t="shared" si="131"/>
        <v/>
      </c>
      <c r="T471" s="52" t="str">
        <f t="shared" si="89"/>
        <v/>
      </c>
    </row>
    <row r="472" spans="2:20" ht="15.75" customHeight="1" x14ac:dyDescent="0.25">
      <c r="B472" s="27">
        <v>51</v>
      </c>
      <c r="C472" s="28">
        <v>7.1449999999999996</v>
      </c>
      <c r="D472" s="29">
        <f>C472/1000</f>
        <v>7.1449999999999994E-3</v>
      </c>
      <c r="E472" s="30">
        <f>E460-F460</f>
        <v>915803.87761814054</v>
      </c>
      <c r="F472" s="48">
        <f>D472*E472</f>
        <v>6543.4187055816137</v>
      </c>
      <c r="G472" s="31">
        <f t="shared" si="83"/>
        <v>0.99285500000000004</v>
      </c>
      <c r="H472" s="49"/>
      <c r="I472" s="51" t="str">
        <f t="shared" si="90"/>
        <v/>
      </c>
      <c r="J472" s="51" t="str">
        <f t="shared" si="91"/>
        <v/>
      </c>
      <c r="K472" s="52" t="str">
        <f t="shared" si="107"/>
        <v/>
      </c>
      <c r="L472" s="53" t="str">
        <f t="shared" si="87"/>
        <v/>
      </c>
      <c r="M472" s="52" t="str">
        <f t="shared" si="92"/>
        <v/>
      </c>
      <c r="N472" s="58" t="str">
        <f t="shared" si="88"/>
        <v/>
      </c>
      <c r="Q472" s="51" t="str">
        <f t="shared" si="93"/>
        <v/>
      </c>
      <c r="R472" s="52" t="str">
        <f t="shared" si="94"/>
        <v/>
      </c>
      <c r="S472" s="58" t="str">
        <f t="shared" si="131"/>
        <v/>
      </c>
      <c r="T472" s="52" t="str">
        <f t="shared" si="89"/>
        <v/>
      </c>
    </row>
    <row r="473" spans="2:20" ht="15.75" customHeight="1" x14ac:dyDescent="0.25">
      <c r="B473" s="33">
        <f t="shared" ref="B473:B483" si="132">B472+1/12</f>
        <v>51.083333333333336</v>
      </c>
      <c r="C473" s="34"/>
      <c r="D473" s="35">
        <f>(1/12)*D472</f>
        <v>5.9541666666666662E-4</v>
      </c>
      <c r="E473" s="36">
        <f>E472-(1/12)*F472</f>
        <v>915258.59272600873</v>
      </c>
      <c r="F473" s="36">
        <f t="shared" ref="F473:F483" si="133">E473-E474</f>
        <v>545.28489213180728</v>
      </c>
      <c r="G473" s="31">
        <f t="shared" si="83"/>
        <v>0.99940458333333337</v>
      </c>
      <c r="H473" s="37"/>
      <c r="I473" s="51" t="str">
        <f t="shared" si="90"/>
        <v/>
      </c>
      <c r="J473" s="51" t="str">
        <f t="shared" si="91"/>
        <v/>
      </c>
      <c r="K473" s="52" t="str">
        <f t="shared" si="107"/>
        <v/>
      </c>
      <c r="L473" s="53" t="str">
        <f t="shared" si="87"/>
        <v/>
      </c>
      <c r="M473" s="52" t="str">
        <f t="shared" si="92"/>
        <v/>
      </c>
      <c r="N473" s="58" t="str">
        <f t="shared" si="88"/>
        <v/>
      </c>
      <c r="Q473" s="51" t="str">
        <f t="shared" si="93"/>
        <v/>
      </c>
      <c r="R473" s="52" t="str">
        <f t="shared" si="94"/>
        <v/>
      </c>
      <c r="S473" s="58" t="str">
        <f t="shared" si="131"/>
        <v/>
      </c>
      <c r="T473" s="52" t="str">
        <f t="shared" si="89"/>
        <v/>
      </c>
    </row>
    <row r="474" spans="2:20" ht="15.75" customHeight="1" x14ac:dyDescent="0.25">
      <c r="B474" s="33">
        <f t="shared" si="132"/>
        <v>51.166666666666671</v>
      </c>
      <c r="C474" s="34"/>
      <c r="D474" s="35">
        <f>(2/12)*D472</f>
        <v>1.1908333333333332E-3</v>
      </c>
      <c r="E474" s="36">
        <f>E472-(2/12)*F472</f>
        <v>914713.30783387693</v>
      </c>
      <c r="F474" s="36">
        <f t="shared" si="133"/>
        <v>545.28489213180728</v>
      </c>
      <c r="G474" s="31">
        <f t="shared" si="83"/>
        <v>0.99880916666666664</v>
      </c>
      <c r="H474" s="32"/>
      <c r="I474" s="51" t="str">
        <f t="shared" si="90"/>
        <v/>
      </c>
      <c r="J474" s="51" t="str">
        <f t="shared" si="91"/>
        <v/>
      </c>
      <c r="K474" s="52" t="str">
        <f t="shared" si="107"/>
        <v/>
      </c>
      <c r="L474" s="53" t="str">
        <f t="shared" si="87"/>
        <v/>
      </c>
      <c r="M474" s="52" t="str">
        <f t="shared" si="92"/>
        <v/>
      </c>
      <c r="N474" s="58" t="str">
        <f t="shared" si="88"/>
        <v/>
      </c>
      <c r="Q474" s="51" t="str">
        <f t="shared" si="93"/>
        <v/>
      </c>
      <c r="R474" s="52" t="str">
        <f t="shared" si="94"/>
        <v/>
      </c>
      <c r="S474" s="58" t="str">
        <f t="shared" si="131"/>
        <v/>
      </c>
      <c r="T474" s="52" t="str">
        <f t="shared" si="89"/>
        <v/>
      </c>
    </row>
    <row r="475" spans="2:20" ht="15.75" customHeight="1" x14ac:dyDescent="0.25">
      <c r="B475" s="33">
        <f t="shared" si="132"/>
        <v>51.250000000000007</v>
      </c>
      <c r="C475" s="34"/>
      <c r="D475" s="35">
        <f>(3/12)*D472</f>
        <v>1.7862499999999999E-3</v>
      </c>
      <c r="E475" s="36">
        <f>E472-(3/12)*F472</f>
        <v>914168.02294174512</v>
      </c>
      <c r="F475" s="36">
        <f t="shared" si="133"/>
        <v>545.28489213180728</v>
      </c>
      <c r="G475" s="31">
        <f t="shared" si="83"/>
        <v>0.99821375000000001</v>
      </c>
      <c r="H475" s="32"/>
      <c r="I475" s="51" t="str">
        <f t="shared" si="90"/>
        <v/>
      </c>
      <c r="J475" s="51" t="str">
        <f t="shared" si="91"/>
        <v/>
      </c>
      <c r="K475" s="52" t="str">
        <f t="shared" si="107"/>
        <v/>
      </c>
      <c r="L475" s="53" t="str">
        <f t="shared" si="87"/>
        <v/>
      </c>
      <c r="M475" s="52" t="str">
        <f t="shared" si="92"/>
        <v/>
      </c>
      <c r="N475" s="58" t="str">
        <f t="shared" si="88"/>
        <v/>
      </c>
      <c r="Q475" s="51" t="str">
        <f t="shared" si="93"/>
        <v/>
      </c>
      <c r="R475" s="52" t="str">
        <f t="shared" si="94"/>
        <v/>
      </c>
      <c r="S475" s="58" t="str">
        <f t="shared" si="131"/>
        <v/>
      </c>
      <c r="T475" s="52" t="str">
        <f t="shared" si="89"/>
        <v/>
      </c>
    </row>
    <row r="476" spans="2:20" ht="15.75" customHeight="1" x14ac:dyDescent="0.25">
      <c r="B476" s="33">
        <f t="shared" si="132"/>
        <v>51.333333333333343</v>
      </c>
      <c r="C476" s="34"/>
      <c r="D476" s="35">
        <f>(4/12)*D472</f>
        <v>2.3816666666666665E-3</v>
      </c>
      <c r="E476" s="36">
        <f>E472-(4/12)*F472</f>
        <v>913622.73804961331</v>
      </c>
      <c r="F476" s="36">
        <f t="shared" si="133"/>
        <v>545.28489213180728</v>
      </c>
      <c r="G476" s="31">
        <f t="shared" si="83"/>
        <v>0.99761833333333338</v>
      </c>
      <c r="H476" s="32"/>
      <c r="I476" s="51" t="str">
        <f t="shared" si="90"/>
        <v/>
      </c>
      <c r="J476" s="51" t="str">
        <f t="shared" si="91"/>
        <v/>
      </c>
      <c r="K476" s="52" t="str">
        <f t="shared" si="107"/>
        <v/>
      </c>
      <c r="L476" s="53" t="str">
        <f t="shared" si="87"/>
        <v/>
      </c>
      <c r="M476" s="52" t="str">
        <f t="shared" si="92"/>
        <v/>
      </c>
      <c r="N476" s="58" t="str">
        <f t="shared" si="88"/>
        <v/>
      </c>
      <c r="Q476" s="51" t="str">
        <f t="shared" si="93"/>
        <v/>
      </c>
      <c r="R476" s="52" t="str">
        <f t="shared" si="94"/>
        <v/>
      </c>
      <c r="S476" s="58" t="str">
        <f t="shared" si="131"/>
        <v/>
      </c>
      <c r="T476" s="52" t="str">
        <f t="shared" si="89"/>
        <v/>
      </c>
    </row>
    <row r="477" spans="2:20" ht="15.75" customHeight="1" x14ac:dyDescent="0.25">
      <c r="B477" s="33">
        <f t="shared" si="132"/>
        <v>51.416666666666679</v>
      </c>
      <c r="C477" s="34"/>
      <c r="D477" s="35">
        <f>(5/12)*D472</f>
        <v>2.9770833333333333E-3</v>
      </c>
      <c r="E477" s="36">
        <f>E472-(5/12)*F472</f>
        <v>913077.4531574815</v>
      </c>
      <c r="F477" s="36">
        <f t="shared" si="133"/>
        <v>545.28489213180728</v>
      </c>
      <c r="G477" s="31">
        <f t="shared" si="83"/>
        <v>0.99702291666666665</v>
      </c>
      <c r="H477" s="32"/>
      <c r="I477" s="51" t="str">
        <f t="shared" si="90"/>
        <v/>
      </c>
      <c r="J477" s="51" t="str">
        <f t="shared" si="91"/>
        <v/>
      </c>
      <c r="K477" s="52" t="str">
        <f t="shared" si="107"/>
        <v/>
      </c>
      <c r="L477" s="53" t="str">
        <f t="shared" si="87"/>
        <v/>
      </c>
      <c r="M477" s="52" t="str">
        <f t="shared" si="92"/>
        <v/>
      </c>
      <c r="N477" s="58" t="str">
        <f t="shared" si="88"/>
        <v/>
      </c>
      <c r="Q477" s="51" t="str">
        <f t="shared" si="93"/>
        <v/>
      </c>
      <c r="R477" s="52" t="str">
        <f t="shared" si="94"/>
        <v/>
      </c>
      <c r="S477" s="58" t="str">
        <f t="shared" si="131"/>
        <v/>
      </c>
      <c r="T477" s="52" t="str">
        <f t="shared" si="89"/>
        <v/>
      </c>
    </row>
    <row r="478" spans="2:20" ht="15.75" customHeight="1" x14ac:dyDescent="0.25">
      <c r="B478" s="33">
        <f t="shared" si="132"/>
        <v>51.500000000000014</v>
      </c>
      <c r="C478" s="34"/>
      <c r="D478" s="35">
        <f>(6/12)*D472</f>
        <v>3.5724999999999997E-3</v>
      </c>
      <c r="E478" s="36">
        <f>E472-(6/12)*F472</f>
        <v>912532.1682653497</v>
      </c>
      <c r="F478" s="36">
        <f t="shared" si="133"/>
        <v>545.28489213180728</v>
      </c>
      <c r="G478" s="31">
        <f t="shared" si="83"/>
        <v>0.99642750000000002</v>
      </c>
      <c r="H478" s="32"/>
      <c r="I478" s="51" t="str">
        <f t="shared" si="90"/>
        <v/>
      </c>
      <c r="J478" s="51" t="str">
        <f t="shared" si="91"/>
        <v/>
      </c>
      <c r="K478" s="52" t="str">
        <f t="shared" si="107"/>
        <v/>
      </c>
      <c r="L478" s="53" t="str">
        <f t="shared" si="87"/>
        <v/>
      </c>
      <c r="M478" s="52" t="str">
        <f t="shared" si="92"/>
        <v/>
      </c>
      <c r="N478" s="58" t="str">
        <f t="shared" si="88"/>
        <v/>
      </c>
      <c r="Q478" s="51" t="str">
        <f t="shared" si="93"/>
        <v/>
      </c>
      <c r="R478" s="52" t="str">
        <f t="shared" si="94"/>
        <v/>
      </c>
      <c r="S478" s="58" t="str">
        <f t="shared" si="131"/>
        <v/>
      </c>
      <c r="T478" s="52" t="str">
        <f t="shared" si="89"/>
        <v/>
      </c>
    </row>
    <row r="479" spans="2:20" ht="15.75" customHeight="1" x14ac:dyDescent="0.25">
      <c r="B479" s="33">
        <f t="shared" si="132"/>
        <v>51.58333333333335</v>
      </c>
      <c r="C479" s="34"/>
      <c r="D479" s="35">
        <f>(7/12)*D472</f>
        <v>4.167916666666667E-3</v>
      </c>
      <c r="E479" s="36">
        <f>E472-(7/12)*F472</f>
        <v>911986.88337321789</v>
      </c>
      <c r="F479" s="36">
        <f t="shared" si="133"/>
        <v>545.28489213180728</v>
      </c>
      <c r="G479" s="31">
        <f t="shared" si="83"/>
        <v>0.99583208333333328</v>
      </c>
      <c r="H479" s="32"/>
      <c r="I479" s="51" t="str">
        <f t="shared" si="90"/>
        <v/>
      </c>
      <c r="J479" s="51" t="str">
        <f t="shared" si="91"/>
        <v/>
      </c>
      <c r="K479" s="52" t="str">
        <f t="shared" si="107"/>
        <v/>
      </c>
      <c r="L479" s="53" t="str">
        <f t="shared" si="87"/>
        <v/>
      </c>
      <c r="M479" s="52" t="str">
        <f t="shared" si="92"/>
        <v/>
      </c>
      <c r="N479" s="58" t="str">
        <f t="shared" si="88"/>
        <v/>
      </c>
      <c r="Q479" s="51" t="str">
        <f t="shared" si="93"/>
        <v/>
      </c>
      <c r="R479" s="52" t="str">
        <f t="shared" si="94"/>
        <v/>
      </c>
      <c r="S479" s="58" t="str">
        <f t="shared" si="131"/>
        <v/>
      </c>
      <c r="T479" s="52" t="str">
        <f t="shared" si="89"/>
        <v/>
      </c>
    </row>
    <row r="480" spans="2:20" ht="15.75" customHeight="1" x14ac:dyDescent="0.25">
      <c r="B480" s="33">
        <f t="shared" si="132"/>
        <v>51.666666666666686</v>
      </c>
      <c r="C480" s="34"/>
      <c r="D480" s="35">
        <f>(8/12)*D472</f>
        <v>4.763333333333333E-3</v>
      </c>
      <c r="E480" s="36">
        <f>E472-(8/12)*F472</f>
        <v>911441.59848108608</v>
      </c>
      <c r="F480" s="36">
        <f t="shared" si="133"/>
        <v>545.28489213180728</v>
      </c>
      <c r="G480" s="31">
        <f t="shared" si="83"/>
        <v>0.99523666666666666</v>
      </c>
      <c r="H480" s="32"/>
      <c r="I480" s="51" t="str">
        <f t="shared" si="90"/>
        <v/>
      </c>
      <c r="J480" s="51" t="str">
        <f t="shared" si="91"/>
        <v/>
      </c>
      <c r="K480" s="52" t="str">
        <f t="shared" si="107"/>
        <v/>
      </c>
      <c r="L480" s="53" t="str">
        <f t="shared" si="87"/>
        <v/>
      </c>
      <c r="M480" s="52" t="str">
        <f t="shared" si="92"/>
        <v/>
      </c>
      <c r="N480" s="58" t="str">
        <f t="shared" si="88"/>
        <v/>
      </c>
      <c r="Q480" s="51" t="str">
        <f t="shared" si="93"/>
        <v/>
      </c>
      <c r="R480" s="52" t="str">
        <f t="shared" si="94"/>
        <v/>
      </c>
      <c r="S480" s="58" t="str">
        <f t="shared" si="131"/>
        <v/>
      </c>
      <c r="T480" s="52" t="str">
        <f t="shared" si="89"/>
        <v/>
      </c>
    </row>
    <row r="481" spans="2:20" ht="15.75" customHeight="1" x14ac:dyDescent="0.25">
      <c r="B481" s="33">
        <f t="shared" si="132"/>
        <v>51.750000000000021</v>
      </c>
      <c r="C481" s="34"/>
      <c r="D481" s="35">
        <f>(9/12)*D472</f>
        <v>5.3587499999999998E-3</v>
      </c>
      <c r="E481" s="36">
        <f>E472-(9/12)*F472</f>
        <v>910896.31358895428</v>
      </c>
      <c r="F481" s="36">
        <f t="shared" si="133"/>
        <v>545.28489213169087</v>
      </c>
      <c r="G481" s="31">
        <f t="shared" si="83"/>
        <v>0.99464125000000003</v>
      </c>
      <c r="H481" s="32"/>
      <c r="I481" s="51" t="str">
        <f t="shared" si="90"/>
        <v/>
      </c>
      <c r="J481" s="51" t="str">
        <f t="shared" si="91"/>
        <v/>
      </c>
      <c r="K481" s="52" t="str">
        <f t="shared" si="107"/>
        <v/>
      </c>
      <c r="L481" s="53" t="str">
        <f t="shared" si="87"/>
        <v/>
      </c>
      <c r="M481" s="52" t="str">
        <f t="shared" si="92"/>
        <v/>
      </c>
      <c r="N481" s="58" t="str">
        <f t="shared" si="88"/>
        <v/>
      </c>
      <c r="Q481" s="51" t="str">
        <f t="shared" si="93"/>
        <v/>
      </c>
      <c r="R481" s="52" t="str">
        <f t="shared" si="94"/>
        <v/>
      </c>
      <c r="S481" s="58" t="str">
        <f t="shared" si="131"/>
        <v/>
      </c>
      <c r="T481" s="52" t="str">
        <f t="shared" si="89"/>
        <v/>
      </c>
    </row>
    <row r="482" spans="2:20" ht="15.75" customHeight="1" x14ac:dyDescent="0.25">
      <c r="B482" s="33">
        <f t="shared" si="132"/>
        <v>51.833333333333357</v>
      </c>
      <c r="C482" s="34"/>
      <c r="D482" s="35">
        <f>(10/12)*D472</f>
        <v>5.9541666666666666E-3</v>
      </c>
      <c r="E482" s="36">
        <f>E472-(10/12)*F472</f>
        <v>910351.02869682258</v>
      </c>
      <c r="F482" s="36">
        <f t="shared" si="133"/>
        <v>545.28489213180728</v>
      </c>
      <c r="G482" s="31">
        <f t="shared" si="83"/>
        <v>0.9940458333333333</v>
      </c>
      <c r="H482" s="32"/>
      <c r="I482" s="51" t="str">
        <f t="shared" si="90"/>
        <v/>
      </c>
      <c r="J482" s="51" t="str">
        <f t="shared" si="91"/>
        <v/>
      </c>
      <c r="K482" s="52" t="str">
        <f t="shared" si="107"/>
        <v/>
      </c>
      <c r="L482" s="53" t="str">
        <f t="shared" si="87"/>
        <v/>
      </c>
      <c r="M482" s="52" t="str">
        <f t="shared" si="92"/>
        <v/>
      </c>
      <c r="N482" s="58" t="str">
        <f t="shared" si="88"/>
        <v/>
      </c>
      <c r="Q482" s="51" t="str">
        <f t="shared" si="93"/>
        <v/>
      </c>
      <c r="R482" s="52" t="str">
        <f t="shared" si="94"/>
        <v/>
      </c>
      <c r="S482" s="58" t="str">
        <f t="shared" si="131"/>
        <v/>
      </c>
      <c r="T482" s="52" t="str">
        <f t="shared" si="89"/>
        <v/>
      </c>
    </row>
    <row r="483" spans="2:20" ht="15.75" customHeight="1" x14ac:dyDescent="0.25">
      <c r="B483" s="33">
        <f t="shared" si="132"/>
        <v>51.916666666666693</v>
      </c>
      <c r="C483" s="34"/>
      <c r="D483" s="35">
        <f>(11/12)*D472</f>
        <v>6.5495833333333326E-3</v>
      </c>
      <c r="E483" s="36">
        <f>E472-(11/12)*F472</f>
        <v>909805.74380469078</v>
      </c>
      <c r="F483" s="36">
        <f t="shared" si="133"/>
        <v>545.28489213180728</v>
      </c>
      <c r="G483" s="31">
        <f t="shared" si="83"/>
        <v>0.99345041666666667</v>
      </c>
      <c r="H483" s="32"/>
      <c r="I483" s="51" t="str">
        <f t="shared" si="90"/>
        <v/>
      </c>
      <c r="J483" s="51" t="str">
        <f t="shared" si="91"/>
        <v/>
      </c>
      <c r="K483" s="52" t="str">
        <f t="shared" si="107"/>
        <v/>
      </c>
      <c r="L483" s="53" t="str">
        <f t="shared" si="87"/>
        <v/>
      </c>
      <c r="M483" s="52" t="str">
        <f t="shared" si="92"/>
        <v/>
      </c>
      <c r="N483" s="58" t="str">
        <f t="shared" si="88"/>
        <v/>
      </c>
      <c r="Q483" s="51" t="str">
        <f t="shared" si="93"/>
        <v/>
      </c>
      <c r="R483" s="52" t="str">
        <f t="shared" si="94"/>
        <v/>
      </c>
      <c r="S483" s="58" t="str">
        <f t="shared" si="131"/>
        <v/>
      </c>
      <c r="T483" s="52" t="str">
        <f t="shared" si="89"/>
        <v/>
      </c>
    </row>
    <row r="484" spans="2:20" ht="15.75" customHeight="1" x14ac:dyDescent="0.25">
      <c r="B484" s="27">
        <v>52</v>
      </c>
      <c r="C484" s="28">
        <v>7.6930000000000005</v>
      </c>
      <c r="D484" s="29">
        <f>C484/1000</f>
        <v>7.6930000000000002E-3</v>
      </c>
      <c r="E484" s="30">
        <f>E472-F472</f>
        <v>909260.45891255897</v>
      </c>
      <c r="F484" s="48">
        <f>D484*E484</f>
        <v>6994.9407104143165</v>
      </c>
      <c r="G484" s="31">
        <f t="shared" si="83"/>
        <v>0.99230700000000005</v>
      </c>
      <c r="H484" s="49"/>
      <c r="I484" s="51" t="str">
        <f t="shared" si="90"/>
        <v/>
      </c>
      <c r="J484" s="51" t="str">
        <f t="shared" si="91"/>
        <v/>
      </c>
      <c r="K484" s="52" t="str">
        <f t="shared" si="107"/>
        <v/>
      </c>
      <c r="L484" s="53" t="str">
        <f t="shared" si="87"/>
        <v/>
      </c>
      <c r="M484" s="52" t="str">
        <f t="shared" si="92"/>
        <v/>
      </c>
      <c r="N484" s="58" t="str">
        <f t="shared" si="88"/>
        <v/>
      </c>
      <c r="Q484" s="51" t="str">
        <f t="shared" si="93"/>
        <v/>
      </c>
      <c r="R484" s="52" t="str">
        <f t="shared" si="94"/>
        <v/>
      </c>
      <c r="S484" s="58" t="str">
        <f t="shared" si="131"/>
        <v/>
      </c>
      <c r="T484" s="52" t="str">
        <f t="shared" si="89"/>
        <v/>
      </c>
    </row>
    <row r="485" spans="2:20" ht="15.75" customHeight="1" x14ac:dyDescent="0.25">
      <c r="B485" s="33">
        <f t="shared" ref="B485:B495" si="134">B484+1/12</f>
        <v>52.083333333333336</v>
      </c>
      <c r="C485" s="34"/>
      <c r="D485" s="35">
        <f>(1/12)*D484</f>
        <v>6.4108333333333335E-4</v>
      </c>
      <c r="E485" s="36">
        <f>E484-(1/12)*F484</f>
        <v>908677.54718669108</v>
      </c>
      <c r="F485" s="36">
        <f t="shared" ref="F485:F495" si="135">E485-E486</f>
        <v>582.91172586777247</v>
      </c>
      <c r="G485" s="31">
        <f t="shared" si="83"/>
        <v>0.99935891666666665</v>
      </c>
      <c r="H485" s="37"/>
      <c r="I485" s="51" t="str">
        <f t="shared" si="90"/>
        <v/>
      </c>
      <c r="J485" s="51" t="str">
        <f t="shared" si="91"/>
        <v/>
      </c>
      <c r="K485" s="52" t="str">
        <f t="shared" si="107"/>
        <v/>
      </c>
      <c r="L485" s="53" t="str">
        <f t="shared" si="87"/>
        <v/>
      </c>
      <c r="M485" s="52" t="str">
        <f t="shared" si="92"/>
        <v/>
      </c>
      <c r="N485" s="58" t="str">
        <f t="shared" si="88"/>
        <v/>
      </c>
      <c r="Q485" s="51" t="str">
        <f t="shared" si="93"/>
        <v/>
      </c>
      <c r="R485" s="52" t="str">
        <f t="shared" si="94"/>
        <v/>
      </c>
      <c r="S485" s="58" t="str">
        <f t="shared" si="131"/>
        <v/>
      </c>
      <c r="T485" s="52" t="str">
        <f t="shared" si="89"/>
        <v/>
      </c>
    </row>
    <row r="486" spans="2:20" ht="15.75" customHeight="1" x14ac:dyDescent="0.25">
      <c r="B486" s="33">
        <f t="shared" si="134"/>
        <v>52.166666666666671</v>
      </c>
      <c r="C486" s="34"/>
      <c r="D486" s="35">
        <f>(2/12)*D484</f>
        <v>1.2821666666666667E-3</v>
      </c>
      <c r="E486" s="36">
        <f>E484-(2/12)*F484</f>
        <v>908094.63546082331</v>
      </c>
      <c r="F486" s="36">
        <f t="shared" si="135"/>
        <v>582.91172586788889</v>
      </c>
      <c r="G486" s="31">
        <f t="shared" si="83"/>
        <v>0.9987178333333333</v>
      </c>
      <c r="H486" s="32"/>
      <c r="I486" s="51" t="str">
        <f t="shared" si="90"/>
        <v/>
      </c>
      <c r="J486" s="51" t="str">
        <f t="shared" si="91"/>
        <v/>
      </c>
      <c r="K486" s="52" t="str">
        <f t="shared" si="107"/>
        <v/>
      </c>
      <c r="L486" s="53" t="str">
        <f t="shared" si="87"/>
        <v/>
      </c>
      <c r="M486" s="52" t="str">
        <f t="shared" si="92"/>
        <v/>
      </c>
      <c r="N486" s="58" t="str">
        <f t="shared" si="88"/>
        <v/>
      </c>
      <c r="Q486" s="51" t="str">
        <f t="shared" si="93"/>
        <v/>
      </c>
      <c r="R486" s="52" t="str">
        <f t="shared" si="94"/>
        <v/>
      </c>
      <c r="S486" s="58" t="str">
        <f t="shared" si="131"/>
        <v/>
      </c>
      <c r="T486" s="52" t="str">
        <f t="shared" si="89"/>
        <v/>
      </c>
    </row>
    <row r="487" spans="2:20" ht="15.75" customHeight="1" x14ac:dyDescent="0.25">
      <c r="B487" s="33">
        <f t="shared" si="134"/>
        <v>52.250000000000007</v>
      </c>
      <c r="C487" s="34"/>
      <c r="D487" s="35">
        <f>(3/12)*D484</f>
        <v>1.92325E-3</v>
      </c>
      <c r="E487" s="36">
        <f>E484-(3/12)*F484</f>
        <v>907511.72373495542</v>
      </c>
      <c r="F487" s="36">
        <f t="shared" si="135"/>
        <v>582.91172586788889</v>
      </c>
      <c r="G487" s="31">
        <f t="shared" si="83"/>
        <v>0.99807674999999996</v>
      </c>
      <c r="H487" s="32"/>
      <c r="I487" s="51" t="str">
        <f t="shared" si="90"/>
        <v/>
      </c>
      <c r="J487" s="51" t="str">
        <f t="shared" si="91"/>
        <v/>
      </c>
      <c r="K487" s="52" t="str">
        <f t="shared" si="107"/>
        <v/>
      </c>
      <c r="L487" s="53" t="str">
        <f t="shared" si="87"/>
        <v/>
      </c>
      <c r="M487" s="52" t="str">
        <f t="shared" si="92"/>
        <v/>
      </c>
      <c r="N487" s="58" t="str">
        <f t="shared" si="88"/>
        <v/>
      </c>
      <c r="Q487" s="51" t="str">
        <f t="shared" si="93"/>
        <v/>
      </c>
      <c r="R487" s="52" t="str">
        <f t="shared" si="94"/>
        <v/>
      </c>
      <c r="S487" s="58" t="str">
        <f t="shared" si="131"/>
        <v/>
      </c>
      <c r="T487" s="52" t="str">
        <f t="shared" si="89"/>
        <v/>
      </c>
    </row>
    <row r="488" spans="2:20" ht="15.75" customHeight="1" x14ac:dyDescent="0.25">
      <c r="B488" s="33">
        <f t="shared" si="134"/>
        <v>52.333333333333343</v>
      </c>
      <c r="C488" s="34"/>
      <c r="D488" s="35">
        <f>(4/12)*D484</f>
        <v>2.5643333333333334E-3</v>
      </c>
      <c r="E488" s="36">
        <f>E484-(4/12)*F484</f>
        <v>906928.81200908753</v>
      </c>
      <c r="F488" s="36">
        <f t="shared" si="135"/>
        <v>582.91172586788889</v>
      </c>
      <c r="G488" s="31">
        <f t="shared" si="83"/>
        <v>0.99743566666666672</v>
      </c>
      <c r="H488" s="32"/>
      <c r="I488" s="51" t="str">
        <f t="shared" si="90"/>
        <v/>
      </c>
      <c r="J488" s="51" t="str">
        <f t="shared" si="91"/>
        <v/>
      </c>
      <c r="K488" s="52" t="str">
        <f t="shared" si="107"/>
        <v/>
      </c>
      <c r="L488" s="53" t="str">
        <f t="shared" si="87"/>
        <v/>
      </c>
      <c r="M488" s="52" t="str">
        <f t="shared" si="92"/>
        <v/>
      </c>
      <c r="N488" s="58" t="str">
        <f t="shared" si="88"/>
        <v/>
      </c>
      <c r="Q488" s="51" t="str">
        <f t="shared" si="93"/>
        <v/>
      </c>
      <c r="R488" s="52" t="str">
        <f t="shared" si="94"/>
        <v/>
      </c>
      <c r="S488" s="58" t="str">
        <f t="shared" si="131"/>
        <v/>
      </c>
      <c r="T488" s="52" t="str">
        <f t="shared" si="89"/>
        <v/>
      </c>
    </row>
    <row r="489" spans="2:20" ht="15.75" customHeight="1" x14ac:dyDescent="0.25">
      <c r="B489" s="33">
        <f t="shared" si="134"/>
        <v>52.416666666666679</v>
      </c>
      <c r="C489" s="34"/>
      <c r="D489" s="35">
        <f>(5/12)*D484</f>
        <v>3.2054166666666667E-3</v>
      </c>
      <c r="E489" s="36">
        <f>E484-(5/12)*F484</f>
        <v>906345.90028321964</v>
      </c>
      <c r="F489" s="36">
        <f t="shared" si="135"/>
        <v>582.91172586777247</v>
      </c>
      <c r="G489" s="31">
        <f t="shared" si="83"/>
        <v>0.99679458333333337</v>
      </c>
      <c r="H489" s="32"/>
      <c r="I489" s="51" t="str">
        <f t="shared" si="90"/>
        <v/>
      </c>
      <c r="J489" s="51" t="str">
        <f t="shared" si="91"/>
        <v/>
      </c>
      <c r="K489" s="52" t="str">
        <f t="shared" si="107"/>
        <v/>
      </c>
      <c r="L489" s="53" t="str">
        <f t="shared" si="87"/>
        <v/>
      </c>
      <c r="M489" s="52" t="str">
        <f t="shared" si="92"/>
        <v/>
      </c>
      <c r="N489" s="58" t="str">
        <f t="shared" si="88"/>
        <v/>
      </c>
      <c r="Q489" s="51" t="str">
        <f t="shared" si="93"/>
        <v/>
      </c>
      <c r="R489" s="52" t="str">
        <f t="shared" si="94"/>
        <v/>
      </c>
      <c r="S489" s="58" t="str">
        <f t="shared" si="131"/>
        <v/>
      </c>
      <c r="T489" s="52" t="str">
        <f t="shared" si="89"/>
        <v/>
      </c>
    </row>
    <row r="490" spans="2:20" ht="15.75" customHeight="1" x14ac:dyDescent="0.25">
      <c r="B490" s="33">
        <f t="shared" si="134"/>
        <v>52.500000000000014</v>
      </c>
      <c r="C490" s="34"/>
      <c r="D490" s="35">
        <f>(6/12)*D484</f>
        <v>3.8465000000000001E-3</v>
      </c>
      <c r="E490" s="36">
        <f>E484-(6/12)*F484</f>
        <v>905762.98855735187</v>
      </c>
      <c r="F490" s="36">
        <f t="shared" si="135"/>
        <v>582.91172586788889</v>
      </c>
      <c r="G490" s="31">
        <f t="shared" si="83"/>
        <v>0.99615350000000003</v>
      </c>
      <c r="H490" s="32"/>
      <c r="I490" s="51" t="str">
        <f t="shared" si="90"/>
        <v/>
      </c>
      <c r="J490" s="51" t="str">
        <f t="shared" si="91"/>
        <v/>
      </c>
      <c r="K490" s="52" t="str">
        <f t="shared" si="107"/>
        <v/>
      </c>
      <c r="L490" s="53" t="str">
        <f t="shared" si="87"/>
        <v/>
      </c>
      <c r="M490" s="52" t="str">
        <f t="shared" si="92"/>
        <v/>
      </c>
      <c r="N490" s="58" t="str">
        <f t="shared" si="88"/>
        <v/>
      </c>
      <c r="Q490" s="51" t="str">
        <f t="shared" si="93"/>
        <v/>
      </c>
      <c r="R490" s="52" t="str">
        <f t="shared" si="94"/>
        <v/>
      </c>
      <c r="S490" s="58" t="str">
        <f t="shared" si="131"/>
        <v/>
      </c>
      <c r="T490" s="52" t="str">
        <f t="shared" si="89"/>
        <v/>
      </c>
    </row>
    <row r="491" spans="2:20" ht="15.75" customHeight="1" x14ac:dyDescent="0.25">
      <c r="B491" s="33">
        <f t="shared" si="134"/>
        <v>52.58333333333335</v>
      </c>
      <c r="C491" s="34"/>
      <c r="D491" s="35">
        <f>(7/12)*D484</f>
        <v>4.4875833333333339E-3</v>
      </c>
      <c r="E491" s="36">
        <f>E484-(7/12)*F484</f>
        <v>905180.07683148398</v>
      </c>
      <c r="F491" s="36">
        <f t="shared" si="135"/>
        <v>582.91172586788889</v>
      </c>
      <c r="G491" s="31">
        <f t="shared" si="83"/>
        <v>0.99551241666666668</v>
      </c>
      <c r="H491" s="32"/>
      <c r="I491" s="51" t="str">
        <f t="shared" si="90"/>
        <v/>
      </c>
      <c r="J491" s="51" t="str">
        <f t="shared" si="91"/>
        <v/>
      </c>
      <c r="K491" s="52" t="str">
        <f t="shared" si="107"/>
        <v/>
      </c>
      <c r="L491" s="53" t="str">
        <f t="shared" si="87"/>
        <v/>
      </c>
      <c r="M491" s="52" t="str">
        <f t="shared" si="92"/>
        <v/>
      </c>
      <c r="N491" s="58" t="str">
        <f t="shared" si="88"/>
        <v/>
      </c>
      <c r="Q491" s="51" t="str">
        <f t="shared" si="93"/>
        <v/>
      </c>
      <c r="R491" s="52" t="str">
        <f t="shared" si="94"/>
        <v/>
      </c>
      <c r="S491" s="58" t="str">
        <f t="shared" si="131"/>
        <v/>
      </c>
      <c r="T491" s="52" t="str">
        <f t="shared" si="89"/>
        <v/>
      </c>
    </row>
    <row r="492" spans="2:20" ht="15.75" customHeight="1" x14ac:dyDescent="0.25">
      <c r="B492" s="33">
        <f t="shared" si="134"/>
        <v>52.666666666666686</v>
      </c>
      <c r="C492" s="34"/>
      <c r="D492" s="35">
        <f>(8/12)*D484</f>
        <v>5.1286666666666668E-3</v>
      </c>
      <c r="E492" s="36">
        <f>E484-(8/12)*F484</f>
        <v>904597.16510561609</v>
      </c>
      <c r="F492" s="36">
        <f t="shared" si="135"/>
        <v>582.91172586788889</v>
      </c>
      <c r="G492" s="31">
        <f t="shared" si="83"/>
        <v>0.99487133333333333</v>
      </c>
      <c r="H492" s="32"/>
      <c r="I492" s="51" t="str">
        <f t="shared" si="90"/>
        <v/>
      </c>
      <c r="J492" s="51" t="str">
        <f t="shared" si="91"/>
        <v/>
      </c>
      <c r="K492" s="52" t="str">
        <f t="shared" si="107"/>
        <v/>
      </c>
      <c r="L492" s="53" t="str">
        <f t="shared" si="87"/>
        <v/>
      </c>
      <c r="M492" s="52" t="str">
        <f t="shared" si="92"/>
        <v/>
      </c>
      <c r="N492" s="58" t="str">
        <f t="shared" si="88"/>
        <v/>
      </c>
      <c r="Q492" s="51" t="str">
        <f t="shared" si="93"/>
        <v/>
      </c>
      <c r="R492" s="52" t="str">
        <f t="shared" si="94"/>
        <v/>
      </c>
      <c r="S492" s="58" t="str">
        <f t="shared" si="131"/>
        <v/>
      </c>
      <c r="T492" s="52" t="str">
        <f t="shared" si="89"/>
        <v/>
      </c>
    </row>
    <row r="493" spans="2:20" ht="15.75" customHeight="1" x14ac:dyDescent="0.25">
      <c r="B493" s="33">
        <f t="shared" si="134"/>
        <v>52.750000000000021</v>
      </c>
      <c r="C493" s="34"/>
      <c r="D493" s="35">
        <f>(9/12)*D484</f>
        <v>5.7697500000000006E-3</v>
      </c>
      <c r="E493" s="36">
        <f>E484-(9/12)*F484</f>
        <v>904014.2533797482</v>
      </c>
      <c r="F493" s="36">
        <f t="shared" si="135"/>
        <v>582.91172586777247</v>
      </c>
      <c r="G493" s="31">
        <f t="shared" si="83"/>
        <v>0.99423024999999998</v>
      </c>
      <c r="H493" s="32"/>
      <c r="I493" s="51" t="str">
        <f t="shared" si="90"/>
        <v/>
      </c>
      <c r="J493" s="51" t="str">
        <f t="shared" si="91"/>
        <v/>
      </c>
      <c r="K493" s="52" t="str">
        <f t="shared" si="107"/>
        <v/>
      </c>
      <c r="L493" s="53" t="str">
        <f t="shared" si="87"/>
        <v/>
      </c>
      <c r="M493" s="52" t="str">
        <f t="shared" si="92"/>
        <v/>
      </c>
      <c r="N493" s="58" t="str">
        <f t="shared" si="88"/>
        <v/>
      </c>
      <c r="Q493" s="51" t="str">
        <f t="shared" si="93"/>
        <v/>
      </c>
      <c r="R493" s="52" t="str">
        <f t="shared" si="94"/>
        <v/>
      </c>
      <c r="S493" s="58" t="str">
        <f t="shared" si="131"/>
        <v/>
      </c>
      <c r="T493" s="52" t="str">
        <f t="shared" si="89"/>
        <v/>
      </c>
    </row>
    <row r="494" spans="2:20" ht="15.75" customHeight="1" x14ac:dyDescent="0.25">
      <c r="B494" s="33">
        <f t="shared" si="134"/>
        <v>52.833333333333357</v>
      </c>
      <c r="C494" s="34"/>
      <c r="D494" s="35">
        <f>(10/12)*D484</f>
        <v>6.4108333333333335E-3</v>
      </c>
      <c r="E494" s="36">
        <f>E484-(10/12)*F484</f>
        <v>903431.34165388043</v>
      </c>
      <c r="F494" s="36">
        <f t="shared" si="135"/>
        <v>582.91172586788889</v>
      </c>
      <c r="G494" s="31">
        <f t="shared" si="83"/>
        <v>0.99358916666666663</v>
      </c>
      <c r="H494" s="32"/>
      <c r="I494" s="51" t="str">
        <f t="shared" si="90"/>
        <v/>
      </c>
      <c r="J494" s="51" t="str">
        <f t="shared" si="91"/>
        <v/>
      </c>
      <c r="K494" s="52" t="str">
        <f t="shared" si="107"/>
        <v/>
      </c>
      <c r="L494" s="53" t="str">
        <f t="shared" si="87"/>
        <v/>
      </c>
      <c r="M494" s="52" t="str">
        <f t="shared" si="92"/>
        <v/>
      </c>
      <c r="N494" s="58" t="str">
        <f t="shared" si="88"/>
        <v/>
      </c>
      <c r="Q494" s="51" t="str">
        <f t="shared" si="93"/>
        <v/>
      </c>
      <c r="R494" s="52" t="str">
        <f t="shared" si="94"/>
        <v/>
      </c>
      <c r="S494" s="58" t="str">
        <f t="shared" si="131"/>
        <v/>
      </c>
      <c r="T494" s="52" t="str">
        <f t="shared" si="89"/>
        <v/>
      </c>
    </row>
    <row r="495" spans="2:20" ht="15.75" customHeight="1" x14ac:dyDescent="0.25">
      <c r="B495" s="33">
        <f t="shared" si="134"/>
        <v>52.916666666666693</v>
      </c>
      <c r="C495" s="34"/>
      <c r="D495" s="35">
        <f>(11/12)*D484</f>
        <v>7.0519166666666664E-3</v>
      </c>
      <c r="E495" s="36">
        <f>E484-(11/12)*F484</f>
        <v>902848.42992801254</v>
      </c>
      <c r="F495" s="36">
        <f t="shared" si="135"/>
        <v>582.91172586788889</v>
      </c>
      <c r="G495" s="31">
        <f t="shared" si="83"/>
        <v>0.99294808333333329</v>
      </c>
      <c r="H495" s="32"/>
      <c r="I495" s="51" t="str">
        <f t="shared" si="90"/>
        <v/>
      </c>
      <c r="J495" s="51" t="str">
        <f t="shared" si="91"/>
        <v/>
      </c>
      <c r="K495" s="52" t="str">
        <f t="shared" si="107"/>
        <v/>
      </c>
      <c r="L495" s="53" t="str">
        <f t="shared" si="87"/>
        <v/>
      </c>
      <c r="M495" s="52" t="str">
        <f t="shared" si="92"/>
        <v/>
      </c>
      <c r="N495" s="58" t="str">
        <f t="shared" si="88"/>
        <v/>
      </c>
      <c r="Q495" s="51" t="str">
        <f t="shared" si="93"/>
        <v/>
      </c>
      <c r="R495" s="52" t="str">
        <f t="shared" si="94"/>
        <v/>
      </c>
      <c r="S495" s="58" t="str">
        <f t="shared" si="131"/>
        <v/>
      </c>
      <c r="T495" s="52" t="str">
        <f t="shared" si="89"/>
        <v/>
      </c>
    </row>
    <row r="496" spans="2:20" ht="15.75" customHeight="1" x14ac:dyDescent="0.25">
      <c r="B496" s="27">
        <v>53</v>
      </c>
      <c r="C496" s="28">
        <v>8.282</v>
      </c>
      <c r="D496" s="29">
        <f>C496/1000</f>
        <v>8.2819999999999994E-3</v>
      </c>
      <c r="E496" s="30">
        <f>E484-F484</f>
        <v>902265.51820214465</v>
      </c>
      <c r="F496" s="48">
        <f>D496*E496</f>
        <v>7472.5630217501612</v>
      </c>
      <c r="G496" s="31">
        <f t="shared" si="83"/>
        <v>0.99171799999999999</v>
      </c>
      <c r="H496" s="49"/>
      <c r="I496" s="51" t="str">
        <f t="shared" si="90"/>
        <v/>
      </c>
      <c r="J496" s="51" t="str">
        <f t="shared" si="91"/>
        <v/>
      </c>
      <c r="K496" s="52" t="str">
        <f t="shared" si="107"/>
        <v/>
      </c>
      <c r="L496" s="53" t="str">
        <f t="shared" si="87"/>
        <v/>
      </c>
      <c r="M496" s="52" t="str">
        <f t="shared" si="92"/>
        <v/>
      </c>
      <c r="N496" s="58" t="str">
        <f t="shared" si="88"/>
        <v/>
      </c>
      <c r="Q496" s="51" t="str">
        <f t="shared" si="93"/>
        <v/>
      </c>
      <c r="R496" s="52" t="str">
        <f t="shared" si="94"/>
        <v/>
      </c>
      <c r="S496" s="58" t="str">
        <f t="shared" si="131"/>
        <v/>
      </c>
      <c r="T496" s="52" t="str">
        <f t="shared" si="89"/>
        <v/>
      </c>
    </row>
    <row r="497" spans="2:20" ht="15.75" customHeight="1" x14ac:dyDescent="0.25">
      <c r="B497" s="33">
        <f t="shared" ref="B497:B507" si="136">B496+1/12</f>
        <v>53.083333333333336</v>
      </c>
      <c r="C497" s="34"/>
      <c r="D497" s="35">
        <f>(1/12)*D496</f>
        <v>6.9016666666666662E-4</v>
      </c>
      <c r="E497" s="36">
        <f>E496-(1/12)*F496</f>
        <v>901642.80461699876</v>
      </c>
      <c r="F497" s="36">
        <f t="shared" ref="F497:F507" si="137">E497-E498</f>
        <v>622.7135851457715</v>
      </c>
      <c r="G497" s="31">
        <f t="shared" si="83"/>
        <v>0.99930983333333334</v>
      </c>
      <c r="H497" s="37"/>
      <c r="I497" s="51" t="str">
        <f t="shared" si="90"/>
        <v/>
      </c>
      <c r="J497" s="51" t="str">
        <f t="shared" si="91"/>
        <v/>
      </c>
      <c r="K497" s="52" t="str">
        <f t="shared" si="107"/>
        <v/>
      </c>
      <c r="L497" s="53" t="str">
        <f t="shared" si="87"/>
        <v/>
      </c>
      <c r="M497" s="52" t="str">
        <f t="shared" si="92"/>
        <v/>
      </c>
      <c r="N497" s="58" t="str">
        <f t="shared" si="88"/>
        <v/>
      </c>
      <c r="Q497" s="51" t="str">
        <f t="shared" si="93"/>
        <v/>
      </c>
      <c r="R497" s="52" t="str">
        <f t="shared" si="94"/>
        <v/>
      </c>
      <c r="S497" s="58" t="str">
        <f t="shared" si="131"/>
        <v/>
      </c>
      <c r="T497" s="52" t="str">
        <f t="shared" si="89"/>
        <v/>
      </c>
    </row>
    <row r="498" spans="2:20" ht="15.75" customHeight="1" x14ac:dyDescent="0.25">
      <c r="B498" s="33">
        <f t="shared" si="136"/>
        <v>53.166666666666671</v>
      </c>
      <c r="C498" s="34"/>
      <c r="D498" s="35">
        <f>(2/12)*D496</f>
        <v>1.3803333333333332E-3</v>
      </c>
      <c r="E498" s="36">
        <f>E496-(2/12)*F496</f>
        <v>901020.09103185299</v>
      </c>
      <c r="F498" s="36">
        <f t="shared" si="137"/>
        <v>622.71358514588792</v>
      </c>
      <c r="G498" s="31">
        <f t="shared" si="83"/>
        <v>0.99861966666666668</v>
      </c>
      <c r="H498" s="32"/>
      <c r="I498" s="51" t="str">
        <f t="shared" si="90"/>
        <v/>
      </c>
      <c r="J498" s="51" t="str">
        <f t="shared" si="91"/>
        <v/>
      </c>
      <c r="K498" s="52" t="str">
        <f t="shared" si="107"/>
        <v/>
      </c>
      <c r="L498" s="53" t="str">
        <f t="shared" si="87"/>
        <v/>
      </c>
      <c r="M498" s="52" t="str">
        <f t="shared" si="92"/>
        <v/>
      </c>
      <c r="N498" s="58" t="str">
        <f t="shared" si="88"/>
        <v/>
      </c>
      <c r="Q498" s="51" t="str">
        <f t="shared" si="93"/>
        <v/>
      </c>
      <c r="R498" s="52" t="str">
        <f t="shared" si="94"/>
        <v/>
      </c>
      <c r="S498" s="58" t="str">
        <f t="shared" si="131"/>
        <v/>
      </c>
      <c r="T498" s="52" t="str">
        <f t="shared" si="89"/>
        <v/>
      </c>
    </row>
    <row r="499" spans="2:20" ht="15.75" customHeight="1" x14ac:dyDescent="0.25">
      <c r="B499" s="33">
        <f t="shared" si="136"/>
        <v>53.250000000000007</v>
      </c>
      <c r="C499" s="34"/>
      <c r="D499" s="35">
        <f>(3/12)*D496</f>
        <v>2.0704999999999999E-3</v>
      </c>
      <c r="E499" s="36">
        <f>E496-(3/12)*F496</f>
        <v>900397.37744670711</v>
      </c>
      <c r="F499" s="36">
        <f t="shared" si="137"/>
        <v>622.71358514588792</v>
      </c>
      <c r="G499" s="31">
        <f t="shared" si="83"/>
        <v>0.99792950000000002</v>
      </c>
      <c r="H499" s="32"/>
      <c r="I499" s="51" t="str">
        <f t="shared" si="90"/>
        <v/>
      </c>
      <c r="J499" s="51" t="str">
        <f t="shared" si="91"/>
        <v/>
      </c>
      <c r="K499" s="52" t="str">
        <f t="shared" si="107"/>
        <v/>
      </c>
      <c r="L499" s="53" t="str">
        <f t="shared" si="87"/>
        <v/>
      </c>
      <c r="M499" s="52" t="str">
        <f t="shared" si="92"/>
        <v/>
      </c>
      <c r="N499" s="58" t="str">
        <f t="shared" si="88"/>
        <v/>
      </c>
      <c r="Q499" s="51" t="str">
        <f t="shared" si="93"/>
        <v/>
      </c>
      <c r="R499" s="52" t="str">
        <f t="shared" si="94"/>
        <v/>
      </c>
      <c r="S499" s="58" t="str">
        <f t="shared" si="131"/>
        <v/>
      </c>
      <c r="T499" s="52" t="str">
        <f t="shared" si="89"/>
        <v/>
      </c>
    </row>
    <row r="500" spans="2:20" ht="15.75" customHeight="1" x14ac:dyDescent="0.25">
      <c r="B500" s="33">
        <f t="shared" si="136"/>
        <v>53.333333333333343</v>
      </c>
      <c r="C500" s="34"/>
      <c r="D500" s="35">
        <f>(4/12)*D496</f>
        <v>2.7606666666666665E-3</v>
      </c>
      <c r="E500" s="36">
        <f>E496-(4/12)*F496</f>
        <v>899774.66386156122</v>
      </c>
      <c r="F500" s="36">
        <f t="shared" si="137"/>
        <v>622.7135851457715</v>
      </c>
      <c r="G500" s="31">
        <f t="shared" si="83"/>
        <v>0.99723933333333337</v>
      </c>
      <c r="H500" s="32"/>
      <c r="I500" s="51" t="str">
        <f t="shared" si="90"/>
        <v/>
      </c>
      <c r="J500" s="51" t="str">
        <f t="shared" si="91"/>
        <v/>
      </c>
      <c r="K500" s="52" t="str">
        <f t="shared" si="107"/>
        <v/>
      </c>
      <c r="L500" s="53" t="str">
        <f t="shared" si="87"/>
        <v/>
      </c>
      <c r="M500" s="52" t="str">
        <f t="shared" si="92"/>
        <v/>
      </c>
      <c r="N500" s="58" t="str">
        <f t="shared" si="88"/>
        <v/>
      </c>
      <c r="Q500" s="51" t="str">
        <f t="shared" si="93"/>
        <v/>
      </c>
      <c r="R500" s="52" t="str">
        <f t="shared" si="94"/>
        <v/>
      </c>
      <c r="S500" s="58" t="str">
        <f t="shared" si="131"/>
        <v/>
      </c>
      <c r="T500" s="52" t="str">
        <f t="shared" si="89"/>
        <v/>
      </c>
    </row>
    <row r="501" spans="2:20" ht="15.75" customHeight="1" x14ac:dyDescent="0.25">
      <c r="B501" s="33">
        <f t="shared" si="136"/>
        <v>53.416666666666679</v>
      </c>
      <c r="C501" s="34"/>
      <c r="D501" s="35">
        <f>(5/12)*D496</f>
        <v>3.4508333333333331E-3</v>
      </c>
      <c r="E501" s="36">
        <f>E496-(5/12)*F496</f>
        <v>899151.95027641545</v>
      </c>
      <c r="F501" s="36">
        <f t="shared" si="137"/>
        <v>622.71358514588792</v>
      </c>
      <c r="G501" s="31">
        <f t="shared" si="83"/>
        <v>0.99654916666666671</v>
      </c>
      <c r="H501" s="32"/>
      <c r="I501" s="51" t="str">
        <f t="shared" si="90"/>
        <v/>
      </c>
      <c r="J501" s="51" t="str">
        <f t="shared" si="91"/>
        <v/>
      </c>
      <c r="K501" s="52" t="str">
        <f t="shared" si="107"/>
        <v/>
      </c>
      <c r="L501" s="53" t="str">
        <f t="shared" si="87"/>
        <v/>
      </c>
      <c r="M501" s="52" t="str">
        <f t="shared" si="92"/>
        <v/>
      </c>
      <c r="N501" s="58" t="str">
        <f t="shared" si="88"/>
        <v/>
      </c>
      <c r="Q501" s="51" t="str">
        <f t="shared" si="93"/>
        <v/>
      </c>
      <c r="R501" s="52" t="str">
        <f t="shared" si="94"/>
        <v/>
      </c>
      <c r="S501" s="58" t="str">
        <f t="shared" si="131"/>
        <v/>
      </c>
      <c r="T501" s="52" t="str">
        <f t="shared" si="89"/>
        <v/>
      </c>
    </row>
    <row r="502" spans="2:20" ht="15.75" customHeight="1" x14ac:dyDescent="0.25">
      <c r="B502" s="33">
        <f t="shared" si="136"/>
        <v>53.500000000000014</v>
      </c>
      <c r="C502" s="34"/>
      <c r="D502" s="35">
        <f>(6/12)*D496</f>
        <v>4.1409999999999997E-3</v>
      </c>
      <c r="E502" s="36">
        <f>E496-(6/12)*F496</f>
        <v>898529.23669126956</v>
      </c>
      <c r="F502" s="36">
        <f t="shared" si="137"/>
        <v>622.71358514588792</v>
      </c>
      <c r="G502" s="31">
        <f t="shared" si="83"/>
        <v>0.99585900000000005</v>
      </c>
      <c r="H502" s="32"/>
      <c r="I502" s="51" t="str">
        <f t="shared" si="90"/>
        <v/>
      </c>
      <c r="J502" s="51" t="str">
        <f t="shared" si="91"/>
        <v/>
      </c>
      <c r="K502" s="52" t="str">
        <f t="shared" si="107"/>
        <v/>
      </c>
      <c r="L502" s="53" t="str">
        <f t="shared" si="87"/>
        <v/>
      </c>
      <c r="M502" s="52" t="str">
        <f t="shared" si="92"/>
        <v/>
      </c>
      <c r="N502" s="58" t="str">
        <f t="shared" si="88"/>
        <v/>
      </c>
      <c r="Q502" s="51" t="str">
        <f t="shared" si="93"/>
        <v/>
      </c>
      <c r="R502" s="52" t="str">
        <f t="shared" si="94"/>
        <v/>
      </c>
      <c r="S502" s="58" t="str">
        <f t="shared" si="131"/>
        <v/>
      </c>
      <c r="T502" s="52" t="str">
        <f t="shared" si="89"/>
        <v/>
      </c>
    </row>
    <row r="503" spans="2:20" ht="15.75" customHeight="1" x14ac:dyDescent="0.25">
      <c r="B503" s="33">
        <f t="shared" si="136"/>
        <v>53.58333333333335</v>
      </c>
      <c r="C503" s="34"/>
      <c r="D503" s="35">
        <f>(7/12)*D496</f>
        <v>4.8311666666666668E-3</v>
      </c>
      <c r="E503" s="36">
        <f>E496-(7/12)*F496</f>
        <v>897906.52310612367</v>
      </c>
      <c r="F503" s="36">
        <f t="shared" si="137"/>
        <v>622.7135851457715</v>
      </c>
      <c r="G503" s="31">
        <f t="shared" si="83"/>
        <v>0.99516883333333328</v>
      </c>
      <c r="H503" s="32"/>
      <c r="I503" s="51" t="str">
        <f t="shared" si="90"/>
        <v/>
      </c>
      <c r="J503" s="51" t="str">
        <f t="shared" si="91"/>
        <v/>
      </c>
      <c r="K503" s="52" t="str">
        <f t="shared" si="107"/>
        <v/>
      </c>
      <c r="L503" s="53" t="str">
        <f t="shared" si="87"/>
        <v/>
      </c>
      <c r="M503" s="52" t="str">
        <f t="shared" si="92"/>
        <v/>
      </c>
      <c r="N503" s="58" t="str">
        <f t="shared" si="88"/>
        <v/>
      </c>
      <c r="Q503" s="51" t="str">
        <f t="shared" si="93"/>
        <v/>
      </c>
      <c r="R503" s="52" t="str">
        <f t="shared" si="94"/>
        <v/>
      </c>
      <c r="S503" s="58" t="str">
        <f t="shared" si="131"/>
        <v/>
      </c>
      <c r="T503" s="52" t="str">
        <f t="shared" si="89"/>
        <v/>
      </c>
    </row>
    <row r="504" spans="2:20" ht="15.75" customHeight="1" x14ac:dyDescent="0.25">
      <c r="B504" s="33">
        <f t="shared" si="136"/>
        <v>53.666666666666686</v>
      </c>
      <c r="C504" s="34"/>
      <c r="D504" s="35">
        <f>(8/12)*D496</f>
        <v>5.521333333333333E-3</v>
      </c>
      <c r="E504" s="36">
        <f>E496-(8/12)*F496</f>
        <v>897283.8095209779</v>
      </c>
      <c r="F504" s="36">
        <f t="shared" si="137"/>
        <v>622.71358514588792</v>
      </c>
      <c r="G504" s="31">
        <f t="shared" si="83"/>
        <v>0.99447866666666662</v>
      </c>
      <c r="H504" s="32"/>
      <c r="I504" s="51" t="str">
        <f t="shared" si="90"/>
        <v/>
      </c>
      <c r="J504" s="51" t="str">
        <f t="shared" si="91"/>
        <v/>
      </c>
      <c r="K504" s="52" t="str">
        <f t="shared" si="107"/>
        <v/>
      </c>
      <c r="L504" s="53" t="str">
        <f t="shared" si="87"/>
        <v/>
      </c>
      <c r="M504" s="52" t="str">
        <f t="shared" si="92"/>
        <v/>
      </c>
      <c r="N504" s="58" t="str">
        <f t="shared" si="88"/>
        <v/>
      </c>
      <c r="Q504" s="51" t="str">
        <f t="shared" si="93"/>
        <v/>
      </c>
      <c r="R504" s="52" t="str">
        <f t="shared" si="94"/>
        <v/>
      </c>
      <c r="S504" s="58" t="str">
        <f t="shared" si="131"/>
        <v/>
      </c>
      <c r="T504" s="52" t="str">
        <f t="shared" si="89"/>
        <v/>
      </c>
    </row>
    <row r="505" spans="2:20" ht="15.75" customHeight="1" x14ac:dyDescent="0.25">
      <c r="B505" s="33">
        <f t="shared" si="136"/>
        <v>53.750000000000021</v>
      </c>
      <c r="C505" s="34"/>
      <c r="D505" s="35">
        <f>(9/12)*D496</f>
        <v>6.2115E-3</v>
      </c>
      <c r="E505" s="36">
        <f>E496-(9/12)*F496</f>
        <v>896661.09593583201</v>
      </c>
      <c r="F505" s="36">
        <f t="shared" si="137"/>
        <v>622.7135851457715</v>
      </c>
      <c r="G505" s="31">
        <f t="shared" si="83"/>
        <v>0.99378849999999996</v>
      </c>
      <c r="H505" s="32"/>
      <c r="I505" s="51" t="str">
        <f t="shared" si="90"/>
        <v/>
      </c>
      <c r="J505" s="51" t="str">
        <f t="shared" si="91"/>
        <v/>
      </c>
      <c r="K505" s="52" t="str">
        <f t="shared" si="107"/>
        <v/>
      </c>
      <c r="L505" s="53" t="str">
        <f t="shared" si="87"/>
        <v/>
      </c>
      <c r="M505" s="52" t="str">
        <f t="shared" si="92"/>
        <v/>
      </c>
      <c r="N505" s="58" t="str">
        <f t="shared" si="88"/>
        <v/>
      </c>
      <c r="Q505" s="51" t="str">
        <f t="shared" si="93"/>
        <v/>
      </c>
      <c r="R505" s="52" t="str">
        <f t="shared" si="94"/>
        <v/>
      </c>
      <c r="S505" s="58" t="str">
        <f t="shared" si="131"/>
        <v/>
      </c>
      <c r="T505" s="52" t="str">
        <f t="shared" si="89"/>
        <v/>
      </c>
    </row>
    <row r="506" spans="2:20" ht="15.75" customHeight="1" x14ac:dyDescent="0.25">
      <c r="B506" s="33">
        <f t="shared" si="136"/>
        <v>53.833333333333357</v>
      </c>
      <c r="C506" s="34"/>
      <c r="D506" s="35">
        <f>(10/12)*D496</f>
        <v>6.9016666666666662E-3</v>
      </c>
      <c r="E506" s="36">
        <f>E496-(10/12)*F496</f>
        <v>896038.38235068624</v>
      </c>
      <c r="F506" s="36">
        <f t="shared" si="137"/>
        <v>622.71358514588792</v>
      </c>
      <c r="G506" s="31">
        <f t="shared" si="83"/>
        <v>0.99309833333333331</v>
      </c>
      <c r="H506" s="32"/>
      <c r="I506" s="51" t="str">
        <f t="shared" si="90"/>
        <v/>
      </c>
      <c r="J506" s="51" t="str">
        <f t="shared" si="91"/>
        <v/>
      </c>
      <c r="K506" s="52" t="str">
        <f t="shared" si="107"/>
        <v/>
      </c>
      <c r="L506" s="53" t="str">
        <f t="shared" si="87"/>
        <v/>
      </c>
      <c r="M506" s="52" t="str">
        <f t="shared" si="92"/>
        <v/>
      </c>
      <c r="N506" s="58" t="str">
        <f t="shared" si="88"/>
        <v/>
      </c>
      <c r="Q506" s="51" t="str">
        <f t="shared" si="93"/>
        <v/>
      </c>
      <c r="R506" s="52" t="str">
        <f t="shared" si="94"/>
        <v/>
      </c>
      <c r="S506" s="58" t="str">
        <f t="shared" si="131"/>
        <v/>
      </c>
      <c r="T506" s="52" t="str">
        <f t="shared" si="89"/>
        <v/>
      </c>
    </row>
    <row r="507" spans="2:20" ht="15.75" customHeight="1" x14ac:dyDescent="0.25">
      <c r="B507" s="33">
        <f t="shared" si="136"/>
        <v>53.916666666666693</v>
      </c>
      <c r="C507" s="34"/>
      <c r="D507" s="35">
        <f>(11/12)*D496</f>
        <v>7.5918333333333324E-3</v>
      </c>
      <c r="E507" s="36">
        <f>E496-(11/12)*F496</f>
        <v>895415.66876554035</v>
      </c>
      <c r="F507" s="36">
        <f t="shared" si="137"/>
        <v>622.71358514588792</v>
      </c>
      <c r="G507" s="31">
        <f t="shared" si="83"/>
        <v>0.99240816666666665</v>
      </c>
      <c r="H507" s="32"/>
      <c r="I507" s="51" t="str">
        <f t="shared" si="90"/>
        <v/>
      </c>
      <c r="J507" s="51" t="str">
        <f t="shared" si="91"/>
        <v/>
      </c>
      <c r="K507" s="52" t="str">
        <f t="shared" si="107"/>
        <v/>
      </c>
      <c r="L507" s="53" t="str">
        <f t="shared" si="87"/>
        <v/>
      </c>
      <c r="M507" s="52" t="str">
        <f t="shared" si="92"/>
        <v/>
      </c>
      <c r="N507" s="58" t="str">
        <f t="shared" si="88"/>
        <v/>
      </c>
      <c r="Q507" s="51" t="str">
        <f t="shared" si="93"/>
        <v/>
      </c>
      <c r="R507" s="52" t="str">
        <f t="shared" si="94"/>
        <v/>
      </c>
      <c r="S507" s="58" t="str">
        <f t="shared" si="131"/>
        <v/>
      </c>
      <c r="T507" s="52" t="str">
        <f t="shared" si="89"/>
        <v/>
      </c>
    </row>
    <row r="508" spans="2:20" ht="15.75" customHeight="1" x14ac:dyDescent="0.25">
      <c r="B508" s="27">
        <v>54</v>
      </c>
      <c r="C508" s="28">
        <v>8.9149999999999991</v>
      </c>
      <c r="D508" s="29">
        <f>C508/1000</f>
        <v>8.9149999999999993E-3</v>
      </c>
      <c r="E508" s="30">
        <f>E496-F496</f>
        <v>894792.95518039446</v>
      </c>
      <c r="F508" s="48">
        <f>D508*E508</f>
        <v>7977.0791954332162</v>
      </c>
      <c r="G508" s="31">
        <f t="shared" si="83"/>
        <v>0.99108499999999999</v>
      </c>
      <c r="H508" s="49"/>
      <c r="I508" s="51" t="str">
        <f t="shared" si="90"/>
        <v/>
      </c>
      <c r="J508" s="51" t="str">
        <f t="shared" si="91"/>
        <v/>
      </c>
      <c r="K508" s="52" t="str">
        <f t="shared" si="107"/>
        <v/>
      </c>
      <c r="L508" s="53" t="str">
        <f t="shared" si="87"/>
        <v/>
      </c>
      <c r="M508" s="52" t="str">
        <f t="shared" si="92"/>
        <v/>
      </c>
      <c r="N508" s="58" t="str">
        <f t="shared" si="88"/>
        <v/>
      </c>
      <c r="Q508" s="51" t="str">
        <f t="shared" si="93"/>
        <v/>
      </c>
      <c r="R508" s="52" t="str">
        <f t="shared" si="94"/>
        <v/>
      </c>
      <c r="S508" s="58" t="str">
        <f t="shared" si="131"/>
        <v/>
      </c>
      <c r="T508" s="52" t="str">
        <f t="shared" si="89"/>
        <v/>
      </c>
    </row>
    <row r="509" spans="2:20" ht="15.75" customHeight="1" x14ac:dyDescent="0.25">
      <c r="B509" s="33">
        <f t="shared" ref="B509:B519" si="138">B508+1/12</f>
        <v>54.083333333333336</v>
      </c>
      <c r="C509" s="34"/>
      <c r="D509" s="35">
        <f>(1/12)*D508</f>
        <v>7.4291666666666657E-4</v>
      </c>
      <c r="E509" s="36">
        <f>E508-(1/12)*F508</f>
        <v>894128.19858077506</v>
      </c>
      <c r="F509" s="36">
        <f t="shared" ref="F509:F519" si="139">E509-E510</f>
        <v>664.75659961951897</v>
      </c>
      <c r="G509" s="31">
        <f t="shared" si="83"/>
        <v>0.9992570833333333</v>
      </c>
      <c r="H509" s="37"/>
      <c r="I509" s="51" t="str">
        <f t="shared" si="90"/>
        <v/>
      </c>
      <c r="J509" s="51" t="str">
        <f t="shared" si="91"/>
        <v/>
      </c>
      <c r="K509" s="52" t="str">
        <f t="shared" si="107"/>
        <v/>
      </c>
      <c r="L509" s="53" t="str">
        <f t="shared" si="87"/>
        <v/>
      </c>
      <c r="M509" s="52" t="str">
        <f t="shared" si="92"/>
        <v/>
      </c>
      <c r="N509" s="58" t="str">
        <f t="shared" si="88"/>
        <v/>
      </c>
      <c r="Q509" s="51" t="str">
        <f t="shared" si="93"/>
        <v/>
      </c>
      <c r="R509" s="52" t="str">
        <f t="shared" si="94"/>
        <v/>
      </c>
      <c r="S509" s="58" t="str">
        <f t="shared" si="131"/>
        <v/>
      </c>
      <c r="T509" s="52" t="str">
        <f t="shared" si="89"/>
        <v/>
      </c>
    </row>
    <row r="510" spans="2:20" ht="15.75" customHeight="1" x14ac:dyDescent="0.25">
      <c r="B510" s="33">
        <f t="shared" si="138"/>
        <v>54.166666666666671</v>
      </c>
      <c r="C510" s="34"/>
      <c r="D510" s="35">
        <f>(2/12)*D508</f>
        <v>1.4858333333333331E-3</v>
      </c>
      <c r="E510" s="36">
        <f>E508-(2/12)*F508</f>
        <v>893463.44198115554</v>
      </c>
      <c r="F510" s="36">
        <f t="shared" si="139"/>
        <v>664.75659961940255</v>
      </c>
      <c r="G510" s="31">
        <f t="shared" si="83"/>
        <v>0.9985141666666667</v>
      </c>
      <c r="H510" s="32"/>
      <c r="I510" s="51" t="str">
        <f t="shared" si="90"/>
        <v/>
      </c>
      <c r="J510" s="51" t="str">
        <f t="shared" si="91"/>
        <v/>
      </c>
      <c r="K510" s="52" t="str">
        <f t="shared" si="107"/>
        <v/>
      </c>
      <c r="L510" s="53" t="str">
        <f t="shared" si="87"/>
        <v/>
      </c>
      <c r="M510" s="52" t="str">
        <f t="shared" si="92"/>
        <v/>
      </c>
      <c r="N510" s="58" t="str">
        <f t="shared" si="88"/>
        <v/>
      </c>
      <c r="Q510" s="51" t="str">
        <f t="shared" si="93"/>
        <v/>
      </c>
      <c r="R510" s="52" t="str">
        <f t="shared" si="94"/>
        <v/>
      </c>
      <c r="S510" s="58" t="str">
        <f t="shared" si="131"/>
        <v/>
      </c>
      <c r="T510" s="52" t="str">
        <f t="shared" si="89"/>
        <v/>
      </c>
    </row>
    <row r="511" spans="2:20" ht="15.75" customHeight="1" x14ac:dyDescent="0.25">
      <c r="B511" s="33">
        <f t="shared" si="138"/>
        <v>54.250000000000007</v>
      </c>
      <c r="C511" s="34"/>
      <c r="D511" s="35">
        <f>(3/12)*D508</f>
        <v>2.2287499999999998E-3</v>
      </c>
      <c r="E511" s="36">
        <f>E508-(3/12)*F508</f>
        <v>892798.68538153614</v>
      </c>
      <c r="F511" s="36">
        <f t="shared" si="139"/>
        <v>664.75659961940255</v>
      </c>
      <c r="G511" s="31">
        <f t="shared" si="83"/>
        <v>0.99777125</v>
      </c>
      <c r="H511" s="32"/>
      <c r="I511" s="51" t="str">
        <f t="shared" si="90"/>
        <v/>
      </c>
      <c r="J511" s="51" t="str">
        <f t="shared" si="91"/>
        <v/>
      </c>
      <c r="K511" s="52" t="str">
        <f t="shared" si="107"/>
        <v/>
      </c>
      <c r="L511" s="53" t="str">
        <f t="shared" si="87"/>
        <v/>
      </c>
      <c r="M511" s="52" t="str">
        <f t="shared" si="92"/>
        <v/>
      </c>
      <c r="N511" s="58" t="str">
        <f t="shared" si="88"/>
        <v/>
      </c>
      <c r="Q511" s="51" t="str">
        <f t="shared" si="93"/>
        <v/>
      </c>
      <c r="R511" s="52" t="str">
        <f t="shared" si="94"/>
        <v/>
      </c>
      <c r="S511" s="58" t="str">
        <f t="shared" si="131"/>
        <v/>
      </c>
      <c r="T511" s="52" t="str">
        <f t="shared" si="89"/>
        <v/>
      </c>
    </row>
    <row r="512" spans="2:20" ht="15.75" customHeight="1" x14ac:dyDescent="0.25">
      <c r="B512" s="33">
        <f t="shared" si="138"/>
        <v>54.333333333333343</v>
      </c>
      <c r="C512" s="34"/>
      <c r="D512" s="35">
        <f>(4/12)*D508</f>
        <v>2.9716666666666663E-3</v>
      </c>
      <c r="E512" s="36">
        <f>E508-(4/12)*F508</f>
        <v>892133.92878191674</v>
      </c>
      <c r="F512" s="36">
        <f t="shared" si="139"/>
        <v>664.75659961940255</v>
      </c>
      <c r="G512" s="31">
        <f t="shared" si="83"/>
        <v>0.99702833333333329</v>
      </c>
      <c r="H512" s="32"/>
      <c r="I512" s="51" t="str">
        <f t="shared" si="90"/>
        <v/>
      </c>
      <c r="J512" s="51" t="str">
        <f t="shared" si="91"/>
        <v/>
      </c>
      <c r="K512" s="52" t="str">
        <f t="shared" si="107"/>
        <v/>
      </c>
      <c r="L512" s="53" t="str">
        <f t="shared" si="87"/>
        <v/>
      </c>
      <c r="M512" s="52" t="str">
        <f t="shared" si="92"/>
        <v/>
      </c>
      <c r="N512" s="58" t="str">
        <f t="shared" si="88"/>
        <v/>
      </c>
      <c r="Q512" s="51" t="str">
        <f t="shared" si="93"/>
        <v/>
      </c>
      <c r="R512" s="52" t="str">
        <f t="shared" si="94"/>
        <v/>
      </c>
      <c r="S512" s="58" t="str">
        <f t="shared" si="131"/>
        <v/>
      </c>
      <c r="T512" s="52" t="str">
        <f t="shared" si="89"/>
        <v/>
      </c>
    </row>
    <row r="513" spans="2:20" ht="15.75" customHeight="1" x14ac:dyDescent="0.25">
      <c r="B513" s="33">
        <f t="shared" si="138"/>
        <v>54.416666666666679</v>
      </c>
      <c r="C513" s="34"/>
      <c r="D513" s="35">
        <f>(5/12)*D508</f>
        <v>3.7145833333333332E-3</v>
      </c>
      <c r="E513" s="36">
        <f>E508-(5/12)*F508</f>
        <v>891469.17218229733</v>
      </c>
      <c r="F513" s="36">
        <f t="shared" si="139"/>
        <v>664.75659961951897</v>
      </c>
      <c r="G513" s="31">
        <f t="shared" si="83"/>
        <v>0.9962854166666667</v>
      </c>
      <c r="H513" s="32"/>
      <c r="I513" s="51" t="str">
        <f t="shared" si="90"/>
        <v/>
      </c>
      <c r="J513" s="51" t="str">
        <f t="shared" si="91"/>
        <v/>
      </c>
      <c r="K513" s="52" t="str">
        <f t="shared" si="107"/>
        <v/>
      </c>
      <c r="L513" s="53" t="str">
        <f t="shared" si="87"/>
        <v/>
      </c>
      <c r="M513" s="52" t="str">
        <f t="shared" si="92"/>
        <v/>
      </c>
      <c r="N513" s="58" t="str">
        <f t="shared" si="88"/>
        <v/>
      </c>
      <c r="Q513" s="51" t="str">
        <f t="shared" si="93"/>
        <v/>
      </c>
      <c r="R513" s="52" t="str">
        <f t="shared" si="94"/>
        <v/>
      </c>
      <c r="S513" s="58" t="str">
        <f t="shared" si="131"/>
        <v/>
      </c>
      <c r="T513" s="52" t="str">
        <f t="shared" si="89"/>
        <v/>
      </c>
    </row>
    <row r="514" spans="2:20" ht="15.75" customHeight="1" x14ac:dyDescent="0.25">
      <c r="B514" s="33">
        <f t="shared" si="138"/>
        <v>54.500000000000014</v>
      </c>
      <c r="C514" s="34"/>
      <c r="D514" s="35">
        <f>(6/12)*D508</f>
        <v>4.4574999999999997E-3</v>
      </c>
      <c r="E514" s="36">
        <f>E508-(6/12)*F508</f>
        <v>890804.41558267782</v>
      </c>
      <c r="F514" s="36">
        <f t="shared" si="139"/>
        <v>664.75659961940255</v>
      </c>
      <c r="G514" s="31">
        <f t="shared" ref="G514:G768" si="140">1-D514</f>
        <v>0.9955425</v>
      </c>
      <c r="H514" s="32"/>
      <c r="I514" s="51" t="str">
        <f t="shared" si="90"/>
        <v/>
      </c>
      <c r="J514" s="51" t="str">
        <f t="shared" si="91"/>
        <v/>
      </c>
      <c r="K514" s="52" t="str">
        <f t="shared" si="107"/>
        <v/>
      </c>
      <c r="L514" s="53" t="str">
        <f t="shared" si="87"/>
        <v/>
      </c>
      <c r="M514" s="52" t="str">
        <f t="shared" si="92"/>
        <v/>
      </c>
      <c r="N514" s="58" t="str">
        <f t="shared" si="88"/>
        <v/>
      </c>
      <c r="Q514" s="51" t="str">
        <f t="shared" si="93"/>
        <v/>
      </c>
      <c r="R514" s="52" t="str">
        <f t="shared" si="94"/>
        <v/>
      </c>
      <c r="S514" s="58" t="str">
        <f t="shared" si="131"/>
        <v/>
      </c>
      <c r="T514" s="52" t="str">
        <f t="shared" si="89"/>
        <v/>
      </c>
    </row>
    <row r="515" spans="2:20" ht="15.75" customHeight="1" x14ac:dyDescent="0.25">
      <c r="B515" s="33">
        <f t="shared" si="138"/>
        <v>54.58333333333335</v>
      </c>
      <c r="C515" s="34"/>
      <c r="D515" s="35">
        <f>(7/12)*D508</f>
        <v>5.2004166666666666E-3</v>
      </c>
      <c r="E515" s="36">
        <f>E508-(7/12)*F508</f>
        <v>890139.65898305841</v>
      </c>
      <c r="F515" s="36">
        <f t="shared" si="139"/>
        <v>664.75659961940255</v>
      </c>
      <c r="G515" s="31">
        <f t="shared" si="140"/>
        <v>0.99479958333333329</v>
      </c>
      <c r="H515" s="32"/>
      <c r="I515" s="51" t="str">
        <f t="shared" si="90"/>
        <v/>
      </c>
      <c r="J515" s="51" t="str">
        <f t="shared" si="91"/>
        <v/>
      </c>
      <c r="K515" s="52" t="str">
        <f t="shared" si="107"/>
        <v/>
      </c>
      <c r="L515" s="53" t="str">
        <f t="shared" si="87"/>
        <v/>
      </c>
      <c r="M515" s="52" t="str">
        <f t="shared" si="92"/>
        <v/>
      </c>
      <c r="N515" s="58" t="str">
        <f t="shared" si="88"/>
        <v/>
      </c>
      <c r="Q515" s="51" t="str">
        <f t="shared" si="93"/>
        <v/>
      </c>
      <c r="R515" s="52" t="str">
        <f t="shared" si="94"/>
        <v/>
      </c>
      <c r="S515" s="58" t="str">
        <f t="shared" si="131"/>
        <v/>
      </c>
      <c r="T515" s="52" t="str">
        <f t="shared" si="89"/>
        <v/>
      </c>
    </row>
    <row r="516" spans="2:20" ht="15.75" customHeight="1" x14ac:dyDescent="0.25">
      <c r="B516" s="33">
        <f t="shared" si="138"/>
        <v>54.666666666666686</v>
      </c>
      <c r="C516" s="34"/>
      <c r="D516" s="35">
        <f>(8/12)*D508</f>
        <v>5.9433333333333326E-3</v>
      </c>
      <c r="E516" s="36">
        <f>E508-(8/12)*F508</f>
        <v>889474.90238343901</v>
      </c>
      <c r="F516" s="36">
        <f t="shared" si="139"/>
        <v>664.75659961940255</v>
      </c>
      <c r="G516" s="31">
        <f t="shared" si="140"/>
        <v>0.9940566666666667</v>
      </c>
      <c r="H516" s="32"/>
      <c r="I516" s="51" t="str">
        <f t="shared" si="90"/>
        <v/>
      </c>
      <c r="J516" s="51" t="str">
        <f t="shared" si="91"/>
        <v/>
      </c>
      <c r="K516" s="52" t="str">
        <f t="shared" si="107"/>
        <v/>
      </c>
      <c r="L516" s="53" t="str">
        <f t="shared" si="87"/>
        <v/>
      </c>
      <c r="M516" s="52" t="str">
        <f t="shared" si="92"/>
        <v/>
      </c>
      <c r="N516" s="58" t="str">
        <f t="shared" si="88"/>
        <v/>
      </c>
      <c r="Q516" s="51" t="str">
        <f t="shared" si="93"/>
        <v/>
      </c>
      <c r="R516" s="52" t="str">
        <f t="shared" si="94"/>
        <v/>
      </c>
      <c r="S516" s="58" t="str">
        <f t="shared" si="131"/>
        <v/>
      </c>
      <c r="T516" s="52" t="str">
        <f t="shared" si="89"/>
        <v/>
      </c>
    </row>
    <row r="517" spans="2:20" ht="15.75" customHeight="1" x14ac:dyDescent="0.25">
      <c r="B517" s="33">
        <f t="shared" si="138"/>
        <v>54.750000000000021</v>
      </c>
      <c r="C517" s="34"/>
      <c r="D517" s="35">
        <f>(9/12)*D508</f>
        <v>6.6862499999999995E-3</v>
      </c>
      <c r="E517" s="36">
        <f>E508-(9/12)*F508</f>
        <v>888810.14578381961</v>
      </c>
      <c r="F517" s="36">
        <f t="shared" si="139"/>
        <v>664.75659961951897</v>
      </c>
      <c r="G517" s="31">
        <f t="shared" si="140"/>
        <v>0.99331375</v>
      </c>
      <c r="H517" s="32"/>
      <c r="I517" s="51" t="str">
        <f t="shared" si="90"/>
        <v/>
      </c>
      <c r="J517" s="51" t="str">
        <f t="shared" si="91"/>
        <v/>
      </c>
      <c r="K517" s="52" t="str">
        <f t="shared" si="107"/>
        <v/>
      </c>
      <c r="L517" s="53" t="str">
        <f t="shared" si="87"/>
        <v/>
      </c>
      <c r="M517" s="52" t="str">
        <f t="shared" si="92"/>
        <v/>
      </c>
      <c r="N517" s="58" t="str">
        <f t="shared" si="88"/>
        <v/>
      </c>
      <c r="Q517" s="51" t="str">
        <f t="shared" si="93"/>
        <v/>
      </c>
      <c r="R517" s="52" t="str">
        <f t="shared" si="94"/>
        <v/>
      </c>
      <c r="S517" s="58" t="str">
        <f t="shared" si="131"/>
        <v/>
      </c>
      <c r="T517" s="52" t="str">
        <f t="shared" si="89"/>
        <v/>
      </c>
    </row>
    <row r="518" spans="2:20" ht="15.75" customHeight="1" x14ac:dyDescent="0.25">
      <c r="B518" s="33">
        <f t="shared" si="138"/>
        <v>54.833333333333357</v>
      </c>
      <c r="C518" s="34"/>
      <c r="D518" s="35">
        <f>(10/12)*D508</f>
        <v>7.4291666666666664E-3</v>
      </c>
      <c r="E518" s="36">
        <f>E508-(10/12)*F508</f>
        <v>888145.38918420009</v>
      </c>
      <c r="F518" s="36">
        <f t="shared" si="139"/>
        <v>664.75659961940255</v>
      </c>
      <c r="G518" s="31">
        <f t="shared" si="140"/>
        <v>0.99257083333333329</v>
      </c>
      <c r="H518" s="32"/>
      <c r="I518" s="51" t="str">
        <f t="shared" si="90"/>
        <v/>
      </c>
      <c r="J518" s="51" t="str">
        <f t="shared" si="91"/>
        <v/>
      </c>
      <c r="K518" s="52" t="str">
        <f t="shared" si="107"/>
        <v/>
      </c>
      <c r="L518" s="53" t="str">
        <f t="shared" si="87"/>
        <v/>
      </c>
      <c r="M518" s="52" t="str">
        <f t="shared" si="92"/>
        <v/>
      </c>
      <c r="N518" s="58" t="str">
        <f t="shared" si="88"/>
        <v/>
      </c>
      <c r="Q518" s="51" t="str">
        <f t="shared" si="93"/>
        <v/>
      </c>
      <c r="R518" s="52" t="str">
        <f t="shared" si="94"/>
        <v/>
      </c>
      <c r="S518" s="58" t="str">
        <f t="shared" si="131"/>
        <v/>
      </c>
      <c r="T518" s="52" t="str">
        <f t="shared" si="89"/>
        <v/>
      </c>
    </row>
    <row r="519" spans="2:20" ht="15.75" customHeight="1" x14ac:dyDescent="0.25">
      <c r="B519" s="33">
        <f t="shared" si="138"/>
        <v>54.916666666666693</v>
      </c>
      <c r="C519" s="34"/>
      <c r="D519" s="35">
        <f>(11/12)*D508</f>
        <v>8.1720833333333315E-3</v>
      </c>
      <c r="E519" s="36">
        <f>E508-(11/12)*F508</f>
        <v>887480.63258458069</v>
      </c>
      <c r="F519" s="36">
        <f t="shared" si="139"/>
        <v>664.75659961940255</v>
      </c>
      <c r="G519" s="31">
        <f t="shared" si="140"/>
        <v>0.9918279166666667</v>
      </c>
      <c r="H519" s="32"/>
      <c r="I519" s="51" t="str">
        <f t="shared" si="90"/>
        <v/>
      </c>
      <c r="J519" s="51" t="str">
        <f t="shared" si="91"/>
        <v/>
      </c>
      <c r="K519" s="52" t="str">
        <f t="shared" si="107"/>
        <v/>
      </c>
      <c r="L519" s="53" t="str">
        <f t="shared" si="87"/>
        <v/>
      </c>
      <c r="M519" s="52" t="str">
        <f t="shared" si="92"/>
        <v/>
      </c>
      <c r="N519" s="58" t="str">
        <f t="shared" si="88"/>
        <v/>
      </c>
      <c r="Q519" s="51" t="str">
        <f t="shared" si="93"/>
        <v/>
      </c>
      <c r="R519" s="52" t="str">
        <f t="shared" si="94"/>
        <v/>
      </c>
      <c r="S519" s="58" t="str">
        <f t="shared" si="131"/>
        <v/>
      </c>
      <c r="T519" s="52" t="str">
        <f t="shared" si="89"/>
        <v/>
      </c>
    </row>
    <row r="520" spans="2:20" ht="15.75" customHeight="1" x14ac:dyDescent="0.25">
      <c r="B520" s="27">
        <v>55</v>
      </c>
      <c r="C520" s="28">
        <v>9.5969999999999995</v>
      </c>
      <c r="D520" s="29">
        <f>C520/1000</f>
        <v>9.5969999999999996E-3</v>
      </c>
      <c r="E520" s="30">
        <f>E508-F508</f>
        <v>886815.87598496128</v>
      </c>
      <c r="F520" s="48">
        <f>D520*E520</f>
        <v>8510.7719618276733</v>
      </c>
      <c r="G520" s="31">
        <f t="shared" si="140"/>
        <v>0.99040300000000003</v>
      </c>
      <c r="H520" s="49"/>
      <c r="I520" s="51" t="str">
        <f t="shared" si="90"/>
        <v/>
      </c>
      <c r="J520" s="51" t="str">
        <f t="shared" si="91"/>
        <v/>
      </c>
      <c r="K520" s="52" t="str">
        <f t="shared" si="107"/>
        <v/>
      </c>
      <c r="L520" s="53" t="str">
        <f t="shared" si="87"/>
        <v/>
      </c>
      <c r="M520" s="52" t="str">
        <f t="shared" si="92"/>
        <v/>
      </c>
      <c r="N520" s="58" t="str">
        <f t="shared" si="88"/>
        <v/>
      </c>
      <c r="Q520" s="51" t="str">
        <f t="shared" si="93"/>
        <v/>
      </c>
      <c r="R520" s="52" t="str">
        <f t="shared" si="94"/>
        <v/>
      </c>
      <c r="S520" s="58" t="str">
        <f t="shared" si="131"/>
        <v/>
      </c>
      <c r="T520" s="52" t="str">
        <f t="shared" si="89"/>
        <v/>
      </c>
    </row>
    <row r="521" spans="2:20" ht="15.75" customHeight="1" x14ac:dyDescent="0.25">
      <c r="B521" s="33">
        <f t="shared" ref="B521:B531" si="141">B520+1/12</f>
        <v>55.083333333333336</v>
      </c>
      <c r="C521" s="34"/>
      <c r="D521" s="35">
        <f>(1/12)*D520</f>
        <v>7.997499999999999E-4</v>
      </c>
      <c r="E521" s="36">
        <f>E520-(1/12)*F520</f>
        <v>886106.6449881423</v>
      </c>
      <c r="F521" s="36">
        <f t="shared" ref="F521:F531" si="142">E521-E522</f>
        <v>709.2309968189802</v>
      </c>
      <c r="G521" s="31">
        <f t="shared" si="140"/>
        <v>0.99920025000000001</v>
      </c>
      <c r="H521" s="37"/>
      <c r="I521" s="51" t="str">
        <f t="shared" si="90"/>
        <v/>
      </c>
      <c r="J521" s="51" t="str">
        <f t="shared" si="91"/>
        <v/>
      </c>
      <c r="K521" s="52" t="str">
        <f t="shared" si="107"/>
        <v/>
      </c>
      <c r="L521" s="53" t="str">
        <f t="shared" si="87"/>
        <v/>
      </c>
      <c r="M521" s="52" t="str">
        <f t="shared" si="92"/>
        <v/>
      </c>
      <c r="N521" s="58" t="str">
        <f t="shared" si="88"/>
        <v/>
      </c>
      <c r="Q521" s="51" t="str">
        <f t="shared" si="93"/>
        <v/>
      </c>
      <c r="R521" s="52" t="str">
        <f t="shared" si="94"/>
        <v/>
      </c>
      <c r="S521" s="58" t="str">
        <f t="shared" si="131"/>
        <v/>
      </c>
      <c r="T521" s="52" t="str">
        <f t="shared" si="89"/>
        <v/>
      </c>
    </row>
    <row r="522" spans="2:20" ht="15.75" customHeight="1" x14ac:dyDescent="0.25">
      <c r="B522" s="33">
        <f t="shared" si="141"/>
        <v>55.166666666666671</v>
      </c>
      <c r="C522" s="34"/>
      <c r="D522" s="35">
        <f>(2/12)*D520</f>
        <v>1.5994999999999998E-3</v>
      </c>
      <c r="E522" s="36">
        <f>E520-(2/12)*F520</f>
        <v>885397.41399132332</v>
      </c>
      <c r="F522" s="36">
        <f t="shared" si="142"/>
        <v>709.2309968189802</v>
      </c>
      <c r="G522" s="31">
        <f t="shared" si="140"/>
        <v>0.99840050000000002</v>
      </c>
      <c r="H522" s="32"/>
      <c r="I522" s="51" t="str">
        <f t="shared" si="90"/>
        <v/>
      </c>
      <c r="J522" s="51" t="str">
        <f t="shared" si="91"/>
        <v/>
      </c>
      <c r="K522" s="52" t="str">
        <f t="shared" si="107"/>
        <v/>
      </c>
      <c r="L522" s="53" t="str">
        <f t="shared" si="87"/>
        <v/>
      </c>
      <c r="M522" s="52" t="str">
        <f t="shared" si="92"/>
        <v/>
      </c>
      <c r="N522" s="58" t="str">
        <f t="shared" si="88"/>
        <v/>
      </c>
      <c r="Q522" s="51" t="str">
        <f t="shared" si="93"/>
        <v/>
      </c>
      <c r="R522" s="52" t="str">
        <f t="shared" si="94"/>
        <v/>
      </c>
      <c r="S522" s="58" t="str">
        <f t="shared" si="131"/>
        <v/>
      </c>
      <c r="T522" s="52" t="str">
        <f t="shared" si="89"/>
        <v/>
      </c>
    </row>
    <row r="523" spans="2:20" ht="15.75" customHeight="1" x14ac:dyDescent="0.25">
      <c r="B523" s="33">
        <f t="shared" si="141"/>
        <v>55.250000000000007</v>
      </c>
      <c r="C523" s="34"/>
      <c r="D523" s="35">
        <f>(3/12)*D520</f>
        <v>2.3992499999999999E-3</v>
      </c>
      <c r="E523" s="36">
        <f>E520-(3/12)*F520</f>
        <v>884688.18299450434</v>
      </c>
      <c r="F523" s="36">
        <f t="shared" si="142"/>
        <v>709.2309968189802</v>
      </c>
      <c r="G523" s="31">
        <f t="shared" si="140"/>
        <v>0.99760075000000004</v>
      </c>
      <c r="H523" s="32"/>
      <c r="I523" s="51" t="str">
        <f t="shared" si="90"/>
        <v/>
      </c>
      <c r="J523" s="51" t="str">
        <f t="shared" si="91"/>
        <v/>
      </c>
      <c r="K523" s="52" t="str">
        <f t="shared" si="107"/>
        <v/>
      </c>
      <c r="L523" s="53" t="str">
        <f t="shared" si="87"/>
        <v/>
      </c>
      <c r="M523" s="52" t="str">
        <f t="shared" si="92"/>
        <v/>
      </c>
      <c r="N523" s="58" t="str">
        <f t="shared" si="88"/>
        <v/>
      </c>
      <c r="Q523" s="51" t="str">
        <f t="shared" si="93"/>
        <v/>
      </c>
      <c r="R523" s="52" t="str">
        <f t="shared" si="94"/>
        <v/>
      </c>
      <c r="S523" s="58" t="str">
        <f t="shared" si="131"/>
        <v/>
      </c>
      <c r="T523" s="52" t="str">
        <f t="shared" si="89"/>
        <v/>
      </c>
    </row>
    <row r="524" spans="2:20" ht="15.75" customHeight="1" x14ac:dyDescent="0.25">
      <c r="B524" s="33">
        <f t="shared" si="141"/>
        <v>55.333333333333343</v>
      </c>
      <c r="C524" s="34"/>
      <c r="D524" s="35">
        <f>(4/12)*D520</f>
        <v>3.1989999999999996E-3</v>
      </c>
      <c r="E524" s="36">
        <f>E520-(4/12)*F520</f>
        <v>883978.95199768536</v>
      </c>
      <c r="F524" s="36">
        <f t="shared" si="142"/>
        <v>709.2309968189802</v>
      </c>
      <c r="G524" s="31">
        <f t="shared" si="140"/>
        <v>0.99680100000000005</v>
      </c>
      <c r="H524" s="32"/>
      <c r="I524" s="51" t="str">
        <f t="shared" si="90"/>
        <v/>
      </c>
      <c r="J524" s="51" t="str">
        <f t="shared" si="91"/>
        <v/>
      </c>
      <c r="K524" s="52" t="str">
        <f t="shared" si="107"/>
        <v/>
      </c>
      <c r="L524" s="53" t="str">
        <f t="shared" si="87"/>
        <v/>
      </c>
      <c r="M524" s="52" t="str">
        <f t="shared" si="92"/>
        <v/>
      </c>
      <c r="N524" s="58" t="str">
        <f t="shared" si="88"/>
        <v/>
      </c>
      <c r="Q524" s="51" t="str">
        <f t="shared" si="93"/>
        <v/>
      </c>
      <c r="R524" s="52" t="str">
        <f t="shared" si="94"/>
        <v/>
      </c>
      <c r="S524" s="58" t="str">
        <f t="shared" si="131"/>
        <v/>
      </c>
      <c r="T524" s="52" t="str">
        <f t="shared" si="89"/>
        <v/>
      </c>
    </row>
    <row r="525" spans="2:20" ht="15.75" customHeight="1" x14ac:dyDescent="0.25">
      <c r="B525" s="33">
        <f t="shared" si="141"/>
        <v>55.416666666666679</v>
      </c>
      <c r="C525" s="34"/>
      <c r="D525" s="35">
        <f>(5/12)*D520</f>
        <v>3.9987499999999997E-3</v>
      </c>
      <c r="E525" s="36">
        <f>E520-(5/12)*F520</f>
        <v>883269.72100086638</v>
      </c>
      <c r="F525" s="36">
        <f t="shared" si="142"/>
        <v>709.2309968189802</v>
      </c>
      <c r="G525" s="31">
        <f t="shared" si="140"/>
        <v>0.99600124999999995</v>
      </c>
      <c r="H525" s="32"/>
      <c r="I525" s="51" t="str">
        <f t="shared" si="90"/>
        <v/>
      </c>
      <c r="J525" s="51" t="str">
        <f t="shared" si="91"/>
        <v/>
      </c>
      <c r="K525" s="52" t="str">
        <f t="shared" si="107"/>
        <v/>
      </c>
      <c r="L525" s="53" t="str">
        <f t="shared" si="87"/>
        <v/>
      </c>
      <c r="M525" s="52" t="str">
        <f t="shared" si="92"/>
        <v/>
      </c>
      <c r="N525" s="58" t="str">
        <f t="shared" si="88"/>
        <v/>
      </c>
      <c r="Q525" s="51" t="str">
        <f t="shared" si="93"/>
        <v/>
      </c>
      <c r="R525" s="52" t="str">
        <f t="shared" si="94"/>
        <v/>
      </c>
      <c r="S525" s="58" t="str">
        <f t="shared" si="131"/>
        <v/>
      </c>
      <c r="T525" s="52" t="str">
        <f t="shared" si="89"/>
        <v/>
      </c>
    </row>
    <row r="526" spans="2:20" ht="15.75" customHeight="1" x14ac:dyDescent="0.25">
      <c r="B526" s="33">
        <f t="shared" si="141"/>
        <v>55.500000000000014</v>
      </c>
      <c r="C526" s="34"/>
      <c r="D526" s="35">
        <f>(6/12)*D520</f>
        <v>4.7984999999999998E-3</v>
      </c>
      <c r="E526" s="36">
        <f>E520-(6/12)*F520</f>
        <v>882560.4900040474</v>
      </c>
      <c r="F526" s="36">
        <f t="shared" si="142"/>
        <v>709.2309968189802</v>
      </c>
      <c r="G526" s="31">
        <f t="shared" si="140"/>
        <v>0.99520149999999996</v>
      </c>
      <c r="H526" s="32"/>
      <c r="I526" s="51" t="str">
        <f t="shared" si="90"/>
        <v/>
      </c>
      <c r="J526" s="51" t="str">
        <f t="shared" si="91"/>
        <v/>
      </c>
      <c r="K526" s="52" t="str">
        <f t="shared" si="107"/>
        <v/>
      </c>
      <c r="L526" s="53" t="str">
        <f t="shared" ref="L526:L780" si="143">IF(I526&lt;&gt;"",1-K526,"")</f>
        <v/>
      </c>
      <c r="M526" s="52" t="str">
        <f t="shared" si="92"/>
        <v/>
      </c>
      <c r="N526" s="58" t="str">
        <f t="shared" ref="N526:N780" si="144">IF(I526&lt;&gt;"",(1+$M$10)^-(1+I526),"")</f>
        <v/>
      </c>
      <c r="Q526" s="51" t="str">
        <f t="shared" si="93"/>
        <v/>
      </c>
      <c r="R526" s="52" t="str">
        <f t="shared" si="94"/>
        <v/>
      </c>
      <c r="S526" s="58" t="str">
        <f t="shared" si="131"/>
        <v/>
      </c>
      <c r="T526" s="52" t="str">
        <f t="shared" ref="T526:T780" si="145">IFERROR(S526*R526,"")</f>
        <v/>
      </c>
    </row>
    <row r="527" spans="2:20" ht="15.75" customHeight="1" x14ac:dyDescent="0.25">
      <c r="B527" s="33">
        <f t="shared" si="141"/>
        <v>55.58333333333335</v>
      </c>
      <c r="C527" s="34"/>
      <c r="D527" s="35">
        <f>(7/12)*D520</f>
        <v>5.5982499999999999E-3</v>
      </c>
      <c r="E527" s="36">
        <f>E520-(7/12)*F520</f>
        <v>881851.25900722842</v>
      </c>
      <c r="F527" s="36">
        <f t="shared" si="142"/>
        <v>709.23099681886379</v>
      </c>
      <c r="G527" s="31">
        <f t="shared" si="140"/>
        <v>0.99440174999999997</v>
      </c>
      <c r="H527" s="32"/>
      <c r="I527" s="51" t="str">
        <f t="shared" ref="I527:I781" si="146">IFERROR(IF(I526+1/12&lt;$J$8,I526+1/12,""),"")</f>
        <v/>
      </c>
      <c r="J527" s="51" t="str">
        <f t="shared" ref="J527:J781" si="147">IF(I527&lt;&gt;"",J526+1/12,"")</f>
        <v/>
      </c>
      <c r="K527" s="52" t="str">
        <f t="shared" si="107"/>
        <v/>
      </c>
      <c r="L527" s="53" t="str">
        <f t="shared" si="143"/>
        <v/>
      </c>
      <c r="M527" s="52" t="str">
        <f t="shared" ref="M527:M781" si="148">IF(I527&lt;&gt;"",M526*L526,"")</f>
        <v/>
      </c>
      <c r="N527" s="58" t="str">
        <f t="shared" si="144"/>
        <v/>
      </c>
      <c r="Q527" s="51" t="str">
        <f t="shared" ref="Q527:Q781" si="149">IFERROR(IF(Q526+1/12&lt;$J$8,Q526+1/12,""),"")</f>
        <v/>
      </c>
      <c r="R527" s="52" t="str">
        <f t="shared" ref="R527:R781" si="150">IF(Q527&lt;&gt;"",R526*L526,"")</f>
        <v/>
      </c>
      <c r="S527" s="58" t="str">
        <f t="shared" si="131"/>
        <v/>
      </c>
      <c r="T527" s="52" t="str">
        <f t="shared" si="145"/>
        <v/>
      </c>
    </row>
    <row r="528" spans="2:20" ht="15.75" customHeight="1" x14ac:dyDescent="0.25">
      <c r="B528" s="33">
        <f t="shared" si="141"/>
        <v>55.666666666666686</v>
      </c>
      <c r="C528" s="34"/>
      <c r="D528" s="35">
        <f>(8/12)*D520</f>
        <v>6.3979999999999992E-3</v>
      </c>
      <c r="E528" s="36">
        <f>E520-(8/12)*F520</f>
        <v>881142.02801040956</v>
      </c>
      <c r="F528" s="36">
        <f t="shared" si="142"/>
        <v>709.2309968189802</v>
      </c>
      <c r="G528" s="31">
        <f t="shared" si="140"/>
        <v>0.99360199999999999</v>
      </c>
      <c r="H528" s="32"/>
      <c r="I528" s="51" t="str">
        <f t="shared" si="146"/>
        <v/>
      </c>
      <c r="J528" s="51" t="str">
        <f t="shared" si="147"/>
        <v/>
      </c>
      <c r="K528" s="52" t="str">
        <f t="shared" si="107"/>
        <v/>
      </c>
      <c r="L528" s="53" t="str">
        <f t="shared" si="143"/>
        <v/>
      </c>
      <c r="M528" s="52" t="str">
        <f t="shared" si="148"/>
        <v/>
      </c>
      <c r="N528" s="58" t="str">
        <f t="shared" si="144"/>
        <v/>
      </c>
      <c r="Q528" s="51" t="str">
        <f t="shared" si="149"/>
        <v/>
      </c>
      <c r="R528" s="52" t="str">
        <f t="shared" si="150"/>
        <v/>
      </c>
      <c r="S528" s="58" t="str">
        <f t="shared" si="131"/>
        <v/>
      </c>
      <c r="T528" s="52" t="str">
        <f t="shared" si="145"/>
        <v/>
      </c>
    </row>
    <row r="529" spans="2:20" ht="15.75" customHeight="1" x14ac:dyDescent="0.25">
      <c r="B529" s="33">
        <f t="shared" si="141"/>
        <v>55.750000000000021</v>
      </c>
      <c r="C529" s="34"/>
      <c r="D529" s="35">
        <f>(9/12)*D520</f>
        <v>7.1977499999999993E-3</v>
      </c>
      <c r="E529" s="36">
        <f>E520-(9/12)*F520</f>
        <v>880432.79701359058</v>
      </c>
      <c r="F529" s="36">
        <f t="shared" si="142"/>
        <v>709.2309968189802</v>
      </c>
      <c r="G529" s="31">
        <f t="shared" si="140"/>
        <v>0.99280225</v>
      </c>
      <c r="H529" s="32"/>
      <c r="I529" s="51" t="str">
        <f t="shared" si="146"/>
        <v/>
      </c>
      <c r="J529" s="51" t="str">
        <f t="shared" si="147"/>
        <v/>
      </c>
      <c r="K529" s="52" t="str">
        <f t="shared" si="107"/>
        <v/>
      </c>
      <c r="L529" s="53" t="str">
        <f t="shared" si="143"/>
        <v/>
      </c>
      <c r="M529" s="52" t="str">
        <f t="shared" si="148"/>
        <v/>
      </c>
      <c r="N529" s="58" t="str">
        <f t="shared" si="144"/>
        <v/>
      </c>
      <c r="Q529" s="51" t="str">
        <f t="shared" si="149"/>
        <v/>
      </c>
      <c r="R529" s="52" t="str">
        <f t="shared" si="150"/>
        <v/>
      </c>
      <c r="S529" s="58" t="str">
        <f t="shared" si="131"/>
        <v/>
      </c>
      <c r="T529" s="52" t="str">
        <f t="shared" si="145"/>
        <v/>
      </c>
    </row>
    <row r="530" spans="2:20" ht="15.75" customHeight="1" x14ac:dyDescent="0.25">
      <c r="B530" s="33">
        <f t="shared" si="141"/>
        <v>55.833333333333357</v>
      </c>
      <c r="C530" s="34"/>
      <c r="D530" s="35">
        <f>(10/12)*D520</f>
        <v>7.9974999999999994E-3</v>
      </c>
      <c r="E530" s="36">
        <f>E520-(10/12)*F520</f>
        <v>879723.5660167716</v>
      </c>
      <c r="F530" s="36">
        <f t="shared" si="142"/>
        <v>709.2309968189802</v>
      </c>
      <c r="G530" s="31">
        <f t="shared" si="140"/>
        <v>0.99200250000000001</v>
      </c>
      <c r="H530" s="32"/>
      <c r="I530" s="51" t="str">
        <f t="shared" si="146"/>
        <v/>
      </c>
      <c r="J530" s="51" t="str">
        <f t="shared" si="147"/>
        <v/>
      </c>
      <c r="K530" s="52" t="str">
        <f t="shared" si="107"/>
        <v/>
      </c>
      <c r="L530" s="53" t="str">
        <f t="shared" si="143"/>
        <v/>
      </c>
      <c r="M530" s="52" t="str">
        <f t="shared" si="148"/>
        <v/>
      </c>
      <c r="N530" s="58" t="str">
        <f t="shared" si="144"/>
        <v/>
      </c>
      <c r="Q530" s="51" t="str">
        <f t="shared" si="149"/>
        <v/>
      </c>
      <c r="R530" s="52" t="str">
        <f t="shared" si="150"/>
        <v/>
      </c>
      <c r="S530" s="58" t="str">
        <f t="shared" ref="S530:S593" si="151">IF(Q530&lt;&gt;"",(1+$M$10)^-(12*Q530),"")</f>
        <v/>
      </c>
      <c r="T530" s="52" t="str">
        <f t="shared" si="145"/>
        <v/>
      </c>
    </row>
    <row r="531" spans="2:20" ht="15.75" customHeight="1" x14ac:dyDescent="0.25">
      <c r="B531" s="33">
        <f t="shared" si="141"/>
        <v>55.916666666666693</v>
      </c>
      <c r="C531" s="34"/>
      <c r="D531" s="35">
        <f>(11/12)*D520</f>
        <v>8.7972499999999995E-3</v>
      </c>
      <c r="E531" s="36">
        <f>E520-(11/12)*F520</f>
        <v>879014.33501995262</v>
      </c>
      <c r="F531" s="36">
        <f t="shared" si="142"/>
        <v>709.2309968189802</v>
      </c>
      <c r="G531" s="31">
        <f t="shared" si="140"/>
        <v>0.99120275000000002</v>
      </c>
      <c r="H531" s="32"/>
      <c r="I531" s="51" t="str">
        <f t="shared" si="146"/>
        <v/>
      </c>
      <c r="J531" s="51" t="str">
        <f t="shared" si="147"/>
        <v/>
      </c>
      <c r="K531" s="52" t="str">
        <f t="shared" si="107"/>
        <v/>
      </c>
      <c r="L531" s="53" t="str">
        <f t="shared" si="143"/>
        <v/>
      </c>
      <c r="M531" s="52" t="str">
        <f t="shared" si="148"/>
        <v/>
      </c>
      <c r="N531" s="58" t="str">
        <f t="shared" si="144"/>
        <v/>
      </c>
      <c r="Q531" s="51" t="str">
        <f t="shared" si="149"/>
        <v/>
      </c>
      <c r="R531" s="52" t="str">
        <f t="shared" si="150"/>
        <v/>
      </c>
      <c r="S531" s="58" t="str">
        <f t="shared" si="151"/>
        <v/>
      </c>
      <c r="T531" s="52" t="str">
        <f t="shared" si="145"/>
        <v/>
      </c>
    </row>
    <row r="532" spans="2:20" ht="15.75" customHeight="1" x14ac:dyDescent="0.25">
      <c r="B532" s="27">
        <v>56</v>
      </c>
      <c r="C532" s="28">
        <v>10.33</v>
      </c>
      <c r="D532" s="29">
        <f>C532/1000</f>
        <v>1.0330000000000001E-2</v>
      </c>
      <c r="E532" s="30">
        <f>E520-F520</f>
        <v>878305.10402313364</v>
      </c>
      <c r="F532" s="48">
        <f>D532*E532</f>
        <v>9072.891724558971</v>
      </c>
      <c r="G532" s="31">
        <f t="shared" si="140"/>
        <v>0.98967000000000005</v>
      </c>
      <c r="H532" s="49"/>
      <c r="I532" s="51" t="str">
        <f t="shared" si="146"/>
        <v/>
      </c>
      <c r="J532" s="51" t="str">
        <f t="shared" si="147"/>
        <v/>
      </c>
      <c r="K532" s="52" t="str">
        <f t="shared" si="107"/>
        <v/>
      </c>
      <c r="L532" s="53" t="str">
        <f t="shared" si="143"/>
        <v/>
      </c>
      <c r="M532" s="52" t="str">
        <f t="shared" si="148"/>
        <v/>
      </c>
      <c r="N532" s="58" t="str">
        <f t="shared" si="144"/>
        <v/>
      </c>
      <c r="Q532" s="51" t="str">
        <f t="shared" si="149"/>
        <v/>
      </c>
      <c r="R532" s="52" t="str">
        <f t="shared" si="150"/>
        <v/>
      </c>
      <c r="S532" s="58" t="str">
        <f t="shared" si="151"/>
        <v/>
      </c>
      <c r="T532" s="52" t="str">
        <f t="shared" si="145"/>
        <v/>
      </c>
    </row>
    <row r="533" spans="2:20" ht="15.75" customHeight="1" x14ac:dyDescent="0.25">
      <c r="B533" s="33">
        <f t="shared" ref="B533:B543" si="152">B532+1/12</f>
        <v>56.083333333333336</v>
      </c>
      <c r="C533" s="34"/>
      <c r="D533" s="35">
        <f>(1/12)*D532</f>
        <v>8.6083333333333335E-4</v>
      </c>
      <c r="E533" s="36">
        <f>E532-(1/12)*F532</f>
        <v>877549.02971275372</v>
      </c>
      <c r="F533" s="36">
        <f t="shared" ref="F533:F543" si="153">E533-E534</f>
        <v>756.07431037991773</v>
      </c>
      <c r="G533" s="31">
        <f t="shared" si="140"/>
        <v>0.99913916666666669</v>
      </c>
      <c r="H533" s="37"/>
      <c r="I533" s="51" t="str">
        <f t="shared" si="146"/>
        <v/>
      </c>
      <c r="J533" s="51" t="str">
        <f t="shared" si="147"/>
        <v/>
      </c>
      <c r="K533" s="52" t="str">
        <f t="shared" si="107"/>
        <v/>
      </c>
      <c r="L533" s="53" t="str">
        <f t="shared" si="143"/>
        <v/>
      </c>
      <c r="M533" s="52" t="str">
        <f t="shared" si="148"/>
        <v/>
      </c>
      <c r="N533" s="58" t="str">
        <f t="shared" si="144"/>
        <v/>
      </c>
      <c r="Q533" s="51" t="str">
        <f t="shared" si="149"/>
        <v/>
      </c>
      <c r="R533" s="52" t="str">
        <f t="shared" si="150"/>
        <v/>
      </c>
      <c r="S533" s="58" t="str">
        <f t="shared" si="151"/>
        <v/>
      </c>
      <c r="T533" s="52" t="str">
        <f t="shared" si="145"/>
        <v/>
      </c>
    </row>
    <row r="534" spans="2:20" ht="15.75" customHeight="1" x14ac:dyDescent="0.25">
      <c r="B534" s="33">
        <f t="shared" si="152"/>
        <v>56.166666666666671</v>
      </c>
      <c r="C534" s="34"/>
      <c r="D534" s="35">
        <f>(2/12)*D532</f>
        <v>1.7216666666666667E-3</v>
      </c>
      <c r="E534" s="36">
        <f>E532-(2/12)*F532</f>
        <v>876792.9554023738</v>
      </c>
      <c r="F534" s="36">
        <f t="shared" si="153"/>
        <v>756.07431037991773</v>
      </c>
      <c r="G534" s="31">
        <f t="shared" si="140"/>
        <v>0.99827833333333338</v>
      </c>
      <c r="H534" s="32"/>
      <c r="I534" s="51" t="str">
        <f t="shared" si="146"/>
        <v/>
      </c>
      <c r="J534" s="51" t="str">
        <f t="shared" si="147"/>
        <v/>
      </c>
      <c r="K534" s="52" t="str">
        <f t="shared" si="107"/>
        <v/>
      </c>
      <c r="L534" s="53" t="str">
        <f t="shared" si="143"/>
        <v/>
      </c>
      <c r="M534" s="52" t="str">
        <f t="shared" si="148"/>
        <v/>
      </c>
      <c r="N534" s="58" t="str">
        <f t="shared" si="144"/>
        <v/>
      </c>
      <c r="Q534" s="51" t="str">
        <f t="shared" si="149"/>
        <v/>
      </c>
      <c r="R534" s="52" t="str">
        <f t="shared" si="150"/>
        <v/>
      </c>
      <c r="S534" s="58" t="str">
        <f t="shared" si="151"/>
        <v/>
      </c>
      <c r="T534" s="52" t="str">
        <f t="shared" si="145"/>
        <v/>
      </c>
    </row>
    <row r="535" spans="2:20" ht="15.75" customHeight="1" x14ac:dyDescent="0.25">
      <c r="B535" s="33">
        <f t="shared" si="152"/>
        <v>56.250000000000007</v>
      </c>
      <c r="C535" s="34"/>
      <c r="D535" s="35">
        <f>(3/12)*D532</f>
        <v>2.5825000000000002E-3</v>
      </c>
      <c r="E535" s="36">
        <f>E532-(3/12)*F532</f>
        <v>876036.88109199388</v>
      </c>
      <c r="F535" s="36">
        <f t="shared" si="153"/>
        <v>756.07431037991773</v>
      </c>
      <c r="G535" s="31">
        <f t="shared" si="140"/>
        <v>0.99741749999999996</v>
      </c>
      <c r="H535" s="32"/>
      <c r="I535" s="51" t="str">
        <f t="shared" si="146"/>
        <v/>
      </c>
      <c r="J535" s="51" t="str">
        <f t="shared" si="147"/>
        <v/>
      </c>
      <c r="K535" s="52" t="str">
        <f t="shared" si="107"/>
        <v/>
      </c>
      <c r="L535" s="53" t="str">
        <f t="shared" si="143"/>
        <v/>
      </c>
      <c r="M535" s="52" t="str">
        <f t="shared" si="148"/>
        <v/>
      </c>
      <c r="N535" s="58" t="str">
        <f t="shared" si="144"/>
        <v/>
      </c>
      <c r="Q535" s="51" t="str">
        <f t="shared" si="149"/>
        <v/>
      </c>
      <c r="R535" s="52" t="str">
        <f t="shared" si="150"/>
        <v/>
      </c>
      <c r="S535" s="58" t="str">
        <f t="shared" si="151"/>
        <v/>
      </c>
      <c r="T535" s="52" t="str">
        <f t="shared" si="145"/>
        <v/>
      </c>
    </row>
    <row r="536" spans="2:20" ht="15.75" customHeight="1" x14ac:dyDescent="0.25">
      <c r="B536" s="33">
        <f t="shared" si="152"/>
        <v>56.333333333333343</v>
      </c>
      <c r="C536" s="34"/>
      <c r="D536" s="35">
        <f>(4/12)*D532</f>
        <v>3.4433333333333334E-3</v>
      </c>
      <c r="E536" s="36">
        <f>E532-(4/12)*F532</f>
        <v>875280.80678161397</v>
      </c>
      <c r="F536" s="36">
        <f t="shared" si="153"/>
        <v>756.07431037991773</v>
      </c>
      <c r="G536" s="31">
        <f t="shared" si="140"/>
        <v>0.99655666666666665</v>
      </c>
      <c r="H536" s="32"/>
      <c r="I536" s="51" t="str">
        <f t="shared" si="146"/>
        <v/>
      </c>
      <c r="J536" s="51" t="str">
        <f t="shared" si="147"/>
        <v/>
      </c>
      <c r="K536" s="52" t="str">
        <f t="shared" si="107"/>
        <v/>
      </c>
      <c r="L536" s="53" t="str">
        <f t="shared" si="143"/>
        <v/>
      </c>
      <c r="M536" s="52" t="str">
        <f t="shared" si="148"/>
        <v/>
      </c>
      <c r="N536" s="58" t="str">
        <f t="shared" si="144"/>
        <v/>
      </c>
      <c r="Q536" s="51" t="str">
        <f t="shared" si="149"/>
        <v/>
      </c>
      <c r="R536" s="52" t="str">
        <f t="shared" si="150"/>
        <v/>
      </c>
      <c r="S536" s="58" t="str">
        <f t="shared" si="151"/>
        <v/>
      </c>
      <c r="T536" s="52" t="str">
        <f t="shared" si="145"/>
        <v/>
      </c>
    </row>
    <row r="537" spans="2:20" ht="15.75" customHeight="1" x14ac:dyDescent="0.25">
      <c r="B537" s="33">
        <f t="shared" si="152"/>
        <v>56.416666666666679</v>
      </c>
      <c r="C537" s="34"/>
      <c r="D537" s="35">
        <f>(5/12)*D532</f>
        <v>4.3041666666666671E-3</v>
      </c>
      <c r="E537" s="36">
        <f>E532-(5/12)*F532</f>
        <v>874524.73247123405</v>
      </c>
      <c r="F537" s="36">
        <f t="shared" si="153"/>
        <v>756.07431037991773</v>
      </c>
      <c r="G537" s="31">
        <f t="shared" si="140"/>
        <v>0.99569583333333334</v>
      </c>
      <c r="H537" s="32"/>
      <c r="I537" s="51" t="str">
        <f t="shared" si="146"/>
        <v/>
      </c>
      <c r="J537" s="51" t="str">
        <f t="shared" si="147"/>
        <v/>
      </c>
      <c r="K537" s="52" t="str">
        <f t="shared" si="107"/>
        <v/>
      </c>
      <c r="L537" s="53" t="str">
        <f t="shared" si="143"/>
        <v/>
      </c>
      <c r="M537" s="52" t="str">
        <f t="shared" si="148"/>
        <v/>
      </c>
      <c r="N537" s="58" t="str">
        <f t="shared" si="144"/>
        <v/>
      </c>
      <c r="Q537" s="51" t="str">
        <f t="shared" si="149"/>
        <v/>
      </c>
      <c r="R537" s="52" t="str">
        <f t="shared" si="150"/>
        <v/>
      </c>
      <c r="S537" s="58" t="str">
        <f t="shared" si="151"/>
        <v/>
      </c>
      <c r="T537" s="52" t="str">
        <f t="shared" si="145"/>
        <v/>
      </c>
    </row>
    <row r="538" spans="2:20" ht="15.75" customHeight="1" x14ac:dyDescent="0.25">
      <c r="B538" s="33">
        <f t="shared" si="152"/>
        <v>56.500000000000014</v>
      </c>
      <c r="C538" s="34"/>
      <c r="D538" s="35">
        <f>(6/12)*D532</f>
        <v>5.1650000000000003E-3</v>
      </c>
      <c r="E538" s="36">
        <f>E532-(6/12)*F532</f>
        <v>873768.65816085413</v>
      </c>
      <c r="F538" s="36">
        <f t="shared" si="153"/>
        <v>756.07431037991773</v>
      </c>
      <c r="G538" s="31">
        <f t="shared" si="140"/>
        <v>0.99483500000000002</v>
      </c>
      <c r="H538" s="32"/>
      <c r="I538" s="51" t="str">
        <f t="shared" si="146"/>
        <v/>
      </c>
      <c r="J538" s="51" t="str">
        <f t="shared" si="147"/>
        <v/>
      </c>
      <c r="K538" s="52" t="str">
        <f t="shared" si="107"/>
        <v/>
      </c>
      <c r="L538" s="53" t="str">
        <f t="shared" si="143"/>
        <v/>
      </c>
      <c r="M538" s="52" t="str">
        <f t="shared" si="148"/>
        <v/>
      </c>
      <c r="N538" s="58" t="str">
        <f t="shared" si="144"/>
        <v/>
      </c>
      <c r="Q538" s="51" t="str">
        <f t="shared" si="149"/>
        <v/>
      </c>
      <c r="R538" s="52" t="str">
        <f t="shared" si="150"/>
        <v/>
      </c>
      <c r="S538" s="58" t="str">
        <f t="shared" si="151"/>
        <v/>
      </c>
      <c r="T538" s="52" t="str">
        <f t="shared" si="145"/>
        <v/>
      </c>
    </row>
    <row r="539" spans="2:20" ht="15.75" customHeight="1" x14ac:dyDescent="0.25">
      <c r="B539" s="33">
        <f t="shared" si="152"/>
        <v>56.58333333333335</v>
      </c>
      <c r="C539" s="34"/>
      <c r="D539" s="35">
        <f>(7/12)*D532</f>
        <v>6.0258333333333344E-3</v>
      </c>
      <c r="E539" s="36">
        <f>E532-(7/12)*F532</f>
        <v>873012.58385047421</v>
      </c>
      <c r="F539" s="36">
        <f t="shared" si="153"/>
        <v>756.07431037991773</v>
      </c>
      <c r="G539" s="31">
        <f t="shared" si="140"/>
        <v>0.99397416666666671</v>
      </c>
      <c r="H539" s="32"/>
      <c r="I539" s="51" t="str">
        <f t="shared" si="146"/>
        <v/>
      </c>
      <c r="J539" s="51" t="str">
        <f t="shared" si="147"/>
        <v/>
      </c>
      <c r="K539" s="52" t="str">
        <f t="shared" si="107"/>
        <v/>
      </c>
      <c r="L539" s="53" t="str">
        <f t="shared" si="143"/>
        <v/>
      </c>
      <c r="M539" s="52" t="str">
        <f t="shared" si="148"/>
        <v/>
      </c>
      <c r="N539" s="58" t="str">
        <f t="shared" si="144"/>
        <v/>
      </c>
      <c r="Q539" s="51" t="str">
        <f t="shared" si="149"/>
        <v/>
      </c>
      <c r="R539" s="52" t="str">
        <f t="shared" si="150"/>
        <v/>
      </c>
      <c r="S539" s="58" t="str">
        <f t="shared" si="151"/>
        <v/>
      </c>
      <c r="T539" s="52" t="str">
        <f t="shared" si="145"/>
        <v/>
      </c>
    </row>
    <row r="540" spans="2:20" ht="15.75" customHeight="1" x14ac:dyDescent="0.25">
      <c r="B540" s="33">
        <f t="shared" si="152"/>
        <v>56.666666666666686</v>
      </c>
      <c r="C540" s="34"/>
      <c r="D540" s="35">
        <f>(8/12)*D532</f>
        <v>6.8866666666666668E-3</v>
      </c>
      <c r="E540" s="36">
        <f>E532-(8/12)*F532</f>
        <v>872256.5095400943</v>
      </c>
      <c r="F540" s="36">
        <f t="shared" si="153"/>
        <v>756.07431037991773</v>
      </c>
      <c r="G540" s="31">
        <f t="shared" si="140"/>
        <v>0.99311333333333329</v>
      </c>
      <c r="H540" s="32"/>
      <c r="I540" s="51" t="str">
        <f t="shared" si="146"/>
        <v/>
      </c>
      <c r="J540" s="51" t="str">
        <f t="shared" si="147"/>
        <v/>
      </c>
      <c r="K540" s="52" t="str">
        <f t="shared" si="107"/>
        <v/>
      </c>
      <c r="L540" s="53" t="str">
        <f t="shared" si="143"/>
        <v/>
      </c>
      <c r="M540" s="52" t="str">
        <f t="shared" si="148"/>
        <v/>
      </c>
      <c r="N540" s="58" t="str">
        <f t="shared" si="144"/>
        <v/>
      </c>
      <c r="Q540" s="51" t="str">
        <f t="shared" si="149"/>
        <v/>
      </c>
      <c r="R540" s="52" t="str">
        <f t="shared" si="150"/>
        <v/>
      </c>
      <c r="S540" s="58" t="str">
        <f t="shared" si="151"/>
        <v/>
      </c>
      <c r="T540" s="52" t="str">
        <f t="shared" si="145"/>
        <v/>
      </c>
    </row>
    <row r="541" spans="2:20" ht="15.75" customHeight="1" x14ac:dyDescent="0.25">
      <c r="B541" s="33">
        <f t="shared" si="152"/>
        <v>56.750000000000021</v>
      </c>
      <c r="C541" s="34"/>
      <c r="D541" s="35">
        <f>(9/12)*D532</f>
        <v>7.7475000000000009E-3</v>
      </c>
      <c r="E541" s="36">
        <f>E532-(9/12)*F532</f>
        <v>871500.43522971438</v>
      </c>
      <c r="F541" s="36">
        <f t="shared" si="153"/>
        <v>756.07431037991773</v>
      </c>
      <c r="G541" s="31">
        <f t="shared" si="140"/>
        <v>0.99225249999999998</v>
      </c>
      <c r="H541" s="32"/>
      <c r="I541" s="51" t="str">
        <f t="shared" si="146"/>
        <v/>
      </c>
      <c r="J541" s="51" t="str">
        <f t="shared" si="147"/>
        <v/>
      </c>
      <c r="K541" s="52" t="str">
        <f t="shared" si="107"/>
        <v/>
      </c>
      <c r="L541" s="53" t="str">
        <f t="shared" si="143"/>
        <v/>
      </c>
      <c r="M541" s="52" t="str">
        <f t="shared" si="148"/>
        <v/>
      </c>
      <c r="N541" s="58" t="str">
        <f t="shared" si="144"/>
        <v/>
      </c>
      <c r="Q541" s="51" t="str">
        <f t="shared" si="149"/>
        <v/>
      </c>
      <c r="R541" s="52" t="str">
        <f t="shared" si="150"/>
        <v/>
      </c>
      <c r="S541" s="58" t="str">
        <f t="shared" si="151"/>
        <v/>
      </c>
      <c r="T541" s="52" t="str">
        <f t="shared" si="145"/>
        <v/>
      </c>
    </row>
    <row r="542" spans="2:20" ht="15.75" customHeight="1" x14ac:dyDescent="0.25">
      <c r="B542" s="33">
        <f t="shared" si="152"/>
        <v>56.833333333333357</v>
      </c>
      <c r="C542" s="34"/>
      <c r="D542" s="35">
        <f>(10/12)*D532</f>
        <v>8.6083333333333342E-3</v>
      </c>
      <c r="E542" s="36">
        <f>E532-(10/12)*F532</f>
        <v>870744.36091933446</v>
      </c>
      <c r="F542" s="36">
        <f t="shared" si="153"/>
        <v>756.07431037991773</v>
      </c>
      <c r="G542" s="31">
        <f t="shared" si="140"/>
        <v>0.99139166666666667</v>
      </c>
      <c r="H542" s="32"/>
      <c r="I542" s="51" t="str">
        <f t="shared" si="146"/>
        <v/>
      </c>
      <c r="J542" s="51" t="str">
        <f t="shared" si="147"/>
        <v/>
      </c>
      <c r="K542" s="52" t="str">
        <f t="shared" si="107"/>
        <v/>
      </c>
      <c r="L542" s="53" t="str">
        <f t="shared" si="143"/>
        <v/>
      </c>
      <c r="M542" s="52" t="str">
        <f t="shared" si="148"/>
        <v/>
      </c>
      <c r="N542" s="58" t="str">
        <f t="shared" si="144"/>
        <v/>
      </c>
      <c r="Q542" s="51" t="str">
        <f t="shared" si="149"/>
        <v/>
      </c>
      <c r="R542" s="52" t="str">
        <f t="shared" si="150"/>
        <v/>
      </c>
      <c r="S542" s="58" t="str">
        <f t="shared" si="151"/>
        <v/>
      </c>
      <c r="T542" s="52" t="str">
        <f t="shared" si="145"/>
        <v/>
      </c>
    </row>
    <row r="543" spans="2:20" ht="15.75" customHeight="1" x14ac:dyDescent="0.25">
      <c r="B543" s="33">
        <f t="shared" si="152"/>
        <v>56.916666666666693</v>
      </c>
      <c r="C543" s="34"/>
      <c r="D543" s="35">
        <f>(11/12)*D532</f>
        <v>9.4691666666666674E-3</v>
      </c>
      <c r="E543" s="36">
        <f>E532-(11/12)*F532</f>
        <v>869988.28660895454</v>
      </c>
      <c r="F543" s="36">
        <f t="shared" si="153"/>
        <v>756.07431037991773</v>
      </c>
      <c r="G543" s="31">
        <f t="shared" si="140"/>
        <v>0.99053083333333336</v>
      </c>
      <c r="H543" s="32"/>
      <c r="I543" s="51" t="str">
        <f t="shared" si="146"/>
        <v/>
      </c>
      <c r="J543" s="51" t="str">
        <f t="shared" si="147"/>
        <v/>
      </c>
      <c r="K543" s="52" t="str">
        <f t="shared" si="107"/>
        <v/>
      </c>
      <c r="L543" s="53" t="str">
        <f t="shared" si="143"/>
        <v/>
      </c>
      <c r="M543" s="52" t="str">
        <f t="shared" si="148"/>
        <v/>
      </c>
      <c r="N543" s="58" t="str">
        <f t="shared" si="144"/>
        <v/>
      </c>
      <c r="Q543" s="51" t="str">
        <f t="shared" si="149"/>
        <v/>
      </c>
      <c r="R543" s="52" t="str">
        <f t="shared" si="150"/>
        <v/>
      </c>
      <c r="S543" s="58" t="str">
        <f t="shared" si="151"/>
        <v/>
      </c>
      <c r="T543" s="52" t="str">
        <f t="shared" si="145"/>
        <v/>
      </c>
    </row>
    <row r="544" spans="2:20" ht="15.75" customHeight="1" x14ac:dyDescent="0.25">
      <c r="B544" s="27">
        <v>57</v>
      </c>
      <c r="C544" s="28">
        <v>11.119</v>
      </c>
      <c r="D544" s="29">
        <f>C544/1000</f>
        <v>1.1119E-2</v>
      </c>
      <c r="E544" s="30">
        <f>E532-F532</f>
        <v>869232.21229857462</v>
      </c>
      <c r="F544" s="48">
        <f>D544*E544</f>
        <v>9664.992968547851</v>
      </c>
      <c r="G544" s="31">
        <f t="shared" si="140"/>
        <v>0.98888100000000001</v>
      </c>
      <c r="H544" s="49"/>
      <c r="I544" s="51" t="str">
        <f t="shared" si="146"/>
        <v/>
      </c>
      <c r="J544" s="51" t="str">
        <f t="shared" si="147"/>
        <v/>
      </c>
      <c r="K544" s="52" t="str">
        <f t="shared" si="107"/>
        <v/>
      </c>
      <c r="L544" s="53" t="str">
        <f t="shared" si="143"/>
        <v/>
      </c>
      <c r="M544" s="52" t="str">
        <f t="shared" si="148"/>
        <v/>
      </c>
      <c r="N544" s="58" t="str">
        <f t="shared" si="144"/>
        <v/>
      </c>
      <c r="Q544" s="51" t="str">
        <f t="shared" si="149"/>
        <v/>
      </c>
      <c r="R544" s="52" t="str">
        <f t="shared" si="150"/>
        <v/>
      </c>
      <c r="S544" s="58" t="str">
        <f t="shared" si="151"/>
        <v/>
      </c>
      <c r="T544" s="52" t="str">
        <f t="shared" si="145"/>
        <v/>
      </c>
    </row>
    <row r="545" spans="2:20" ht="15.75" customHeight="1" x14ac:dyDescent="0.25">
      <c r="B545" s="33">
        <f t="shared" ref="B545:B555" si="154">B544+1/12</f>
        <v>57.083333333333336</v>
      </c>
      <c r="C545" s="34"/>
      <c r="D545" s="35">
        <f>(1/12)*D544</f>
        <v>9.265833333333333E-4</v>
      </c>
      <c r="E545" s="36">
        <f>E544-(1/12)*F544</f>
        <v>868426.79621786228</v>
      </c>
      <c r="F545" s="36">
        <f t="shared" ref="F545:F555" si="155">E545-E546</f>
        <v>805.41608071234077</v>
      </c>
      <c r="G545" s="31">
        <f t="shared" si="140"/>
        <v>0.99907341666666671</v>
      </c>
      <c r="H545" s="37"/>
      <c r="I545" s="51" t="str">
        <f t="shared" si="146"/>
        <v/>
      </c>
      <c r="J545" s="51" t="str">
        <f t="shared" si="147"/>
        <v/>
      </c>
      <c r="K545" s="52" t="str">
        <f t="shared" si="107"/>
        <v/>
      </c>
      <c r="L545" s="53" t="str">
        <f t="shared" si="143"/>
        <v/>
      </c>
      <c r="M545" s="52" t="str">
        <f t="shared" si="148"/>
        <v/>
      </c>
      <c r="N545" s="58" t="str">
        <f t="shared" si="144"/>
        <v/>
      </c>
      <c r="Q545" s="51" t="str">
        <f t="shared" si="149"/>
        <v/>
      </c>
      <c r="R545" s="52" t="str">
        <f t="shared" si="150"/>
        <v/>
      </c>
      <c r="S545" s="58" t="str">
        <f t="shared" si="151"/>
        <v/>
      </c>
      <c r="T545" s="52" t="str">
        <f t="shared" si="145"/>
        <v/>
      </c>
    </row>
    <row r="546" spans="2:20" ht="15.75" customHeight="1" x14ac:dyDescent="0.25">
      <c r="B546" s="33">
        <f t="shared" si="154"/>
        <v>57.166666666666671</v>
      </c>
      <c r="C546" s="34"/>
      <c r="D546" s="35">
        <f>(2/12)*D544</f>
        <v>1.8531666666666666E-3</v>
      </c>
      <c r="E546" s="36">
        <f>E544-(2/12)*F544</f>
        <v>867621.38013714994</v>
      </c>
      <c r="F546" s="36">
        <f t="shared" si="155"/>
        <v>805.41608071222436</v>
      </c>
      <c r="G546" s="31">
        <f t="shared" si="140"/>
        <v>0.99814683333333332</v>
      </c>
      <c r="H546" s="32"/>
      <c r="I546" s="51" t="str">
        <f t="shared" si="146"/>
        <v/>
      </c>
      <c r="J546" s="51" t="str">
        <f t="shared" si="147"/>
        <v/>
      </c>
      <c r="K546" s="52" t="str">
        <f t="shared" si="107"/>
        <v/>
      </c>
      <c r="L546" s="53" t="str">
        <f t="shared" si="143"/>
        <v/>
      </c>
      <c r="M546" s="52" t="str">
        <f t="shared" si="148"/>
        <v/>
      </c>
      <c r="N546" s="58" t="str">
        <f t="shared" si="144"/>
        <v/>
      </c>
      <c r="Q546" s="51" t="str">
        <f t="shared" si="149"/>
        <v/>
      </c>
      <c r="R546" s="52" t="str">
        <f t="shared" si="150"/>
        <v/>
      </c>
      <c r="S546" s="58" t="str">
        <f t="shared" si="151"/>
        <v/>
      </c>
      <c r="T546" s="52" t="str">
        <f t="shared" si="145"/>
        <v/>
      </c>
    </row>
    <row r="547" spans="2:20" ht="15.75" customHeight="1" x14ac:dyDescent="0.25">
      <c r="B547" s="33">
        <f t="shared" si="154"/>
        <v>57.250000000000007</v>
      </c>
      <c r="C547" s="34"/>
      <c r="D547" s="35">
        <f>(3/12)*D544</f>
        <v>2.7797500000000001E-3</v>
      </c>
      <c r="E547" s="36">
        <f>E544-(3/12)*F544</f>
        <v>866815.96405643772</v>
      </c>
      <c r="F547" s="36">
        <f t="shared" si="155"/>
        <v>805.41608071234077</v>
      </c>
      <c r="G547" s="31">
        <f t="shared" si="140"/>
        <v>0.99722025000000003</v>
      </c>
      <c r="H547" s="32"/>
      <c r="I547" s="51" t="str">
        <f t="shared" si="146"/>
        <v/>
      </c>
      <c r="J547" s="51" t="str">
        <f t="shared" si="147"/>
        <v/>
      </c>
      <c r="K547" s="52" t="str">
        <f t="shared" si="107"/>
        <v/>
      </c>
      <c r="L547" s="53" t="str">
        <f t="shared" si="143"/>
        <v/>
      </c>
      <c r="M547" s="52" t="str">
        <f t="shared" si="148"/>
        <v/>
      </c>
      <c r="N547" s="58" t="str">
        <f t="shared" si="144"/>
        <v/>
      </c>
      <c r="Q547" s="51" t="str">
        <f t="shared" si="149"/>
        <v/>
      </c>
      <c r="R547" s="52" t="str">
        <f t="shared" si="150"/>
        <v/>
      </c>
      <c r="S547" s="58" t="str">
        <f t="shared" si="151"/>
        <v/>
      </c>
      <c r="T547" s="52" t="str">
        <f t="shared" si="145"/>
        <v/>
      </c>
    </row>
    <row r="548" spans="2:20" ht="15.75" customHeight="1" x14ac:dyDescent="0.25">
      <c r="B548" s="33">
        <f t="shared" si="154"/>
        <v>57.333333333333343</v>
      </c>
      <c r="C548" s="34"/>
      <c r="D548" s="35">
        <f>(4/12)*D544</f>
        <v>3.7063333333333332E-3</v>
      </c>
      <c r="E548" s="36">
        <f>E544-(4/12)*F544</f>
        <v>866010.54797572538</v>
      </c>
      <c r="F548" s="36">
        <f t="shared" si="155"/>
        <v>805.41608071234077</v>
      </c>
      <c r="G548" s="31">
        <f t="shared" si="140"/>
        <v>0.99629366666666663</v>
      </c>
      <c r="H548" s="32"/>
      <c r="I548" s="51" t="str">
        <f t="shared" si="146"/>
        <v/>
      </c>
      <c r="J548" s="51" t="str">
        <f t="shared" si="147"/>
        <v/>
      </c>
      <c r="K548" s="52" t="str">
        <f t="shared" si="107"/>
        <v/>
      </c>
      <c r="L548" s="53" t="str">
        <f t="shared" si="143"/>
        <v/>
      </c>
      <c r="M548" s="52" t="str">
        <f t="shared" si="148"/>
        <v/>
      </c>
      <c r="N548" s="58" t="str">
        <f t="shared" si="144"/>
        <v/>
      </c>
      <c r="Q548" s="51" t="str">
        <f t="shared" si="149"/>
        <v/>
      </c>
      <c r="R548" s="52" t="str">
        <f t="shared" si="150"/>
        <v/>
      </c>
      <c r="S548" s="58" t="str">
        <f t="shared" si="151"/>
        <v/>
      </c>
      <c r="T548" s="52" t="str">
        <f t="shared" si="145"/>
        <v/>
      </c>
    </row>
    <row r="549" spans="2:20" ht="15.75" customHeight="1" x14ac:dyDescent="0.25">
      <c r="B549" s="33">
        <f t="shared" si="154"/>
        <v>57.416666666666679</v>
      </c>
      <c r="C549" s="34"/>
      <c r="D549" s="35">
        <f>(5/12)*D544</f>
        <v>4.6329166666666671E-3</v>
      </c>
      <c r="E549" s="36">
        <f>E544-(5/12)*F544</f>
        <v>865205.13189501304</v>
      </c>
      <c r="F549" s="36">
        <f t="shared" si="155"/>
        <v>805.41608071234077</v>
      </c>
      <c r="G549" s="31">
        <f t="shared" si="140"/>
        <v>0.99536708333333335</v>
      </c>
      <c r="H549" s="32"/>
      <c r="I549" s="51" t="str">
        <f t="shared" si="146"/>
        <v/>
      </c>
      <c r="J549" s="51" t="str">
        <f t="shared" si="147"/>
        <v/>
      </c>
      <c r="K549" s="52" t="str">
        <f t="shared" si="107"/>
        <v/>
      </c>
      <c r="L549" s="53" t="str">
        <f t="shared" si="143"/>
        <v/>
      </c>
      <c r="M549" s="52" t="str">
        <f t="shared" si="148"/>
        <v/>
      </c>
      <c r="N549" s="58" t="str">
        <f t="shared" si="144"/>
        <v/>
      </c>
      <c r="Q549" s="51" t="str">
        <f t="shared" si="149"/>
        <v/>
      </c>
      <c r="R549" s="52" t="str">
        <f t="shared" si="150"/>
        <v/>
      </c>
      <c r="S549" s="58" t="str">
        <f t="shared" si="151"/>
        <v/>
      </c>
      <c r="T549" s="52" t="str">
        <f t="shared" si="145"/>
        <v/>
      </c>
    </row>
    <row r="550" spans="2:20" ht="15.75" customHeight="1" x14ac:dyDescent="0.25">
      <c r="B550" s="33">
        <f t="shared" si="154"/>
        <v>57.500000000000014</v>
      </c>
      <c r="C550" s="34"/>
      <c r="D550" s="35">
        <f>(6/12)*D544</f>
        <v>5.5595000000000002E-3</v>
      </c>
      <c r="E550" s="36">
        <f>E544-(6/12)*F544</f>
        <v>864399.7158143007</v>
      </c>
      <c r="F550" s="36">
        <f t="shared" si="155"/>
        <v>805.41608071234077</v>
      </c>
      <c r="G550" s="31">
        <f t="shared" si="140"/>
        <v>0.99444049999999995</v>
      </c>
      <c r="H550" s="32"/>
      <c r="I550" s="51" t="str">
        <f t="shared" si="146"/>
        <v/>
      </c>
      <c r="J550" s="51" t="str">
        <f t="shared" si="147"/>
        <v/>
      </c>
      <c r="K550" s="52" t="str">
        <f t="shared" si="107"/>
        <v/>
      </c>
      <c r="L550" s="53" t="str">
        <f t="shared" si="143"/>
        <v/>
      </c>
      <c r="M550" s="52" t="str">
        <f t="shared" si="148"/>
        <v/>
      </c>
      <c r="N550" s="58" t="str">
        <f t="shared" si="144"/>
        <v/>
      </c>
      <c r="Q550" s="51" t="str">
        <f t="shared" si="149"/>
        <v/>
      </c>
      <c r="R550" s="52" t="str">
        <f t="shared" si="150"/>
        <v/>
      </c>
      <c r="S550" s="58" t="str">
        <f t="shared" si="151"/>
        <v/>
      </c>
      <c r="T550" s="52" t="str">
        <f t="shared" si="145"/>
        <v/>
      </c>
    </row>
    <row r="551" spans="2:20" ht="15.75" customHeight="1" x14ac:dyDescent="0.25">
      <c r="B551" s="33">
        <f t="shared" si="154"/>
        <v>57.58333333333335</v>
      </c>
      <c r="C551" s="34"/>
      <c r="D551" s="35">
        <f>(7/12)*D544</f>
        <v>6.4860833333333342E-3</v>
      </c>
      <c r="E551" s="36">
        <f>E544-(7/12)*F544</f>
        <v>863594.29973358836</v>
      </c>
      <c r="F551" s="36">
        <f t="shared" si="155"/>
        <v>805.41608071234077</v>
      </c>
      <c r="G551" s="31">
        <f t="shared" si="140"/>
        <v>0.99351391666666666</v>
      </c>
      <c r="H551" s="32"/>
      <c r="I551" s="51" t="str">
        <f t="shared" si="146"/>
        <v/>
      </c>
      <c r="J551" s="51" t="str">
        <f t="shared" si="147"/>
        <v/>
      </c>
      <c r="K551" s="52" t="str">
        <f t="shared" si="107"/>
        <v/>
      </c>
      <c r="L551" s="53" t="str">
        <f t="shared" si="143"/>
        <v/>
      </c>
      <c r="M551" s="52" t="str">
        <f t="shared" si="148"/>
        <v/>
      </c>
      <c r="N551" s="58" t="str">
        <f t="shared" si="144"/>
        <v/>
      </c>
      <c r="Q551" s="51" t="str">
        <f t="shared" si="149"/>
        <v/>
      </c>
      <c r="R551" s="52" t="str">
        <f t="shared" si="150"/>
        <v/>
      </c>
      <c r="S551" s="58" t="str">
        <f t="shared" si="151"/>
        <v/>
      </c>
      <c r="T551" s="52" t="str">
        <f t="shared" si="145"/>
        <v/>
      </c>
    </row>
    <row r="552" spans="2:20" ht="15.75" customHeight="1" x14ac:dyDescent="0.25">
      <c r="B552" s="33">
        <f t="shared" si="154"/>
        <v>57.666666666666686</v>
      </c>
      <c r="C552" s="34"/>
      <c r="D552" s="35">
        <f>(8/12)*D544</f>
        <v>7.4126666666666664E-3</v>
      </c>
      <c r="E552" s="36">
        <f>E544-(8/12)*F544</f>
        <v>862788.88365287601</v>
      </c>
      <c r="F552" s="36">
        <f t="shared" si="155"/>
        <v>805.41608071222436</v>
      </c>
      <c r="G552" s="31">
        <f t="shared" si="140"/>
        <v>0.99258733333333338</v>
      </c>
      <c r="H552" s="32"/>
      <c r="I552" s="51" t="str">
        <f t="shared" si="146"/>
        <v/>
      </c>
      <c r="J552" s="51" t="str">
        <f t="shared" si="147"/>
        <v/>
      </c>
      <c r="K552" s="52" t="str">
        <f t="shared" si="107"/>
        <v/>
      </c>
      <c r="L552" s="53" t="str">
        <f t="shared" si="143"/>
        <v/>
      </c>
      <c r="M552" s="52" t="str">
        <f t="shared" si="148"/>
        <v/>
      </c>
      <c r="N552" s="58" t="str">
        <f t="shared" si="144"/>
        <v/>
      </c>
      <c r="Q552" s="51" t="str">
        <f t="shared" si="149"/>
        <v/>
      </c>
      <c r="R552" s="52" t="str">
        <f t="shared" si="150"/>
        <v/>
      </c>
      <c r="S552" s="58" t="str">
        <f t="shared" si="151"/>
        <v/>
      </c>
      <c r="T552" s="52" t="str">
        <f t="shared" si="145"/>
        <v/>
      </c>
    </row>
    <row r="553" spans="2:20" ht="15.75" customHeight="1" x14ac:dyDescent="0.25">
      <c r="B553" s="33">
        <f t="shared" si="154"/>
        <v>57.750000000000021</v>
      </c>
      <c r="C553" s="34"/>
      <c r="D553" s="35">
        <f>(9/12)*D544</f>
        <v>8.3392499999999994E-3</v>
      </c>
      <c r="E553" s="36">
        <f>E544-(9/12)*F544</f>
        <v>861983.46757216379</v>
      </c>
      <c r="F553" s="36">
        <f t="shared" si="155"/>
        <v>805.41608071234077</v>
      </c>
      <c r="G553" s="31">
        <f t="shared" si="140"/>
        <v>0.99166074999999998</v>
      </c>
      <c r="H553" s="32"/>
      <c r="I553" s="51" t="str">
        <f t="shared" si="146"/>
        <v/>
      </c>
      <c r="J553" s="51" t="str">
        <f t="shared" si="147"/>
        <v/>
      </c>
      <c r="K553" s="52" t="str">
        <f t="shared" si="107"/>
        <v/>
      </c>
      <c r="L553" s="53" t="str">
        <f t="shared" si="143"/>
        <v/>
      </c>
      <c r="M553" s="52" t="str">
        <f t="shared" si="148"/>
        <v/>
      </c>
      <c r="N553" s="58" t="str">
        <f t="shared" si="144"/>
        <v/>
      </c>
      <c r="Q553" s="51" t="str">
        <f t="shared" si="149"/>
        <v/>
      </c>
      <c r="R553" s="52" t="str">
        <f t="shared" si="150"/>
        <v/>
      </c>
      <c r="S553" s="58" t="str">
        <f t="shared" si="151"/>
        <v/>
      </c>
      <c r="T553" s="52" t="str">
        <f t="shared" si="145"/>
        <v/>
      </c>
    </row>
    <row r="554" spans="2:20" ht="15.75" customHeight="1" x14ac:dyDescent="0.25">
      <c r="B554" s="33">
        <f t="shared" si="154"/>
        <v>57.833333333333357</v>
      </c>
      <c r="C554" s="34"/>
      <c r="D554" s="35">
        <f>(10/12)*D544</f>
        <v>9.2658333333333343E-3</v>
      </c>
      <c r="E554" s="36">
        <f>E544-(10/12)*F544</f>
        <v>861178.05149145145</v>
      </c>
      <c r="F554" s="36">
        <f t="shared" si="155"/>
        <v>805.41608071234077</v>
      </c>
      <c r="G554" s="31">
        <f t="shared" si="140"/>
        <v>0.99073416666666669</v>
      </c>
      <c r="H554" s="32"/>
      <c r="I554" s="51" t="str">
        <f t="shared" si="146"/>
        <v/>
      </c>
      <c r="J554" s="51" t="str">
        <f t="shared" si="147"/>
        <v/>
      </c>
      <c r="K554" s="52" t="str">
        <f t="shared" si="107"/>
        <v/>
      </c>
      <c r="L554" s="53" t="str">
        <f t="shared" si="143"/>
        <v/>
      </c>
      <c r="M554" s="52" t="str">
        <f t="shared" si="148"/>
        <v/>
      </c>
      <c r="N554" s="58" t="str">
        <f t="shared" si="144"/>
        <v/>
      </c>
      <c r="Q554" s="51" t="str">
        <f t="shared" si="149"/>
        <v/>
      </c>
      <c r="R554" s="52" t="str">
        <f t="shared" si="150"/>
        <v/>
      </c>
      <c r="S554" s="58" t="str">
        <f t="shared" si="151"/>
        <v/>
      </c>
      <c r="T554" s="52" t="str">
        <f t="shared" si="145"/>
        <v/>
      </c>
    </row>
    <row r="555" spans="2:20" ht="15.75" customHeight="1" x14ac:dyDescent="0.25">
      <c r="B555" s="33">
        <f t="shared" si="154"/>
        <v>57.916666666666693</v>
      </c>
      <c r="C555" s="34"/>
      <c r="D555" s="35">
        <f>(11/12)*D544</f>
        <v>1.0192416666666667E-2</v>
      </c>
      <c r="E555" s="36">
        <f>E544-(11/12)*F544</f>
        <v>860372.63541073911</v>
      </c>
      <c r="F555" s="36">
        <f t="shared" si="155"/>
        <v>805.41608071234077</v>
      </c>
      <c r="G555" s="31">
        <f t="shared" si="140"/>
        <v>0.9898075833333333</v>
      </c>
      <c r="H555" s="32"/>
      <c r="I555" s="51" t="str">
        <f t="shared" si="146"/>
        <v/>
      </c>
      <c r="J555" s="51" t="str">
        <f t="shared" si="147"/>
        <v/>
      </c>
      <c r="K555" s="52" t="str">
        <f t="shared" si="107"/>
        <v/>
      </c>
      <c r="L555" s="53" t="str">
        <f t="shared" si="143"/>
        <v/>
      </c>
      <c r="M555" s="52" t="str">
        <f t="shared" si="148"/>
        <v/>
      </c>
      <c r="N555" s="58" t="str">
        <f t="shared" si="144"/>
        <v/>
      </c>
      <c r="Q555" s="51" t="str">
        <f t="shared" si="149"/>
        <v/>
      </c>
      <c r="R555" s="52" t="str">
        <f t="shared" si="150"/>
        <v/>
      </c>
      <c r="S555" s="58" t="str">
        <f t="shared" si="151"/>
        <v/>
      </c>
      <c r="T555" s="52" t="str">
        <f t="shared" si="145"/>
        <v/>
      </c>
    </row>
    <row r="556" spans="2:20" ht="15.75" customHeight="1" x14ac:dyDescent="0.25">
      <c r="B556" s="27">
        <v>58</v>
      </c>
      <c r="C556" s="28">
        <v>11.967000000000001</v>
      </c>
      <c r="D556" s="29">
        <f>C556/1000</f>
        <v>1.1967E-2</v>
      </c>
      <c r="E556" s="30">
        <f>E544-F544</f>
        <v>859567.21933002677</v>
      </c>
      <c r="F556" s="48">
        <f>D556*E556</f>
        <v>10286.44091372243</v>
      </c>
      <c r="G556" s="31">
        <f t="shared" si="140"/>
        <v>0.98803300000000005</v>
      </c>
      <c r="H556" s="49"/>
      <c r="I556" s="51" t="str">
        <f t="shared" si="146"/>
        <v/>
      </c>
      <c r="J556" s="51" t="str">
        <f t="shared" si="147"/>
        <v/>
      </c>
      <c r="K556" s="52" t="str">
        <f t="shared" si="107"/>
        <v/>
      </c>
      <c r="L556" s="53" t="str">
        <f t="shared" si="143"/>
        <v/>
      </c>
      <c r="M556" s="52" t="str">
        <f t="shared" si="148"/>
        <v/>
      </c>
      <c r="N556" s="58" t="str">
        <f t="shared" si="144"/>
        <v/>
      </c>
      <c r="Q556" s="51" t="str">
        <f t="shared" si="149"/>
        <v/>
      </c>
      <c r="R556" s="52" t="str">
        <f t="shared" si="150"/>
        <v/>
      </c>
      <c r="S556" s="58" t="str">
        <f t="shared" si="151"/>
        <v/>
      </c>
      <c r="T556" s="52" t="str">
        <f t="shared" si="145"/>
        <v/>
      </c>
    </row>
    <row r="557" spans="2:20" ht="15.75" customHeight="1" x14ac:dyDescent="0.25">
      <c r="B557" s="33">
        <f t="shared" ref="B557:B567" si="156">B556+1/12</f>
        <v>58.083333333333336</v>
      </c>
      <c r="C557" s="34"/>
      <c r="D557" s="35">
        <f>(1/12)*D556</f>
        <v>9.9724999999999987E-4</v>
      </c>
      <c r="E557" s="36">
        <f>E556-(1/12)*F556</f>
        <v>858710.01592054986</v>
      </c>
      <c r="F557" s="36">
        <f t="shared" ref="F557:F567" si="157">E557-E558</f>
        <v>857.20340947678778</v>
      </c>
      <c r="G557" s="31">
        <f t="shared" si="140"/>
        <v>0.99900275000000005</v>
      </c>
      <c r="H557" s="37"/>
      <c r="I557" s="51" t="str">
        <f t="shared" si="146"/>
        <v/>
      </c>
      <c r="J557" s="51" t="str">
        <f t="shared" si="147"/>
        <v/>
      </c>
      <c r="K557" s="52" t="str">
        <f t="shared" si="107"/>
        <v/>
      </c>
      <c r="L557" s="53" t="str">
        <f t="shared" si="143"/>
        <v/>
      </c>
      <c r="M557" s="52" t="str">
        <f t="shared" si="148"/>
        <v/>
      </c>
      <c r="N557" s="58" t="str">
        <f t="shared" si="144"/>
        <v/>
      </c>
      <c r="Q557" s="51" t="str">
        <f t="shared" si="149"/>
        <v/>
      </c>
      <c r="R557" s="52" t="str">
        <f t="shared" si="150"/>
        <v/>
      </c>
      <c r="S557" s="58" t="str">
        <f t="shared" si="151"/>
        <v/>
      </c>
      <c r="T557" s="52" t="str">
        <f t="shared" si="145"/>
        <v/>
      </c>
    </row>
    <row r="558" spans="2:20" ht="15.75" customHeight="1" x14ac:dyDescent="0.25">
      <c r="B558" s="33">
        <f t="shared" si="156"/>
        <v>58.166666666666671</v>
      </c>
      <c r="C558" s="34"/>
      <c r="D558" s="35">
        <f>(2/12)*D556</f>
        <v>1.9944999999999997E-3</v>
      </c>
      <c r="E558" s="36">
        <f>E556-(2/12)*F556</f>
        <v>857852.81251107308</v>
      </c>
      <c r="F558" s="36">
        <f t="shared" si="157"/>
        <v>857.2034094769042</v>
      </c>
      <c r="G558" s="31">
        <f t="shared" si="140"/>
        <v>0.99800549999999999</v>
      </c>
      <c r="H558" s="32"/>
      <c r="I558" s="51" t="str">
        <f t="shared" si="146"/>
        <v/>
      </c>
      <c r="J558" s="51" t="str">
        <f t="shared" si="147"/>
        <v/>
      </c>
      <c r="K558" s="52" t="str">
        <f t="shared" si="107"/>
        <v/>
      </c>
      <c r="L558" s="53" t="str">
        <f t="shared" si="143"/>
        <v/>
      </c>
      <c r="M558" s="52" t="str">
        <f t="shared" si="148"/>
        <v/>
      </c>
      <c r="N558" s="58" t="str">
        <f t="shared" si="144"/>
        <v/>
      </c>
      <c r="Q558" s="51" t="str">
        <f t="shared" si="149"/>
        <v/>
      </c>
      <c r="R558" s="52" t="str">
        <f t="shared" si="150"/>
        <v/>
      </c>
      <c r="S558" s="58" t="str">
        <f t="shared" si="151"/>
        <v/>
      </c>
      <c r="T558" s="52" t="str">
        <f t="shared" si="145"/>
        <v/>
      </c>
    </row>
    <row r="559" spans="2:20" ht="15.75" customHeight="1" x14ac:dyDescent="0.25">
      <c r="B559" s="33">
        <f t="shared" si="156"/>
        <v>58.250000000000007</v>
      </c>
      <c r="C559" s="34"/>
      <c r="D559" s="35">
        <f>(3/12)*D556</f>
        <v>2.9917500000000001E-3</v>
      </c>
      <c r="E559" s="36">
        <f>E556-(3/12)*F556</f>
        <v>856995.60910159617</v>
      </c>
      <c r="F559" s="36">
        <f t="shared" si="157"/>
        <v>857.2034094769042</v>
      </c>
      <c r="G559" s="31">
        <f t="shared" si="140"/>
        <v>0.99700825000000004</v>
      </c>
      <c r="H559" s="32"/>
      <c r="I559" s="51" t="str">
        <f t="shared" si="146"/>
        <v/>
      </c>
      <c r="J559" s="51" t="str">
        <f t="shared" si="147"/>
        <v/>
      </c>
      <c r="K559" s="52" t="str">
        <f t="shared" si="107"/>
        <v/>
      </c>
      <c r="L559" s="53" t="str">
        <f t="shared" si="143"/>
        <v/>
      </c>
      <c r="M559" s="52" t="str">
        <f t="shared" si="148"/>
        <v/>
      </c>
      <c r="N559" s="58" t="str">
        <f t="shared" si="144"/>
        <v/>
      </c>
      <c r="Q559" s="51" t="str">
        <f t="shared" si="149"/>
        <v/>
      </c>
      <c r="R559" s="52" t="str">
        <f t="shared" si="150"/>
        <v/>
      </c>
      <c r="S559" s="58" t="str">
        <f t="shared" si="151"/>
        <v/>
      </c>
      <c r="T559" s="52" t="str">
        <f t="shared" si="145"/>
        <v/>
      </c>
    </row>
    <row r="560" spans="2:20" ht="15.75" customHeight="1" x14ac:dyDescent="0.25">
      <c r="B560" s="33">
        <f t="shared" si="156"/>
        <v>58.333333333333343</v>
      </c>
      <c r="C560" s="34"/>
      <c r="D560" s="35">
        <f>(4/12)*D556</f>
        <v>3.9889999999999995E-3</v>
      </c>
      <c r="E560" s="36">
        <f>E556-(4/12)*F556</f>
        <v>856138.40569211927</v>
      </c>
      <c r="F560" s="36">
        <f t="shared" si="157"/>
        <v>857.20340947678778</v>
      </c>
      <c r="G560" s="31">
        <f t="shared" si="140"/>
        <v>0.99601099999999998</v>
      </c>
      <c r="H560" s="32"/>
      <c r="I560" s="51" t="str">
        <f t="shared" si="146"/>
        <v/>
      </c>
      <c r="J560" s="51" t="str">
        <f t="shared" si="147"/>
        <v/>
      </c>
      <c r="K560" s="52" t="str">
        <f t="shared" si="107"/>
        <v/>
      </c>
      <c r="L560" s="53" t="str">
        <f t="shared" si="143"/>
        <v/>
      </c>
      <c r="M560" s="52" t="str">
        <f t="shared" si="148"/>
        <v/>
      </c>
      <c r="N560" s="58" t="str">
        <f t="shared" si="144"/>
        <v/>
      </c>
      <c r="Q560" s="51" t="str">
        <f t="shared" si="149"/>
        <v/>
      </c>
      <c r="R560" s="52" t="str">
        <f t="shared" si="150"/>
        <v/>
      </c>
      <c r="S560" s="58" t="str">
        <f t="shared" si="151"/>
        <v/>
      </c>
      <c r="T560" s="52" t="str">
        <f t="shared" si="145"/>
        <v/>
      </c>
    </row>
    <row r="561" spans="2:20" ht="15.75" customHeight="1" x14ac:dyDescent="0.25">
      <c r="B561" s="33">
        <f t="shared" si="156"/>
        <v>58.416666666666679</v>
      </c>
      <c r="C561" s="34"/>
      <c r="D561" s="35">
        <f>(5/12)*D556</f>
        <v>4.9862500000000002E-3</v>
      </c>
      <c r="E561" s="36">
        <f>E556-(5/12)*F556</f>
        <v>855281.20228264248</v>
      </c>
      <c r="F561" s="36">
        <f t="shared" si="157"/>
        <v>857.2034094769042</v>
      </c>
      <c r="G561" s="31">
        <f t="shared" si="140"/>
        <v>0.99501375000000003</v>
      </c>
      <c r="H561" s="32"/>
      <c r="I561" s="51" t="str">
        <f t="shared" si="146"/>
        <v/>
      </c>
      <c r="J561" s="51" t="str">
        <f t="shared" si="147"/>
        <v/>
      </c>
      <c r="K561" s="52" t="str">
        <f t="shared" si="107"/>
        <v/>
      </c>
      <c r="L561" s="53" t="str">
        <f t="shared" si="143"/>
        <v/>
      </c>
      <c r="M561" s="52" t="str">
        <f t="shared" si="148"/>
        <v/>
      </c>
      <c r="N561" s="58" t="str">
        <f t="shared" si="144"/>
        <v/>
      </c>
      <c r="Q561" s="51" t="str">
        <f t="shared" si="149"/>
        <v/>
      </c>
      <c r="R561" s="52" t="str">
        <f t="shared" si="150"/>
        <v/>
      </c>
      <c r="S561" s="58" t="str">
        <f t="shared" si="151"/>
        <v/>
      </c>
      <c r="T561" s="52" t="str">
        <f t="shared" si="145"/>
        <v/>
      </c>
    </row>
    <row r="562" spans="2:20" ht="15.75" customHeight="1" x14ac:dyDescent="0.25">
      <c r="B562" s="33">
        <f t="shared" si="156"/>
        <v>58.500000000000014</v>
      </c>
      <c r="C562" s="34"/>
      <c r="D562" s="35">
        <f>(6/12)*D556</f>
        <v>5.9835000000000001E-3</v>
      </c>
      <c r="E562" s="36">
        <f>E556-(6/12)*F556</f>
        <v>854423.99887316558</v>
      </c>
      <c r="F562" s="36">
        <f t="shared" si="157"/>
        <v>857.2034094769042</v>
      </c>
      <c r="G562" s="31">
        <f t="shared" si="140"/>
        <v>0.99401649999999997</v>
      </c>
      <c r="H562" s="32"/>
      <c r="I562" s="51" t="str">
        <f t="shared" si="146"/>
        <v/>
      </c>
      <c r="J562" s="51" t="str">
        <f t="shared" si="147"/>
        <v/>
      </c>
      <c r="K562" s="52" t="str">
        <f t="shared" si="107"/>
        <v/>
      </c>
      <c r="L562" s="53" t="str">
        <f t="shared" si="143"/>
        <v/>
      </c>
      <c r="M562" s="52" t="str">
        <f t="shared" si="148"/>
        <v/>
      </c>
      <c r="N562" s="58" t="str">
        <f t="shared" si="144"/>
        <v/>
      </c>
      <c r="Q562" s="51" t="str">
        <f t="shared" si="149"/>
        <v/>
      </c>
      <c r="R562" s="52" t="str">
        <f t="shared" si="150"/>
        <v/>
      </c>
      <c r="S562" s="58" t="str">
        <f t="shared" si="151"/>
        <v/>
      </c>
      <c r="T562" s="52" t="str">
        <f t="shared" si="145"/>
        <v/>
      </c>
    </row>
    <row r="563" spans="2:20" ht="15.75" customHeight="1" x14ac:dyDescent="0.25">
      <c r="B563" s="33">
        <f t="shared" si="156"/>
        <v>58.58333333333335</v>
      </c>
      <c r="C563" s="34"/>
      <c r="D563" s="35">
        <f>(7/12)*D556</f>
        <v>6.9807500000000008E-3</v>
      </c>
      <c r="E563" s="36">
        <f>E556-(7/12)*F556</f>
        <v>853566.79546368867</v>
      </c>
      <c r="F563" s="36">
        <f t="shared" si="157"/>
        <v>857.2034094769042</v>
      </c>
      <c r="G563" s="31">
        <f t="shared" si="140"/>
        <v>0.99301925000000002</v>
      </c>
      <c r="H563" s="32"/>
      <c r="I563" s="51" t="str">
        <f t="shared" si="146"/>
        <v/>
      </c>
      <c r="J563" s="51" t="str">
        <f t="shared" si="147"/>
        <v/>
      </c>
      <c r="K563" s="52" t="str">
        <f t="shared" si="107"/>
        <v/>
      </c>
      <c r="L563" s="53" t="str">
        <f t="shared" si="143"/>
        <v/>
      </c>
      <c r="M563" s="52" t="str">
        <f t="shared" si="148"/>
        <v/>
      </c>
      <c r="N563" s="58" t="str">
        <f t="shared" si="144"/>
        <v/>
      </c>
      <c r="Q563" s="51" t="str">
        <f t="shared" si="149"/>
        <v/>
      </c>
      <c r="R563" s="52" t="str">
        <f t="shared" si="150"/>
        <v/>
      </c>
      <c r="S563" s="58" t="str">
        <f t="shared" si="151"/>
        <v/>
      </c>
      <c r="T563" s="52" t="str">
        <f t="shared" si="145"/>
        <v/>
      </c>
    </row>
    <row r="564" spans="2:20" ht="15.75" customHeight="1" x14ac:dyDescent="0.25">
      <c r="B564" s="33">
        <f t="shared" si="156"/>
        <v>58.666666666666686</v>
      </c>
      <c r="C564" s="34"/>
      <c r="D564" s="35">
        <f>(8/12)*D556</f>
        <v>7.977999999999999E-3</v>
      </c>
      <c r="E564" s="36">
        <f>E556-(8/12)*F556</f>
        <v>852709.59205421177</v>
      </c>
      <c r="F564" s="36">
        <f t="shared" si="157"/>
        <v>857.20340947678778</v>
      </c>
      <c r="G564" s="31">
        <f t="shared" si="140"/>
        <v>0.99202199999999996</v>
      </c>
      <c r="H564" s="32"/>
      <c r="I564" s="51" t="str">
        <f t="shared" si="146"/>
        <v/>
      </c>
      <c r="J564" s="51" t="str">
        <f t="shared" si="147"/>
        <v/>
      </c>
      <c r="K564" s="52" t="str">
        <f t="shared" si="107"/>
        <v/>
      </c>
      <c r="L564" s="53" t="str">
        <f t="shared" si="143"/>
        <v/>
      </c>
      <c r="M564" s="52" t="str">
        <f t="shared" si="148"/>
        <v/>
      </c>
      <c r="N564" s="58" t="str">
        <f t="shared" si="144"/>
        <v/>
      </c>
      <c r="Q564" s="51" t="str">
        <f t="shared" si="149"/>
        <v/>
      </c>
      <c r="R564" s="52" t="str">
        <f t="shared" si="150"/>
        <v/>
      </c>
      <c r="S564" s="58" t="str">
        <f t="shared" si="151"/>
        <v/>
      </c>
      <c r="T564" s="52" t="str">
        <f t="shared" si="145"/>
        <v/>
      </c>
    </row>
    <row r="565" spans="2:20" ht="15.75" customHeight="1" x14ac:dyDescent="0.25">
      <c r="B565" s="33">
        <f t="shared" si="156"/>
        <v>58.750000000000021</v>
      </c>
      <c r="C565" s="34"/>
      <c r="D565" s="35">
        <f>(9/12)*D556</f>
        <v>8.9752500000000006E-3</v>
      </c>
      <c r="E565" s="36">
        <f>E556-(9/12)*F556</f>
        <v>851852.38864473498</v>
      </c>
      <c r="F565" s="36">
        <f t="shared" si="157"/>
        <v>857.2034094769042</v>
      </c>
      <c r="G565" s="31">
        <f t="shared" si="140"/>
        <v>0.99102475000000001</v>
      </c>
      <c r="H565" s="32"/>
      <c r="I565" s="51" t="str">
        <f t="shared" si="146"/>
        <v/>
      </c>
      <c r="J565" s="51" t="str">
        <f t="shared" si="147"/>
        <v/>
      </c>
      <c r="K565" s="52" t="str">
        <f t="shared" si="107"/>
        <v/>
      </c>
      <c r="L565" s="53" t="str">
        <f t="shared" si="143"/>
        <v/>
      </c>
      <c r="M565" s="52" t="str">
        <f t="shared" si="148"/>
        <v/>
      </c>
      <c r="N565" s="58" t="str">
        <f t="shared" si="144"/>
        <v/>
      </c>
      <c r="Q565" s="51" t="str">
        <f t="shared" si="149"/>
        <v/>
      </c>
      <c r="R565" s="52" t="str">
        <f t="shared" si="150"/>
        <v/>
      </c>
      <c r="S565" s="58" t="str">
        <f t="shared" si="151"/>
        <v/>
      </c>
      <c r="T565" s="52" t="str">
        <f t="shared" si="145"/>
        <v/>
      </c>
    </row>
    <row r="566" spans="2:20" ht="15.75" customHeight="1" x14ac:dyDescent="0.25">
      <c r="B566" s="33">
        <f t="shared" si="156"/>
        <v>58.833333333333357</v>
      </c>
      <c r="C566" s="34"/>
      <c r="D566" s="35">
        <f>(10/12)*D556</f>
        <v>9.9725000000000005E-3</v>
      </c>
      <c r="E566" s="36">
        <f>E556-(10/12)*F556</f>
        <v>850995.18523525808</v>
      </c>
      <c r="F566" s="36">
        <f t="shared" si="157"/>
        <v>857.2034094769042</v>
      </c>
      <c r="G566" s="31">
        <f t="shared" si="140"/>
        <v>0.99002749999999995</v>
      </c>
      <c r="H566" s="32"/>
      <c r="I566" s="51" t="str">
        <f t="shared" si="146"/>
        <v/>
      </c>
      <c r="J566" s="51" t="str">
        <f t="shared" si="147"/>
        <v/>
      </c>
      <c r="K566" s="52" t="str">
        <f t="shared" si="107"/>
        <v/>
      </c>
      <c r="L566" s="53" t="str">
        <f t="shared" si="143"/>
        <v/>
      </c>
      <c r="M566" s="52" t="str">
        <f t="shared" si="148"/>
        <v/>
      </c>
      <c r="N566" s="58" t="str">
        <f t="shared" si="144"/>
        <v/>
      </c>
      <c r="Q566" s="51" t="str">
        <f t="shared" si="149"/>
        <v/>
      </c>
      <c r="R566" s="52" t="str">
        <f t="shared" si="150"/>
        <v/>
      </c>
      <c r="S566" s="58" t="str">
        <f t="shared" si="151"/>
        <v/>
      </c>
      <c r="T566" s="52" t="str">
        <f t="shared" si="145"/>
        <v/>
      </c>
    </row>
    <row r="567" spans="2:20" ht="15.75" customHeight="1" x14ac:dyDescent="0.25">
      <c r="B567" s="33">
        <f t="shared" si="156"/>
        <v>58.916666666666693</v>
      </c>
      <c r="C567" s="34"/>
      <c r="D567" s="35">
        <f>(11/12)*D556</f>
        <v>1.096975E-2</v>
      </c>
      <c r="E567" s="36">
        <f>E556-(11/12)*F556</f>
        <v>850137.98182578117</v>
      </c>
      <c r="F567" s="36">
        <f t="shared" si="157"/>
        <v>857.20340947678778</v>
      </c>
      <c r="G567" s="31">
        <f t="shared" si="140"/>
        <v>0.98903025</v>
      </c>
      <c r="H567" s="32"/>
      <c r="I567" s="51" t="str">
        <f t="shared" si="146"/>
        <v/>
      </c>
      <c r="J567" s="51" t="str">
        <f t="shared" si="147"/>
        <v/>
      </c>
      <c r="K567" s="52" t="str">
        <f t="shared" si="107"/>
        <v/>
      </c>
      <c r="L567" s="53" t="str">
        <f t="shared" si="143"/>
        <v/>
      </c>
      <c r="M567" s="52" t="str">
        <f t="shared" si="148"/>
        <v/>
      </c>
      <c r="N567" s="58" t="str">
        <f t="shared" si="144"/>
        <v/>
      </c>
      <c r="Q567" s="51" t="str">
        <f t="shared" si="149"/>
        <v/>
      </c>
      <c r="R567" s="52" t="str">
        <f t="shared" si="150"/>
        <v/>
      </c>
      <c r="S567" s="58" t="str">
        <f t="shared" si="151"/>
        <v/>
      </c>
      <c r="T567" s="52" t="str">
        <f t="shared" si="145"/>
        <v/>
      </c>
    </row>
    <row r="568" spans="2:20" ht="15.75" customHeight="1" x14ac:dyDescent="0.25">
      <c r="B568" s="27">
        <v>59</v>
      </c>
      <c r="C568" s="28">
        <v>12.879</v>
      </c>
      <c r="D568" s="29">
        <f>C568/1000</f>
        <v>1.2879E-2</v>
      </c>
      <c r="E568" s="30">
        <f>E556-F556</f>
        <v>849280.77841630438</v>
      </c>
      <c r="F568" s="48">
        <f>D568*E568</f>
        <v>10937.887145223584</v>
      </c>
      <c r="G568" s="31">
        <f t="shared" si="140"/>
        <v>0.98712100000000003</v>
      </c>
      <c r="H568" s="49"/>
      <c r="I568" s="51" t="str">
        <f t="shared" si="146"/>
        <v/>
      </c>
      <c r="J568" s="51" t="str">
        <f t="shared" si="147"/>
        <v/>
      </c>
      <c r="K568" s="52" t="str">
        <f t="shared" si="107"/>
        <v/>
      </c>
      <c r="L568" s="53" t="str">
        <f t="shared" si="143"/>
        <v/>
      </c>
      <c r="M568" s="52" t="str">
        <f t="shared" si="148"/>
        <v/>
      </c>
      <c r="N568" s="58" t="str">
        <f t="shared" si="144"/>
        <v/>
      </c>
      <c r="Q568" s="51" t="str">
        <f t="shared" si="149"/>
        <v/>
      </c>
      <c r="R568" s="52" t="str">
        <f t="shared" si="150"/>
        <v/>
      </c>
      <c r="S568" s="58" t="str">
        <f t="shared" si="151"/>
        <v/>
      </c>
      <c r="T568" s="52" t="str">
        <f t="shared" si="145"/>
        <v/>
      </c>
    </row>
    <row r="569" spans="2:20" ht="15.75" customHeight="1" x14ac:dyDescent="0.25">
      <c r="B569" s="33">
        <f t="shared" ref="B569:B579" si="158">B568+1/12</f>
        <v>59.083333333333336</v>
      </c>
      <c r="C569" s="34"/>
      <c r="D569" s="35">
        <f>(1/12)*D568</f>
        <v>1.07325E-3</v>
      </c>
      <c r="E569" s="36">
        <f>E568-(1/12)*F568</f>
        <v>848369.28782086913</v>
      </c>
      <c r="F569" s="36">
        <f t="shared" ref="F569:F579" si="159">E569-E570</f>
        <v>911.49059543537442</v>
      </c>
      <c r="G569" s="31">
        <f t="shared" si="140"/>
        <v>0.99892674999999997</v>
      </c>
      <c r="H569" s="37"/>
      <c r="I569" s="51" t="str">
        <f t="shared" si="146"/>
        <v/>
      </c>
      <c r="J569" s="51" t="str">
        <f t="shared" si="147"/>
        <v/>
      </c>
      <c r="K569" s="52" t="str">
        <f t="shared" si="107"/>
        <v/>
      </c>
      <c r="L569" s="53" t="str">
        <f t="shared" si="143"/>
        <v/>
      </c>
      <c r="M569" s="52" t="str">
        <f t="shared" si="148"/>
        <v/>
      </c>
      <c r="N569" s="58" t="str">
        <f t="shared" si="144"/>
        <v/>
      </c>
      <c r="Q569" s="51" t="str">
        <f t="shared" si="149"/>
        <v/>
      </c>
      <c r="R569" s="52" t="str">
        <f t="shared" si="150"/>
        <v/>
      </c>
      <c r="S569" s="58" t="str">
        <f t="shared" si="151"/>
        <v/>
      </c>
      <c r="T569" s="52" t="str">
        <f t="shared" si="145"/>
        <v/>
      </c>
    </row>
    <row r="570" spans="2:20" ht="15.75" customHeight="1" x14ac:dyDescent="0.25">
      <c r="B570" s="33">
        <f t="shared" si="158"/>
        <v>59.166666666666671</v>
      </c>
      <c r="C570" s="34"/>
      <c r="D570" s="35">
        <f>(2/12)*D568</f>
        <v>2.1465E-3</v>
      </c>
      <c r="E570" s="36">
        <f>E568-(2/12)*F568</f>
        <v>847457.79722543375</v>
      </c>
      <c r="F570" s="36">
        <f t="shared" si="159"/>
        <v>911.490595435258</v>
      </c>
      <c r="G570" s="31">
        <f t="shared" si="140"/>
        <v>0.99785349999999995</v>
      </c>
      <c r="H570" s="32"/>
      <c r="I570" s="51" t="str">
        <f t="shared" si="146"/>
        <v/>
      </c>
      <c r="J570" s="51" t="str">
        <f t="shared" si="147"/>
        <v/>
      </c>
      <c r="K570" s="52" t="str">
        <f t="shared" si="107"/>
        <v/>
      </c>
      <c r="L570" s="53" t="str">
        <f t="shared" si="143"/>
        <v/>
      </c>
      <c r="M570" s="52" t="str">
        <f t="shared" si="148"/>
        <v/>
      </c>
      <c r="N570" s="58" t="str">
        <f t="shared" si="144"/>
        <v/>
      </c>
      <c r="Q570" s="51" t="str">
        <f t="shared" si="149"/>
        <v/>
      </c>
      <c r="R570" s="52" t="str">
        <f t="shared" si="150"/>
        <v/>
      </c>
      <c r="S570" s="58" t="str">
        <f t="shared" si="151"/>
        <v/>
      </c>
      <c r="T570" s="52" t="str">
        <f t="shared" si="145"/>
        <v/>
      </c>
    </row>
    <row r="571" spans="2:20" ht="15.75" customHeight="1" x14ac:dyDescent="0.25">
      <c r="B571" s="33">
        <f t="shared" si="158"/>
        <v>59.250000000000007</v>
      </c>
      <c r="C571" s="34"/>
      <c r="D571" s="35">
        <f>(3/12)*D568</f>
        <v>3.21975E-3</v>
      </c>
      <c r="E571" s="36">
        <f>E568-(3/12)*F568</f>
        <v>846546.30662999849</v>
      </c>
      <c r="F571" s="36">
        <f t="shared" si="159"/>
        <v>911.490595435258</v>
      </c>
      <c r="G571" s="31">
        <f t="shared" si="140"/>
        <v>0.99678025000000003</v>
      </c>
      <c r="H571" s="32"/>
      <c r="I571" s="51" t="str">
        <f t="shared" si="146"/>
        <v/>
      </c>
      <c r="J571" s="51" t="str">
        <f t="shared" si="147"/>
        <v/>
      </c>
      <c r="K571" s="52" t="str">
        <f t="shared" si="107"/>
        <v/>
      </c>
      <c r="L571" s="53" t="str">
        <f t="shared" si="143"/>
        <v/>
      </c>
      <c r="M571" s="52" t="str">
        <f t="shared" si="148"/>
        <v/>
      </c>
      <c r="N571" s="58" t="str">
        <f t="shared" si="144"/>
        <v/>
      </c>
      <c r="Q571" s="51" t="str">
        <f t="shared" si="149"/>
        <v/>
      </c>
      <c r="R571" s="52" t="str">
        <f t="shared" si="150"/>
        <v/>
      </c>
      <c r="S571" s="58" t="str">
        <f t="shared" si="151"/>
        <v/>
      </c>
      <c r="T571" s="52" t="str">
        <f t="shared" si="145"/>
        <v/>
      </c>
    </row>
    <row r="572" spans="2:20" ht="15.75" customHeight="1" x14ac:dyDescent="0.25">
      <c r="B572" s="33">
        <f t="shared" si="158"/>
        <v>59.333333333333343</v>
      </c>
      <c r="C572" s="34"/>
      <c r="D572" s="35">
        <f>(4/12)*D568</f>
        <v>4.2929999999999999E-3</v>
      </c>
      <c r="E572" s="36">
        <f>E568-(4/12)*F568</f>
        <v>845634.81603456324</v>
      </c>
      <c r="F572" s="36">
        <f t="shared" si="159"/>
        <v>911.49059543537442</v>
      </c>
      <c r="G572" s="31">
        <f t="shared" si="140"/>
        <v>0.99570700000000001</v>
      </c>
      <c r="H572" s="32"/>
      <c r="I572" s="51" t="str">
        <f t="shared" si="146"/>
        <v/>
      </c>
      <c r="J572" s="51" t="str">
        <f t="shared" si="147"/>
        <v/>
      </c>
      <c r="K572" s="52" t="str">
        <f t="shared" si="107"/>
        <v/>
      </c>
      <c r="L572" s="53" t="str">
        <f t="shared" si="143"/>
        <v/>
      </c>
      <c r="M572" s="52" t="str">
        <f t="shared" si="148"/>
        <v/>
      </c>
      <c r="N572" s="58" t="str">
        <f t="shared" si="144"/>
        <v/>
      </c>
      <c r="Q572" s="51" t="str">
        <f t="shared" si="149"/>
        <v/>
      </c>
      <c r="R572" s="52" t="str">
        <f t="shared" si="150"/>
        <v/>
      </c>
      <c r="S572" s="58" t="str">
        <f t="shared" si="151"/>
        <v/>
      </c>
      <c r="T572" s="52" t="str">
        <f t="shared" si="145"/>
        <v/>
      </c>
    </row>
    <row r="573" spans="2:20" ht="15.75" customHeight="1" x14ac:dyDescent="0.25">
      <c r="B573" s="33">
        <f t="shared" si="158"/>
        <v>59.416666666666679</v>
      </c>
      <c r="C573" s="34"/>
      <c r="D573" s="35">
        <f>(5/12)*D568</f>
        <v>5.3662500000000004E-3</v>
      </c>
      <c r="E573" s="36">
        <f>E568-(5/12)*F568</f>
        <v>844723.32543912786</v>
      </c>
      <c r="F573" s="36">
        <f t="shared" si="159"/>
        <v>911.490595435258</v>
      </c>
      <c r="G573" s="31">
        <f t="shared" si="140"/>
        <v>0.99463374999999998</v>
      </c>
      <c r="H573" s="32"/>
      <c r="I573" s="51" t="str">
        <f t="shared" si="146"/>
        <v/>
      </c>
      <c r="J573" s="51" t="str">
        <f t="shared" si="147"/>
        <v/>
      </c>
      <c r="K573" s="52" t="str">
        <f t="shared" si="107"/>
        <v/>
      </c>
      <c r="L573" s="53" t="str">
        <f t="shared" si="143"/>
        <v/>
      </c>
      <c r="M573" s="52" t="str">
        <f t="shared" si="148"/>
        <v/>
      </c>
      <c r="N573" s="58" t="str">
        <f t="shared" si="144"/>
        <v/>
      </c>
      <c r="Q573" s="51" t="str">
        <f t="shared" si="149"/>
        <v/>
      </c>
      <c r="R573" s="52" t="str">
        <f t="shared" si="150"/>
        <v/>
      </c>
      <c r="S573" s="58" t="str">
        <f t="shared" si="151"/>
        <v/>
      </c>
      <c r="T573" s="52" t="str">
        <f t="shared" si="145"/>
        <v/>
      </c>
    </row>
    <row r="574" spans="2:20" ht="15.75" customHeight="1" x14ac:dyDescent="0.25">
      <c r="B574" s="33">
        <f t="shared" si="158"/>
        <v>59.500000000000014</v>
      </c>
      <c r="C574" s="34"/>
      <c r="D574" s="35">
        <f>(6/12)*D568</f>
        <v>6.4394999999999999E-3</v>
      </c>
      <c r="E574" s="36">
        <f>E568-(6/12)*F568</f>
        <v>843811.8348436926</v>
      </c>
      <c r="F574" s="36">
        <f t="shared" si="159"/>
        <v>911.490595435258</v>
      </c>
      <c r="G574" s="31">
        <f t="shared" si="140"/>
        <v>0.99356049999999996</v>
      </c>
      <c r="H574" s="32"/>
      <c r="I574" s="51" t="str">
        <f t="shared" si="146"/>
        <v/>
      </c>
      <c r="J574" s="51" t="str">
        <f t="shared" si="147"/>
        <v/>
      </c>
      <c r="K574" s="52" t="str">
        <f t="shared" si="107"/>
        <v/>
      </c>
      <c r="L574" s="53" t="str">
        <f t="shared" si="143"/>
        <v/>
      </c>
      <c r="M574" s="52" t="str">
        <f t="shared" si="148"/>
        <v/>
      </c>
      <c r="N574" s="58" t="str">
        <f t="shared" si="144"/>
        <v/>
      </c>
      <c r="Q574" s="51" t="str">
        <f t="shared" si="149"/>
        <v/>
      </c>
      <c r="R574" s="52" t="str">
        <f t="shared" si="150"/>
        <v/>
      </c>
      <c r="S574" s="58" t="str">
        <f t="shared" si="151"/>
        <v/>
      </c>
      <c r="T574" s="52" t="str">
        <f t="shared" si="145"/>
        <v/>
      </c>
    </row>
    <row r="575" spans="2:20" ht="15.75" customHeight="1" x14ac:dyDescent="0.25">
      <c r="B575" s="33">
        <f t="shared" si="158"/>
        <v>59.58333333333335</v>
      </c>
      <c r="C575" s="34"/>
      <c r="D575" s="35">
        <f>(7/12)*D568</f>
        <v>7.5127500000000003E-3</v>
      </c>
      <c r="E575" s="36">
        <f>E568-(7/12)*F568</f>
        <v>842900.34424825734</v>
      </c>
      <c r="F575" s="36">
        <f t="shared" si="159"/>
        <v>911.49059543537442</v>
      </c>
      <c r="G575" s="31">
        <f t="shared" si="140"/>
        <v>0.99248725000000004</v>
      </c>
      <c r="H575" s="32"/>
      <c r="I575" s="51" t="str">
        <f t="shared" si="146"/>
        <v/>
      </c>
      <c r="J575" s="51" t="str">
        <f t="shared" si="147"/>
        <v/>
      </c>
      <c r="K575" s="52" t="str">
        <f t="shared" si="107"/>
        <v/>
      </c>
      <c r="L575" s="53" t="str">
        <f t="shared" si="143"/>
        <v/>
      </c>
      <c r="M575" s="52" t="str">
        <f t="shared" si="148"/>
        <v/>
      </c>
      <c r="N575" s="58" t="str">
        <f t="shared" si="144"/>
        <v/>
      </c>
      <c r="Q575" s="51" t="str">
        <f t="shared" si="149"/>
        <v/>
      </c>
      <c r="R575" s="52" t="str">
        <f t="shared" si="150"/>
        <v/>
      </c>
      <c r="S575" s="58" t="str">
        <f t="shared" si="151"/>
        <v/>
      </c>
      <c r="T575" s="52" t="str">
        <f t="shared" si="145"/>
        <v/>
      </c>
    </row>
    <row r="576" spans="2:20" ht="15.75" customHeight="1" x14ac:dyDescent="0.25">
      <c r="B576" s="33">
        <f t="shared" si="158"/>
        <v>59.666666666666686</v>
      </c>
      <c r="C576" s="34"/>
      <c r="D576" s="35">
        <f>(8/12)*D568</f>
        <v>8.5859999999999999E-3</v>
      </c>
      <c r="E576" s="36">
        <f>E568-(8/12)*F568</f>
        <v>841988.85365282197</v>
      </c>
      <c r="F576" s="36">
        <f t="shared" si="159"/>
        <v>911.490595435258</v>
      </c>
      <c r="G576" s="31">
        <f t="shared" si="140"/>
        <v>0.99141400000000002</v>
      </c>
      <c r="H576" s="32"/>
      <c r="I576" s="51" t="str">
        <f t="shared" si="146"/>
        <v/>
      </c>
      <c r="J576" s="51" t="str">
        <f t="shared" si="147"/>
        <v/>
      </c>
      <c r="K576" s="52" t="str">
        <f t="shared" si="107"/>
        <v/>
      </c>
      <c r="L576" s="53" t="str">
        <f t="shared" si="143"/>
        <v/>
      </c>
      <c r="M576" s="52" t="str">
        <f t="shared" si="148"/>
        <v/>
      </c>
      <c r="N576" s="58" t="str">
        <f t="shared" si="144"/>
        <v/>
      </c>
      <c r="Q576" s="51" t="str">
        <f t="shared" si="149"/>
        <v/>
      </c>
      <c r="R576" s="52" t="str">
        <f t="shared" si="150"/>
        <v/>
      </c>
      <c r="S576" s="58" t="str">
        <f t="shared" si="151"/>
        <v/>
      </c>
      <c r="T576" s="52" t="str">
        <f t="shared" si="145"/>
        <v/>
      </c>
    </row>
    <row r="577" spans="2:20" ht="15.75" customHeight="1" x14ac:dyDescent="0.25">
      <c r="B577" s="33">
        <f t="shared" si="158"/>
        <v>59.750000000000021</v>
      </c>
      <c r="C577" s="34"/>
      <c r="D577" s="35">
        <f>(9/12)*D568</f>
        <v>9.6592499999999994E-3</v>
      </c>
      <c r="E577" s="36">
        <f>E568-(9/12)*F568</f>
        <v>841077.36305738671</v>
      </c>
      <c r="F577" s="36">
        <f t="shared" si="159"/>
        <v>911.49059543537442</v>
      </c>
      <c r="G577" s="31">
        <f t="shared" si="140"/>
        <v>0.99034074999999999</v>
      </c>
      <c r="H577" s="32"/>
      <c r="I577" s="51" t="str">
        <f t="shared" si="146"/>
        <v/>
      </c>
      <c r="J577" s="51" t="str">
        <f t="shared" si="147"/>
        <v/>
      </c>
      <c r="K577" s="52" t="str">
        <f t="shared" si="107"/>
        <v/>
      </c>
      <c r="L577" s="53" t="str">
        <f t="shared" si="143"/>
        <v/>
      </c>
      <c r="M577" s="52" t="str">
        <f t="shared" si="148"/>
        <v/>
      </c>
      <c r="N577" s="58" t="str">
        <f t="shared" si="144"/>
        <v/>
      </c>
      <c r="Q577" s="51" t="str">
        <f t="shared" si="149"/>
        <v/>
      </c>
      <c r="R577" s="52" t="str">
        <f t="shared" si="150"/>
        <v/>
      </c>
      <c r="S577" s="58" t="str">
        <f t="shared" si="151"/>
        <v/>
      </c>
      <c r="T577" s="52" t="str">
        <f t="shared" si="145"/>
        <v/>
      </c>
    </row>
    <row r="578" spans="2:20" ht="15.75" customHeight="1" x14ac:dyDescent="0.25">
      <c r="B578" s="33">
        <f t="shared" si="158"/>
        <v>59.833333333333357</v>
      </c>
      <c r="C578" s="34"/>
      <c r="D578" s="35">
        <f>(10/12)*D568</f>
        <v>1.0732500000000001E-2</v>
      </c>
      <c r="E578" s="36">
        <f>E568-(10/12)*F568</f>
        <v>840165.87246195134</v>
      </c>
      <c r="F578" s="36">
        <f t="shared" si="159"/>
        <v>911.490595435258</v>
      </c>
      <c r="G578" s="31">
        <f t="shared" si="140"/>
        <v>0.98926749999999997</v>
      </c>
      <c r="H578" s="32"/>
      <c r="I578" s="51" t="str">
        <f t="shared" si="146"/>
        <v/>
      </c>
      <c r="J578" s="51" t="str">
        <f t="shared" si="147"/>
        <v/>
      </c>
      <c r="K578" s="52" t="str">
        <f t="shared" si="107"/>
        <v/>
      </c>
      <c r="L578" s="53" t="str">
        <f t="shared" si="143"/>
        <v/>
      </c>
      <c r="M578" s="52" t="str">
        <f t="shared" si="148"/>
        <v/>
      </c>
      <c r="N578" s="58" t="str">
        <f t="shared" si="144"/>
        <v/>
      </c>
      <c r="Q578" s="51" t="str">
        <f t="shared" si="149"/>
        <v/>
      </c>
      <c r="R578" s="52" t="str">
        <f t="shared" si="150"/>
        <v/>
      </c>
      <c r="S578" s="58" t="str">
        <f t="shared" si="151"/>
        <v/>
      </c>
      <c r="T578" s="52" t="str">
        <f t="shared" si="145"/>
        <v/>
      </c>
    </row>
    <row r="579" spans="2:20" ht="15.75" customHeight="1" x14ac:dyDescent="0.25">
      <c r="B579" s="33">
        <f t="shared" si="158"/>
        <v>59.916666666666693</v>
      </c>
      <c r="C579" s="34"/>
      <c r="D579" s="35">
        <f>(11/12)*D568</f>
        <v>1.1805749999999999E-2</v>
      </c>
      <c r="E579" s="36">
        <f>E568-(11/12)*F568</f>
        <v>839254.38186651608</v>
      </c>
      <c r="F579" s="36">
        <f t="shared" si="159"/>
        <v>911.490595435258</v>
      </c>
      <c r="G579" s="31">
        <f t="shared" si="140"/>
        <v>0.98819425000000005</v>
      </c>
      <c r="H579" s="32"/>
      <c r="I579" s="51" t="str">
        <f t="shared" si="146"/>
        <v/>
      </c>
      <c r="J579" s="51" t="str">
        <f t="shared" si="147"/>
        <v/>
      </c>
      <c r="K579" s="52" t="str">
        <f t="shared" si="107"/>
        <v/>
      </c>
      <c r="L579" s="53" t="str">
        <f t="shared" si="143"/>
        <v/>
      </c>
      <c r="M579" s="52" t="str">
        <f t="shared" si="148"/>
        <v/>
      </c>
      <c r="N579" s="58" t="str">
        <f t="shared" si="144"/>
        <v/>
      </c>
      <c r="Q579" s="51" t="str">
        <f t="shared" si="149"/>
        <v/>
      </c>
      <c r="R579" s="52" t="str">
        <f t="shared" si="150"/>
        <v/>
      </c>
      <c r="S579" s="58" t="str">
        <f t="shared" si="151"/>
        <v/>
      </c>
      <c r="T579" s="52" t="str">
        <f t="shared" si="145"/>
        <v/>
      </c>
    </row>
    <row r="580" spans="2:20" ht="15.75" customHeight="1" x14ac:dyDescent="0.25">
      <c r="B580" s="27">
        <v>60</v>
      </c>
      <c r="C580" s="28">
        <v>13.86</v>
      </c>
      <c r="D580" s="29">
        <f>C580/1000</f>
        <v>1.3859999999999999E-2</v>
      </c>
      <c r="E580" s="30">
        <f>E568-F568</f>
        <v>838342.89127108082</v>
      </c>
      <c r="F580" s="48">
        <f>D580*E580</f>
        <v>11619.432473017179</v>
      </c>
      <c r="G580" s="31">
        <f t="shared" si="140"/>
        <v>0.98614000000000002</v>
      </c>
      <c r="H580" s="49"/>
      <c r="I580" s="51" t="str">
        <f t="shared" si="146"/>
        <v/>
      </c>
      <c r="J580" s="51" t="str">
        <f t="shared" si="147"/>
        <v/>
      </c>
      <c r="K580" s="52" t="str">
        <f t="shared" si="107"/>
        <v/>
      </c>
      <c r="L580" s="53" t="str">
        <f t="shared" si="143"/>
        <v/>
      </c>
      <c r="M580" s="52" t="str">
        <f t="shared" si="148"/>
        <v/>
      </c>
      <c r="N580" s="58" t="str">
        <f t="shared" si="144"/>
        <v/>
      </c>
      <c r="Q580" s="51" t="str">
        <f t="shared" si="149"/>
        <v/>
      </c>
      <c r="R580" s="52" t="str">
        <f t="shared" si="150"/>
        <v/>
      </c>
      <c r="S580" s="58" t="str">
        <f t="shared" si="151"/>
        <v/>
      </c>
      <c r="T580" s="52" t="str">
        <f t="shared" si="145"/>
        <v/>
      </c>
    </row>
    <row r="581" spans="2:20" ht="15.75" customHeight="1" x14ac:dyDescent="0.25">
      <c r="B581" s="33">
        <f t="shared" ref="B581:B591" si="160">B580+1/12</f>
        <v>60.083333333333336</v>
      </c>
      <c r="C581" s="34"/>
      <c r="D581" s="35">
        <f>(1/12)*D580</f>
        <v>1.1549999999999998E-3</v>
      </c>
      <c r="E581" s="36">
        <f>E580-(1/12)*F580</f>
        <v>837374.60523166275</v>
      </c>
      <c r="F581" s="36">
        <f t="shared" ref="F581:F591" si="161">E581-E582</f>
        <v>968.28603941807523</v>
      </c>
      <c r="G581" s="31">
        <f t="shared" si="140"/>
        <v>0.99884499999999998</v>
      </c>
      <c r="H581" s="37"/>
      <c r="I581" s="51" t="str">
        <f t="shared" si="146"/>
        <v/>
      </c>
      <c r="J581" s="51" t="str">
        <f t="shared" si="147"/>
        <v/>
      </c>
      <c r="K581" s="52" t="str">
        <f t="shared" si="107"/>
        <v/>
      </c>
      <c r="L581" s="53" t="str">
        <f t="shared" si="143"/>
        <v/>
      </c>
      <c r="M581" s="52" t="str">
        <f t="shared" si="148"/>
        <v/>
      </c>
      <c r="N581" s="58" t="str">
        <f t="shared" si="144"/>
        <v/>
      </c>
      <c r="Q581" s="51" t="str">
        <f t="shared" si="149"/>
        <v/>
      </c>
      <c r="R581" s="52" t="str">
        <f t="shared" si="150"/>
        <v/>
      </c>
      <c r="S581" s="58" t="str">
        <f t="shared" si="151"/>
        <v/>
      </c>
      <c r="T581" s="52" t="str">
        <f t="shared" si="145"/>
        <v/>
      </c>
    </row>
    <row r="582" spans="2:20" ht="15.75" customHeight="1" x14ac:dyDescent="0.25">
      <c r="B582" s="33">
        <f t="shared" si="160"/>
        <v>60.166666666666671</v>
      </c>
      <c r="C582" s="34"/>
      <c r="D582" s="35">
        <f>(2/12)*D580</f>
        <v>2.3099999999999996E-3</v>
      </c>
      <c r="E582" s="36">
        <f>E580-(2/12)*F580</f>
        <v>836406.31919224467</v>
      </c>
      <c r="F582" s="36">
        <f t="shared" si="161"/>
        <v>968.28603941819165</v>
      </c>
      <c r="G582" s="31">
        <f t="shared" si="140"/>
        <v>0.99768999999999997</v>
      </c>
      <c r="H582" s="32"/>
      <c r="I582" s="51" t="str">
        <f t="shared" si="146"/>
        <v/>
      </c>
      <c r="J582" s="51" t="str">
        <f t="shared" si="147"/>
        <v/>
      </c>
      <c r="K582" s="52" t="str">
        <f t="shared" si="107"/>
        <v/>
      </c>
      <c r="L582" s="53" t="str">
        <f t="shared" si="143"/>
        <v/>
      </c>
      <c r="M582" s="52" t="str">
        <f t="shared" si="148"/>
        <v/>
      </c>
      <c r="N582" s="58" t="str">
        <f t="shared" si="144"/>
        <v/>
      </c>
      <c r="Q582" s="51" t="str">
        <f t="shared" si="149"/>
        <v/>
      </c>
      <c r="R582" s="52" t="str">
        <f t="shared" si="150"/>
        <v/>
      </c>
      <c r="S582" s="58" t="str">
        <f t="shared" si="151"/>
        <v/>
      </c>
      <c r="T582" s="52" t="str">
        <f t="shared" si="145"/>
        <v/>
      </c>
    </row>
    <row r="583" spans="2:20" ht="15.75" customHeight="1" x14ac:dyDescent="0.25">
      <c r="B583" s="33">
        <f t="shared" si="160"/>
        <v>60.250000000000007</v>
      </c>
      <c r="C583" s="34"/>
      <c r="D583" s="35">
        <f>(3/12)*D580</f>
        <v>3.4649999999999998E-3</v>
      </c>
      <c r="E583" s="36">
        <f>E580-(3/12)*F580</f>
        <v>835438.03315282648</v>
      </c>
      <c r="F583" s="36">
        <f t="shared" si="161"/>
        <v>968.28603941807523</v>
      </c>
      <c r="G583" s="31">
        <f t="shared" si="140"/>
        <v>0.99653499999999995</v>
      </c>
      <c r="H583" s="32"/>
      <c r="I583" s="51" t="str">
        <f t="shared" si="146"/>
        <v/>
      </c>
      <c r="J583" s="51" t="str">
        <f t="shared" si="147"/>
        <v/>
      </c>
      <c r="K583" s="52" t="str">
        <f t="shared" si="107"/>
        <v/>
      </c>
      <c r="L583" s="53" t="str">
        <f t="shared" si="143"/>
        <v/>
      </c>
      <c r="M583" s="52" t="str">
        <f t="shared" si="148"/>
        <v/>
      </c>
      <c r="N583" s="58" t="str">
        <f t="shared" si="144"/>
        <v/>
      </c>
      <c r="Q583" s="51" t="str">
        <f t="shared" si="149"/>
        <v/>
      </c>
      <c r="R583" s="52" t="str">
        <f t="shared" si="150"/>
        <v/>
      </c>
      <c r="S583" s="58" t="str">
        <f t="shared" si="151"/>
        <v/>
      </c>
      <c r="T583" s="52" t="str">
        <f t="shared" si="145"/>
        <v/>
      </c>
    </row>
    <row r="584" spans="2:20" ht="15.75" customHeight="1" x14ac:dyDescent="0.25">
      <c r="B584" s="33">
        <f t="shared" si="160"/>
        <v>60.333333333333343</v>
      </c>
      <c r="C584" s="34"/>
      <c r="D584" s="35">
        <f>(4/12)*D580</f>
        <v>4.6199999999999991E-3</v>
      </c>
      <c r="E584" s="36">
        <f>E580-(4/12)*F580</f>
        <v>834469.7471134084</v>
      </c>
      <c r="F584" s="36">
        <f t="shared" si="161"/>
        <v>968.28603941807523</v>
      </c>
      <c r="G584" s="31">
        <f t="shared" si="140"/>
        <v>0.99538000000000004</v>
      </c>
      <c r="H584" s="32"/>
      <c r="I584" s="51" t="str">
        <f t="shared" si="146"/>
        <v/>
      </c>
      <c r="J584" s="51" t="str">
        <f t="shared" si="147"/>
        <v/>
      </c>
      <c r="K584" s="52" t="str">
        <f t="shared" si="107"/>
        <v/>
      </c>
      <c r="L584" s="53" t="str">
        <f t="shared" si="143"/>
        <v/>
      </c>
      <c r="M584" s="52" t="str">
        <f t="shared" si="148"/>
        <v/>
      </c>
      <c r="N584" s="58" t="str">
        <f t="shared" si="144"/>
        <v/>
      </c>
      <c r="Q584" s="51" t="str">
        <f t="shared" si="149"/>
        <v/>
      </c>
      <c r="R584" s="52" t="str">
        <f t="shared" si="150"/>
        <v/>
      </c>
      <c r="S584" s="58" t="str">
        <f t="shared" si="151"/>
        <v/>
      </c>
      <c r="T584" s="52" t="str">
        <f t="shared" si="145"/>
        <v/>
      </c>
    </row>
    <row r="585" spans="2:20" ht="15.75" customHeight="1" x14ac:dyDescent="0.25">
      <c r="B585" s="33">
        <f t="shared" si="160"/>
        <v>60.416666666666679</v>
      </c>
      <c r="C585" s="34"/>
      <c r="D585" s="35">
        <f>(5/12)*D580</f>
        <v>5.7749999999999998E-3</v>
      </c>
      <c r="E585" s="36">
        <f>E580-(5/12)*F580</f>
        <v>833501.46107399033</v>
      </c>
      <c r="F585" s="36">
        <f t="shared" si="161"/>
        <v>968.28603941807523</v>
      </c>
      <c r="G585" s="31">
        <f t="shared" si="140"/>
        <v>0.99422500000000003</v>
      </c>
      <c r="H585" s="32"/>
      <c r="I585" s="51" t="str">
        <f t="shared" si="146"/>
        <v/>
      </c>
      <c r="J585" s="51" t="str">
        <f t="shared" si="147"/>
        <v/>
      </c>
      <c r="K585" s="52" t="str">
        <f t="shared" si="107"/>
        <v/>
      </c>
      <c r="L585" s="53" t="str">
        <f t="shared" si="143"/>
        <v/>
      </c>
      <c r="M585" s="52" t="str">
        <f t="shared" si="148"/>
        <v/>
      </c>
      <c r="N585" s="58" t="str">
        <f t="shared" si="144"/>
        <v/>
      </c>
      <c r="Q585" s="51" t="str">
        <f t="shared" si="149"/>
        <v/>
      </c>
      <c r="R585" s="52" t="str">
        <f t="shared" si="150"/>
        <v/>
      </c>
      <c r="S585" s="58" t="str">
        <f t="shared" si="151"/>
        <v/>
      </c>
      <c r="T585" s="52" t="str">
        <f t="shared" si="145"/>
        <v/>
      </c>
    </row>
    <row r="586" spans="2:20" ht="15.75" customHeight="1" x14ac:dyDescent="0.25">
      <c r="B586" s="33">
        <f t="shared" si="160"/>
        <v>60.500000000000014</v>
      </c>
      <c r="C586" s="34"/>
      <c r="D586" s="35">
        <f>(6/12)*D580</f>
        <v>6.9299999999999995E-3</v>
      </c>
      <c r="E586" s="36">
        <f>E580-(6/12)*F580</f>
        <v>832533.17503457225</v>
      </c>
      <c r="F586" s="36">
        <f t="shared" si="161"/>
        <v>968.28603941807523</v>
      </c>
      <c r="G586" s="31">
        <f t="shared" si="140"/>
        <v>0.99307000000000001</v>
      </c>
      <c r="H586" s="32"/>
      <c r="I586" s="51" t="str">
        <f t="shared" si="146"/>
        <v/>
      </c>
      <c r="J586" s="51" t="str">
        <f t="shared" si="147"/>
        <v/>
      </c>
      <c r="K586" s="52" t="str">
        <f t="shared" si="107"/>
        <v/>
      </c>
      <c r="L586" s="53" t="str">
        <f t="shared" si="143"/>
        <v/>
      </c>
      <c r="M586" s="52" t="str">
        <f t="shared" si="148"/>
        <v/>
      </c>
      <c r="N586" s="58" t="str">
        <f t="shared" si="144"/>
        <v/>
      </c>
      <c r="Q586" s="51" t="str">
        <f t="shared" si="149"/>
        <v/>
      </c>
      <c r="R586" s="52" t="str">
        <f t="shared" si="150"/>
        <v/>
      </c>
      <c r="S586" s="58" t="str">
        <f t="shared" si="151"/>
        <v/>
      </c>
      <c r="T586" s="52" t="str">
        <f t="shared" si="145"/>
        <v/>
      </c>
    </row>
    <row r="587" spans="2:20" ht="15.75" customHeight="1" x14ac:dyDescent="0.25">
      <c r="B587" s="33">
        <f t="shared" si="160"/>
        <v>60.58333333333335</v>
      </c>
      <c r="C587" s="34"/>
      <c r="D587" s="35">
        <f>(7/12)*D580</f>
        <v>8.0850000000000002E-3</v>
      </c>
      <c r="E587" s="36">
        <f>E580-(7/12)*F580</f>
        <v>831564.88899515418</v>
      </c>
      <c r="F587" s="36">
        <f t="shared" si="161"/>
        <v>968.28603941819165</v>
      </c>
      <c r="G587" s="31">
        <f t="shared" si="140"/>
        <v>0.99191499999999999</v>
      </c>
      <c r="H587" s="32"/>
      <c r="I587" s="51" t="str">
        <f t="shared" si="146"/>
        <v/>
      </c>
      <c r="J587" s="51" t="str">
        <f t="shared" si="147"/>
        <v/>
      </c>
      <c r="K587" s="52" t="str">
        <f t="shared" si="107"/>
        <v/>
      </c>
      <c r="L587" s="53" t="str">
        <f t="shared" si="143"/>
        <v/>
      </c>
      <c r="M587" s="52" t="str">
        <f t="shared" si="148"/>
        <v/>
      </c>
      <c r="N587" s="58" t="str">
        <f t="shared" si="144"/>
        <v/>
      </c>
      <c r="Q587" s="51" t="str">
        <f t="shared" si="149"/>
        <v/>
      </c>
      <c r="R587" s="52" t="str">
        <f t="shared" si="150"/>
        <v/>
      </c>
      <c r="S587" s="58" t="str">
        <f t="shared" si="151"/>
        <v/>
      </c>
      <c r="T587" s="52" t="str">
        <f t="shared" si="145"/>
        <v/>
      </c>
    </row>
    <row r="588" spans="2:20" ht="15.75" customHeight="1" x14ac:dyDescent="0.25">
      <c r="B588" s="33">
        <f t="shared" si="160"/>
        <v>60.666666666666686</v>
      </c>
      <c r="C588" s="34"/>
      <c r="D588" s="35">
        <f>(8/12)*D580</f>
        <v>9.2399999999999982E-3</v>
      </c>
      <c r="E588" s="36">
        <f>E580-(8/12)*F580</f>
        <v>830596.60295573599</v>
      </c>
      <c r="F588" s="36">
        <f t="shared" si="161"/>
        <v>968.28603941807523</v>
      </c>
      <c r="G588" s="31">
        <f t="shared" si="140"/>
        <v>0.99075999999999997</v>
      </c>
      <c r="H588" s="32"/>
      <c r="I588" s="51" t="str">
        <f t="shared" si="146"/>
        <v/>
      </c>
      <c r="J588" s="51" t="str">
        <f t="shared" si="147"/>
        <v/>
      </c>
      <c r="K588" s="52" t="str">
        <f t="shared" si="107"/>
        <v/>
      </c>
      <c r="L588" s="53" t="str">
        <f t="shared" si="143"/>
        <v/>
      </c>
      <c r="M588" s="52" t="str">
        <f t="shared" si="148"/>
        <v/>
      </c>
      <c r="N588" s="58" t="str">
        <f t="shared" si="144"/>
        <v/>
      </c>
      <c r="Q588" s="51" t="str">
        <f t="shared" si="149"/>
        <v/>
      </c>
      <c r="R588" s="52" t="str">
        <f t="shared" si="150"/>
        <v/>
      </c>
      <c r="S588" s="58" t="str">
        <f t="shared" si="151"/>
        <v/>
      </c>
      <c r="T588" s="52" t="str">
        <f t="shared" si="145"/>
        <v/>
      </c>
    </row>
    <row r="589" spans="2:20" ht="15.75" customHeight="1" x14ac:dyDescent="0.25">
      <c r="B589" s="33">
        <f t="shared" si="160"/>
        <v>60.750000000000021</v>
      </c>
      <c r="C589" s="34"/>
      <c r="D589" s="35">
        <f>(9/12)*D580</f>
        <v>1.0395E-2</v>
      </c>
      <c r="E589" s="36">
        <f>E580-(9/12)*F580</f>
        <v>829628.31691631791</v>
      </c>
      <c r="F589" s="36">
        <f t="shared" si="161"/>
        <v>968.28603941807523</v>
      </c>
      <c r="G589" s="31">
        <f t="shared" si="140"/>
        <v>0.98960499999999996</v>
      </c>
      <c r="H589" s="32"/>
      <c r="I589" s="51" t="str">
        <f t="shared" si="146"/>
        <v/>
      </c>
      <c r="J589" s="51" t="str">
        <f t="shared" si="147"/>
        <v/>
      </c>
      <c r="K589" s="52" t="str">
        <f t="shared" si="107"/>
        <v/>
      </c>
      <c r="L589" s="53" t="str">
        <f t="shared" si="143"/>
        <v/>
      </c>
      <c r="M589" s="52" t="str">
        <f t="shared" si="148"/>
        <v/>
      </c>
      <c r="N589" s="58" t="str">
        <f t="shared" si="144"/>
        <v/>
      </c>
      <c r="Q589" s="51" t="str">
        <f t="shared" si="149"/>
        <v/>
      </c>
      <c r="R589" s="52" t="str">
        <f t="shared" si="150"/>
        <v/>
      </c>
      <c r="S589" s="58" t="str">
        <f t="shared" si="151"/>
        <v/>
      </c>
      <c r="T589" s="52" t="str">
        <f t="shared" si="145"/>
        <v/>
      </c>
    </row>
    <row r="590" spans="2:20" ht="15.75" customHeight="1" x14ac:dyDescent="0.25">
      <c r="B590" s="33">
        <f t="shared" si="160"/>
        <v>60.833333333333357</v>
      </c>
      <c r="C590" s="34"/>
      <c r="D590" s="35">
        <f>(10/12)*D580</f>
        <v>1.155E-2</v>
      </c>
      <c r="E590" s="36">
        <f>E580-(10/12)*F580</f>
        <v>828660.03087689984</v>
      </c>
      <c r="F590" s="36">
        <f t="shared" si="161"/>
        <v>968.28603941807523</v>
      </c>
      <c r="G590" s="31">
        <f t="shared" si="140"/>
        <v>0.98845000000000005</v>
      </c>
      <c r="H590" s="32"/>
      <c r="I590" s="51" t="str">
        <f t="shared" si="146"/>
        <v/>
      </c>
      <c r="J590" s="51" t="str">
        <f t="shared" si="147"/>
        <v/>
      </c>
      <c r="K590" s="52" t="str">
        <f t="shared" si="107"/>
        <v/>
      </c>
      <c r="L590" s="53" t="str">
        <f t="shared" si="143"/>
        <v/>
      </c>
      <c r="M590" s="52" t="str">
        <f t="shared" si="148"/>
        <v/>
      </c>
      <c r="N590" s="58" t="str">
        <f t="shared" si="144"/>
        <v/>
      </c>
      <c r="Q590" s="51" t="str">
        <f t="shared" si="149"/>
        <v/>
      </c>
      <c r="R590" s="52" t="str">
        <f t="shared" si="150"/>
        <v/>
      </c>
      <c r="S590" s="58" t="str">
        <f t="shared" si="151"/>
        <v/>
      </c>
      <c r="T590" s="52" t="str">
        <f t="shared" si="145"/>
        <v/>
      </c>
    </row>
    <row r="591" spans="2:20" ht="15.75" customHeight="1" x14ac:dyDescent="0.25">
      <c r="B591" s="33">
        <f t="shared" si="160"/>
        <v>60.916666666666693</v>
      </c>
      <c r="C591" s="34"/>
      <c r="D591" s="35">
        <f>(11/12)*D580</f>
        <v>1.2704999999999999E-2</v>
      </c>
      <c r="E591" s="36">
        <f>E580-(11/12)*F580</f>
        <v>827691.74483748176</v>
      </c>
      <c r="F591" s="36">
        <f t="shared" si="161"/>
        <v>968.28603941807523</v>
      </c>
      <c r="G591" s="31">
        <f t="shared" si="140"/>
        <v>0.98729500000000003</v>
      </c>
      <c r="H591" s="32"/>
      <c r="I591" s="51" t="str">
        <f t="shared" si="146"/>
        <v/>
      </c>
      <c r="J591" s="51" t="str">
        <f t="shared" si="147"/>
        <v/>
      </c>
      <c r="K591" s="52" t="str">
        <f t="shared" si="107"/>
        <v/>
      </c>
      <c r="L591" s="53" t="str">
        <f t="shared" si="143"/>
        <v/>
      </c>
      <c r="M591" s="52" t="str">
        <f t="shared" si="148"/>
        <v/>
      </c>
      <c r="N591" s="58" t="str">
        <f t="shared" si="144"/>
        <v/>
      </c>
      <c r="Q591" s="51" t="str">
        <f t="shared" si="149"/>
        <v/>
      </c>
      <c r="R591" s="52" t="str">
        <f t="shared" si="150"/>
        <v/>
      </c>
      <c r="S591" s="58" t="str">
        <f t="shared" si="151"/>
        <v/>
      </c>
      <c r="T591" s="52" t="str">
        <f t="shared" si="145"/>
        <v/>
      </c>
    </row>
    <row r="592" spans="2:20" ht="15.75" customHeight="1" x14ac:dyDescent="0.25">
      <c r="B592" s="27">
        <v>61</v>
      </c>
      <c r="C592" s="28">
        <v>14.914</v>
      </c>
      <c r="D592" s="29">
        <f>C592/1000</f>
        <v>1.4914E-2</v>
      </c>
      <c r="E592" s="30">
        <f>E580-F580</f>
        <v>826723.45879806369</v>
      </c>
      <c r="F592" s="48">
        <f>D592*E592</f>
        <v>12329.753664514323</v>
      </c>
      <c r="G592" s="31">
        <f t="shared" si="140"/>
        <v>0.98508600000000002</v>
      </c>
      <c r="H592" s="49"/>
      <c r="I592" s="51" t="str">
        <f t="shared" si="146"/>
        <v/>
      </c>
      <c r="J592" s="51" t="str">
        <f t="shared" si="147"/>
        <v/>
      </c>
      <c r="K592" s="52" t="str">
        <f t="shared" si="107"/>
        <v/>
      </c>
      <c r="L592" s="53" t="str">
        <f t="shared" si="143"/>
        <v/>
      </c>
      <c r="M592" s="52" t="str">
        <f t="shared" si="148"/>
        <v/>
      </c>
      <c r="N592" s="58" t="str">
        <f t="shared" si="144"/>
        <v/>
      </c>
      <c r="Q592" s="51" t="str">
        <f t="shared" si="149"/>
        <v/>
      </c>
      <c r="R592" s="52" t="str">
        <f t="shared" si="150"/>
        <v/>
      </c>
      <c r="S592" s="58" t="str">
        <f t="shared" si="151"/>
        <v/>
      </c>
      <c r="T592" s="52" t="str">
        <f t="shared" si="145"/>
        <v/>
      </c>
    </row>
    <row r="593" spans="2:20" ht="15.75" customHeight="1" x14ac:dyDescent="0.25">
      <c r="B593" s="33">
        <f t="shared" ref="B593:B603" si="162">B592+1/12</f>
        <v>61.083333333333336</v>
      </c>
      <c r="C593" s="34"/>
      <c r="D593" s="35">
        <f>(1/12)*D592</f>
        <v>1.2428333333333332E-3</v>
      </c>
      <c r="E593" s="36">
        <f>E592-(1/12)*F592</f>
        <v>825695.97932602081</v>
      </c>
      <c r="F593" s="36">
        <f t="shared" ref="F593:F603" si="163">E593-E594</f>
        <v>1027.4794720428763</v>
      </c>
      <c r="G593" s="31">
        <f t="shared" si="140"/>
        <v>0.9987571666666667</v>
      </c>
      <c r="H593" s="37"/>
      <c r="I593" s="51" t="str">
        <f t="shared" si="146"/>
        <v/>
      </c>
      <c r="J593" s="51" t="str">
        <f t="shared" si="147"/>
        <v/>
      </c>
      <c r="K593" s="52" t="str">
        <f t="shared" si="107"/>
        <v/>
      </c>
      <c r="L593" s="53" t="str">
        <f t="shared" si="143"/>
        <v/>
      </c>
      <c r="M593" s="52" t="str">
        <f t="shared" si="148"/>
        <v/>
      </c>
      <c r="N593" s="58" t="str">
        <f t="shared" si="144"/>
        <v/>
      </c>
      <c r="Q593" s="51" t="str">
        <f t="shared" si="149"/>
        <v/>
      </c>
      <c r="R593" s="52" t="str">
        <f t="shared" si="150"/>
        <v/>
      </c>
      <c r="S593" s="58" t="str">
        <f t="shared" si="151"/>
        <v/>
      </c>
      <c r="T593" s="52" t="str">
        <f t="shared" si="145"/>
        <v/>
      </c>
    </row>
    <row r="594" spans="2:20" ht="15.75" customHeight="1" x14ac:dyDescent="0.25">
      <c r="B594" s="33">
        <f t="shared" si="162"/>
        <v>61.166666666666671</v>
      </c>
      <c r="C594" s="34"/>
      <c r="D594" s="35">
        <f>(2/12)*D592</f>
        <v>2.4856666666666664E-3</v>
      </c>
      <c r="E594" s="36">
        <f>E592-(2/12)*F592</f>
        <v>824668.49985397793</v>
      </c>
      <c r="F594" s="36">
        <f t="shared" si="163"/>
        <v>1027.4794720428763</v>
      </c>
      <c r="G594" s="31">
        <f t="shared" si="140"/>
        <v>0.99751433333333328</v>
      </c>
      <c r="H594" s="32"/>
      <c r="I594" s="51" t="str">
        <f t="shared" si="146"/>
        <v/>
      </c>
      <c r="J594" s="51" t="str">
        <f t="shared" si="147"/>
        <v/>
      </c>
      <c r="K594" s="52" t="str">
        <f t="shared" si="107"/>
        <v/>
      </c>
      <c r="L594" s="53" t="str">
        <f t="shared" si="143"/>
        <v/>
      </c>
      <c r="M594" s="52" t="str">
        <f t="shared" si="148"/>
        <v/>
      </c>
      <c r="N594" s="58" t="str">
        <f t="shared" si="144"/>
        <v/>
      </c>
      <c r="Q594" s="51" t="str">
        <f t="shared" si="149"/>
        <v/>
      </c>
      <c r="R594" s="52" t="str">
        <f t="shared" si="150"/>
        <v/>
      </c>
      <c r="S594" s="58" t="str">
        <f t="shared" ref="S594:S657" si="164">IF(Q594&lt;&gt;"",(1+$M$10)^-(12*Q594),"")</f>
        <v/>
      </c>
      <c r="T594" s="52" t="str">
        <f t="shared" si="145"/>
        <v/>
      </c>
    </row>
    <row r="595" spans="2:20" ht="15.75" customHeight="1" x14ac:dyDescent="0.25">
      <c r="B595" s="33">
        <f t="shared" si="162"/>
        <v>61.250000000000007</v>
      </c>
      <c r="C595" s="34"/>
      <c r="D595" s="35">
        <f>(3/12)*D592</f>
        <v>3.7285E-3</v>
      </c>
      <c r="E595" s="36">
        <f>E592-(3/12)*F592</f>
        <v>823641.02038193506</v>
      </c>
      <c r="F595" s="36">
        <f t="shared" si="163"/>
        <v>1027.4794720427599</v>
      </c>
      <c r="G595" s="31">
        <f t="shared" si="140"/>
        <v>0.99627149999999998</v>
      </c>
      <c r="H595" s="32"/>
      <c r="I595" s="51" t="str">
        <f t="shared" si="146"/>
        <v/>
      </c>
      <c r="J595" s="51" t="str">
        <f t="shared" si="147"/>
        <v/>
      </c>
      <c r="K595" s="52" t="str">
        <f t="shared" ref="K595:K849" si="165">IFERROR(VLOOKUP(J596,$B$3:$F$1060,3,TRUE),"")</f>
        <v/>
      </c>
      <c r="L595" s="53" t="str">
        <f t="shared" si="143"/>
        <v/>
      </c>
      <c r="M595" s="52" t="str">
        <f t="shared" si="148"/>
        <v/>
      </c>
      <c r="N595" s="58" t="str">
        <f t="shared" si="144"/>
        <v/>
      </c>
      <c r="Q595" s="51" t="str">
        <f t="shared" si="149"/>
        <v/>
      </c>
      <c r="R595" s="52" t="str">
        <f t="shared" si="150"/>
        <v/>
      </c>
      <c r="S595" s="58" t="str">
        <f t="shared" si="164"/>
        <v/>
      </c>
      <c r="T595" s="52" t="str">
        <f t="shared" si="145"/>
        <v/>
      </c>
    </row>
    <row r="596" spans="2:20" ht="15.75" customHeight="1" x14ac:dyDescent="0.25">
      <c r="B596" s="33">
        <f t="shared" si="162"/>
        <v>61.333333333333343</v>
      </c>
      <c r="C596" s="34"/>
      <c r="D596" s="35">
        <f>(4/12)*D592</f>
        <v>4.9713333333333328E-3</v>
      </c>
      <c r="E596" s="36">
        <f>E592-(4/12)*F592</f>
        <v>822613.5409098923</v>
      </c>
      <c r="F596" s="36">
        <f t="shared" si="163"/>
        <v>1027.4794720428763</v>
      </c>
      <c r="G596" s="31">
        <f t="shared" si="140"/>
        <v>0.99502866666666667</v>
      </c>
      <c r="H596" s="32"/>
      <c r="I596" s="51" t="str">
        <f t="shared" si="146"/>
        <v/>
      </c>
      <c r="J596" s="51" t="str">
        <f t="shared" si="147"/>
        <v/>
      </c>
      <c r="K596" s="52" t="str">
        <f t="shared" si="165"/>
        <v/>
      </c>
      <c r="L596" s="53" t="str">
        <f t="shared" si="143"/>
        <v/>
      </c>
      <c r="M596" s="52" t="str">
        <f t="shared" si="148"/>
        <v/>
      </c>
      <c r="N596" s="58" t="str">
        <f t="shared" si="144"/>
        <v/>
      </c>
      <c r="Q596" s="51" t="str">
        <f t="shared" si="149"/>
        <v/>
      </c>
      <c r="R596" s="52" t="str">
        <f t="shared" si="150"/>
        <v/>
      </c>
      <c r="S596" s="58" t="str">
        <f t="shared" si="164"/>
        <v/>
      </c>
      <c r="T596" s="52" t="str">
        <f t="shared" si="145"/>
        <v/>
      </c>
    </row>
    <row r="597" spans="2:20" ht="15.75" customHeight="1" x14ac:dyDescent="0.25">
      <c r="B597" s="33">
        <f t="shared" si="162"/>
        <v>61.416666666666679</v>
      </c>
      <c r="C597" s="34"/>
      <c r="D597" s="35">
        <f>(5/12)*D592</f>
        <v>6.2141666666666673E-3</v>
      </c>
      <c r="E597" s="36">
        <f>E592-(5/12)*F592</f>
        <v>821586.06143784942</v>
      </c>
      <c r="F597" s="36">
        <f t="shared" si="163"/>
        <v>1027.4794720428763</v>
      </c>
      <c r="G597" s="31">
        <f t="shared" si="140"/>
        <v>0.99378583333333337</v>
      </c>
      <c r="H597" s="32"/>
      <c r="I597" s="51" t="str">
        <f t="shared" si="146"/>
        <v/>
      </c>
      <c r="J597" s="51" t="str">
        <f t="shared" si="147"/>
        <v/>
      </c>
      <c r="K597" s="52" t="str">
        <f t="shared" si="165"/>
        <v/>
      </c>
      <c r="L597" s="53" t="str">
        <f t="shared" si="143"/>
        <v/>
      </c>
      <c r="M597" s="52" t="str">
        <f t="shared" si="148"/>
        <v/>
      </c>
      <c r="N597" s="58" t="str">
        <f t="shared" si="144"/>
        <v/>
      </c>
      <c r="Q597" s="51" t="str">
        <f t="shared" si="149"/>
        <v/>
      </c>
      <c r="R597" s="52" t="str">
        <f t="shared" si="150"/>
        <v/>
      </c>
      <c r="S597" s="58" t="str">
        <f t="shared" si="164"/>
        <v/>
      </c>
      <c r="T597" s="52" t="str">
        <f t="shared" si="145"/>
        <v/>
      </c>
    </row>
    <row r="598" spans="2:20" ht="15.75" customHeight="1" x14ac:dyDescent="0.25">
      <c r="B598" s="33">
        <f t="shared" si="162"/>
        <v>61.500000000000014</v>
      </c>
      <c r="C598" s="34"/>
      <c r="D598" s="35">
        <f>(6/12)*D592</f>
        <v>7.4570000000000001E-3</v>
      </c>
      <c r="E598" s="36">
        <f>E592-(6/12)*F592</f>
        <v>820558.58196580654</v>
      </c>
      <c r="F598" s="36">
        <f t="shared" si="163"/>
        <v>1027.4794720428763</v>
      </c>
      <c r="G598" s="31">
        <f t="shared" si="140"/>
        <v>0.99254299999999995</v>
      </c>
      <c r="H598" s="32"/>
      <c r="I598" s="51" t="str">
        <f t="shared" si="146"/>
        <v/>
      </c>
      <c r="J598" s="51" t="str">
        <f t="shared" si="147"/>
        <v/>
      </c>
      <c r="K598" s="52" t="str">
        <f t="shared" si="165"/>
        <v/>
      </c>
      <c r="L598" s="53" t="str">
        <f t="shared" si="143"/>
        <v/>
      </c>
      <c r="M598" s="52" t="str">
        <f t="shared" si="148"/>
        <v/>
      </c>
      <c r="N598" s="58" t="str">
        <f t="shared" si="144"/>
        <v/>
      </c>
      <c r="Q598" s="51" t="str">
        <f t="shared" si="149"/>
        <v/>
      </c>
      <c r="R598" s="52" t="str">
        <f t="shared" si="150"/>
        <v/>
      </c>
      <c r="S598" s="58" t="str">
        <f t="shared" si="164"/>
        <v/>
      </c>
      <c r="T598" s="52" t="str">
        <f t="shared" si="145"/>
        <v/>
      </c>
    </row>
    <row r="599" spans="2:20" ht="15.75" customHeight="1" x14ac:dyDescent="0.25">
      <c r="B599" s="33">
        <f t="shared" si="162"/>
        <v>61.58333333333335</v>
      </c>
      <c r="C599" s="34"/>
      <c r="D599" s="35">
        <f>(7/12)*D592</f>
        <v>8.6998333333333337E-3</v>
      </c>
      <c r="E599" s="36">
        <f>E592-(7/12)*F592</f>
        <v>819531.10249376367</v>
      </c>
      <c r="F599" s="36">
        <f t="shared" si="163"/>
        <v>1027.4794720428763</v>
      </c>
      <c r="G599" s="31">
        <f t="shared" si="140"/>
        <v>0.99130016666666665</v>
      </c>
      <c r="H599" s="32"/>
      <c r="I599" s="51" t="str">
        <f t="shared" si="146"/>
        <v/>
      </c>
      <c r="J599" s="51" t="str">
        <f t="shared" si="147"/>
        <v/>
      </c>
      <c r="K599" s="52" t="str">
        <f t="shared" si="165"/>
        <v/>
      </c>
      <c r="L599" s="53" t="str">
        <f t="shared" si="143"/>
        <v/>
      </c>
      <c r="M599" s="52" t="str">
        <f t="shared" si="148"/>
        <v/>
      </c>
      <c r="N599" s="58" t="str">
        <f t="shared" si="144"/>
        <v/>
      </c>
      <c r="Q599" s="51" t="str">
        <f t="shared" si="149"/>
        <v/>
      </c>
      <c r="R599" s="52" t="str">
        <f t="shared" si="150"/>
        <v/>
      </c>
      <c r="S599" s="58" t="str">
        <f t="shared" si="164"/>
        <v/>
      </c>
      <c r="T599" s="52" t="str">
        <f t="shared" si="145"/>
        <v/>
      </c>
    </row>
    <row r="600" spans="2:20" ht="15.75" customHeight="1" x14ac:dyDescent="0.25">
      <c r="B600" s="33">
        <f t="shared" si="162"/>
        <v>61.666666666666686</v>
      </c>
      <c r="C600" s="34"/>
      <c r="D600" s="35">
        <f>(8/12)*D592</f>
        <v>9.9426666666666656E-3</v>
      </c>
      <c r="E600" s="36">
        <f>E592-(8/12)*F592</f>
        <v>818503.62302172079</v>
      </c>
      <c r="F600" s="36">
        <f t="shared" si="163"/>
        <v>1027.4794720428763</v>
      </c>
      <c r="G600" s="31">
        <f t="shared" si="140"/>
        <v>0.99005733333333334</v>
      </c>
      <c r="H600" s="32"/>
      <c r="I600" s="51" t="str">
        <f t="shared" si="146"/>
        <v/>
      </c>
      <c r="J600" s="51" t="str">
        <f t="shared" si="147"/>
        <v/>
      </c>
      <c r="K600" s="52" t="str">
        <f t="shared" si="165"/>
        <v/>
      </c>
      <c r="L600" s="53" t="str">
        <f t="shared" si="143"/>
        <v/>
      </c>
      <c r="M600" s="52" t="str">
        <f t="shared" si="148"/>
        <v/>
      </c>
      <c r="N600" s="58" t="str">
        <f t="shared" si="144"/>
        <v/>
      </c>
      <c r="Q600" s="51" t="str">
        <f t="shared" si="149"/>
        <v/>
      </c>
      <c r="R600" s="52" t="str">
        <f t="shared" si="150"/>
        <v/>
      </c>
      <c r="S600" s="58" t="str">
        <f t="shared" si="164"/>
        <v/>
      </c>
      <c r="T600" s="52" t="str">
        <f t="shared" si="145"/>
        <v/>
      </c>
    </row>
    <row r="601" spans="2:20" ht="15.75" customHeight="1" x14ac:dyDescent="0.25">
      <c r="B601" s="33">
        <f t="shared" si="162"/>
        <v>61.750000000000021</v>
      </c>
      <c r="C601" s="34"/>
      <c r="D601" s="35">
        <f>(9/12)*D592</f>
        <v>1.1185500000000001E-2</v>
      </c>
      <c r="E601" s="36">
        <f>E592-(9/12)*F592</f>
        <v>817476.14354967792</v>
      </c>
      <c r="F601" s="36">
        <f t="shared" si="163"/>
        <v>1027.4794720428763</v>
      </c>
      <c r="G601" s="31">
        <f t="shared" si="140"/>
        <v>0.98881450000000004</v>
      </c>
      <c r="H601" s="32"/>
      <c r="I601" s="51" t="str">
        <f t="shared" si="146"/>
        <v/>
      </c>
      <c r="J601" s="51" t="str">
        <f t="shared" si="147"/>
        <v/>
      </c>
      <c r="K601" s="52" t="str">
        <f t="shared" si="165"/>
        <v/>
      </c>
      <c r="L601" s="53" t="str">
        <f t="shared" si="143"/>
        <v/>
      </c>
      <c r="M601" s="52" t="str">
        <f t="shared" si="148"/>
        <v/>
      </c>
      <c r="N601" s="58" t="str">
        <f t="shared" si="144"/>
        <v/>
      </c>
      <c r="Q601" s="51" t="str">
        <f t="shared" si="149"/>
        <v/>
      </c>
      <c r="R601" s="52" t="str">
        <f t="shared" si="150"/>
        <v/>
      </c>
      <c r="S601" s="58" t="str">
        <f t="shared" si="164"/>
        <v/>
      </c>
      <c r="T601" s="52" t="str">
        <f t="shared" si="145"/>
        <v/>
      </c>
    </row>
    <row r="602" spans="2:20" ht="15.75" customHeight="1" x14ac:dyDescent="0.25">
      <c r="B602" s="33">
        <f t="shared" si="162"/>
        <v>61.833333333333357</v>
      </c>
      <c r="C602" s="34"/>
      <c r="D602" s="35">
        <f>(10/12)*D592</f>
        <v>1.2428333333333335E-2</v>
      </c>
      <c r="E602" s="36">
        <f>E592-(10/12)*F592</f>
        <v>816448.66407763504</v>
      </c>
      <c r="F602" s="36">
        <f t="shared" si="163"/>
        <v>1027.4794720427599</v>
      </c>
      <c r="G602" s="31">
        <f t="shared" si="140"/>
        <v>0.98757166666666663</v>
      </c>
      <c r="H602" s="32"/>
      <c r="I602" s="51" t="str">
        <f t="shared" si="146"/>
        <v/>
      </c>
      <c r="J602" s="51" t="str">
        <f t="shared" si="147"/>
        <v/>
      </c>
      <c r="K602" s="52" t="str">
        <f t="shared" si="165"/>
        <v/>
      </c>
      <c r="L602" s="53" t="str">
        <f t="shared" si="143"/>
        <v/>
      </c>
      <c r="M602" s="52" t="str">
        <f t="shared" si="148"/>
        <v/>
      </c>
      <c r="N602" s="58" t="str">
        <f t="shared" si="144"/>
        <v/>
      </c>
      <c r="Q602" s="51" t="str">
        <f t="shared" si="149"/>
        <v/>
      </c>
      <c r="R602" s="52" t="str">
        <f t="shared" si="150"/>
        <v/>
      </c>
      <c r="S602" s="58" t="str">
        <f t="shared" si="164"/>
        <v/>
      </c>
      <c r="T602" s="52" t="str">
        <f t="shared" si="145"/>
        <v/>
      </c>
    </row>
    <row r="603" spans="2:20" ht="15.75" customHeight="1" x14ac:dyDescent="0.25">
      <c r="B603" s="33">
        <f t="shared" si="162"/>
        <v>61.916666666666693</v>
      </c>
      <c r="C603" s="34"/>
      <c r="D603" s="35">
        <f>(11/12)*D592</f>
        <v>1.3671166666666667E-2</v>
      </c>
      <c r="E603" s="36">
        <f>E592-(11/12)*F592</f>
        <v>815421.18460559228</v>
      </c>
      <c r="F603" s="36">
        <f t="shared" si="163"/>
        <v>1027.4794720428763</v>
      </c>
      <c r="G603" s="31">
        <f t="shared" si="140"/>
        <v>0.98632883333333332</v>
      </c>
      <c r="H603" s="32"/>
      <c r="I603" s="51" t="str">
        <f t="shared" si="146"/>
        <v/>
      </c>
      <c r="J603" s="51" t="str">
        <f t="shared" si="147"/>
        <v/>
      </c>
      <c r="K603" s="52" t="str">
        <f t="shared" si="165"/>
        <v/>
      </c>
      <c r="L603" s="53" t="str">
        <f t="shared" si="143"/>
        <v/>
      </c>
      <c r="M603" s="52" t="str">
        <f t="shared" si="148"/>
        <v/>
      </c>
      <c r="N603" s="58" t="str">
        <f t="shared" si="144"/>
        <v/>
      </c>
      <c r="Q603" s="51" t="str">
        <f t="shared" si="149"/>
        <v/>
      </c>
      <c r="R603" s="52" t="str">
        <f t="shared" si="150"/>
        <v/>
      </c>
      <c r="S603" s="58" t="str">
        <f t="shared" si="164"/>
        <v/>
      </c>
      <c r="T603" s="52" t="str">
        <f t="shared" si="145"/>
        <v/>
      </c>
    </row>
    <row r="604" spans="2:20" ht="15.75" customHeight="1" x14ac:dyDescent="0.25">
      <c r="B604" s="27">
        <v>62</v>
      </c>
      <c r="C604" s="28">
        <v>16.047999999999998</v>
      </c>
      <c r="D604" s="29">
        <f>C604/1000</f>
        <v>1.6048E-2</v>
      </c>
      <c r="E604" s="30">
        <f>E592-F592</f>
        <v>814393.7051335494</v>
      </c>
      <c r="F604" s="48">
        <f>D604*E604</f>
        <v>13069.3901799832</v>
      </c>
      <c r="G604" s="31">
        <f t="shared" si="140"/>
        <v>0.98395200000000005</v>
      </c>
      <c r="H604" s="49"/>
      <c r="I604" s="51" t="str">
        <f t="shared" si="146"/>
        <v/>
      </c>
      <c r="J604" s="51" t="str">
        <f t="shared" si="147"/>
        <v/>
      </c>
      <c r="K604" s="52" t="str">
        <f t="shared" si="165"/>
        <v/>
      </c>
      <c r="L604" s="53" t="str">
        <f t="shared" si="143"/>
        <v/>
      </c>
      <c r="M604" s="52" t="str">
        <f t="shared" si="148"/>
        <v/>
      </c>
      <c r="N604" s="58" t="str">
        <f t="shared" si="144"/>
        <v/>
      </c>
      <c r="Q604" s="51" t="str">
        <f t="shared" si="149"/>
        <v/>
      </c>
      <c r="R604" s="52" t="str">
        <f t="shared" si="150"/>
        <v/>
      </c>
      <c r="S604" s="58" t="str">
        <f t="shared" si="164"/>
        <v/>
      </c>
      <c r="T604" s="52" t="str">
        <f t="shared" si="145"/>
        <v/>
      </c>
    </row>
    <row r="605" spans="2:20" ht="15.75" customHeight="1" x14ac:dyDescent="0.25">
      <c r="B605" s="33">
        <f t="shared" ref="B605:B615" si="166">B604+1/12</f>
        <v>62.083333333333336</v>
      </c>
      <c r="C605" s="34"/>
      <c r="D605" s="35">
        <f>(1/12)*D604</f>
        <v>1.3373333333333332E-3</v>
      </c>
      <c r="E605" s="36">
        <f>E604-(1/12)*F604</f>
        <v>813304.58928521746</v>
      </c>
      <c r="F605" s="36">
        <f t="shared" ref="F605:F615" si="167">E605-E606</f>
        <v>1089.115848331945</v>
      </c>
      <c r="G605" s="31">
        <f t="shared" si="140"/>
        <v>0.9986626666666667</v>
      </c>
      <c r="H605" s="37"/>
      <c r="I605" s="51" t="str">
        <f t="shared" si="146"/>
        <v/>
      </c>
      <c r="J605" s="51" t="str">
        <f t="shared" si="147"/>
        <v/>
      </c>
      <c r="K605" s="52" t="str">
        <f t="shared" si="165"/>
        <v/>
      </c>
      <c r="L605" s="53" t="str">
        <f t="shared" si="143"/>
        <v/>
      </c>
      <c r="M605" s="52" t="str">
        <f t="shared" si="148"/>
        <v/>
      </c>
      <c r="N605" s="58" t="str">
        <f t="shared" si="144"/>
        <v/>
      </c>
      <c r="Q605" s="51" t="str">
        <f t="shared" si="149"/>
        <v/>
      </c>
      <c r="R605" s="52" t="str">
        <f t="shared" si="150"/>
        <v/>
      </c>
      <c r="S605" s="58" t="str">
        <f t="shared" si="164"/>
        <v/>
      </c>
      <c r="T605" s="52" t="str">
        <f t="shared" si="145"/>
        <v/>
      </c>
    </row>
    <row r="606" spans="2:20" ht="15.75" customHeight="1" x14ac:dyDescent="0.25">
      <c r="B606" s="33">
        <f t="shared" si="166"/>
        <v>62.166666666666671</v>
      </c>
      <c r="C606" s="34"/>
      <c r="D606" s="35">
        <f>(2/12)*D604</f>
        <v>2.6746666666666663E-3</v>
      </c>
      <c r="E606" s="36">
        <f>E604-(2/12)*F604</f>
        <v>812215.47343688551</v>
      </c>
      <c r="F606" s="36">
        <f t="shared" si="167"/>
        <v>1089.115848331945</v>
      </c>
      <c r="G606" s="31">
        <f t="shared" si="140"/>
        <v>0.99732533333333329</v>
      </c>
      <c r="H606" s="32"/>
      <c r="I606" s="51" t="str">
        <f t="shared" si="146"/>
        <v/>
      </c>
      <c r="J606" s="51" t="str">
        <f t="shared" si="147"/>
        <v/>
      </c>
      <c r="K606" s="52" t="str">
        <f t="shared" si="165"/>
        <v/>
      </c>
      <c r="L606" s="53" t="str">
        <f t="shared" si="143"/>
        <v/>
      </c>
      <c r="M606" s="52" t="str">
        <f t="shared" si="148"/>
        <v/>
      </c>
      <c r="N606" s="58" t="str">
        <f t="shared" si="144"/>
        <v/>
      </c>
      <c r="Q606" s="51" t="str">
        <f t="shared" si="149"/>
        <v/>
      </c>
      <c r="R606" s="52" t="str">
        <f t="shared" si="150"/>
        <v/>
      </c>
      <c r="S606" s="58" t="str">
        <f t="shared" si="164"/>
        <v/>
      </c>
      <c r="T606" s="52" t="str">
        <f t="shared" si="145"/>
        <v/>
      </c>
    </row>
    <row r="607" spans="2:20" ht="15.75" customHeight="1" x14ac:dyDescent="0.25">
      <c r="B607" s="33">
        <f t="shared" si="166"/>
        <v>62.250000000000007</v>
      </c>
      <c r="C607" s="34"/>
      <c r="D607" s="35">
        <f>(3/12)*D604</f>
        <v>4.0119999999999999E-3</v>
      </c>
      <c r="E607" s="36">
        <f>E604-(3/12)*F604</f>
        <v>811126.35758855357</v>
      </c>
      <c r="F607" s="36">
        <f t="shared" si="167"/>
        <v>1089.115848331945</v>
      </c>
      <c r="G607" s="31">
        <f t="shared" si="140"/>
        <v>0.99598799999999998</v>
      </c>
      <c r="H607" s="32"/>
      <c r="I607" s="51" t="str">
        <f t="shared" si="146"/>
        <v/>
      </c>
      <c r="J607" s="51" t="str">
        <f t="shared" si="147"/>
        <v/>
      </c>
      <c r="K607" s="52" t="str">
        <f t="shared" si="165"/>
        <v/>
      </c>
      <c r="L607" s="53" t="str">
        <f t="shared" si="143"/>
        <v/>
      </c>
      <c r="M607" s="52" t="str">
        <f t="shared" si="148"/>
        <v/>
      </c>
      <c r="N607" s="58" t="str">
        <f t="shared" si="144"/>
        <v/>
      </c>
      <c r="Q607" s="51" t="str">
        <f t="shared" si="149"/>
        <v/>
      </c>
      <c r="R607" s="52" t="str">
        <f t="shared" si="150"/>
        <v/>
      </c>
      <c r="S607" s="58" t="str">
        <f t="shared" si="164"/>
        <v/>
      </c>
      <c r="T607" s="52" t="str">
        <f t="shared" si="145"/>
        <v/>
      </c>
    </row>
    <row r="608" spans="2:20" ht="15.75" customHeight="1" x14ac:dyDescent="0.25">
      <c r="B608" s="33">
        <f t="shared" si="166"/>
        <v>62.333333333333343</v>
      </c>
      <c r="C608" s="34"/>
      <c r="D608" s="35">
        <f>(4/12)*D604</f>
        <v>5.3493333333333327E-3</v>
      </c>
      <c r="E608" s="36">
        <f>E604-(4/12)*F604</f>
        <v>810037.24174022162</v>
      </c>
      <c r="F608" s="36">
        <f t="shared" si="167"/>
        <v>1089.115848331945</v>
      </c>
      <c r="G608" s="31">
        <f t="shared" si="140"/>
        <v>0.99465066666666668</v>
      </c>
      <c r="H608" s="32"/>
      <c r="I608" s="51" t="str">
        <f t="shared" si="146"/>
        <v/>
      </c>
      <c r="J608" s="51" t="str">
        <f t="shared" si="147"/>
        <v/>
      </c>
      <c r="K608" s="52" t="str">
        <f t="shared" si="165"/>
        <v/>
      </c>
      <c r="L608" s="53" t="str">
        <f t="shared" si="143"/>
        <v/>
      </c>
      <c r="M608" s="52" t="str">
        <f t="shared" si="148"/>
        <v/>
      </c>
      <c r="N608" s="58" t="str">
        <f t="shared" si="144"/>
        <v/>
      </c>
      <c r="Q608" s="51" t="str">
        <f t="shared" si="149"/>
        <v/>
      </c>
      <c r="R608" s="52" t="str">
        <f t="shared" si="150"/>
        <v/>
      </c>
      <c r="S608" s="58" t="str">
        <f t="shared" si="164"/>
        <v/>
      </c>
      <c r="T608" s="52" t="str">
        <f t="shared" si="145"/>
        <v/>
      </c>
    </row>
    <row r="609" spans="2:20" ht="15.75" customHeight="1" x14ac:dyDescent="0.25">
      <c r="B609" s="33">
        <f t="shared" si="166"/>
        <v>62.416666666666679</v>
      </c>
      <c r="C609" s="34"/>
      <c r="D609" s="35">
        <f>(5/12)*D604</f>
        <v>6.6866666666666671E-3</v>
      </c>
      <c r="E609" s="36">
        <f>E604-(5/12)*F604</f>
        <v>808948.12589188968</v>
      </c>
      <c r="F609" s="36">
        <f t="shared" si="167"/>
        <v>1089.1158483318286</v>
      </c>
      <c r="G609" s="31">
        <f t="shared" si="140"/>
        <v>0.99331333333333338</v>
      </c>
      <c r="H609" s="32"/>
      <c r="I609" s="51" t="str">
        <f t="shared" si="146"/>
        <v/>
      </c>
      <c r="J609" s="51" t="str">
        <f t="shared" si="147"/>
        <v/>
      </c>
      <c r="K609" s="52" t="str">
        <f t="shared" si="165"/>
        <v/>
      </c>
      <c r="L609" s="53" t="str">
        <f t="shared" si="143"/>
        <v/>
      </c>
      <c r="M609" s="52" t="str">
        <f t="shared" si="148"/>
        <v/>
      </c>
      <c r="N609" s="58" t="str">
        <f t="shared" si="144"/>
        <v/>
      </c>
      <c r="Q609" s="51" t="str">
        <f t="shared" si="149"/>
        <v/>
      </c>
      <c r="R609" s="52" t="str">
        <f t="shared" si="150"/>
        <v/>
      </c>
      <c r="S609" s="58" t="str">
        <f t="shared" si="164"/>
        <v/>
      </c>
      <c r="T609" s="52" t="str">
        <f t="shared" si="145"/>
        <v/>
      </c>
    </row>
    <row r="610" spans="2:20" ht="15.75" customHeight="1" x14ac:dyDescent="0.25">
      <c r="B610" s="33">
        <f t="shared" si="166"/>
        <v>62.500000000000014</v>
      </c>
      <c r="C610" s="34"/>
      <c r="D610" s="35">
        <f>(6/12)*D604</f>
        <v>8.0239999999999999E-3</v>
      </c>
      <c r="E610" s="36">
        <f>E604-(6/12)*F604</f>
        <v>807859.01004355785</v>
      </c>
      <c r="F610" s="36">
        <f t="shared" si="167"/>
        <v>1089.115848331945</v>
      </c>
      <c r="G610" s="31">
        <f t="shared" si="140"/>
        <v>0.99197599999999997</v>
      </c>
      <c r="H610" s="32"/>
      <c r="I610" s="51" t="str">
        <f t="shared" si="146"/>
        <v/>
      </c>
      <c r="J610" s="51" t="str">
        <f t="shared" si="147"/>
        <v/>
      </c>
      <c r="K610" s="52" t="str">
        <f t="shared" si="165"/>
        <v/>
      </c>
      <c r="L610" s="53" t="str">
        <f t="shared" si="143"/>
        <v/>
      </c>
      <c r="M610" s="52" t="str">
        <f t="shared" si="148"/>
        <v/>
      </c>
      <c r="N610" s="58" t="str">
        <f t="shared" si="144"/>
        <v/>
      </c>
      <c r="Q610" s="51" t="str">
        <f t="shared" si="149"/>
        <v/>
      </c>
      <c r="R610" s="52" t="str">
        <f t="shared" si="150"/>
        <v/>
      </c>
      <c r="S610" s="58" t="str">
        <f t="shared" si="164"/>
        <v/>
      </c>
      <c r="T610" s="52" t="str">
        <f t="shared" si="145"/>
        <v/>
      </c>
    </row>
    <row r="611" spans="2:20" ht="15.75" customHeight="1" x14ac:dyDescent="0.25">
      <c r="B611" s="33">
        <f t="shared" si="166"/>
        <v>62.58333333333335</v>
      </c>
      <c r="C611" s="34"/>
      <c r="D611" s="35">
        <f>(7/12)*D604</f>
        <v>9.3613333333333344E-3</v>
      </c>
      <c r="E611" s="36">
        <f>E604-(7/12)*F604</f>
        <v>806769.8941952259</v>
      </c>
      <c r="F611" s="36">
        <f t="shared" si="167"/>
        <v>1089.115848331945</v>
      </c>
      <c r="G611" s="31">
        <f t="shared" si="140"/>
        <v>0.99063866666666667</v>
      </c>
      <c r="H611" s="32"/>
      <c r="I611" s="51" t="str">
        <f t="shared" si="146"/>
        <v/>
      </c>
      <c r="J611" s="51" t="str">
        <f t="shared" si="147"/>
        <v/>
      </c>
      <c r="K611" s="52" t="str">
        <f t="shared" si="165"/>
        <v/>
      </c>
      <c r="L611" s="53" t="str">
        <f t="shared" si="143"/>
        <v/>
      </c>
      <c r="M611" s="52" t="str">
        <f t="shared" si="148"/>
        <v/>
      </c>
      <c r="N611" s="58" t="str">
        <f t="shared" si="144"/>
        <v/>
      </c>
      <c r="Q611" s="51" t="str">
        <f t="shared" si="149"/>
        <v/>
      </c>
      <c r="R611" s="52" t="str">
        <f t="shared" si="150"/>
        <v/>
      </c>
      <c r="S611" s="58" t="str">
        <f t="shared" si="164"/>
        <v/>
      </c>
      <c r="T611" s="52" t="str">
        <f t="shared" si="145"/>
        <v/>
      </c>
    </row>
    <row r="612" spans="2:20" ht="15.75" customHeight="1" x14ac:dyDescent="0.25">
      <c r="B612" s="33">
        <f t="shared" si="166"/>
        <v>62.666666666666686</v>
      </c>
      <c r="C612" s="34"/>
      <c r="D612" s="35">
        <f>(8/12)*D604</f>
        <v>1.0698666666666665E-2</v>
      </c>
      <c r="E612" s="36">
        <f>E604-(8/12)*F604</f>
        <v>805680.77834689396</v>
      </c>
      <c r="F612" s="36">
        <f t="shared" si="167"/>
        <v>1089.115848331945</v>
      </c>
      <c r="G612" s="31">
        <f t="shared" si="140"/>
        <v>0.98930133333333337</v>
      </c>
      <c r="H612" s="32"/>
      <c r="I612" s="51" t="str">
        <f t="shared" si="146"/>
        <v/>
      </c>
      <c r="J612" s="51" t="str">
        <f t="shared" si="147"/>
        <v/>
      </c>
      <c r="K612" s="52" t="str">
        <f t="shared" si="165"/>
        <v/>
      </c>
      <c r="L612" s="53" t="str">
        <f t="shared" si="143"/>
        <v/>
      </c>
      <c r="M612" s="52" t="str">
        <f t="shared" si="148"/>
        <v/>
      </c>
      <c r="N612" s="58" t="str">
        <f t="shared" si="144"/>
        <v/>
      </c>
      <c r="Q612" s="51" t="str">
        <f t="shared" si="149"/>
        <v/>
      </c>
      <c r="R612" s="52" t="str">
        <f t="shared" si="150"/>
        <v/>
      </c>
      <c r="S612" s="58" t="str">
        <f t="shared" si="164"/>
        <v/>
      </c>
      <c r="T612" s="52" t="str">
        <f t="shared" si="145"/>
        <v/>
      </c>
    </row>
    <row r="613" spans="2:20" ht="15.75" customHeight="1" x14ac:dyDescent="0.25">
      <c r="B613" s="33">
        <f t="shared" si="166"/>
        <v>62.750000000000021</v>
      </c>
      <c r="C613" s="34"/>
      <c r="D613" s="35">
        <f>(9/12)*D604</f>
        <v>1.2036E-2</v>
      </c>
      <c r="E613" s="36">
        <f>E604-(9/12)*F604</f>
        <v>804591.66249856201</v>
      </c>
      <c r="F613" s="36">
        <f t="shared" si="167"/>
        <v>1089.115848331945</v>
      </c>
      <c r="G613" s="31">
        <f t="shared" si="140"/>
        <v>0.98796399999999995</v>
      </c>
      <c r="H613" s="32"/>
      <c r="I613" s="51" t="str">
        <f t="shared" si="146"/>
        <v/>
      </c>
      <c r="J613" s="51" t="str">
        <f t="shared" si="147"/>
        <v/>
      </c>
      <c r="K613" s="52" t="str">
        <f t="shared" si="165"/>
        <v/>
      </c>
      <c r="L613" s="53" t="str">
        <f t="shared" si="143"/>
        <v/>
      </c>
      <c r="M613" s="52" t="str">
        <f t="shared" si="148"/>
        <v/>
      </c>
      <c r="N613" s="58" t="str">
        <f t="shared" si="144"/>
        <v/>
      </c>
      <c r="Q613" s="51" t="str">
        <f t="shared" si="149"/>
        <v/>
      </c>
      <c r="R613" s="52" t="str">
        <f t="shared" si="150"/>
        <v/>
      </c>
      <c r="S613" s="58" t="str">
        <f t="shared" si="164"/>
        <v/>
      </c>
      <c r="T613" s="52" t="str">
        <f t="shared" si="145"/>
        <v/>
      </c>
    </row>
    <row r="614" spans="2:20" ht="15.75" customHeight="1" x14ac:dyDescent="0.25">
      <c r="B614" s="33">
        <f t="shared" si="166"/>
        <v>62.833333333333357</v>
      </c>
      <c r="C614" s="34"/>
      <c r="D614" s="35">
        <f>(10/12)*D604</f>
        <v>1.3373333333333334E-2</v>
      </c>
      <c r="E614" s="36">
        <f>E604-(10/12)*F604</f>
        <v>803502.54665023007</v>
      </c>
      <c r="F614" s="36">
        <f t="shared" si="167"/>
        <v>1089.115848331945</v>
      </c>
      <c r="G614" s="31">
        <f t="shared" si="140"/>
        <v>0.98662666666666665</v>
      </c>
      <c r="H614" s="32"/>
      <c r="I614" s="51" t="str">
        <f t="shared" si="146"/>
        <v/>
      </c>
      <c r="J614" s="51" t="str">
        <f t="shared" si="147"/>
        <v/>
      </c>
      <c r="K614" s="52" t="str">
        <f t="shared" si="165"/>
        <v/>
      </c>
      <c r="L614" s="53" t="str">
        <f t="shared" si="143"/>
        <v/>
      </c>
      <c r="M614" s="52" t="str">
        <f t="shared" si="148"/>
        <v/>
      </c>
      <c r="N614" s="58" t="str">
        <f t="shared" si="144"/>
        <v/>
      </c>
      <c r="Q614" s="51" t="str">
        <f t="shared" si="149"/>
        <v/>
      </c>
      <c r="R614" s="52" t="str">
        <f t="shared" si="150"/>
        <v/>
      </c>
      <c r="S614" s="58" t="str">
        <f t="shared" si="164"/>
        <v/>
      </c>
      <c r="T614" s="52" t="str">
        <f t="shared" si="145"/>
        <v/>
      </c>
    </row>
    <row r="615" spans="2:20" ht="15.75" customHeight="1" x14ac:dyDescent="0.25">
      <c r="B615" s="33">
        <f t="shared" si="166"/>
        <v>62.916666666666693</v>
      </c>
      <c r="C615" s="34"/>
      <c r="D615" s="35">
        <f>(11/12)*D604</f>
        <v>1.4710666666666665E-2</v>
      </c>
      <c r="E615" s="36">
        <f>E604-(11/12)*F604</f>
        <v>802413.43080189812</v>
      </c>
      <c r="F615" s="36">
        <f t="shared" si="167"/>
        <v>1089.115848331945</v>
      </c>
      <c r="G615" s="31">
        <f t="shared" si="140"/>
        <v>0.98528933333333335</v>
      </c>
      <c r="H615" s="32"/>
      <c r="I615" s="51" t="str">
        <f t="shared" si="146"/>
        <v/>
      </c>
      <c r="J615" s="51" t="str">
        <f t="shared" si="147"/>
        <v/>
      </c>
      <c r="K615" s="52" t="str">
        <f t="shared" si="165"/>
        <v/>
      </c>
      <c r="L615" s="53" t="str">
        <f t="shared" si="143"/>
        <v/>
      </c>
      <c r="M615" s="52" t="str">
        <f t="shared" si="148"/>
        <v/>
      </c>
      <c r="N615" s="58" t="str">
        <f t="shared" si="144"/>
        <v/>
      </c>
      <c r="Q615" s="51" t="str">
        <f t="shared" si="149"/>
        <v/>
      </c>
      <c r="R615" s="52" t="str">
        <f t="shared" si="150"/>
        <v/>
      </c>
      <c r="S615" s="58" t="str">
        <f t="shared" si="164"/>
        <v/>
      </c>
      <c r="T615" s="52" t="str">
        <f t="shared" si="145"/>
        <v/>
      </c>
    </row>
    <row r="616" spans="2:20" ht="15.75" customHeight="1" x14ac:dyDescent="0.25">
      <c r="B616" s="27">
        <v>63</v>
      </c>
      <c r="C616" s="28">
        <v>17.265000000000001</v>
      </c>
      <c r="D616" s="29">
        <f>C616/1000</f>
        <v>1.7264999999999999E-2</v>
      </c>
      <c r="E616" s="30">
        <f>E604-F604</f>
        <v>801324.31495356618</v>
      </c>
      <c r="F616" s="48">
        <f>D616*E616</f>
        <v>13834.864297673319</v>
      </c>
      <c r="G616" s="31">
        <f t="shared" si="140"/>
        <v>0.98273500000000003</v>
      </c>
      <c r="H616" s="49"/>
      <c r="I616" s="51" t="str">
        <f t="shared" si="146"/>
        <v/>
      </c>
      <c r="J616" s="51" t="str">
        <f t="shared" si="147"/>
        <v/>
      </c>
      <c r="K616" s="52" t="str">
        <f t="shared" si="165"/>
        <v/>
      </c>
      <c r="L616" s="53" t="str">
        <f t="shared" si="143"/>
        <v/>
      </c>
      <c r="M616" s="52" t="str">
        <f t="shared" si="148"/>
        <v/>
      </c>
      <c r="N616" s="58" t="str">
        <f t="shared" si="144"/>
        <v/>
      </c>
      <c r="Q616" s="51" t="str">
        <f t="shared" si="149"/>
        <v/>
      </c>
      <c r="R616" s="52" t="str">
        <f t="shared" si="150"/>
        <v/>
      </c>
      <c r="S616" s="58" t="str">
        <f t="shared" si="164"/>
        <v/>
      </c>
      <c r="T616" s="52" t="str">
        <f t="shared" si="145"/>
        <v/>
      </c>
    </row>
    <row r="617" spans="2:20" ht="15.75" customHeight="1" x14ac:dyDescent="0.25">
      <c r="B617" s="33">
        <f t="shared" ref="B617:B627" si="168">B616+1/12</f>
        <v>63.083333333333336</v>
      </c>
      <c r="C617" s="34"/>
      <c r="D617" s="35">
        <f>(1/12)*D616</f>
        <v>1.4387499999999999E-3</v>
      </c>
      <c r="E617" s="36">
        <f>E616-(1/12)*F616</f>
        <v>800171.40959542675</v>
      </c>
      <c r="F617" s="36">
        <f t="shared" ref="F617:F627" si="169">E617-E618</f>
        <v>1152.9053581394255</v>
      </c>
      <c r="G617" s="31">
        <f t="shared" si="140"/>
        <v>0.99856124999999996</v>
      </c>
      <c r="H617" s="37"/>
      <c r="I617" s="51" t="str">
        <f t="shared" si="146"/>
        <v/>
      </c>
      <c r="J617" s="51" t="str">
        <f t="shared" si="147"/>
        <v/>
      </c>
      <c r="K617" s="52" t="str">
        <f t="shared" si="165"/>
        <v/>
      </c>
      <c r="L617" s="53" t="str">
        <f t="shared" si="143"/>
        <v/>
      </c>
      <c r="M617" s="52" t="str">
        <f t="shared" si="148"/>
        <v/>
      </c>
      <c r="N617" s="58" t="str">
        <f t="shared" si="144"/>
        <v/>
      </c>
      <c r="Q617" s="51" t="str">
        <f t="shared" si="149"/>
        <v/>
      </c>
      <c r="R617" s="52" t="str">
        <f t="shared" si="150"/>
        <v/>
      </c>
      <c r="S617" s="58" t="str">
        <f t="shared" si="164"/>
        <v/>
      </c>
      <c r="T617" s="52" t="str">
        <f t="shared" si="145"/>
        <v/>
      </c>
    </row>
    <row r="618" spans="2:20" ht="15.75" customHeight="1" x14ac:dyDescent="0.25">
      <c r="B618" s="33">
        <f t="shared" si="168"/>
        <v>63.166666666666671</v>
      </c>
      <c r="C618" s="34"/>
      <c r="D618" s="35">
        <f>(2/12)*D616</f>
        <v>2.8774999999999998E-3</v>
      </c>
      <c r="E618" s="36">
        <f>E616-(2/12)*F616</f>
        <v>799018.50423728733</v>
      </c>
      <c r="F618" s="36">
        <f t="shared" si="169"/>
        <v>1152.9053581394255</v>
      </c>
      <c r="G618" s="31">
        <f t="shared" si="140"/>
        <v>0.99712250000000002</v>
      </c>
      <c r="H618" s="32"/>
      <c r="I618" s="51" t="str">
        <f t="shared" si="146"/>
        <v/>
      </c>
      <c r="J618" s="51" t="str">
        <f t="shared" si="147"/>
        <v/>
      </c>
      <c r="K618" s="52" t="str">
        <f t="shared" si="165"/>
        <v/>
      </c>
      <c r="L618" s="53" t="str">
        <f t="shared" si="143"/>
        <v/>
      </c>
      <c r="M618" s="52" t="str">
        <f t="shared" si="148"/>
        <v/>
      </c>
      <c r="N618" s="58" t="str">
        <f t="shared" si="144"/>
        <v/>
      </c>
      <c r="Q618" s="51" t="str">
        <f t="shared" si="149"/>
        <v/>
      </c>
      <c r="R618" s="52" t="str">
        <f t="shared" si="150"/>
        <v/>
      </c>
      <c r="S618" s="58" t="str">
        <f t="shared" si="164"/>
        <v/>
      </c>
      <c r="T618" s="52" t="str">
        <f t="shared" si="145"/>
        <v/>
      </c>
    </row>
    <row r="619" spans="2:20" ht="15.75" customHeight="1" x14ac:dyDescent="0.25">
      <c r="B619" s="33">
        <f t="shared" si="168"/>
        <v>63.250000000000007</v>
      </c>
      <c r="C619" s="34"/>
      <c r="D619" s="35">
        <f>(3/12)*D616</f>
        <v>4.3162499999999998E-3</v>
      </c>
      <c r="E619" s="36">
        <f>E616-(3/12)*F616</f>
        <v>797865.5988791479</v>
      </c>
      <c r="F619" s="36">
        <f t="shared" si="169"/>
        <v>1152.9053581395419</v>
      </c>
      <c r="G619" s="31">
        <f t="shared" si="140"/>
        <v>0.99568374999999998</v>
      </c>
      <c r="H619" s="32"/>
      <c r="I619" s="51" t="str">
        <f t="shared" si="146"/>
        <v/>
      </c>
      <c r="J619" s="51" t="str">
        <f t="shared" si="147"/>
        <v/>
      </c>
      <c r="K619" s="52" t="str">
        <f t="shared" si="165"/>
        <v/>
      </c>
      <c r="L619" s="53" t="str">
        <f t="shared" si="143"/>
        <v/>
      </c>
      <c r="M619" s="52" t="str">
        <f t="shared" si="148"/>
        <v/>
      </c>
      <c r="N619" s="58" t="str">
        <f t="shared" si="144"/>
        <v/>
      </c>
      <c r="Q619" s="51" t="str">
        <f t="shared" si="149"/>
        <v/>
      </c>
      <c r="R619" s="52" t="str">
        <f t="shared" si="150"/>
        <v/>
      </c>
      <c r="S619" s="58" t="str">
        <f t="shared" si="164"/>
        <v/>
      </c>
      <c r="T619" s="52" t="str">
        <f t="shared" si="145"/>
        <v/>
      </c>
    </row>
    <row r="620" spans="2:20" ht="15.75" customHeight="1" x14ac:dyDescent="0.25">
      <c r="B620" s="33">
        <f t="shared" si="168"/>
        <v>63.333333333333343</v>
      </c>
      <c r="C620" s="34"/>
      <c r="D620" s="35">
        <f>(4/12)*D616</f>
        <v>5.7549999999999997E-3</v>
      </c>
      <c r="E620" s="36">
        <f>E616-(4/12)*F616</f>
        <v>796712.69352100836</v>
      </c>
      <c r="F620" s="36">
        <f t="shared" si="169"/>
        <v>1152.9053581394255</v>
      </c>
      <c r="G620" s="31">
        <f t="shared" si="140"/>
        <v>0.99424500000000005</v>
      </c>
      <c r="H620" s="32"/>
      <c r="I620" s="51" t="str">
        <f t="shared" si="146"/>
        <v/>
      </c>
      <c r="J620" s="51" t="str">
        <f t="shared" si="147"/>
        <v/>
      </c>
      <c r="K620" s="52" t="str">
        <f t="shared" si="165"/>
        <v/>
      </c>
      <c r="L620" s="53" t="str">
        <f t="shared" si="143"/>
        <v/>
      </c>
      <c r="M620" s="52" t="str">
        <f t="shared" si="148"/>
        <v/>
      </c>
      <c r="N620" s="58" t="str">
        <f t="shared" si="144"/>
        <v/>
      </c>
      <c r="Q620" s="51" t="str">
        <f t="shared" si="149"/>
        <v/>
      </c>
      <c r="R620" s="52" t="str">
        <f t="shared" si="150"/>
        <v/>
      </c>
      <c r="S620" s="58" t="str">
        <f t="shared" si="164"/>
        <v/>
      </c>
      <c r="T620" s="52" t="str">
        <f t="shared" si="145"/>
        <v/>
      </c>
    </row>
    <row r="621" spans="2:20" ht="15.75" customHeight="1" x14ac:dyDescent="0.25">
      <c r="B621" s="33">
        <f t="shared" si="168"/>
        <v>63.416666666666679</v>
      </c>
      <c r="C621" s="34"/>
      <c r="D621" s="35">
        <f>(5/12)*D616</f>
        <v>7.1937499999999996E-3</v>
      </c>
      <c r="E621" s="36">
        <f>E616-(5/12)*F616</f>
        <v>795559.78816286894</v>
      </c>
      <c r="F621" s="36">
        <f t="shared" si="169"/>
        <v>1152.9053581394255</v>
      </c>
      <c r="G621" s="31">
        <f t="shared" si="140"/>
        <v>0.99280625</v>
      </c>
      <c r="H621" s="32"/>
      <c r="I621" s="51" t="str">
        <f t="shared" si="146"/>
        <v/>
      </c>
      <c r="J621" s="51" t="str">
        <f t="shared" si="147"/>
        <v/>
      </c>
      <c r="K621" s="52" t="str">
        <f t="shared" si="165"/>
        <v/>
      </c>
      <c r="L621" s="53" t="str">
        <f t="shared" si="143"/>
        <v/>
      </c>
      <c r="M621" s="52" t="str">
        <f t="shared" si="148"/>
        <v/>
      </c>
      <c r="N621" s="58" t="str">
        <f t="shared" si="144"/>
        <v/>
      </c>
      <c r="Q621" s="51" t="str">
        <f t="shared" si="149"/>
        <v/>
      </c>
      <c r="R621" s="52" t="str">
        <f t="shared" si="150"/>
        <v/>
      </c>
      <c r="S621" s="58" t="str">
        <f t="shared" si="164"/>
        <v/>
      </c>
      <c r="T621" s="52" t="str">
        <f t="shared" si="145"/>
        <v/>
      </c>
    </row>
    <row r="622" spans="2:20" ht="15.75" customHeight="1" x14ac:dyDescent="0.25">
      <c r="B622" s="33">
        <f t="shared" si="168"/>
        <v>63.500000000000014</v>
      </c>
      <c r="C622" s="34"/>
      <c r="D622" s="35">
        <f>(6/12)*D616</f>
        <v>8.6324999999999995E-3</v>
      </c>
      <c r="E622" s="36">
        <f>E616-(6/12)*F616</f>
        <v>794406.88280472951</v>
      </c>
      <c r="F622" s="36">
        <f t="shared" si="169"/>
        <v>1152.9053581394255</v>
      </c>
      <c r="G622" s="31">
        <f t="shared" si="140"/>
        <v>0.99136749999999996</v>
      </c>
      <c r="H622" s="32"/>
      <c r="I622" s="51" t="str">
        <f t="shared" si="146"/>
        <v/>
      </c>
      <c r="J622" s="51" t="str">
        <f t="shared" si="147"/>
        <v/>
      </c>
      <c r="K622" s="52" t="str">
        <f t="shared" si="165"/>
        <v/>
      </c>
      <c r="L622" s="53" t="str">
        <f t="shared" si="143"/>
        <v/>
      </c>
      <c r="M622" s="52" t="str">
        <f t="shared" si="148"/>
        <v/>
      </c>
      <c r="N622" s="58" t="str">
        <f t="shared" si="144"/>
        <v/>
      </c>
      <c r="Q622" s="51" t="str">
        <f t="shared" si="149"/>
        <v/>
      </c>
      <c r="R622" s="52" t="str">
        <f t="shared" si="150"/>
        <v/>
      </c>
      <c r="S622" s="58" t="str">
        <f t="shared" si="164"/>
        <v/>
      </c>
      <c r="T622" s="52" t="str">
        <f t="shared" si="145"/>
        <v/>
      </c>
    </row>
    <row r="623" spans="2:20" ht="15.75" customHeight="1" x14ac:dyDescent="0.25">
      <c r="B623" s="33">
        <f t="shared" si="168"/>
        <v>63.58333333333335</v>
      </c>
      <c r="C623" s="34"/>
      <c r="D623" s="35">
        <f>(7/12)*D616</f>
        <v>1.007125E-2</v>
      </c>
      <c r="E623" s="36">
        <f>E616-(7/12)*F616</f>
        <v>793253.97744659008</v>
      </c>
      <c r="F623" s="36">
        <f t="shared" si="169"/>
        <v>1152.9053581394255</v>
      </c>
      <c r="G623" s="31">
        <f t="shared" si="140"/>
        <v>0.98992875000000002</v>
      </c>
      <c r="H623" s="32"/>
      <c r="I623" s="51" t="str">
        <f t="shared" si="146"/>
        <v/>
      </c>
      <c r="J623" s="51" t="str">
        <f t="shared" si="147"/>
        <v/>
      </c>
      <c r="K623" s="52" t="str">
        <f t="shared" si="165"/>
        <v/>
      </c>
      <c r="L623" s="53" t="str">
        <f t="shared" si="143"/>
        <v/>
      </c>
      <c r="M623" s="52" t="str">
        <f t="shared" si="148"/>
        <v/>
      </c>
      <c r="N623" s="58" t="str">
        <f t="shared" si="144"/>
        <v/>
      </c>
      <c r="Q623" s="51" t="str">
        <f t="shared" si="149"/>
        <v/>
      </c>
      <c r="R623" s="52" t="str">
        <f t="shared" si="150"/>
        <v/>
      </c>
      <c r="S623" s="58" t="str">
        <f t="shared" si="164"/>
        <v/>
      </c>
      <c r="T623" s="52" t="str">
        <f t="shared" si="145"/>
        <v/>
      </c>
    </row>
    <row r="624" spans="2:20" ht="15.75" customHeight="1" x14ac:dyDescent="0.25">
      <c r="B624" s="33">
        <f t="shared" si="168"/>
        <v>63.666666666666686</v>
      </c>
      <c r="C624" s="34"/>
      <c r="D624" s="35">
        <f>(8/12)*D616</f>
        <v>1.1509999999999999E-2</v>
      </c>
      <c r="E624" s="36">
        <f>E616-(8/12)*F616</f>
        <v>792101.07208845066</v>
      </c>
      <c r="F624" s="36">
        <f t="shared" si="169"/>
        <v>1152.9053581394255</v>
      </c>
      <c r="G624" s="31">
        <f t="shared" si="140"/>
        <v>0.98848999999999998</v>
      </c>
      <c r="H624" s="32"/>
      <c r="I624" s="51" t="str">
        <f t="shared" si="146"/>
        <v/>
      </c>
      <c r="J624" s="51" t="str">
        <f t="shared" si="147"/>
        <v/>
      </c>
      <c r="K624" s="52" t="str">
        <f t="shared" si="165"/>
        <v/>
      </c>
      <c r="L624" s="53" t="str">
        <f t="shared" si="143"/>
        <v/>
      </c>
      <c r="M624" s="52" t="str">
        <f t="shared" si="148"/>
        <v/>
      </c>
      <c r="N624" s="58" t="str">
        <f t="shared" si="144"/>
        <v/>
      </c>
      <c r="Q624" s="51" t="str">
        <f t="shared" si="149"/>
        <v/>
      </c>
      <c r="R624" s="52" t="str">
        <f t="shared" si="150"/>
        <v/>
      </c>
      <c r="S624" s="58" t="str">
        <f t="shared" si="164"/>
        <v/>
      </c>
      <c r="T624" s="52" t="str">
        <f t="shared" si="145"/>
        <v/>
      </c>
    </row>
    <row r="625" spans="2:20" ht="15.75" customHeight="1" x14ac:dyDescent="0.25">
      <c r="B625" s="33">
        <f t="shared" si="168"/>
        <v>63.750000000000021</v>
      </c>
      <c r="C625" s="34"/>
      <c r="D625" s="35">
        <f>(9/12)*D616</f>
        <v>1.2948749999999998E-2</v>
      </c>
      <c r="E625" s="36">
        <f>E616-(9/12)*F616</f>
        <v>790948.16673031123</v>
      </c>
      <c r="F625" s="36">
        <f t="shared" si="169"/>
        <v>1152.9053581395419</v>
      </c>
      <c r="G625" s="31">
        <f t="shared" si="140"/>
        <v>0.98705125000000005</v>
      </c>
      <c r="H625" s="32"/>
      <c r="I625" s="51" t="str">
        <f t="shared" si="146"/>
        <v/>
      </c>
      <c r="J625" s="51" t="str">
        <f t="shared" si="147"/>
        <v/>
      </c>
      <c r="K625" s="52" t="str">
        <f t="shared" si="165"/>
        <v/>
      </c>
      <c r="L625" s="53" t="str">
        <f t="shared" si="143"/>
        <v/>
      </c>
      <c r="M625" s="52" t="str">
        <f t="shared" si="148"/>
        <v/>
      </c>
      <c r="N625" s="58" t="str">
        <f t="shared" si="144"/>
        <v/>
      </c>
      <c r="Q625" s="51" t="str">
        <f t="shared" si="149"/>
        <v/>
      </c>
      <c r="R625" s="52" t="str">
        <f t="shared" si="150"/>
        <v/>
      </c>
      <c r="S625" s="58" t="str">
        <f t="shared" si="164"/>
        <v/>
      </c>
      <c r="T625" s="52" t="str">
        <f t="shared" si="145"/>
        <v/>
      </c>
    </row>
    <row r="626" spans="2:20" ht="15.75" customHeight="1" x14ac:dyDescent="0.25">
      <c r="B626" s="33">
        <f t="shared" si="168"/>
        <v>63.833333333333357</v>
      </c>
      <c r="C626" s="34"/>
      <c r="D626" s="35">
        <f>(10/12)*D616</f>
        <v>1.4387499999999999E-2</v>
      </c>
      <c r="E626" s="36">
        <f>E616-(10/12)*F616</f>
        <v>789795.26137217169</v>
      </c>
      <c r="F626" s="36">
        <f t="shared" si="169"/>
        <v>1152.9053581394255</v>
      </c>
      <c r="G626" s="31">
        <f t="shared" si="140"/>
        <v>0.9856125</v>
      </c>
      <c r="H626" s="32"/>
      <c r="I626" s="51" t="str">
        <f t="shared" si="146"/>
        <v/>
      </c>
      <c r="J626" s="51" t="str">
        <f t="shared" si="147"/>
        <v/>
      </c>
      <c r="K626" s="52" t="str">
        <f t="shared" si="165"/>
        <v/>
      </c>
      <c r="L626" s="53" t="str">
        <f t="shared" si="143"/>
        <v/>
      </c>
      <c r="M626" s="52" t="str">
        <f t="shared" si="148"/>
        <v/>
      </c>
      <c r="N626" s="58" t="str">
        <f t="shared" si="144"/>
        <v/>
      </c>
      <c r="Q626" s="51" t="str">
        <f t="shared" si="149"/>
        <v/>
      </c>
      <c r="R626" s="52" t="str">
        <f t="shared" si="150"/>
        <v/>
      </c>
      <c r="S626" s="58" t="str">
        <f t="shared" si="164"/>
        <v/>
      </c>
      <c r="T626" s="52" t="str">
        <f t="shared" si="145"/>
        <v/>
      </c>
    </row>
    <row r="627" spans="2:20" ht="15.75" customHeight="1" x14ac:dyDescent="0.25">
      <c r="B627" s="33">
        <f t="shared" si="168"/>
        <v>63.916666666666693</v>
      </c>
      <c r="C627" s="34"/>
      <c r="D627" s="35">
        <f>(11/12)*D616</f>
        <v>1.582625E-2</v>
      </c>
      <c r="E627" s="36">
        <f>E616-(11/12)*F616</f>
        <v>788642.35601403227</v>
      </c>
      <c r="F627" s="36">
        <f t="shared" si="169"/>
        <v>1152.9053581394255</v>
      </c>
      <c r="G627" s="31">
        <f t="shared" si="140"/>
        <v>0.98417374999999996</v>
      </c>
      <c r="H627" s="32"/>
      <c r="I627" s="51" t="str">
        <f t="shared" si="146"/>
        <v/>
      </c>
      <c r="J627" s="51" t="str">
        <f t="shared" si="147"/>
        <v/>
      </c>
      <c r="K627" s="52" t="str">
        <f t="shared" si="165"/>
        <v/>
      </c>
      <c r="L627" s="53" t="str">
        <f t="shared" si="143"/>
        <v/>
      </c>
      <c r="M627" s="52" t="str">
        <f t="shared" si="148"/>
        <v/>
      </c>
      <c r="N627" s="58" t="str">
        <f t="shared" si="144"/>
        <v/>
      </c>
      <c r="Q627" s="51" t="str">
        <f t="shared" si="149"/>
        <v/>
      </c>
      <c r="R627" s="52" t="str">
        <f t="shared" si="150"/>
        <v/>
      </c>
      <c r="S627" s="58" t="str">
        <f t="shared" si="164"/>
        <v/>
      </c>
      <c r="T627" s="52" t="str">
        <f t="shared" si="145"/>
        <v/>
      </c>
    </row>
    <row r="628" spans="2:20" ht="15.75" customHeight="1" x14ac:dyDescent="0.25">
      <c r="B628" s="27">
        <v>64</v>
      </c>
      <c r="C628" s="28">
        <v>18.574000000000002</v>
      </c>
      <c r="D628" s="29">
        <f>C628/1000</f>
        <v>1.8574E-2</v>
      </c>
      <c r="E628" s="30">
        <f>E616-F616</f>
        <v>787489.45065589284</v>
      </c>
      <c r="F628" s="48">
        <f>D628*E628</f>
        <v>14626.829056482553</v>
      </c>
      <c r="G628" s="31">
        <f t="shared" si="140"/>
        <v>0.98142600000000002</v>
      </c>
      <c r="H628" s="49"/>
      <c r="I628" s="51" t="str">
        <f t="shared" si="146"/>
        <v/>
      </c>
      <c r="J628" s="51" t="str">
        <f t="shared" si="147"/>
        <v/>
      </c>
      <c r="K628" s="52" t="str">
        <f t="shared" si="165"/>
        <v/>
      </c>
      <c r="L628" s="53" t="str">
        <f t="shared" si="143"/>
        <v/>
      </c>
      <c r="M628" s="52" t="str">
        <f t="shared" si="148"/>
        <v/>
      </c>
      <c r="N628" s="58" t="str">
        <f t="shared" si="144"/>
        <v/>
      </c>
      <c r="Q628" s="51" t="str">
        <f t="shared" si="149"/>
        <v/>
      </c>
      <c r="R628" s="52" t="str">
        <f t="shared" si="150"/>
        <v/>
      </c>
      <c r="S628" s="58" t="str">
        <f t="shared" si="164"/>
        <v/>
      </c>
      <c r="T628" s="52" t="str">
        <f t="shared" si="145"/>
        <v/>
      </c>
    </row>
    <row r="629" spans="2:20" ht="15.75" customHeight="1" x14ac:dyDescent="0.25">
      <c r="B629" s="33">
        <f t="shared" ref="B629:B639" si="170">B628+1/12</f>
        <v>64.083333333333329</v>
      </c>
      <c r="C629" s="34"/>
      <c r="D629" s="35">
        <f>(1/12)*D628</f>
        <v>1.5478333333333334E-3</v>
      </c>
      <c r="E629" s="36">
        <f>E628-(1/12)*F628</f>
        <v>786270.54823451932</v>
      </c>
      <c r="F629" s="36">
        <f t="shared" ref="F629:F639" si="171">E629-E630</f>
        <v>1218.9024213735247</v>
      </c>
      <c r="G629" s="31">
        <f t="shared" si="140"/>
        <v>0.9984521666666667</v>
      </c>
      <c r="H629" s="37"/>
      <c r="I629" s="51" t="str">
        <f t="shared" si="146"/>
        <v/>
      </c>
      <c r="J629" s="51" t="str">
        <f t="shared" si="147"/>
        <v/>
      </c>
      <c r="K629" s="52" t="str">
        <f t="shared" si="165"/>
        <v/>
      </c>
      <c r="L629" s="53" t="str">
        <f t="shared" si="143"/>
        <v/>
      </c>
      <c r="M629" s="52" t="str">
        <f t="shared" si="148"/>
        <v/>
      </c>
      <c r="N629" s="58" t="str">
        <f t="shared" si="144"/>
        <v/>
      </c>
      <c r="Q629" s="51" t="str">
        <f t="shared" si="149"/>
        <v/>
      </c>
      <c r="R629" s="52" t="str">
        <f t="shared" si="150"/>
        <v/>
      </c>
      <c r="S629" s="58" t="str">
        <f t="shared" si="164"/>
        <v/>
      </c>
      <c r="T629" s="52" t="str">
        <f t="shared" si="145"/>
        <v/>
      </c>
    </row>
    <row r="630" spans="2:20" ht="15.75" customHeight="1" x14ac:dyDescent="0.25">
      <c r="B630" s="33">
        <f t="shared" si="170"/>
        <v>64.166666666666657</v>
      </c>
      <c r="C630" s="34"/>
      <c r="D630" s="35">
        <f>(2/12)*D628</f>
        <v>3.0956666666666667E-3</v>
      </c>
      <c r="E630" s="36">
        <f>E628-(2/12)*F628</f>
        <v>785051.64581314579</v>
      </c>
      <c r="F630" s="36">
        <f t="shared" si="171"/>
        <v>1218.9024213736411</v>
      </c>
      <c r="G630" s="31">
        <f t="shared" si="140"/>
        <v>0.99690433333333328</v>
      </c>
      <c r="H630" s="32"/>
      <c r="I630" s="51" t="str">
        <f t="shared" si="146"/>
        <v/>
      </c>
      <c r="J630" s="51" t="str">
        <f t="shared" si="147"/>
        <v/>
      </c>
      <c r="K630" s="52" t="str">
        <f t="shared" si="165"/>
        <v/>
      </c>
      <c r="L630" s="53" t="str">
        <f t="shared" si="143"/>
        <v/>
      </c>
      <c r="M630" s="52" t="str">
        <f t="shared" si="148"/>
        <v/>
      </c>
      <c r="N630" s="58" t="str">
        <f t="shared" si="144"/>
        <v/>
      </c>
      <c r="Q630" s="51" t="str">
        <f t="shared" si="149"/>
        <v/>
      </c>
      <c r="R630" s="52" t="str">
        <f t="shared" si="150"/>
        <v/>
      </c>
      <c r="S630" s="58" t="str">
        <f t="shared" si="164"/>
        <v/>
      </c>
      <c r="T630" s="52" t="str">
        <f t="shared" si="145"/>
        <v/>
      </c>
    </row>
    <row r="631" spans="2:20" ht="15.75" customHeight="1" x14ac:dyDescent="0.25">
      <c r="B631" s="33">
        <f t="shared" si="170"/>
        <v>64.249999999999986</v>
      </c>
      <c r="C631" s="34"/>
      <c r="D631" s="35">
        <f>(3/12)*D628</f>
        <v>4.6435000000000001E-3</v>
      </c>
      <c r="E631" s="36">
        <f>E628-(3/12)*F628</f>
        <v>783832.74339177215</v>
      </c>
      <c r="F631" s="36">
        <f t="shared" si="171"/>
        <v>1218.9024213735247</v>
      </c>
      <c r="G631" s="31">
        <f t="shared" si="140"/>
        <v>0.99535649999999998</v>
      </c>
      <c r="H631" s="32"/>
      <c r="I631" s="51" t="str">
        <f t="shared" si="146"/>
        <v/>
      </c>
      <c r="J631" s="51" t="str">
        <f t="shared" si="147"/>
        <v/>
      </c>
      <c r="K631" s="52" t="str">
        <f t="shared" si="165"/>
        <v/>
      </c>
      <c r="L631" s="53" t="str">
        <f t="shared" si="143"/>
        <v/>
      </c>
      <c r="M631" s="52" t="str">
        <f t="shared" si="148"/>
        <v/>
      </c>
      <c r="N631" s="58" t="str">
        <f t="shared" si="144"/>
        <v/>
      </c>
      <c r="Q631" s="51" t="str">
        <f t="shared" si="149"/>
        <v/>
      </c>
      <c r="R631" s="52" t="str">
        <f t="shared" si="150"/>
        <v/>
      </c>
      <c r="S631" s="58" t="str">
        <f t="shared" si="164"/>
        <v/>
      </c>
      <c r="T631" s="52" t="str">
        <f t="shared" si="145"/>
        <v/>
      </c>
    </row>
    <row r="632" spans="2:20" ht="15.75" customHeight="1" x14ac:dyDescent="0.25">
      <c r="B632" s="33">
        <f t="shared" si="170"/>
        <v>64.333333333333314</v>
      </c>
      <c r="C632" s="34"/>
      <c r="D632" s="35">
        <f>(4/12)*D628</f>
        <v>6.1913333333333334E-3</v>
      </c>
      <c r="E632" s="36">
        <f>E628-(4/12)*F628</f>
        <v>782613.84097039863</v>
      </c>
      <c r="F632" s="36">
        <f t="shared" si="171"/>
        <v>1218.9024213735247</v>
      </c>
      <c r="G632" s="31">
        <f t="shared" si="140"/>
        <v>0.99380866666666667</v>
      </c>
      <c r="H632" s="32"/>
      <c r="I632" s="51" t="str">
        <f t="shared" si="146"/>
        <v/>
      </c>
      <c r="J632" s="51" t="str">
        <f t="shared" si="147"/>
        <v/>
      </c>
      <c r="K632" s="52" t="str">
        <f t="shared" si="165"/>
        <v/>
      </c>
      <c r="L632" s="53" t="str">
        <f t="shared" si="143"/>
        <v/>
      </c>
      <c r="M632" s="52" t="str">
        <f t="shared" si="148"/>
        <v/>
      </c>
      <c r="N632" s="58" t="str">
        <f t="shared" si="144"/>
        <v/>
      </c>
      <c r="Q632" s="51" t="str">
        <f t="shared" si="149"/>
        <v/>
      </c>
      <c r="R632" s="52" t="str">
        <f t="shared" si="150"/>
        <v/>
      </c>
      <c r="S632" s="58" t="str">
        <f t="shared" si="164"/>
        <v/>
      </c>
      <c r="T632" s="52" t="str">
        <f t="shared" si="145"/>
        <v/>
      </c>
    </row>
    <row r="633" spans="2:20" ht="15.75" customHeight="1" x14ac:dyDescent="0.25">
      <c r="B633" s="33">
        <f t="shared" si="170"/>
        <v>64.416666666666643</v>
      </c>
      <c r="C633" s="34"/>
      <c r="D633" s="35">
        <f>(5/12)*D628</f>
        <v>7.7391666666666668E-3</v>
      </c>
      <c r="E633" s="36">
        <f>E628-(5/12)*F628</f>
        <v>781394.9385490251</v>
      </c>
      <c r="F633" s="36">
        <f t="shared" si="171"/>
        <v>1218.9024213735247</v>
      </c>
      <c r="G633" s="31">
        <f t="shared" si="140"/>
        <v>0.99226083333333337</v>
      </c>
      <c r="H633" s="32"/>
      <c r="I633" s="51" t="str">
        <f t="shared" si="146"/>
        <v/>
      </c>
      <c r="J633" s="51" t="str">
        <f t="shared" si="147"/>
        <v/>
      </c>
      <c r="K633" s="52" t="str">
        <f t="shared" si="165"/>
        <v/>
      </c>
      <c r="L633" s="53" t="str">
        <f t="shared" si="143"/>
        <v/>
      </c>
      <c r="M633" s="52" t="str">
        <f t="shared" si="148"/>
        <v/>
      </c>
      <c r="N633" s="58" t="str">
        <f t="shared" si="144"/>
        <v/>
      </c>
      <c r="Q633" s="51" t="str">
        <f t="shared" si="149"/>
        <v/>
      </c>
      <c r="R633" s="52" t="str">
        <f t="shared" si="150"/>
        <v/>
      </c>
      <c r="S633" s="58" t="str">
        <f t="shared" si="164"/>
        <v/>
      </c>
      <c r="T633" s="52" t="str">
        <f t="shared" si="145"/>
        <v/>
      </c>
    </row>
    <row r="634" spans="2:20" ht="15.75" customHeight="1" x14ac:dyDescent="0.25">
      <c r="B634" s="33">
        <f t="shared" si="170"/>
        <v>64.499999999999972</v>
      </c>
      <c r="C634" s="34"/>
      <c r="D634" s="35">
        <f>(6/12)*D628</f>
        <v>9.2870000000000001E-3</v>
      </c>
      <c r="E634" s="36">
        <f>E628-(6/12)*F628</f>
        <v>780176.03612765158</v>
      </c>
      <c r="F634" s="36">
        <f t="shared" si="171"/>
        <v>1218.9024213735247</v>
      </c>
      <c r="G634" s="31">
        <f t="shared" si="140"/>
        <v>0.99071299999999995</v>
      </c>
      <c r="H634" s="32"/>
      <c r="I634" s="51" t="str">
        <f t="shared" si="146"/>
        <v/>
      </c>
      <c r="J634" s="51" t="str">
        <f t="shared" si="147"/>
        <v/>
      </c>
      <c r="K634" s="52" t="str">
        <f t="shared" si="165"/>
        <v/>
      </c>
      <c r="L634" s="53" t="str">
        <f t="shared" si="143"/>
        <v/>
      </c>
      <c r="M634" s="52" t="str">
        <f t="shared" si="148"/>
        <v/>
      </c>
      <c r="N634" s="58" t="str">
        <f t="shared" si="144"/>
        <v/>
      </c>
      <c r="Q634" s="51" t="str">
        <f t="shared" si="149"/>
        <v/>
      </c>
      <c r="R634" s="52" t="str">
        <f t="shared" si="150"/>
        <v/>
      </c>
      <c r="S634" s="58" t="str">
        <f t="shared" si="164"/>
        <v/>
      </c>
      <c r="T634" s="52" t="str">
        <f t="shared" si="145"/>
        <v/>
      </c>
    </row>
    <row r="635" spans="2:20" ht="15.75" customHeight="1" x14ac:dyDescent="0.25">
      <c r="B635" s="33">
        <f t="shared" si="170"/>
        <v>64.5833333333333</v>
      </c>
      <c r="C635" s="34"/>
      <c r="D635" s="35">
        <f>(7/12)*D628</f>
        <v>1.0834833333333333E-2</v>
      </c>
      <c r="E635" s="36">
        <f>E628-(7/12)*F628</f>
        <v>778957.13370627805</v>
      </c>
      <c r="F635" s="36">
        <f t="shared" si="171"/>
        <v>1218.9024213735247</v>
      </c>
      <c r="G635" s="31">
        <f t="shared" si="140"/>
        <v>0.98916516666666665</v>
      </c>
      <c r="H635" s="32"/>
      <c r="I635" s="51" t="str">
        <f t="shared" si="146"/>
        <v/>
      </c>
      <c r="J635" s="51" t="str">
        <f t="shared" si="147"/>
        <v/>
      </c>
      <c r="K635" s="52" t="str">
        <f t="shared" si="165"/>
        <v/>
      </c>
      <c r="L635" s="53" t="str">
        <f t="shared" si="143"/>
        <v/>
      </c>
      <c r="M635" s="52" t="str">
        <f t="shared" si="148"/>
        <v/>
      </c>
      <c r="N635" s="58" t="str">
        <f t="shared" si="144"/>
        <v/>
      </c>
      <c r="Q635" s="51" t="str">
        <f t="shared" si="149"/>
        <v/>
      </c>
      <c r="R635" s="52" t="str">
        <f t="shared" si="150"/>
        <v/>
      </c>
      <c r="S635" s="58" t="str">
        <f t="shared" si="164"/>
        <v/>
      </c>
      <c r="T635" s="52" t="str">
        <f t="shared" si="145"/>
        <v/>
      </c>
    </row>
    <row r="636" spans="2:20" ht="15.75" customHeight="1" x14ac:dyDescent="0.25">
      <c r="B636" s="33">
        <f t="shared" si="170"/>
        <v>64.666666666666629</v>
      </c>
      <c r="C636" s="34"/>
      <c r="D636" s="35">
        <f>(8/12)*D628</f>
        <v>1.2382666666666667E-2</v>
      </c>
      <c r="E636" s="36">
        <f>E628-(8/12)*F628</f>
        <v>777738.23128490453</v>
      </c>
      <c r="F636" s="36">
        <f t="shared" si="171"/>
        <v>1218.9024213736411</v>
      </c>
      <c r="G636" s="31">
        <f t="shared" si="140"/>
        <v>0.98761733333333335</v>
      </c>
      <c r="H636" s="32"/>
      <c r="I636" s="51" t="str">
        <f t="shared" si="146"/>
        <v/>
      </c>
      <c r="J636" s="51" t="str">
        <f t="shared" si="147"/>
        <v/>
      </c>
      <c r="K636" s="52" t="str">
        <f t="shared" si="165"/>
        <v/>
      </c>
      <c r="L636" s="53" t="str">
        <f t="shared" si="143"/>
        <v/>
      </c>
      <c r="M636" s="52" t="str">
        <f t="shared" si="148"/>
        <v/>
      </c>
      <c r="N636" s="58" t="str">
        <f t="shared" si="144"/>
        <v/>
      </c>
      <c r="Q636" s="51" t="str">
        <f t="shared" si="149"/>
        <v/>
      </c>
      <c r="R636" s="52" t="str">
        <f t="shared" si="150"/>
        <v/>
      </c>
      <c r="S636" s="58" t="str">
        <f t="shared" si="164"/>
        <v/>
      </c>
      <c r="T636" s="52" t="str">
        <f t="shared" si="145"/>
        <v/>
      </c>
    </row>
    <row r="637" spans="2:20" ht="15.75" customHeight="1" x14ac:dyDescent="0.25">
      <c r="B637" s="33">
        <f t="shared" si="170"/>
        <v>64.749999999999957</v>
      </c>
      <c r="C637" s="34"/>
      <c r="D637" s="35">
        <f>(9/12)*D628</f>
        <v>1.39305E-2</v>
      </c>
      <c r="E637" s="36">
        <f>E628-(9/12)*F628</f>
        <v>776519.32886353089</v>
      </c>
      <c r="F637" s="36">
        <f t="shared" si="171"/>
        <v>1218.9024213735247</v>
      </c>
      <c r="G637" s="31">
        <f t="shared" si="140"/>
        <v>0.98606950000000004</v>
      </c>
      <c r="H637" s="32"/>
      <c r="I637" s="51" t="str">
        <f t="shared" si="146"/>
        <v/>
      </c>
      <c r="J637" s="51" t="str">
        <f t="shared" si="147"/>
        <v/>
      </c>
      <c r="K637" s="52" t="str">
        <f t="shared" si="165"/>
        <v/>
      </c>
      <c r="L637" s="53" t="str">
        <f t="shared" si="143"/>
        <v/>
      </c>
      <c r="M637" s="52" t="str">
        <f t="shared" si="148"/>
        <v/>
      </c>
      <c r="N637" s="58" t="str">
        <f t="shared" si="144"/>
        <v/>
      </c>
      <c r="Q637" s="51" t="str">
        <f t="shared" si="149"/>
        <v/>
      </c>
      <c r="R637" s="52" t="str">
        <f t="shared" si="150"/>
        <v/>
      </c>
      <c r="S637" s="58" t="str">
        <f t="shared" si="164"/>
        <v/>
      </c>
      <c r="T637" s="52" t="str">
        <f t="shared" si="145"/>
        <v/>
      </c>
    </row>
    <row r="638" spans="2:20" ht="15.75" customHeight="1" x14ac:dyDescent="0.25">
      <c r="B638" s="33">
        <f t="shared" si="170"/>
        <v>64.833333333333286</v>
      </c>
      <c r="C638" s="34"/>
      <c r="D638" s="35">
        <f>(10/12)*D628</f>
        <v>1.5478333333333334E-2</v>
      </c>
      <c r="E638" s="36">
        <f>E628-(10/12)*F628</f>
        <v>775300.42644215736</v>
      </c>
      <c r="F638" s="36">
        <f t="shared" si="171"/>
        <v>1218.9024213735247</v>
      </c>
      <c r="G638" s="31">
        <f t="shared" si="140"/>
        <v>0.98452166666666663</v>
      </c>
      <c r="H638" s="32"/>
      <c r="I638" s="51" t="str">
        <f t="shared" si="146"/>
        <v/>
      </c>
      <c r="J638" s="51" t="str">
        <f t="shared" si="147"/>
        <v/>
      </c>
      <c r="K638" s="52" t="str">
        <f t="shared" si="165"/>
        <v/>
      </c>
      <c r="L638" s="53" t="str">
        <f t="shared" si="143"/>
        <v/>
      </c>
      <c r="M638" s="52" t="str">
        <f t="shared" si="148"/>
        <v/>
      </c>
      <c r="N638" s="58" t="str">
        <f t="shared" si="144"/>
        <v/>
      </c>
      <c r="Q638" s="51" t="str">
        <f t="shared" si="149"/>
        <v/>
      </c>
      <c r="R638" s="52" t="str">
        <f t="shared" si="150"/>
        <v/>
      </c>
      <c r="S638" s="58" t="str">
        <f t="shared" si="164"/>
        <v/>
      </c>
      <c r="T638" s="52" t="str">
        <f t="shared" si="145"/>
        <v/>
      </c>
    </row>
    <row r="639" spans="2:20" ht="15.75" customHeight="1" x14ac:dyDescent="0.25">
      <c r="B639" s="33">
        <f t="shared" si="170"/>
        <v>64.916666666666615</v>
      </c>
      <c r="C639" s="34"/>
      <c r="D639" s="35">
        <f>(11/12)*D628</f>
        <v>1.7026166666666665E-2</v>
      </c>
      <c r="E639" s="36">
        <f>E628-(11/12)*F628</f>
        <v>774081.52402078384</v>
      </c>
      <c r="F639" s="36">
        <f t="shared" si="171"/>
        <v>1218.9024213735247</v>
      </c>
      <c r="G639" s="31">
        <f t="shared" si="140"/>
        <v>0.98297383333333332</v>
      </c>
      <c r="H639" s="32"/>
      <c r="I639" s="51" t="str">
        <f t="shared" si="146"/>
        <v/>
      </c>
      <c r="J639" s="51" t="str">
        <f t="shared" si="147"/>
        <v/>
      </c>
      <c r="K639" s="52" t="str">
        <f t="shared" si="165"/>
        <v/>
      </c>
      <c r="L639" s="53" t="str">
        <f t="shared" si="143"/>
        <v/>
      </c>
      <c r="M639" s="52" t="str">
        <f t="shared" si="148"/>
        <v/>
      </c>
      <c r="N639" s="58" t="str">
        <f t="shared" si="144"/>
        <v/>
      </c>
      <c r="Q639" s="51" t="str">
        <f t="shared" si="149"/>
        <v/>
      </c>
      <c r="R639" s="52" t="str">
        <f t="shared" si="150"/>
        <v/>
      </c>
      <c r="S639" s="58" t="str">
        <f t="shared" si="164"/>
        <v/>
      </c>
      <c r="T639" s="52" t="str">
        <f t="shared" si="145"/>
        <v/>
      </c>
    </row>
    <row r="640" spans="2:20" ht="15.75" customHeight="1" x14ac:dyDescent="0.25">
      <c r="B640" s="27">
        <v>65</v>
      </c>
      <c r="C640" s="28">
        <v>19.98</v>
      </c>
      <c r="D640" s="29">
        <f>C640/1000</f>
        <v>1.9980000000000001E-2</v>
      </c>
      <c r="E640" s="30">
        <f>E628-F628</f>
        <v>772862.62159941031</v>
      </c>
      <c r="F640" s="48">
        <f>D640*E640</f>
        <v>15441.795179556218</v>
      </c>
      <c r="G640" s="31">
        <f t="shared" si="140"/>
        <v>0.98002</v>
      </c>
      <c r="H640" s="49"/>
      <c r="I640" s="51" t="str">
        <f t="shared" si="146"/>
        <v/>
      </c>
      <c r="J640" s="51" t="str">
        <f t="shared" si="147"/>
        <v/>
      </c>
      <c r="K640" s="52" t="str">
        <f t="shared" si="165"/>
        <v/>
      </c>
      <c r="L640" s="53" t="str">
        <f t="shared" si="143"/>
        <v/>
      </c>
      <c r="M640" s="52" t="str">
        <f t="shared" si="148"/>
        <v/>
      </c>
      <c r="N640" s="58" t="str">
        <f t="shared" si="144"/>
        <v/>
      </c>
      <c r="Q640" s="51" t="str">
        <f t="shared" si="149"/>
        <v/>
      </c>
      <c r="R640" s="52" t="str">
        <f t="shared" si="150"/>
        <v/>
      </c>
      <c r="S640" s="58" t="str">
        <f t="shared" si="164"/>
        <v/>
      </c>
      <c r="T640" s="52" t="str">
        <f t="shared" si="145"/>
        <v/>
      </c>
    </row>
    <row r="641" spans="2:20" ht="15.75" customHeight="1" x14ac:dyDescent="0.25">
      <c r="B641" s="33">
        <f t="shared" ref="B641:B651" si="172">B640+1/12</f>
        <v>65.083333333333329</v>
      </c>
      <c r="C641" s="34"/>
      <c r="D641" s="35">
        <f>(1/12)*D640</f>
        <v>1.665E-3</v>
      </c>
      <c r="E641" s="36">
        <f>E640-(1/12)*F640</f>
        <v>771575.8053344473</v>
      </c>
      <c r="F641" s="36">
        <f t="shared" ref="F641:F651" si="173">E641-E642</f>
        <v>1286.8162649630103</v>
      </c>
      <c r="G641" s="31">
        <f t="shared" si="140"/>
        <v>0.99833499999999997</v>
      </c>
      <c r="H641" s="37"/>
      <c r="I641" s="51" t="str">
        <f t="shared" si="146"/>
        <v/>
      </c>
      <c r="J641" s="51" t="str">
        <f t="shared" si="147"/>
        <v/>
      </c>
      <c r="K641" s="52" t="str">
        <f t="shared" si="165"/>
        <v/>
      </c>
      <c r="L641" s="53" t="str">
        <f t="shared" si="143"/>
        <v/>
      </c>
      <c r="M641" s="52" t="str">
        <f t="shared" si="148"/>
        <v/>
      </c>
      <c r="N641" s="58" t="str">
        <f t="shared" si="144"/>
        <v/>
      </c>
      <c r="Q641" s="51" t="str">
        <f t="shared" si="149"/>
        <v/>
      </c>
      <c r="R641" s="52" t="str">
        <f t="shared" si="150"/>
        <v/>
      </c>
      <c r="S641" s="58" t="str">
        <f t="shared" si="164"/>
        <v/>
      </c>
      <c r="T641" s="52" t="str">
        <f t="shared" si="145"/>
        <v/>
      </c>
    </row>
    <row r="642" spans="2:20" ht="15.75" customHeight="1" x14ac:dyDescent="0.25">
      <c r="B642" s="33">
        <f t="shared" si="172"/>
        <v>65.166666666666657</v>
      </c>
      <c r="C642" s="34"/>
      <c r="D642" s="35">
        <f>(2/12)*D640</f>
        <v>3.3300000000000001E-3</v>
      </c>
      <c r="E642" s="36">
        <f>E640-(2/12)*F640</f>
        <v>770288.98906948429</v>
      </c>
      <c r="F642" s="36">
        <f t="shared" si="173"/>
        <v>1286.8162649630103</v>
      </c>
      <c r="G642" s="31">
        <f t="shared" si="140"/>
        <v>0.99666999999999994</v>
      </c>
      <c r="H642" s="32"/>
      <c r="I642" s="51" t="str">
        <f t="shared" si="146"/>
        <v/>
      </c>
      <c r="J642" s="51" t="str">
        <f t="shared" si="147"/>
        <v/>
      </c>
      <c r="K642" s="52" t="str">
        <f t="shared" si="165"/>
        <v/>
      </c>
      <c r="L642" s="53" t="str">
        <f t="shared" si="143"/>
        <v/>
      </c>
      <c r="M642" s="52" t="str">
        <f t="shared" si="148"/>
        <v/>
      </c>
      <c r="N642" s="58" t="str">
        <f t="shared" si="144"/>
        <v/>
      </c>
      <c r="Q642" s="51" t="str">
        <f t="shared" si="149"/>
        <v/>
      </c>
      <c r="R642" s="52" t="str">
        <f t="shared" si="150"/>
        <v/>
      </c>
      <c r="S642" s="58" t="str">
        <f t="shared" si="164"/>
        <v/>
      </c>
      <c r="T642" s="52" t="str">
        <f t="shared" si="145"/>
        <v/>
      </c>
    </row>
    <row r="643" spans="2:20" ht="15.75" customHeight="1" x14ac:dyDescent="0.25">
      <c r="B643" s="33">
        <f t="shared" si="172"/>
        <v>65.249999999999986</v>
      </c>
      <c r="C643" s="34"/>
      <c r="D643" s="35">
        <f>(3/12)*D640</f>
        <v>4.9950000000000003E-3</v>
      </c>
      <c r="E643" s="36">
        <f>E640-(3/12)*F640</f>
        <v>769002.17280452128</v>
      </c>
      <c r="F643" s="36">
        <f t="shared" si="173"/>
        <v>1286.8162649630103</v>
      </c>
      <c r="G643" s="31">
        <f t="shared" si="140"/>
        <v>0.99500500000000003</v>
      </c>
      <c r="H643" s="32"/>
      <c r="I643" s="51" t="str">
        <f t="shared" si="146"/>
        <v/>
      </c>
      <c r="J643" s="51" t="str">
        <f t="shared" si="147"/>
        <v/>
      </c>
      <c r="K643" s="52" t="str">
        <f t="shared" si="165"/>
        <v/>
      </c>
      <c r="L643" s="53" t="str">
        <f t="shared" si="143"/>
        <v/>
      </c>
      <c r="M643" s="52" t="str">
        <f t="shared" si="148"/>
        <v/>
      </c>
      <c r="N643" s="58" t="str">
        <f t="shared" si="144"/>
        <v/>
      </c>
      <c r="Q643" s="51" t="str">
        <f t="shared" si="149"/>
        <v/>
      </c>
      <c r="R643" s="52" t="str">
        <f t="shared" si="150"/>
        <v/>
      </c>
      <c r="S643" s="58" t="str">
        <f t="shared" si="164"/>
        <v/>
      </c>
      <c r="T643" s="52" t="str">
        <f t="shared" si="145"/>
        <v/>
      </c>
    </row>
    <row r="644" spans="2:20" ht="15.75" customHeight="1" x14ac:dyDescent="0.25">
      <c r="B644" s="33">
        <f t="shared" si="172"/>
        <v>65.333333333333314</v>
      </c>
      <c r="C644" s="34"/>
      <c r="D644" s="35">
        <f>(4/12)*D640</f>
        <v>6.6600000000000001E-3</v>
      </c>
      <c r="E644" s="36">
        <f>E640-(4/12)*F640</f>
        <v>767715.35653955827</v>
      </c>
      <c r="F644" s="36">
        <f t="shared" si="173"/>
        <v>1286.8162649630103</v>
      </c>
      <c r="G644" s="31">
        <f t="shared" si="140"/>
        <v>0.99334</v>
      </c>
      <c r="H644" s="32"/>
      <c r="I644" s="51" t="str">
        <f t="shared" si="146"/>
        <v/>
      </c>
      <c r="J644" s="51" t="str">
        <f t="shared" si="147"/>
        <v/>
      </c>
      <c r="K644" s="52" t="str">
        <f t="shared" si="165"/>
        <v/>
      </c>
      <c r="L644" s="53" t="str">
        <f t="shared" si="143"/>
        <v/>
      </c>
      <c r="M644" s="52" t="str">
        <f t="shared" si="148"/>
        <v/>
      </c>
      <c r="N644" s="58" t="str">
        <f t="shared" si="144"/>
        <v/>
      </c>
      <c r="Q644" s="51" t="str">
        <f t="shared" si="149"/>
        <v/>
      </c>
      <c r="R644" s="52" t="str">
        <f t="shared" si="150"/>
        <v/>
      </c>
      <c r="S644" s="58" t="str">
        <f t="shared" si="164"/>
        <v/>
      </c>
      <c r="T644" s="52" t="str">
        <f t="shared" si="145"/>
        <v/>
      </c>
    </row>
    <row r="645" spans="2:20" ht="15.75" customHeight="1" x14ac:dyDescent="0.25">
      <c r="B645" s="33">
        <f t="shared" si="172"/>
        <v>65.416666666666643</v>
      </c>
      <c r="C645" s="34"/>
      <c r="D645" s="35">
        <f>(5/12)*D640</f>
        <v>8.3250000000000008E-3</v>
      </c>
      <c r="E645" s="36">
        <f>E640-(5/12)*F640</f>
        <v>766428.54027459526</v>
      </c>
      <c r="F645" s="36">
        <f t="shared" si="173"/>
        <v>1286.8162649630103</v>
      </c>
      <c r="G645" s="31">
        <f t="shared" si="140"/>
        <v>0.99167499999999997</v>
      </c>
      <c r="H645" s="32"/>
      <c r="I645" s="51" t="str">
        <f t="shared" si="146"/>
        <v/>
      </c>
      <c r="J645" s="51" t="str">
        <f t="shared" si="147"/>
        <v/>
      </c>
      <c r="K645" s="52" t="str">
        <f t="shared" si="165"/>
        <v/>
      </c>
      <c r="L645" s="53" t="str">
        <f t="shared" si="143"/>
        <v/>
      </c>
      <c r="M645" s="52" t="str">
        <f t="shared" si="148"/>
        <v/>
      </c>
      <c r="N645" s="58" t="str">
        <f t="shared" si="144"/>
        <v/>
      </c>
      <c r="Q645" s="51" t="str">
        <f t="shared" si="149"/>
        <v/>
      </c>
      <c r="R645" s="52" t="str">
        <f t="shared" si="150"/>
        <v/>
      </c>
      <c r="S645" s="58" t="str">
        <f t="shared" si="164"/>
        <v/>
      </c>
      <c r="T645" s="52" t="str">
        <f t="shared" si="145"/>
        <v/>
      </c>
    </row>
    <row r="646" spans="2:20" ht="15.75" customHeight="1" x14ac:dyDescent="0.25">
      <c r="B646" s="33">
        <f t="shared" si="172"/>
        <v>65.499999999999972</v>
      </c>
      <c r="C646" s="34"/>
      <c r="D646" s="35">
        <f>(6/12)*D640</f>
        <v>9.9900000000000006E-3</v>
      </c>
      <c r="E646" s="36">
        <f>E640-(6/12)*F640</f>
        <v>765141.72400963225</v>
      </c>
      <c r="F646" s="36">
        <f t="shared" si="173"/>
        <v>1286.8162649630103</v>
      </c>
      <c r="G646" s="31">
        <f t="shared" si="140"/>
        <v>0.99000999999999995</v>
      </c>
      <c r="H646" s="32"/>
      <c r="I646" s="51" t="str">
        <f t="shared" si="146"/>
        <v/>
      </c>
      <c r="J646" s="51" t="str">
        <f t="shared" si="147"/>
        <v/>
      </c>
      <c r="K646" s="52" t="str">
        <f t="shared" si="165"/>
        <v/>
      </c>
      <c r="L646" s="53" t="str">
        <f t="shared" si="143"/>
        <v/>
      </c>
      <c r="M646" s="52" t="str">
        <f t="shared" si="148"/>
        <v/>
      </c>
      <c r="N646" s="58" t="str">
        <f t="shared" si="144"/>
        <v/>
      </c>
      <c r="Q646" s="51" t="str">
        <f t="shared" si="149"/>
        <v/>
      </c>
      <c r="R646" s="52" t="str">
        <f t="shared" si="150"/>
        <v/>
      </c>
      <c r="S646" s="58" t="str">
        <f t="shared" si="164"/>
        <v/>
      </c>
      <c r="T646" s="52" t="str">
        <f t="shared" si="145"/>
        <v/>
      </c>
    </row>
    <row r="647" spans="2:20" ht="15.75" customHeight="1" x14ac:dyDescent="0.25">
      <c r="B647" s="33">
        <f t="shared" si="172"/>
        <v>65.5833333333333</v>
      </c>
      <c r="C647" s="34"/>
      <c r="D647" s="35">
        <f>(7/12)*D640</f>
        <v>1.1655000000000002E-2</v>
      </c>
      <c r="E647" s="36">
        <f>E640-(7/12)*F640</f>
        <v>763854.90774466924</v>
      </c>
      <c r="F647" s="36">
        <f t="shared" si="173"/>
        <v>1286.8162649631267</v>
      </c>
      <c r="G647" s="31">
        <f t="shared" si="140"/>
        <v>0.98834500000000003</v>
      </c>
      <c r="H647" s="32"/>
      <c r="I647" s="51" t="str">
        <f t="shared" si="146"/>
        <v/>
      </c>
      <c r="J647" s="51" t="str">
        <f t="shared" si="147"/>
        <v/>
      </c>
      <c r="K647" s="52" t="str">
        <f t="shared" si="165"/>
        <v/>
      </c>
      <c r="L647" s="53" t="str">
        <f t="shared" si="143"/>
        <v/>
      </c>
      <c r="M647" s="52" t="str">
        <f t="shared" si="148"/>
        <v/>
      </c>
      <c r="N647" s="58" t="str">
        <f t="shared" si="144"/>
        <v/>
      </c>
      <c r="Q647" s="51" t="str">
        <f t="shared" si="149"/>
        <v/>
      </c>
      <c r="R647" s="52" t="str">
        <f t="shared" si="150"/>
        <v/>
      </c>
      <c r="S647" s="58" t="str">
        <f t="shared" si="164"/>
        <v/>
      </c>
      <c r="T647" s="52" t="str">
        <f t="shared" si="145"/>
        <v/>
      </c>
    </row>
    <row r="648" spans="2:20" ht="15.75" customHeight="1" x14ac:dyDescent="0.25">
      <c r="B648" s="33">
        <f t="shared" si="172"/>
        <v>65.666666666666629</v>
      </c>
      <c r="C648" s="34"/>
      <c r="D648" s="35">
        <f>(8/12)*D640</f>
        <v>1.332E-2</v>
      </c>
      <c r="E648" s="36">
        <f>E640-(8/12)*F640</f>
        <v>762568.09147970611</v>
      </c>
      <c r="F648" s="36">
        <f t="shared" si="173"/>
        <v>1286.8162649630103</v>
      </c>
      <c r="G648" s="31">
        <f t="shared" si="140"/>
        <v>0.98668</v>
      </c>
      <c r="H648" s="32"/>
      <c r="I648" s="51" t="str">
        <f t="shared" si="146"/>
        <v/>
      </c>
      <c r="J648" s="51" t="str">
        <f t="shared" si="147"/>
        <v/>
      </c>
      <c r="K648" s="52" t="str">
        <f t="shared" si="165"/>
        <v/>
      </c>
      <c r="L648" s="53" t="str">
        <f t="shared" si="143"/>
        <v/>
      </c>
      <c r="M648" s="52" t="str">
        <f t="shared" si="148"/>
        <v/>
      </c>
      <c r="N648" s="58" t="str">
        <f t="shared" si="144"/>
        <v/>
      </c>
      <c r="Q648" s="51" t="str">
        <f t="shared" si="149"/>
        <v/>
      </c>
      <c r="R648" s="52" t="str">
        <f t="shared" si="150"/>
        <v/>
      </c>
      <c r="S648" s="58" t="str">
        <f t="shared" si="164"/>
        <v/>
      </c>
      <c r="T648" s="52" t="str">
        <f t="shared" si="145"/>
        <v/>
      </c>
    </row>
    <row r="649" spans="2:20" ht="15.75" customHeight="1" x14ac:dyDescent="0.25">
      <c r="B649" s="33">
        <f t="shared" si="172"/>
        <v>65.749999999999957</v>
      </c>
      <c r="C649" s="34"/>
      <c r="D649" s="35">
        <f>(9/12)*D640</f>
        <v>1.4985000000000002E-2</v>
      </c>
      <c r="E649" s="36">
        <f>E640-(9/12)*F640</f>
        <v>761281.2752147431</v>
      </c>
      <c r="F649" s="36">
        <f t="shared" si="173"/>
        <v>1286.8162649630103</v>
      </c>
      <c r="G649" s="31">
        <f t="shared" si="140"/>
        <v>0.98501499999999997</v>
      </c>
      <c r="H649" s="32"/>
      <c r="I649" s="51" t="str">
        <f t="shared" si="146"/>
        <v/>
      </c>
      <c r="J649" s="51" t="str">
        <f t="shared" si="147"/>
        <v/>
      </c>
      <c r="K649" s="52" t="str">
        <f t="shared" si="165"/>
        <v/>
      </c>
      <c r="L649" s="53" t="str">
        <f t="shared" si="143"/>
        <v/>
      </c>
      <c r="M649" s="52" t="str">
        <f t="shared" si="148"/>
        <v/>
      </c>
      <c r="N649" s="58" t="str">
        <f t="shared" si="144"/>
        <v/>
      </c>
      <c r="Q649" s="51" t="str">
        <f t="shared" si="149"/>
        <v/>
      </c>
      <c r="R649" s="52" t="str">
        <f t="shared" si="150"/>
        <v/>
      </c>
      <c r="S649" s="58" t="str">
        <f t="shared" si="164"/>
        <v/>
      </c>
      <c r="T649" s="52" t="str">
        <f t="shared" si="145"/>
        <v/>
      </c>
    </row>
    <row r="650" spans="2:20" ht="15.75" customHeight="1" x14ac:dyDescent="0.25">
      <c r="B650" s="33">
        <f t="shared" si="172"/>
        <v>65.833333333333286</v>
      </c>
      <c r="C650" s="34"/>
      <c r="D650" s="35">
        <f>(10/12)*D640</f>
        <v>1.6650000000000002E-2</v>
      </c>
      <c r="E650" s="36">
        <f>E640-(10/12)*F640</f>
        <v>759994.45894978009</v>
      </c>
      <c r="F650" s="36">
        <f t="shared" si="173"/>
        <v>1286.8162649630103</v>
      </c>
      <c r="G650" s="31">
        <f t="shared" si="140"/>
        <v>0.98334999999999995</v>
      </c>
      <c r="H650" s="32"/>
      <c r="I650" s="51" t="str">
        <f t="shared" si="146"/>
        <v/>
      </c>
      <c r="J650" s="51" t="str">
        <f t="shared" si="147"/>
        <v/>
      </c>
      <c r="K650" s="52" t="str">
        <f t="shared" si="165"/>
        <v/>
      </c>
      <c r="L650" s="53" t="str">
        <f t="shared" si="143"/>
        <v/>
      </c>
      <c r="M650" s="52" t="str">
        <f t="shared" si="148"/>
        <v/>
      </c>
      <c r="N650" s="58" t="str">
        <f t="shared" si="144"/>
        <v/>
      </c>
      <c r="Q650" s="51" t="str">
        <f t="shared" si="149"/>
        <v/>
      </c>
      <c r="R650" s="52" t="str">
        <f t="shared" si="150"/>
        <v/>
      </c>
      <c r="S650" s="58" t="str">
        <f t="shared" si="164"/>
        <v/>
      </c>
      <c r="T650" s="52" t="str">
        <f t="shared" si="145"/>
        <v/>
      </c>
    </row>
    <row r="651" spans="2:20" ht="15.75" customHeight="1" x14ac:dyDescent="0.25">
      <c r="B651" s="33">
        <f t="shared" si="172"/>
        <v>65.916666666666615</v>
      </c>
      <c r="C651" s="34"/>
      <c r="D651" s="35">
        <f>(11/12)*D640</f>
        <v>1.8315000000000001E-2</v>
      </c>
      <c r="E651" s="36">
        <f>E640-(11/12)*F640</f>
        <v>758707.64268481708</v>
      </c>
      <c r="F651" s="36">
        <f t="shared" si="173"/>
        <v>1286.8162649630103</v>
      </c>
      <c r="G651" s="31">
        <f t="shared" si="140"/>
        <v>0.98168500000000003</v>
      </c>
      <c r="H651" s="32"/>
      <c r="I651" s="51" t="str">
        <f t="shared" si="146"/>
        <v/>
      </c>
      <c r="J651" s="51" t="str">
        <f t="shared" si="147"/>
        <v/>
      </c>
      <c r="K651" s="52" t="str">
        <f t="shared" si="165"/>
        <v/>
      </c>
      <c r="L651" s="53" t="str">
        <f t="shared" si="143"/>
        <v/>
      </c>
      <c r="M651" s="52" t="str">
        <f t="shared" si="148"/>
        <v/>
      </c>
      <c r="N651" s="58" t="str">
        <f t="shared" si="144"/>
        <v/>
      </c>
      <c r="Q651" s="51" t="str">
        <f t="shared" si="149"/>
        <v/>
      </c>
      <c r="R651" s="52" t="str">
        <f t="shared" si="150"/>
        <v/>
      </c>
      <c r="S651" s="58" t="str">
        <f t="shared" si="164"/>
        <v/>
      </c>
      <c r="T651" s="52" t="str">
        <f t="shared" si="145"/>
        <v/>
      </c>
    </row>
    <row r="652" spans="2:20" ht="15.75" customHeight="1" x14ac:dyDescent="0.25">
      <c r="B652" s="27">
        <v>66</v>
      </c>
      <c r="C652" s="28">
        <v>21.49</v>
      </c>
      <c r="D652" s="29">
        <f>C652/1000</f>
        <v>2.1489999999999999E-2</v>
      </c>
      <c r="E652" s="30">
        <f>E640-F640</f>
        <v>757420.82641985407</v>
      </c>
      <c r="F652" s="48">
        <f>D652*E652</f>
        <v>16276.973559762662</v>
      </c>
      <c r="G652" s="31">
        <f t="shared" si="140"/>
        <v>0.97850999999999999</v>
      </c>
      <c r="H652" s="49"/>
      <c r="I652" s="51" t="str">
        <f t="shared" si="146"/>
        <v/>
      </c>
      <c r="J652" s="51" t="str">
        <f t="shared" si="147"/>
        <v/>
      </c>
      <c r="K652" s="52" t="str">
        <f t="shared" si="165"/>
        <v/>
      </c>
      <c r="L652" s="53" t="str">
        <f t="shared" si="143"/>
        <v/>
      </c>
      <c r="M652" s="52" t="str">
        <f t="shared" si="148"/>
        <v/>
      </c>
      <c r="N652" s="58" t="str">
        <f t="shared" si="144"/>
        <v/>
      </c>
      <c r="Q652" s="51" t="str">
        <f t="shared" si="149"/>
        <v/>
      </c>
      <c r="R652" s="52" t="str">
        <f t="shared" si="150"/>
        <v/>
      </c>
      <c r="S652" s="58" t="str">
        <f t="shared" si="164"/>
        <v/>
      </c>
      <c r="T652" s="52" t="str">
        <f t="shared" si="145"/>
        <v/>
      </c>
    </row>
    <row r="653" spans="2:20" ht="15.75" customHeight="1" x14ac:dyDescent="0.25">
      <c r="B653" s="33">
        <f t="shared" ref="B653:B663" si="174">B652+1/12</f>
        <v>66.083333333333329</v>
      </c>
      <c r="C653" s="34"/>
      <c r="D653" s="35">
        <f>(1/12)*D652</f>
        <v>1.7908333333333331E-3</v>
      </c>
      <c r="E653" s="36">
        <f>E652-(1/12)*F652</f>
        <v>756064.41195654054</v>
      </c>
      <c r="F653" s="36">
        <f t="shared" ref="F653:F663" si="175">E653-E654</f>
        <v>1356.4144633135293</v>
      </c>
      <c r="G653" s="31">
        <f t="shared" si="140"/>
        <v>0.9982091666666667</v>
      </c>
      <c r="H653" s="37"/>
      <c r="I653" s="51" t="str">
        <f t="shared" si="146"/>
        <v/>
      </c>
      <c r="J653" s="51" t="str">
        <f t="shared" si="147"/>
        <v/>
      </c>
      <c r="K653" s="52" t="str">
        <f t="shared" si="165"/>
        <v/>
      </c>
      <c r="L653" s="53" t="str">
        <f t="shared" si="143"/>
        <v/>
      </c>
      <c r="M653" s="52" t="str">
        <f t="shared" si="148"/>
        <v/>
      </c>
      <c r="N653" s="58" t="str">
        <f t="shared" si="144"/>
        <v/>
      </c>
      <c r="Q653" s="51" t="str">
        <f t="shared" si="149"/>
        <v/>
      </c>
      <c r="R653" s="52" t="str">
        <f t="shared" si="150"/>
        <v/>
      </c>
      <c r="S653" s="58" t="str">
        <f t="shared" si="164"/>
        <v/>
      </c>
      <c r="T653" s="52" t="str">
        <f t="shared" si="145"/>
        <v/>
      </c>
    </row>
    <row r="654" spans="2:20" ht="15.75" customHeight="1" x14ac:dyDescent="0.25">
      <c r="B654" s="33">
        <f t="shared" si="174"/>
        <v>66.166666666666657</v>
      </c>
      <c r="C654" s="34"/>
      <c r="D654" s="35">
        <f>(2/12)*D652</f>
        <v>3.5816666666666662E-3</v>
      </c>
      <c r="E654" s="36">
        <f>E652-(2/12)*F652</f>
        <v>754707.99749322701</v>
      </c>
      <c r="F654" s="36">
        <f t="shared" si="175"/>
        <v>1356.4144633136457</v>
      </c>
      <c r="G654" s="31">
        <f t="shared" si="140"/>
        <v>0.99641833333333329</v>
      </c>
      <c r="H654" s="32"/>
      <c r="I654" s="51" t="str">
        <f t="shared" si="146"/>
        <v/>
      </c>
      <c r="J654" s="51" t="str">
        <f t="shared" si="147"/>
        <v/>
      </c>
      <c r="K654" s="52" t="str">
        <f t="shared" si="165"/>
        <v/>
      </c>
      <c r="L654" s="53" t="str">
        <f t="shared" si="143"/>
        <v/>
      </c>
      <c r="M654" s="52" t="str">
        <f t="shared" si="148"/>
        <v/>
      </c>
      <c r="N654" s="58" t="str">
        <f t="shared" si="144"/>
        <v/>
      </c>
      <c r="Q654" s="51" t="str">
        <f t="shared" si="149"/>
        <v/>
      </c>
      <c r="R654" s="52" t="str">
        <f t="shared" si="150"/>
        <v/>
      </c>
      <c r="S654" s="58" t="str">
        <f t="shared" si="164"/>
        <v/>
      </c>
      <c r="T654" s="52" t="str">
        <f t="shared" si="145"/>
        <v/>
      </c>
    </row>
    <row r="655" spans="2:20" ht="15.75" customHeight="1" x14ac:dyDescent="0.25">
      <c r="B655" s="33">
        <f t="shared" si="174"/>
        <v>66.249999999999986</v>
      </c>
      <c r="C655" s="34"/>
      <c r="D655" s="35">
        <f>(3/12)*D652</f>
        <v>5.3724999999999997E-3</v>
      </c>
      <c r="E655" s="36">
        <f>E652-(3/12)*F652</f>
        <v>753351.58302991337</v>
      </c>
      <c r="F655" s="36">
        <f t="shared" si="175"/>
        <v>1356.4144633135293</v>
      </c>
      <c r="G655" s="31">
        <f t="shared" si="140"/>
        <v>0.9946275</v>
      </c>
      <c r="H655" s="32"/>
      <c r="I655" s="51" t="str">
        <f t="shared" si="146"/>
        <v/>
      </c>
      <c r="J655" s="51" t="str">
        <f t="shared" si="147"/>
        <v/>
      </c>
      <c r="K655" s="52" t="str">
        <f t="shared" si="165"/>
        <v/>
      </c>
      <c r="L655" s="53" t="str">
        <f t="shared" si="143"/>
        <v/>
      </c>
      <c r="M655" s="52" t="str">
        <f t="shared" si="148"/>
        <v/>
      </c>
      <c r="N655" s="58" t="str">
        <f t="shared" si="144"/>
        <v/>
      </c>
      <c r="Q655" s="51" t="str">
        <f t="shared" si="149"/>
        <v/>
      </c>
      <c r="R655" s="52" t="str">
        <f t="shared" si="150"/>
        <v/>
      </c>
      <c r="S655" s="58" t="str">
        <f t="shared" si="164"/>
        <v/>
      </c>
      <c r="T655" s="52" t="str">
        <f t="shared" si="145"/>
        <v/>
      </c>
    </row>
    <row r="656" spans="2:20" ht="15.75" customHeight="1" x14ac:dyDescent="0.25">
      <c r="B656" s="33">
        <f t="shared" si="174"/>
        <v>66.333333333333314</v>
      </c>
      <c r="C656" s="34"/>
      <c r="D656" s="35">
        <f>(4/12)*D652</f>
        <v>7.1633333333333323E-3</v>
      </c>
      <c r="E656" s="36">
        <f>E652-(4/12)*F652</f>
        <v>751995.16856659984</v>
      </c>
      <c r="F656" s="36">
        <f t="shared" si="175"/>
        <v>1356.4144633135293</v>
      </c>
      <c r="G656" s="31">
        <f t="shared" si="140"/>
        <v>0.9928366666666667</v>
      </c>
      <c r="H656" s="32"/>
      <c r="I656" s="51" t="str">
        <f t="shared" si="146"/>
        <v/>
      </c>
      <c r="J656" s="51" t="str">
        <f t="shared" si="147"/>
        <v/>
      </c>
      <c r="K656" s="52" t="str">
        <f t="shared" si="165"/>
        <v/>
      </c>
      <c r="L656" s="53" t="str">
        <f t="shared" si="143"/>
        <v/>
      </c>
      <c r="M656" s="52" t="str">
        <f t="shared" si="148"/>
        <v/>
      </c>
      <c r="N656" s="58" t="str">
        <f t="shared" si="144"/>
        <v/>
      </c>
      <c r="Q656" s="51" t="str">
        <f t="shared" si="149"/>
        <v/>
      </c>
      <c r="R656" s="52" t="str">
        <f t="shared" si="150"/>
        <v/>
      </c>
      <c r="S656" s="58" t="str">
        <f t="shared" si="164"/>
        <v/>
      </c>
      <c r="T656" s="52" t="str">
        <f t="shared" si="145"/>
        <v/>
      </c>
    </row>
    <row r="657" spans="2:20" ht="15.75" customHeight="1" x14ac:dyDescent="0.25">
      <c r="B657" s="33">
        <f t="shared" si="174"/>
        <v>66.416666666666643</v>
      </c>
      <c r="C657" s="34"/>
      <c r="D657" s="35">
        <f>(5/12)*D652</f>
        <v>8.9541666666666658E-3</v>
      </c>
      <c r="E657" s="36">
        <f>E652-(5/12)*F652</f>
        <v>750638.75410328631</v>
      </c>
      <c r="F657" s="36">
        <f t="shared" si="175"/>
        <v>1356.4144633135293</v>
      </c>
      <c r="G657" s="31">
        <f t="shared" si="140"/>
        <v>0.99104583333333329</v>
      </c>
      <c r="H657" s="32"/>
      <c r="I657" s="51" t="str">
        <f t="shared" si="146"/>
        <v/>
      </c>
      <c r="J657" s="51" t="str">
        <f t="shared" si="147"/>
        <v/>
      </c>
      <c r="K657" s="52" t="str">
        <f t="shared" si="165"/>
        <v/>
      </c>
      <c r="L657" s="53" t="str">
        <f t="shared" si="143"/>
        <v/>
      </c>
      <c r="M657" s="52" t="str">
        <f t="shared" si="148"/>
        <v/>
      </c>
      <c r="N657" s="58" t="str">
        <f t="shared" si="144"/>
        <v/>
      </c>
      <c r="Q657" s="51" t="str">
        <f t="shared" si="149"/>
        <v/>
      </c>
      <c r="R657" s="52" t="str">
        <f t="shared" si="150"/>
        <v/>
      </c>
      <c r="S657" s="58" t="str">
        <f t="shared" si="164"/>
        <v/>
      </c>
      <c r="T657" s="52" t="str">
        <f t="shared" si="145"/>
        <v/>
      </c>
    </row>
    <row r="658" spans="2:20" ht="15.75" customHeight="1" x14ac:dyDescent="0.25">
      <c r="B658" s="33">
        <f t="shared" si="174"/>
        <v>66.499999999999972</v>
      </c>
      <c r="C658" s="34"/>
      <c r="D658" s="35">
        <f>(6/12)*D652</f>
        <v>1.0744999999999999E-2</v>
      </c>
      <c r="E658" s="36">
        <f>E652-(6/12)*F652</f>
        <v>749282.33963997278</v>
      </c>
      <c r="F658" s="36">
        <f t="shared" si="175"/>
        <v>1356.4144633136457</v>
      </c>
      <c r="G658" s="31">
        <f t="shared" si="140"/>
        <v>0.989255</v>
      </c>
      <c r="H658" s="32"/>
      <c r="I658" s="51" t="str">
        <f t="shared" si="146"/>
        <v/>
      </c>
      <c r="J658" s="51" t="str">
        <f t="shared" si="147"/>
        <v/>
      </c>
      <c r="K658" s="52" t="str">
        <f t="shared" si="165"/>
        <v/>
      </c>
      <c r="L658" s="53" t="str">
        <f t="shared" si="143"/>
        <v/>
      </c>
      <c r="M658" s="52" t="str">
        <f t="shared" si="148"/>
        <v/>
      </c>
      <c r="N658" s="58" t="str">
        <f t="shared" si="144"/>
        <v/>
      </c>
      <c r="Q658" s="51" t="str">
        <f t="shared" si="149"/>
        <v/>
      </c>
      <c r="R658" s="52" t="str">
        <f t="shared" si="150"/>
        <v/>
      </c>
      <c r="S658" s="58" t="str">
        <f t="shared" ref="S658:S721" si="176">IF(Q658&lt;&gt;"",(1+$M$10)^-(12*Q658),"")</f>
        <v/>
      </c>
      <c r="T658" s="52" t="str">
        <f t="shared" si="145"/>
        <v/>
      </c>
    </row>
    <row r="659" spans="2:20" ht="15.75" customHeight="1" x14ac:dyDescent="0.25">
      <c r="B659" s="33">
        <f t="shared" si="174"/>
        <v>66.5833333333333</v>
      </c>
      <c r="C659" s="34"/>
      <c r="D659" s="35">
        <f>(7/12)*D652</f>
        <v>1.2535833333333333E-2</v>
      </c>
      <c r="E659" s="36">
        <f>E652-(7/12)*F652</f>
        <v>747925.92517665913</v>
      </c>
      <c r="F659" s="36">
        <f t="shared" si="175"/>
        <v>1356.4144633135293</v>
      </c>
      <c r="G659" s="31">
        <f t="shared" si="140"/>
        <v>0.9874641666666667</v>
      </c>
      <c r="H659" s="32"/>
      <c r="I659" s="51" t="str">
        <f t="shared" si="146"/>
        <v/>
      </c>
      <c r="J659" s="51" t="str">
        <f t="shared" si="147"/>
        <v/>
      </c>
      <c r="K659" s="52" t="str">
        <f t="shared" si="165"/>
        <v/>
      </c>
      <c r="L659" s="53" t="str">
        <f t="shared" si="143"/>
        <v/>
      </c>
      <c r="M659" s="52" t="str">
        <f t="shared" si="148"/>
        <v/>
      </c>
      <c r="N659" s="58" t="str">
        <f t="shared" si="144"/>
        <v/>
      </c>
      <c r="Q659" s="51" t="str">
        <f t="shared" si="149"/>
        <v/>
      </c>
      <c r="R659" s="52" t="str">
        <f t="shared" si="150"/>
        <v/>
      </c>
      <c r="S659" s="58" t="str">
        <f t="shared" si="176"/>
        <v/>
      </c>
      <c r="T659" s="52" t="str">
        <f t="shared" si="145"/>
        <v/>
      </c>
    </row>
    <row r="660" spans="2:20" ht="15.75" customHeight="1" x14ac:dyDescent="0.25">
      <c r="B660" s="33">
        <f t="shared" si="174"/>
        <v>66.666666666666629</v>
      </c>
      <c r="C660" s="34"/>
      <c r="D660" s="35">
        <f>(8/12)*D652</f>
        <v>1.4326666666666665E-2</v>
      </c>
      <c r="E660" s="36">
        <f>E652-(8/12)*F652</f>
        <v>746569.5107133456</v>
      </c>
      <c r="F660" s="36">
        <f t="shared" si="175"/>
        <v>1356.4144633135293</v>
      </c>
      <c r="G660" s="31">
        <f t="shared" si="140"/>
        <v>0.98567333333333329</v>
      </c>
      <c r="H660" s="32"/>
      <c r="I660" s="51" t="str">
        <f t="shared" si="146"/>
        <v/>
      </c>
      <c r="J660" s="51" t="str">
        <f t="shared" si="147"/>
        <v/>
      </c>
      <c r="K660" s="52" t="str">
        <f t="shared" si="165"/>
        <v/>
      </c>
      <c r="L660" s="53" t="str">
        <f t="shared" si="143"/>
        <v/>
      </c>
      <c r="M660" s="52" t="str">
        <f t="shared" si="148"/>
        <v/>
      </c>
      <c r="N660" s="58" t="str">
        <f t="shared" si="144"/>
        <v/>
      </c>
      <c r="Q660" s="51" t="str">
        <f t="shared" si="149"/>
        <v/>
      </c>
      <c r="R660" s="52" t="str">
        <f t="shared" si="150"/>
        <v/>
      </c>
      <c r="S660" s="58" t="str">
        <f t="shared" si="176"/>
        <v/>
      </c>
      <c r="T660" s="52" t="str">
        <f t="shared" si="145"/>
        <v/>
      </c>
    </row>
    <row r="661" spans="2:20" ht="15.75" customHeight="1" x14ac:dyDescent="0.25">
      <c r="B661" s="33">
        <f t="shared" si="174"/>
        <v>66.749999999999957</v>
      </c>
      <c r="C661" s="34"/>
      <c r="D661" s="35">
        <f>(9/12)*D652</f>
        <v>1.61175E-2</v>
      </c>
      <c r="E661" s="36">
        <f>E652-(9/12)*F652</f>
        <v>745213.09625003207</v>
      </c>
      <c r="F661" s="36">
        <f t="shared" si="175"/>
        <v>1356.4144633135293</v>
      </c>
      <c r="G661" s="31">
        <f t="shared" si="140"/>
        <v>0.98388249999999999</v>
      </c>
      <c r="H661" s="32"/>
      <c r="I661" s="51" t="str">
        <f t="shared" si="146"/>
        <v/>
      </c>
      <c r="J661" s="51" t="str">
        <f t="shared" si="147"/>
        <v/>
      </c>
      <c r="K661" s="52" t="str">
        <f t="shared" si="165"/>
        <v/>
      </c>
      <c r="L661" s="53" t="str">
        <f t="shared" si="143"/>
        <v/>
      </c>
      <c r="M661" s="52" t="str">
        <f t="shared" si="148"/>
        <v/>
      </c>
      <c r="N661" s="58" t="str">
        <f t="shared" si="144"/>
        <v/>
      </c>
      <c r="Q661" s="51" t="str">
        <f t="shared" si="149"/>
        <v/>
      </c>
      <c r="R661" s="52" t="str">
        <f t="shared" si="150"/>
        <v/>
      </c>
      <c r="S661" s="58" t="str">
        <f t="shared" si="176"/>
        <v/>
      </c>
      <c r="T661" s="52" t="str">
        <f t="shared" si="145"/>
        <v/>
      </c>
    </row>
    <row r="662" spans="2:20" ht="15.75" customHeight="1" x14ac:dyDescent="0.25">
      <c r="B662" s="33">
        <f t="shared" si="174"/>
        <v>66.833333333333286</v>
      </c>
      <c r="C662" s="34"/>
      <c r="D662" s="35">
        <f>(10/12)*D652</f>
        <v>1.7908333333333332E-2</v>
      </c>
      <c r="E662" s="36">
        <f>E652-(10/12)*F652</f>
        <v>743856.68178671855</v>
      </c>
      <c r="F662" s="36">
        <f t="shared" si="175"/>
        <v>1356.4144633135293</v>
      </c>
      <c r="G662" s="31">
        <f t="shared" si="140"/>
        <v>0.9820916666666667</v>
      </c>
      <c r="H662" s="32"/>
      <c r="I662" s="51" t="str">
        <f t="shared" si="146"/>
        <v/>
      </c>
      <c r="J662" s="51" t="str">
        <f t="shared" si="147"/>
        <v/>
      </c>
      <c r="K662" s="52" t="str">
        <f t="shared" si="165"/>
        <v/>
      </c>
      <c r="L662" s="53" t="str">
        <f t="shared" si="143"/>
        <v/>
      </c>
      <c r="M662" s="52" t="str">
        <f t="shared" si="148"/>
        <v/>
      </c>
      <c r="N662" s="58" t="str">
        <f t="shared" si="144"/>
        <v/>
      </c>
      <c r="Q662" s="51" t="str">
        <f t="shared" si="149"/>
        <v/>
      </c>
      <c r="R662" s="52" t="str">
        <f t="shared" si="150"/>
        <v/>
      </c>
      <c r="S662" s="58" t="str">
        <f t="shared" si="176"/>
        <v/>
      </c>
      <c r="T662" s="52" t="str">
        <f t="shared" si="145"/>
        <v/>
      </c>
    </row>
    <row r="663" spans="2:20" ht="15.75" customHeight="1" x14ac:dyDescent="0.25">
      <c r="B663" s="33">
        <f t="shared" si="174"/>
        <v>66.916666666666615</v>
      </c>
      <c r="C663" s="34"/>
      <c r="D663" s="35">
        <f>(11/12)*D652</f>
        <v>1.9699166666666663E-2</v>
      </c>
      <c r="E663" s="36">
        <f>E652-(11/12)*F652</f>
        <v>742500.26732340502</v>
      </c>
      <c r="F663" s="36">
        <f t="shared" si="175"/>
        <v>1356.4144633136457</v>
      </c>
      <c r="G663" s="31">
        <f t="shared" si="140"/>
        <v>0.98030083333333329</v>
      </c>
      <c r="H663" s="32"/>
      <c r="I663" s="51" t="str">
        <f t="shared" si="146"/>
        <v/>
      </c>
      <c r="J663" s="51" t="str">
        <f t="shared" si="147"/>
        <v/>
      </c>
      <c r="K663" s="52" t="str">
        <f t="shared" si="165"/>
        <v/>
      </c>
      <c r="L663" s="53" t="str">
        <f t="shared" si="143"/>
        <v/>
      </c>
      <c r="M663" s="52" t="str">
        <f t="shared" si="148"/>
        <v/>
      </c>
      <c r="N663" s="58" t="str">
        <f t="shared" si="144"/>
        <v/>
      </c>
      <c r="Q663" s="51" t="str">
        <f t="shared" si="149"/>
        <v/>
      </c>
      <c r="R663" s="52" t="str">
        <f t="shared" si="150"/>
        <v/>
      </c>
      <c r="S663" s="58" t="str">
        <f t="shared" si="176"/>
        <v/>
      </c>
      <c r="T663" s="52" t="str">
        <f t="shared" si="145"/>
        <v/>
      </c>
    </row>
    <row r="664" spans="2:20" ht="15.75" customHeight="1" x14ac:dyDescent="0.25">
      <c r="B664" s="27">
        <v>67</v>
      </c>
      <c r="C664" s="28">
        <v>23.111000000000001</v>
      </c>
      <c r="D664" s="29">
        <f>C664/1000</f>
        <v>2.3111E-2</v>
      </c>
      <c r="E664" s="30">
        <f>E652-F652</f>
        <v>741143.85286009137</v>
      </c>
      <c r="F664" s="48">
        <f>D664*E664</f>
        <v>17128.575583449572</v>
      </c>
      <c r="G664" s="31">
        <f t="shared" si="140"/>
        <v>0.97688900000000001</v>
      </c>
      <c r="H664" s="49"/>
      <c r="I664" s="51" t="str">
        <f t="shared" si="146"/>
        <v/>
      </c>
      <c r="J664" s="51" t="str">
        <f t="shared" si="147"/>
        <v/>
      </c>
      <c r="K664" s="52" t="str">
        <f t="shared" si="165"/>
        <v/>
      </c>
      <c r="L664" s="53" t="str">
        <f t="shared" si="143"/>
        <v/>
      </c>
      <c r="M664" s="52" t="str">
        <f t="shared" si="148"/>
        <v/>
      </c>
      <c r="N664" s="58" t="str">
        <f t="shared" si="144"/>
        <v/>
      </c>
      <c r="Q664" s="51" t="str">
        <f t="shared" si="149"/>
        <v/>
      </c>
      <c r="R664" s="52" t="str">
        <f t="shared" si="150"/>
        <v/>
      </c>
      <c r="S664" s="58" t="str">
        <f t="shared" si="176"/>
        <v/>
      </c>
      <c r="T664" s="52" t="str">
        <f t="shared" si="145"/>
        <v/>
      </c>
    </row>
    <row r="665" spans="2:20" ht="15.75" customHeight="1" x14ac:dyDescent="0.25">
      <c r="B665" s="33">
        <f t="shared" ref="B665:B675" si="177">B664+1/12</f>
        <v>67.083333333333329</v>
      </c>
      <c r="C665" s="34"/>
      <c r="D665" s="35">
        <f>(1/12)*D664</f>
        <v>1.9259166666666665E-3</v>
      </c>
      <c r="E665" s="36">
        <f>E664-(1/12)*F664</f>
        <v>739716.47156147053</v>
      </c>
      <c r="F665" s="36">
        <f t="shared" ref="F665:F675" si="178">E665-E666</f>
        <v>1427.3812986207195</v>
      </c>
      <c r="G665" s="31">
        <f t="shared" si="140"/>
        <v>0.99807408333333336</v>
      </c>
      <c r="H665" s="37"/>
      <c r="I665" s="51" t="str">
        <f t="shared" si="146"/>
        <v/>
      </c>
      <c r="J665" s="51" t="str">
        <f t="shared" si="147"/>
        <v/>
      </c>
      <c r="K665" s="52" t="str">
        <f t="shared" si="165"/>
        <v/>
      </c>
      <c r="L665" s="53" t="str">
        <f t="shared" si="143"/>
        <v/>
      </c>
      <c r="M665" s="52" t="str">
        <f t="shared" si="148"/>
        <v/>
      </c>
      <c r="N665" s="58" t="str">
        <f t="shared" si="144"/>
        <v/>
      </c>
      <c r="Q665" s="51" t="str">
        <f t="shared" si="149"/>
        <v/>
      </c>
      <c r="R665" s="52" t="str">
        <f t="shared" si="150"/>
        <v/>
      </c>
      <c r="S665" s="58" t="str">
        <f t="shared" si="176"/>
        <v/>
      </c>
      <c r="T665" s="52" t="str">
        <f t="shared" si="145"/>
        <v/>
      </c>
    </row>
    <row r="666" spans="2:20" ht="15.75" customHeight="1" x14ac:dyDescent="0.25">
      <c r="B666" s="33">
        <f t="shared" si="177"/>
        <v>67.166666666666657</v>
      </c>
      <c r="C666" s="34"/>
      <c r="D666" s="35">
        <f>(2/12)*D664</f>
        <v>3.851833333333333E-3</v>
      </c>
      <c r="E666" s="36">
        <f>E664-(2/12)*F664</f>
        <v>738289.09026284982</v>
      </c>
      <c r="F666" s="36">
        <f t="shared" si="178"/>
        <v>1427.3812986208359</v>
      </c>
      <c r="G666" s="31">
        <f t="shared" si="140"/>
        <v>0.99614816666666661</v>
      </c>
      <c r="H666" s="32"/>
      <c r="I666" s="51" t="str">
        <f t="shared" si="146"/>
        <v/>
      </c>
      <c r="J666" s="51" t="str">
        <f t="shared" si="147"/>
        <v/>
      </c>
      <c r="K666" s="52" t="str">
        <f t="shared" si="165"/>
        <v/>
      </c>
      <c r="L666" s="53" t="str">
        <f t="shared" si="143"/>
        <v/>
      </c>
      <c r="M666" s="52" t="str">
        <f t="shared" si="148"/>
        <v/>
      </c>
      <c r="N666" s="58" t="str">
        <f t="shared" si="144"/>
        <v/>
      </c>
      <c r="Q666" s="51" t="str">
        <f t="shared" si="149"/>
        <v/>
      </c>
      <c r="R666" s="52" t="str">
        <f t="shared" si="150"/>
        <v/>
      </c>
      <c r="S666" s="58" t="str">
        <f t="shared" si="176"/>
        <v/>
      </c>
      <c r="T666" s="52" t="str">
        <f t="shared" si="145"/>
        <v/>
      </c>
    </row>
    <row r="667" spans="2:20" ht="15.75" customHeight="1" x14ac:dyDescent="0.25">
      <c r="B667" s="33">
        <f t="shared" si="177"/>
        <v>67.249999999999986</v>
      </c>
      <c r="C667" s="34"/>
      <c r="D667" s="35">
        <f>(3/12)*D664</f>
        <v>5.7777499999999999E-3</v>
      </c>
      <c r="E667" s="36">
        <f>E664-(3/12)*F664</f>
        <v>736861.70896422898</v>
      </c>
      <c r="F667" s="36">
        <f t="shared" si="178"/>
        <v>1427.3812986208359</v>
      </c>
      <c r="G667" s="31">
        <f t="shared" si="140"/>
        <v>0.99422224999999997</v>
      </c>
      <c r="H667" s="32"/>
      <c r="I667" s="51" t="str">
        <f t="shared" si="146"/>
        <v/>
      </c>
      <c r="J667" s="51" t="str">
        <f t="shared" si="147"/>
        <v/>
      </c>
      <c r="K667" s="52" t="str">
        <f t="shared" si="165"/>
        <v/>
      </c>
      <c r="L667" s="53" t="str">
        <f t="shared" si="143"/>
        <v/>
      </c>
      <c r="M667" s="52" t="str">
        <f t="shared" si="148"/>
        <v/>
      </c>
      <c r="N667" s="58" t="str">
        <f t="shared" si="144"/>
        <v/>
      </c>
      <c r="Q667" s="51" t="str">
        <f t="shared" si="149"/>
        <v/>
      </c>
      <c r="R667" s="52" t="str">
        <f t="shared" si="150"/>
        <v/>
      </c>
      <c r="S667" s="58" t="str">
        <f t="shared" si="176"/>
        <v/>
      </c>
      <c r="T667" s="52" t="str">
        <f t="shared" si="145"/>
        <v/>
      </c>
    </row>
    <row r="668" spans="2:20" ht="15.75" customHeight="1" x14ac:dyDescent="0.25">
      <c r="B668" s="33">
        <f t="shared" si="177"/>
        <v>67.333333333333314</v>
      </c>
      <c r="C668" s="34"/>
      <c r="D668" s="35">
        <f>(4/12)*D664</f>
        <v>7.703666666666666E-3</v>
      </c>
      <c r="E668" s="36">
        <f>E664-(4/12)*F664</f>
        <v>735434.32766560814</v>
      </c>
      <c r="F668" s="36">
        <f t="shared" si="178"/>
        <v>1427.3812986207195</v>
      </c>
      <c r="G668" s="31">
        <f t="shared" si="140"/>
        <v>0.99229633333333334</v>
      </c>
      <c r="H668" s="32"/>
      <c r="I668" s="51" t="str">
        <f t="shared" si="146"/>
        <v/>
      </c>
      <c r="J668" s="51" t="str">
        <f t="shared" si="147"/>
        <v/>
      </c>
      <c r="K668" s="52" t="str">
        <f t="shared" si="165"/>
        <v/>
      </c>
      <c r="L668" s="53" t="str">
        <f t="shared" si="143"/>
        <v/>
      </c>
      <c r="M668" s="52" t="str">
        <f t="shared" si="148"/>
        <v/>
      </c>
      <c r="N668" s="58" t="str">
        <f t="shared" si="144"/>
        <v/>
      </c>
      <c r="Q668" s="51" t="str">
        <f t="shared" si="149"/>
        <v/>
      </c>
      <c r="R668" s="52" t="str">
        <f t="shared" si="150"/>
        <v/>
      </c>
      <c r="S668" s="58" t="str">
        <f t="shared" si="176"/>
        <v/>
      </c>
      <c r="T668" s="52" t="str">
        <f t="shared" si="145"/>
        <v/>
      </c>
    </row>
    <row r="669" spans="2:20" ht="15.75" customHeight="1" x14ac:dyDescent="0.25">
      <c r="B669" s="33">
        <f t="shared" si="177"/>
        <v>67.416666666666643</v>
      </c>
      <c r="C669" s="34"/>
      <c r="D669" s="35">
        <f>(5/12)*D664</f>
        <v>9.6295833333333337E-3</v>
      </c>
      <c r="E669" s="36">
        <f>E664-(5/12)*F664</f>
        <v>734006.94636698742</v>
      </c>
      <c r="F669" s="36">
        <f t="shared" si="178"/>
        <v>1427.3812986208359</v>
      </c>
      <c r="G669" s="31">
        <f t="shared" si="140"/>
        <v>0.9903704166666667</v>
      </c>
      <c r="H669" s="32"/>
      <c r="I669" s="51" t="str">
        <f t="shared" si="146"/>
        <v/>
      </c>
      <c r="J669" s="51" t="str">
        <f t="shared" si="147"/>
        <v/>
      </c>
      <c r="K669" s="52" t="str">
        <f t="shared" si="165"/>
        <v/>
      </c>
      <c r="L669" s="53" t="str">
        <f t="shared" si="143"/>
        <v/>
      </c>
      <c r="M669" s="52" t="str">
        <f t="shared" si="148"/>
        <v/>
      </c>
      <c r="N669" s="58" t="str">
        <f t="shared" si="144"/>
        <v/>
      </c>
      <c r="Q669" s="51" t="str">
        <f t="shared" si="149"/>
        <v/>
      </c>
      <c r="R669" s="52" t="str">
        <f t="shared" si="150"/>
        <v/>
      </c>
      <c r="S669" s="58" t="str">
        <f t="shared" si="176"/>
        <v/>
      </c>
      <c r="T669" s="52" t="str">
        <f t="shared" si="145"/>
        <v/>
      </c>
    </row>
    <row r="670" spans="2:20" ht="15.75" customHeight="1" x14ac:dyDescent="0.25">
      <c r="B670" s="33">
        <f t="shared" si="177"/>
        <v>67.499999999999972</v>
      </c>
      <c r="C670" s="34"/>
      <c r="D670" s="35">
        <f>(6/12)*D664</f>
        <v>1.15555E-2</v>
      </c>
      <c r="E670" s="36">
        <f>E664-(6/12)*F664</f>
        <v>732579.56506836659</v>
      </c>
      <c r="F670" s="36">
        <f t="shared" si="178"/>
        <v>1427.3812986208359</v>
      </c>
      <c r="G670" s="31">
        <f t="shared" si="140"/>
        <v>0.98844449999999995</v>
      </c>
      <c r="H670" s="32"/>
      <c r="I670" s="51" t="str">
        <f t="shared" si="146"/>
        <v/>
      </c>
      <c r="J670" s="51" t="str">
        <f t="shared" si="147"/>
        <v/>
      </c>
      <c r="K670" s="52" t="str">
        <f t="shared" si="165"/>
        <v/>
      </c>
      <c r="L670" s="53" t="str">
        <f t="shared" si="143"/>
        <v/>
      </c>
      <c r="M670" s="52" t="str">
        <f t="shared" si="148"/>
        <v/>
      </c>
      <c r="N670" s="58" t="str">
        <f t="shared" si="144"/>
        <v/>
      </c>
      <c r="Q670" s="51" t="str">
        <f t="shared" si="149"/>
        <v/>
      </c>
      <c r="R670" s="52" t="str">
        <f t="shared" si="150"/>
        <v/>
      </c>
      <c r="S670" s="58" t="str">
        <f t="shared" si="176"/>
        <v/>
      </c>
      <c r="T670" s="52" t="str">
        <f t="shared" si="145"/>
        <v/>
      </c>
    </row>
    <row r="671" spans="2:20" ht="15.75" customHeight="1" x14ac:dyDescent="0.25">
      <c r="B671" s="33">
        <f t="shared" si="177"/>
        <v>67.5833333333333</v>
      </c>
      <c r="C671" s="34"/>
      <c r="D671" s="35">
        <f>(7/12)*D664</f>
        <v>1.3481416666666668E-2</v>
      </c>
      <c r="E671" s="36">
        <f>E664-(7/12)*F664</f>
        <v>731152.18376974575</v>
      </c>
      <c r="F671" s="36">
        <f t="shared" si="178"/>
        <v>1427.3812986207195</v>
      </c>
      <c r="G671" s="31">
        <f t="shared" si="140"/>
        <v>0.98651858333333331</v>
      </c>
      <c r="H671" s="32"/>
      <c r="I671" s="51" t="str">
        <f t="shared" si="146"/>
        <v/>
      </c>
      <c r="J671" s="51" t="str">
        <f t="shared" si="147"/>
        <v/>
      </c>
      <c r="K671" s="52" t="str">
        <f t="shared" si="165"/>
        <v/>
      </c>
      <c r="L671" s="53" t="str">
        <f t="shared" si="143"/>
        <v/>
      </c>
      <c r="M671" s="52" t="str">
        <f t="shared" si="148"/>
        <v/>
      </c>
      <c r="N671" s="58" t="str">
        <f t="shared" si="144"/>
        <v/>
      </c>
      <c r="Q671" s="51" t="str">
        <f t="shared" si="149"/>
        <v/>
      </c>
      <c r="R671" s="52" t="str">
        <f t="shared" si="150"/>
        <v/>
      </c>
      <c r="S671" s="58" t="str">
        <f t="shared" si="176"/>
        <v/>
      </c>
      <c r="T671" s="52" t="str">
        <f t="shared" si="145"/>
        <v/>
      </c>
    </row>
    <row r="672" spans="2:20" ht="15.75" customHeight="1" x14ac:dyDescent="0.25">
      <c r="B672" s="33">
        <f t="shared" si="177"/>
        <v>67.666666666666629</v>
      </c>
      <c r="C672" s="34"/>
      <c r="D672" s="35">
        <f>(8/12)*D664</f>
        <v>1.5407333333333332E-2</v>
      </c>
      <c r="E672" s="36">
        <f>E664-(8/12)*F664</f>
        <v>729724.80247112503</v>
      </c>
      <c r="F672" s="36">
        <f t="shared" si="178"/>
        <v>1427.3812986208359</v>
      </c>
      <c r="G672" s="31">
        <f t="shared" si="140"/>
        <v>0.98459266666666667</v>
      </c>
      <c r="H672" s="32"/>
      <c r="I672" s="51" t="str">
        <f t="shared" si="146"/>
        <v/>
      </c>
      <c r="J672" s="51" t="str">
        <f t="shared" si="147"/>
        <v/>
      </c>
      <c r="K672" s="52" t="str">
        <f t="shared" si="165"/>
        <v/>
      </c>
      <c r="L672" s="53" t="str">
        <f t="shared" si="143"/>
        <v/>
      </c>
      <c r="M672" s="52" t="str">
        <f t="shared" si="148"/>
        <v/>
      </c>
      <c r="N672" s="58" t="str">
        <f t="shared" si="144"/>
        <v/>
      </c>
      <c r="Q672" s="51" t="str">
        <f t="shared" si="149"/>
        <v/>
      </c>
      <c r="R672" s="52" t="str">
        <f t="shared" si="150"/>
        <v/>
      </c>
      <c r="S672" s="58" t="str">
        <f t="shared" si="176"/>
        <v/>
      </c>
      <c r="T672" s="52" t="str">
        <f t="shared" si="145"/>
        <v/>
      </c>
    </row>
    <row r="673" spans="2:20" ht="15.75" customHeight="1" x14ac:dyDescent="0.25">
      <c r="B673" s="33">
        <f t="shared" si="177"/>
        <v>67.749999999999957</v>
      </c>
      <c r="C673" s="34"/>
      <c r="D673" s="35">
        <f>(9/12)*D664</f>
        <v>1.7333250000000001E-2</v>
      </c>
      <c r="E673" s="36">
        <f>E664-(9/12)*F664</f>
        <v>728297.4211725042</v>
      </c>
      <c r="F673" s="36">
        <f t="shared" si="178"/>
        <v>1427.3812986208359</v>
      </c>
      <c r="G673" s="31">
        <f t="shared" si="140"/>
        <v>0.98266675000000003</v>
      </c>
      <c r="H673" s="32"/>
      <c r="I673" s="51" t="str">
        <f t="shared" si="146"/>
        <v/>
      </c>
      <c r="J673" s="51" t="str">
        <f t="shared" si="147"/>
        <v/>
      </c>
      <c r="K673" s="52" t="str">
        <f t="shared" si="165"/>
        <v/>
      </c>
      <c r="L673" s="53" t="str">
        <f t="shared" si="143"/>
        <v/>
      </c>
      <c r="M673" s="52" t="str">
        <f t="shared" si="148"/>
        <v/>
      </c>
      <c r="N673" s="58" t="str">
        <f t="shared" si="144"/>
        <v/>
      </c>
      <c r="Q673" s="51" t="str">
        <f t="shared" si="149"/>
        <v/>
      </c>
      <c r="R673" s="52" t="str">
        <f t="shared" si="150"/>
        <v/>
      </c>
      <c r="S673" s="58" t="str">
        <f t="shared" si="176"/>
        <v/>
      </c>
      <c r="T673" s="52" t="str">
        <f t="shared" si="145"/>
        <v/>
      </c>
    </row>
    <row r="674" spans="2:20" ht="15.75" customHeight="1" x14ac:dyDescent="0.25">
      <c r="B674" s="33">
        <f t="shared" si="177"/>
        <v>67.833333333333286</v>
      </c>
      <c r="C674" s="34"/>
      <c r="D674" s="35">
        <f>(10/12)*D664</f>
        <v>1.9259166666666667E-2</v>
      </c>
      <c r="E674" s="36">
        <f>E664-(10/12)*F664</f>
        <v>726870.03987388336</v>
      </c>
      <c r="F674" s="36">
        <f t="shared" si="178"/>
        <v>1427.3812986207195</v>
      </c>
      <c r="G674" s="31">
        <f t="shared" si="140"/>
        <v>0.98074083333333328</v>
      </c>
      <c r="H674" s="32"/>
      <c r="I674" s="51" t="str">
        <f t="shared" si="146"/>
        <v/>
      </c>
      <c r="J674" s="51" t="str">
        <f t="shared" si="147"/>
        <v/>
      </c>
      <c r="K674" s="52" t="str">
        <f t="shared" si="165"/>
        <v/>
      </c>
      <c r="L674" s="53" t="str">
        <f t="shared" si="143"/>
        <v/>
      </c>
      <c r="M674" s="52" t="str">
        <f t="shared" si="148"/>
        <v/>
      </c>
      <c r="N674" s="58" t="str">
        <f t="shared" si="144"/>
        <v/>
      </c>
      <c r="Q674" s="51" t="str">
        <f t="shared" si="149"/>
        <v/>
      </c>
      <c r="R674" s="52" t="str">
        <f t="shared" si="150"/>
        <v/>
      </c>
      <c r="S674" s="58" t="str">
        <f t="shared" si="176"/>
        <v/>
      </c>
      <c r="T674" s="52" t="str">
        <f t="shared" si="145"/>
        <v/>
      </c>
    </row>
    <row r="675" spans="2:20" ht="15.75" customHeight="1" x14ac:dyDescent="0.25">
      <c r="B675" s="33">
        <f t="shared" si="177"/>
        <v>67.916666666666615</v>
      </c>
      <c r="C675" s="34"/>
      <c r="D675" s="35">
        <f>(11/12)*D664</f>
        <v>2.1185083333333334E-2</v>
      </c>
      <c r="E675" s="36">
        <f>E664-(11/12)*F664</f>
        <v>725442.65857526264</v>
      </c>
      <c r="F675" s="36">
        <f t="shared" si="178"/>
        <v>1427.3812986208359</v>
      </c>
      <c r="G675" s="31">
        <f t="shared" si="140"/>
        <v>0.97881491666666665</v>
      </c>
      <c r="H675" s="32"/>
      <c r="I675" s="51" t="str">
        <f t="shared" si="146"/>
        <v/>
      </c>
      <c r="J675" s="51" t="str">
        <f t="shared" si="147"/>
        <v/>
      </c>
      <c r="K675" s="52" t="str">
        <f t="shared" si="165"/>
        <v/>
      </c>
      <c r="L675" s="53" t="str">
        <f t="shared" si="143"/>
        <v/>
      </c>
      <c r="M675" s="52" t="str">
        <f t="shared" si="148"/>
        <v/>
      </c>
      <c r="N675" s="58" t="str">
        <f t="shared" si="144"/>
        <v/>
      </c>
      <c r="Q675" s="51" t="str">
        <f t="shared" si="149"/>
        <v/>
      </c>
      <c r="R675" s="52" t="str">
        <f t="shared" si="150"/>
        <v/>
      </c>
      <c r="S675" s="58" t="str">
        <f t="shared" si="176"/>
        <v/>
      </c>
      <c r="T675" s="52" t="str">
        <f t="shared" si="145"/>
        <v/>
      </c>
    </row>
    <row r="676" spans="2:20" ht="15.75" customHeight="1" x14ac:dyDescent="0.25">
      <c r="B676" s="27">
        <v>68</v>
      </c>
      <c r="C676" s="28">
        <v>24.851000000000003</v>
      </c>
      <c r="D676" s="29">
        <f>C676/1000</f>
        <v>2.4851000000000002E-2</v>
      </c>
      <c r="E676" s="30">
        <f>E664-F664</f>
        <v>724015.27727664181</v>
      </c>
      <c r="F676" s="48">
        <f>D676*E676</f>
        <v>17992.503655601828</v>
      </c>
      <c r="G676" s="31">
        <f t="shared" si="140"/>
        <v>0.97514900000000004</v>
      </c>
      <c r="H676" s="49"/>
      <c r="I676" s="51" t="str">
        <f t="shared" si="146"/>
        <v/>
      </c>
      <c r="J676" s="51" t="str">
        <f t="shared" si="147"/>
        <v/>
      </c>
      <c r="K676" s="52" t="str">
        <f t="shared" si="165"/>
        <v/>
      </c>
      <c r="L676" s="53" t="str">
        <f t="shared" si="143"/>
        <v/>
      </c>
      <c r="M676" s="52" t="str">
        <f t="shared" si="148"/>
        <v/>
      </c>
      <c r="N676" s="58" t="str">
        <f t="shared" si="144"/>
        <v/>
      </c>
      <c r="Q676" s="51" t="str">
        <f t="shared" si="149"/>
        <v/>
      </c>
      <c r="R676" s="52" t="str">
        <f t="shared" si="150"/>
        <v/>
      </c>
      <c r="S676" s="58" t="str">
        <f t="shared" si="176"/>
        <v/>
      </c>
      <c r="T676" s="52" t="str">
        <f t="shared" si="145"/>
        <v/>
      </c>
    </row>
    <row r="677" spans="2:20" ht="15.75" customHeight="1" x14ac:dyDescent="0.25">
      <c r="B677" s="33">
        <f t="shared" ref="B677:B687" si="179">B676+1/12</f>
        <v>68.083333333333329</v>
      </c>
      <c r="C677" s="34"/>
      <c r="D677" s="35">
        <f>(1/12)*D676</f>
        <v>2.0709166666666667E-3</v>
      </c>
      <c r="E677" s="36">
        <f>E676-(1/12)*F676</f>
        <v>722515.90197200829</v>
      </c>
      <c r="F677" s="36">
        <f t="shared" ref="F677:F687" si="180">E677-E678</f>
        <v>1499.3753046334023</v>
      </c>
      <c r="G677" s="31">
        <f t="shared" si="140"/>
        <v>0.9979290833333333</v>
      </c>
      <c r="H677" s="37"/>
      <c r="I677" s="51" t="str">
        <f t="shared" si="146"/>
        <v/>
      </c>
      <c r="J677" s="51" t="str">
        <f t="shared" si="147"/>
        <v/>
      </c>
      <c r="K677" s="52" t="str">
        <f t="shared" si="165"/>
        <v/>
      </c>
      <c r="L677" s="53" t="str">
        <f t="shared" si="143"/>
        <v/>
      </c>
      <c r="M677" s="52" t="str">
        <f t="shared" si="148"/>
        <v/>
      </c>
      <c r="N677" s="58" t="str">
        <f t="shared" si="144"/>
        <v/>
      </c>
      <c r="Q677" s="51" t="str">
        <f t="shared" si="149"/>
        <v/>
      </c>
      <c r="R677" s="52" t="str">
        <f t="shared" si="150"/>
        <v/>
      </c>
      <c r="S677" s="58" t="str">
        <f t="shared" si="176"/>
        <v/>
      </c>
      <c r="T677" s="52" t="str">
        <f t="shared" si="145"/>
        <v/>
      </c>
    </row>
    <row r="678" spans="2:20" ht="15.75" customHeight="1" x14ac:dyDescent="0.25">
      <c r="B678" s="33">
        <f t="shared" si="179"/>
        <v>68.166666666666657</v>
      </c>
      <c r="C678" s="34"/>
      <c r="D678" s="35">
        <f>(2/12)*D676</f>
        <v>4.1418333333333333E-3</v>
      </c>
      <c r="E678" s="36">
        <f>E676-(2/12)*F676</f>
        <v>721016.52666737488</v>
      </c>
      <c r="F678" s="36">
        <f t="shared" si="180"/>
        <v>1499.3753046335187</v>
      </c>
      <c r="G678" s="31">
        <f t="shared" si="140"/>
        <v>0.99585816666666671</v>
      </c>
      <c r="H678" s="32"/>
      <c r="I678" s="51" t="str">
        <f t="shared" si="146"/>
        <v/>
      </c>
      <c r="J678" s="51" t="str">
        <f t="shared" si="147"/>
        <v/>
      </c>
      <c r="K678" s="52" t="str">
        <f t="shared" si="165"/>
        <v/>
      </c>
      <c r="L678" s="53" t="str">
        <f t="shared" si="143"/>
        <v/>
      </c>
      <c r="M678" s="52" t="str">
        <f t="shared" si="148"/>
        <v/>
      </c>
      <c r="N678" s="58" t="str">
        <f t="shared" si="144"/>
        <v/>
      </c>
      <c r="Q678" s="51" t="str">
        <f t="shared" si="149"/>
        <v/>
      </c>
      <c r="R678" s="52" t="str">
        <f t="shared" si="150"/>
        <v/>
      </c>
      <c r="S678" s="58" t="str">
        <f t="shared" si="176"/>
        <v/>
      </c>
      <c r="T678" s="52" t="str">
        <f t="shared" si="145"/>
        <v/>
      </c>
    </row>
    <row r="679" spans="2:20" ht="15.75" customHeight="1" x14ac:dyDescent="0.25">
      <c r="B679" s="33">
        <f t="shared" si="179"/>
        <v>68.249999999999986</v>
      </c>
      <c r="C679" s="34"/>
      <c r="D679" s="35">
        <f>(3/12)*D676</f>
        <v>6.2127500000000004E-3</v>
      </c>
      <c r="E679" s="36">
        <f>E676-(3/12)*F676</f>
        <v>719517.15136274137</v>
      </c>
      <c r="F679" s="36">
        <f t="shared" si="180"/>
        <v>1499.3753046335187</v>
      </c>
      <c r="G679" s="31">
        <f t="shared" si="140"/>
        <v>0.99378725000000001</v>
      </c>
      <c r="H679" s="32"/>
      <c r="I679" s="51" t="str">
        <f t="shared" si="146"/>
        <v/>
      </c>
      <c r="J679" s="51" t="str">
        <f t="shared" si="147"/>
        <v/>
      </c>
      <c r="K679" s="52" t="str">
        <f t="shared" si="165"/>
        <v/>
      </c>
      <c r="L679" s="53" t="str">
        <f t="shared" si="143"/>
        <v/>
      </c>
      <c r="M679" s="52" t="str">
        <f t="shared" si="148"/>
        <v/>
      </c>
      <c r="N679" s="58" t="str">
        <f t="shared" si="144"/>
        <v/>
      </c>
      <c r="Q679" s="51" t="str">
        <f t="shared" si="149"/>
        <v/>
      </c>
      <c r="R679" s="52" t="str">
        <f t="shared" si="150"/>
        <v/>
      </c>
      <c r="S679" s="58" t="str">
        <f t="shared" si="176"/>
        <v/>
      </c>
      <c r="T679" s="52" t="str">
        <f t="shared" si="145"/>
        <v/>
      </c>
    </row>
    <row r="680" spans="2:20" ht="15.75" customHeight="1" x14ac:dyDescent="0.25">
      <c r="B680" s="33">
        <f t="shared" si="179"/>
        <v>68.333333333333314</v>
      </c>
      <c r="C680" s="34"/>
      <c r="D680" s="35">
        <f>(4/12)*D676</f>
        <v>8.2836666666666666E-3</v>
      </c>
      <c r="E680" s="36">
        <f>E676-(4/12)*F676</f>
        <v>718017.77605810785</v>
      </c>
      <c r="F680" s="36">
        <f t="shared" si="180"/>
        <v>1499.3753046335187</v>
      </c>
      <c r="G680" s="31">
        <f t="shared" si="140"/>
        <v>0.99171633333333331</v>
      </c>
      <c r="H680" s="32"/>
      <c r="I680" s="51" t="str">
        <f t="shared" si="146"/>
        <v/>
      </c>
      <c r="J680" s="51" t="str">
        <f t="shared" si="147"/>
        <v/>
      </c>
      <c r="K680" s="52" t="str">
        <f t="shared" si="165"/>
        <v/>
      </c>
      <c r="L680" s="53" t="str">
        <f t="shared" si="143"/>
        <v/>
      </c>
      <c r="M680" s="52" t="str">
        <f t="shared" si="148"/>
        <v/>
      </c>
      <c r="N680" s="58" t="str">
        <f t="shared" si="144"/>
        <v/>
      </c>
      <c r="Q680" s="51" t="str">
        <f t="shared" si="149"/>
        <v/>
      </c>
      <c r="R680" s="52" t="str">
        <f t="shared" si="150"/>
        <v/>
      </c>
      <c r="S680" s="58" t="str">
        <f t="shared" si="176"/>
        <v/>
      </c>
      <c r="T680" s="52" t="str">
        <f t="shared" si="145"/>
        <v/>
      </c>
    </row>
    <row r="681" spans="2:20" ht="15.75" customHeight="1" x14ac:dyDescent="0.25">
      <c r="B681" s="33">
        <f t="shared" si="179"/>
        <v>68.416666666666643</v>
      </c>
      <c r="C681" s="34"/>
      <c r="D681" s="35">
        <f>(5/12)*D676</f>
        <v>1.0354583333333334E-2</v>
      </c>
      <c r="E681" s="36">
        <f>E676-(5/12)*F676</f>
        <v>716518.40075347433</v>
      </c>
      <c r="F681" s="36">
        <f t="shared" si="180"/>
        <v>1499.3753046334023</v>
      </c>
      <c r="G681" s="31">
        <f t="shared" si="140"/>
        <v>0.98964541666666661</v>
      </c>
      <c r="H681" s="32"/>
      <c r="I681" s="51" t="str">
        <f t="shared" si="146"/>
        <v/>
      </c>
      <c r="J681" s="51" t="str">
        <f t="shared" si="147"/>
        <v/>
      </c>
      <c r="K681" s="52" t="str">
        <f t="shared" si="165"/>
        <v/>
      </c>
      <c r="L681" s="53" t="str">
        <f t="shared" si="143"/>
        <v/>
      </c>
      <c r="M681" s="52" t="str">
        <f t="shared" si="148"/>
        <v/>
      </c>
      <c r="N681" s="58" t="str">
        <f t="shared" si="144"/>
        <v/>
      </c>
      <c r="Q681" s="51" t="str">
        <f t="shared" si="149"/>
        <v/>
      </c>
      <c r="R681" s="52" t="str">
        <f t="shared" si="150"/>
        <v/>
      </c>
      <c r="S681" s="58" t="str">
        <f t="shared" si="176"/>
        <v/>
      </c>
      <c r="T681" s="52" t="str">
        <f t="shared" si="145"/>
        <v/>
      </c>
    </row>
    <row r="682" spans="2:20" ht="15.75" customHeight="1" x14ac:dyDescent="0.25">
      <c r="B682" s="33">
        <f t="shared" si="179"/>
        <v>68.499999999999972</v>
      </c>
      <c r="C682" s="34"/>
      <c r="D682" s="35">
        <f>(6/12)*D676</f>
        <v>1.2425500000000001E-2</v>
      </c>
      <c r="E682" s="36">
        <f>E676-(6/12)*F676</f>
        <v>715019.02544884093</v>
      </c>
      <c r="F682" s="36">
        <f t="shared" si="180"/>
        <v>1499.3753046335187</v>
      </c>
      <c r="G682" s="31">
        <f t="shared" si="140"/>
        <v>0.98757450000000002</v>
      </c>
      <c r="H682" s="32"/>
      <c r="I682" s="51" t="str">
        <f t="shared" si="146"/>
        <v/>
      </c>
      <c r="J682" s="51" t="str">
        <f t="shared" si="147"/>
        <v/>
      </c>
      <c r="K682" s="52" t="str">
        <f t="shared" si="165"/>
        <v/>
      </c>
      <c r="L682" s="53" t="str">
        <f t="shared" si="143"/>
        <v/>
      </c>
      <c r="M682" s="52" t="str">
        <f t="shared" si="148"/>
        <v/>
      </c>
      <c r="N682" s="58" t="str">
        <f t="shared" si="144"/>
        <v/>
      </c>
      <c r="Q682" s="51" t="str">
        <f t="shared" si="149"/>
        <v/>
      </c>
      <c r="R682" s="52" t="str">
        <f t="shared" si="150"/>
        <v/>
      </c>
      <c r="S682" s="58" t="str">
        <f t="shared" si="176"/>
        <v/>
      </c>
      <c r="T682" s="52" t="str">
        <f t="shared" si="145"/>
        <v/>
      </c>
    </row>
    <row r="683" spans="2:20" ht="15.75" customHeight="1" x14ac:dyDescent="0.25">
      <c r="B683" s="33">
        <f t="shared" si="179"/>
        <v>68.5833333333333</v>
      </c>
      <c r="C683" s="34"/>
      <c r="D683" s="35">
        <f>(7/12)*D676</f>
        <v>1.4496416666666668E-2</v>
      </c>
      <c r="E683" s="36">
        <f>E676-(7/12)*F676</f>
        <v>713519.65014420741</v>
      </c>
      <c r="F683" s="36">
        <f t="shared" si="180"/>
        <v>1499.3753046335187</v>
      </c>
      <c r="G683" s="31">
        <f t="shared" si="140"/>
        <v>0.98550358333333332</v>
      </c>
      <c r="H683" s="32"/>
      <c r="I683" s="51" t="str">
        <f t="shared" si="146"/>
        <v/>
      </c>
      <c r="J683" s="51" t="str">
        <f t="shared" si="147"/>
        <v/>
      </c>
      <c r="K683" s="52" t="str">
        <f t="shared" si="165"/>
        <v/>
      </c>
      <c r="L683" s="53" t="str">
        <f t="shared" si="143"/>
        <v/>
      </c>
      <c r="M683" s="52" t="str">
        <f t="shared" si="148"/>
        <v/>
      </c>
      <c r="N683" s="58" t="str">
        <f t="shared" si="144"/>
        <v/>
      </c>
      <c r="Q683" s="51" t="str">
        <f t="shared" si="149"/>
        <v/>
      </c>
      <c r="R683" s="52" t="str">
        <f t="shared" si="150"/>
        <v/>
      </c>
      <c r="S683" s="58" t="str">
        <f t="shared" si="176"/>
        <v/>
      </c>
      <c r="T683" s="52" t="str">
        <f t="shared" si="145"/>
        <v/>
      </c>
    </row>
    <row r="684" spans="2:20" ht="15.75" customHeight="1" x14ac:dyDescent="0.25">
      <c r="B684" s="33">
        <f t="shared" si="179"/>
        <v>68.666666666666629</v>
      </c>
      <c r="C684" s="34"/>
      <c r="D684" s="35">
        <f>(8/12)*D676</f>
        <v>1.6567333333333333E-2</v>
      </c>
      <c r="E684" s="36">
        <f>E676-(8/12)*F676</f>
        <v>712020.27483957389</v>
      </c>
      <c r="F684" s="36">
        <f t="shared" si="180"/>
        <v>1499.3753046334023</v>
      </c>
      <c r="G684" s="31">
        <f t="shared" si="140"/>
        <v>0.98343266666666662</v>
      </c>
      <c r="H684" s="32"/>
      <c r="I684" s="51" t="str">
        <f t="shared" si="146"/>
        <v/>
      </c>
      <c r="J684" s="51" t="str">
        <f t="shared" si="147"/>
        <v/>
      </c>
      <c r="K684" s="52" t="str">
        <f t="shared" si="165"/>
        <v/>
      </c>
      <c r="L684" s="53" t="str">
        <f t="shared" si="143"/>
        <v/>
      </c>
      <c r="M684" s="52" t="str">
        <f t="shared" si="148"/>
        <v/>
      </c>
      <c r="N684" s="58" t="str">
        <f t="shared" si="144"/>
        <v/>
      </c>
      <c r="Q684" s="51" t="str">
        <f t="shared" si="149"/>
        <v/>
      </c>
      <c r="R684" s="52" t="str">
        <f t="shared" si="150"/>
        <v/>
      </c>
      <c r="S684" s="58" t="str">
        <f t="shared" si="176"/>
        <v/>
      </c>
      <c r="T684" s="52" t="str">
        <f t="shared" si="145"/>
        <v/>
      </c>
    </row>
    <row r="685" spans="2:20" ht="15.75" customHeight="1" x14ac:dyDescent="0.25">
      <c r="B685" s="33">
        <f t="shared" si="179"/>
        <v>68.749999999999957</v>
      </c>
      <c r="C685" s="34"/>
      <c r="D685" s="35">
        <f>(9/12)*D676</f>
        <v>1.8638250000000002E-2</v>
      </c>
      <c r="E685" s="36">
        <f>E676-(9/12)*F676</f>
        <v>710520.89953494049</v>
      </c>
      <c r="F685" s="36">
        <f t="shared" si="180"/>
        <v>1499.3753046335187</v>
      </c>
      <c r="G685" s="31">
        <f t="shared" si="140"/>
        <v>0.98136175000000003</v>
      </c>
      <c r="H685" s="32"/>
      <c r="I685" s="51" t="str">
        <f t="shared" si="146"/>
        <v/>
      </c>
      <c r="J685" s="51" t="str">
        <f t="shared" si="147"/>
        <v/>
      </c>
      <c r="K685" s="52" t="str">
        <f t="shared" si="165"/>
        <v/>
      </c>
      <c r="L685" s="53" t="str">
        <f t="shared" si="143"/>
        <v/>
      </c>
      <c r="M685" s="52" t="str">
        <f t="shared" si="148"/>
        <v/>
      </c>
      <c r="N685" s="58" t="str">
        <f t="shared" si="144"/>
        <v/>
      </c>
      <c r="Q685" s="51" t="str">
        <f t="shared" si="149"/>
        <v/>
      </c>
      <c r="R685" s="52" t="str">
        <f t="shared" si="150"/>
        <v/>
      </c>
      <c r="S685" s="58" t="str">
        <f t="shared" si="176"/>
        <v/>
      </c>
      <c r="T685" s="52" t="str">
        <f t="shared" si="145"/>
        <v/>
      </c>
    </row>
    <row r="686" spans="2:20" ht="15.75" customHeight="1" x14ac:dyDescent="0.25">
      <c r="B686" s="33">
        <f t="shared" si="179"/>
        <v>68.833333333333286</v>
      </c>
      <c r="C686" s="34"/>
      <c r="D686" s="35">
        <f>(10/12)*D676</f>
        <v>2.0709166666666667E-2</v>
      </c>
      <c r="E686" s="36">
        <f>E676-(10/12)*F676</f>
        <v>709021.52423030697</v>
      </c>
      <c r="F686" s="36">
        <f t="shared" si="180"/>
        <v>1499.3753046335187</v>
      </c>
      <c r="G686" s="31">
        <f t="shared" si="140"/>
        <v>0.97929083333333333</v>
      </c>
      <c r="H686" s="32"/>
      <c r="I686" s="51" t="str">
        <f t="shared" si="146"/>
        <v/>
      </c>
      <c r="J686" s="51" t="str">
        <f t="shared" si="147"/>
        <v/>
      </c>
      <c r="K686" s="52" t="str">
        <f t="shared" si="165"/>
        <v/>
      </c>
      <c r="L686" s="53" t="str">
        <f t="shared" si="143"/>
        <v/>
      </c>
      <c r="M686" s="52" t="str">
        <f t="shared" si="148"/>
        <v/>
      </c>
      <c r="N686" s="58" t="str">
        <f t="shared" si="144"/>
        <v/>
      </c>
      <c r="Q686" s="51" t="str">
        <f t="shared" si="149"/>
        <v/>
      </c>
      <c r="R686" s="52" t="str">
        <f t="shared" si="150"/>
        <v/>
      </c>
      <c r="S686" s="58" t="str">
        <f t="shared" si="176"/>
        <v/>
      </c>
      <c r="T686" s="52" t="str">
        <f t="shared" si="145"/>
        <v/>
      </c>
    </row>
    <row r="687" spans="2:20" ht="15.75" customHeight="1" x14ac:dyDescent="0.25">
      <c r="B687" s="33">
        <f t="shared" si="179"/>
        <v>68.916666666666615</v>
      </c>
      <c r="C687" s="34"/>
      <c r="D687" s="35">
        <f>(11/12)*D676</f>
        <v>2.2780083333333333E-2</v>
      </c>
      <c r="E687" s="36">
        <f>E676-(11/12)*F676</f>
        <v>707522.14892567345</v>
      </c>
      <c r="F687" s="36">
        <f t="shared" si="180"/>
        <v>1499.3753046335187</v>
      </c>
      <c r="G687" s="31">
        <f t="shared" si="140"/>
        <v>0.97721991666666663</v>
      </c>
      <c r="H687" s="32"/>
      <c r="I687" s="51" t="str">
        <f t="shared" si="146"/>
        <v/>
      </c>
      <c r="J687" s="51" t="str">
        <f t="shared" si="147"/>
        <v/>
      </c>
      <c r="K687" s="52" t="str">
        <f t="shared" si="165"/>
        <v/>
      </c>
      <c r="L687" s="53" t="str">
        <f t="shared" si="143"/>
        <v/>
      </c>
      <c r="M687" s="52" t="str">
        <f t="shared" si="148"/>
        <v/>
      </c>
      <c r="N687" s="58" t="str">
        <f t="shared" si="144"/>
        <v/>
      </c>
      <c r="Q687" s="51" t="str">
        <f t="shared" si="149"/>
        <v/>
      </c>
      <c r="R687" s="52" t="str">
        <f t="shared" si="150"/>
        <v/>
      </c>
      <c r="S687" s="58" t="str">
        <f t="shared" si="176"/>
        <v/>
      </c>
      <c r="T687" s="52" t="str">
        <f t="shared" si="145"/>
        <v/>
      </c>
    </row>
    <row r="688" spans="2:20" ht="15.75" customHeight="1" x14ac:dyDescent="0.25">
      <c r="B688" s="27">
        <v>69</v>
      </c>
      <c r="C688" s="28">
        <v>26.72</v>
      </c>
      <c r="D688" s="29">
        <f>C688/1000</f>
        <v>2.6719999999999997E-2</v>
      </c>
      <c r="E688" s="30">
        <f>E676-F676</f>
        <v>706022.77362103993</v>
      </c>
      <c r="F688" s="48">
        <f>D688*E688</f>
        <v>18864.928511154187</v>
      </c>
      <c r="G688" s="31">
        <f t="shared" si="140"/>
        <v>0.97328000000000003</v>
      </c>
      <c r="H688" s="49"/>
      <c r="I688" s="51" t="str">
        <f t="shared" si="146"/>
        <v/>
      </c>
      <c r="J688" s="51" t="str">
        <f t="shared" si="147"/>
        <v/>
      </c>
      <c r="K688" s="52" t="str">
        <f t="shared" si="165"/>
        <v/>
      </c>
      <c r="L688" s="53" t="str">
        <f t="shared" si="143"/>
        <v/>
      </c>
      <c r="M688" s="52" t="str">
        <f t="shared" si="148"/>
        <v/>
      </c>
      <c r="N688" s="58" t="str">
        <f t="shared" si="144"/>
        <v/>
      </c>
      <c r="Q688" s="51" t="str">
        <f t="shared" si="149"/>
        <v/>
      </c>
      <c r="R688" s="52" t="str">
        <f t="shared" si="150"/>
        <v/>
      </c>
      <c r="S688" s="58" t="str">
        <f t="shared" si="176"/>
        <v/>
      </c>
      <c r="T688" s="52" t="str">
        <f t="shared" si="145"/>
        <v/>
      </c>
    </row>
    <row r="689" spans="2:20" ht="15.75" customHeight="1" x14ac:dyDescent="0.25">
      <c r="B689" s="33">
        <f t="shared" ref="B689:B699" si="181">B688+1/12</f>
        <v>69.083333333333329</v>
      </c>
      <c r="C689" s="34"/>
      <c r="D689" s="35">
        <f>(1/12)*D688</f>
        <v>2.2266666666666663E-3</v>
      </c>
      <c r="E689" s="36">
        <f>E688-(1/12)*F688</f>
        <v>704450.69624511036</v>
      </c>
      <c r="F689" s="36">
        <f t="shared" ref="F689:F699" si="182">E689-E690</f>
        <v>1572.0773759294534</v>
      </c>
      <c r="G689" s="31">
        <f t="shared" si="140"/>
        <v>0.99777333333333329</v>
      </c>
      <c r="H689" s="37"/>
      <c r="I689" s="51" t="str">
        <f t="shared" si="146"/>
        <v/>
      </c>
      <c r="J689" s="51" t="str">
        <f t="shared" si="147"/>
        <v/>
      </c>
      <c r="K689" s="52" t="str">
        <f t="shared" si="165"/>
        <v/>
      </c>
      <c r="L689" s="53" t="str">
        <f t="shared" si="143"/>
        <v/>
      </c>
      <c r="M689" s="52" t="str">
        <f t="shared" si="148"/>
        <v/>
      </c>
      <c r="N689" s="58" t="str">
        <f t="shared" si="144"/>
        <v/>
      </c>
      <c r="Q689" s="51" t="str">
        <f t="shared" si="149"/>
        <v/>
      </c>
      <c r="R689" s="52" t="str">
        <f t="shared" si="150"/>
        <v/>
      </c>
      <c r="S689" s="58" t="str">
        <f t="shared" si="176"/>
        <v/>
      </c>
      <c r="T689" s="52" t="str">
        <f t="shared" si="145"/>
        <v/>
      </c>
    </row>
    <row r="690" spans="2:20" ht="15.75" customHeight="1" x14ac:dyDescent="0.25">
      <c r="B690" s="33">
        <f t="shared" si="181"/>
        <v>69.166666666666657</v>
      </c>
      <c r="C690" s="34"/>
      <c r="D690" s="35">
        <f>(2/12)*D688</f>
        <v>4.4533333333333326E-3</v>
      </c>
      <c r="E690" s="36">
        <f>E688-(2/12)*F688</f>
        <v>702878.61886918091</v>
      </c>
      <c r="F690" s="36">
        <f t="shared" si="182"/>
        <v>1572.0773759295698</v>
      </c>
      <c r="G690" s="31">
        <f t="shared" si="140"/>
        <v>0.99554666666666669</v>
      </c>
      <c r="H690" s="32"/>
      <c r="I690" s="51" t="str">
        <f t="shared" si="146"/>
        <v/>
      </c>
      <c r="J690" s="51" t="str">
        <f t="shared" si="147"/>
        <v/>
      </c>
      <c r="K690" s="52" t="str">
        <f t="shared" si="165"/>
        <v/>
      </c>
      <c r="L690" s="53" t="str">
        <f t="shared" si="143"/>
        <v/>
      </c>
      <c r="M690" s="52" t="str">
        <f t="shared" si="148"/>
        <v/>
      </c>
      <c r="N690" s="58" t="str">
        <f t="shared" si="144"/>
        <v/>
      </c>
      <c r="Q690" s="51" t="str">
        <f t="shared" si="149"/>
        <v/>
      </c>
      <c r="R690" s="52" t="str">
        <f t="shared" si="150"/>
        <v/>
      </c>
      <c r="S690" s="58" t="str">
        <f t="shared" si="176"/>
        <v/>
      </c>
      <c r="T690" s="52" t="str">
        <f t="shared" si="145"/>
        <v/>
      </c>
    </row>
    <row r="691" spans="2:20" ht="15.75" customHeight="1" x14ac:dyDescent="0.25">
      <c r="B691" s="33">
        <f t="shared" si="181"/>
        <v>69.249999999999986</v>
      </c>
      <c r="C691" s="34"/>
      <c r="D691" s="35">
        <f>(3/12)*D688</f>
        <v>6.6799999999999993E-3</v>
      </c>
      <c r="E691" s="36">
        <f>E688-(3/12)*F688</f>
        <v>701306.54149325134</v>
      </c>
      <c r="F691" s="36">
        <f t="shared" si="182"/>
        <v>1572.0773759294534</v>
      </c>
      <c r="G691" s="31">
        <f t="shared" si="140"/>
        <v>0.99331999999999998</v>
      </c>
      <c r="H691" s="32"/>
      <c r="I691" s="51" t="str">
        <f t="shared" si="146"/>
        <v/>
      </c>
      <c r="J691" s="51" t="str">
        <f t="shared" si="147"/>
        <v/>
      </c>
      <c r="K691" s="52" t="str">
        <f t="shared" si="165"/>
        <v/>
      </c>
      <c r="L691" s="53" t="str">
        <f t="shared" si="143"/>
        <v/>
      </c>
      <c r="M691" s="52" t="str">
        <f t="shared" si="148"/>
        <v/>
      </c>
      <c r="N691" s="58" t="str">
        <f t="shared" si="144"/>
        <v/>
      </c>
      <c r="Q691" s="51" t="str">
        <f t="shared" si="149"/>
        <v/>
      </c>
      <c r="R691" s="52" t="str">
        <f t="shared" si="150"/>
        <v/>
      </c>
      <c r="S691" s="58" t="str">
        <f t="shared" si="176"/>
        <v/>
      </c>
      <c r="T691" s="52" t="str">
        <f t="shared" si="145"/>
        <v/>
      </c>
    </row>
    <row r="692" spans="2:20" ht="15.75" customHeight="1" x14ac:dyDescent="0.25">
      <c r="B692" s="33">
        <f t="shared" si="181"/>
        <v>69.333333333333314</v>
      </c>
      <c r="C692" s="34"/>
      <c r="D692" s="35">
        <f>(4/12)*D688</f>
        <v>8.9066666666666652E-3</v>
      </c>
      <c r="E692" s="36">
        <f>E688-(4/12)*F688</f>
        <v>699734.46411732188</v>
      </c>
      <c r="F692" s="36">
        <f t="shared" si="182"/>
        <v>1572.0773759295698</v>
      </c>
      <c r="G692" s="31">
        <f t="shared" si="140"/>
        <v>0.99109333333333338</v>
      </c>
      <c r="H692" s="32"/>
      <c r="I692" s="51" t="str">
        <f t="shared" si="146"/>
        <v/>
      </c>
      <c r="J692" s="51" t="str">
        <f t="shared" si="147"/>
        <v/>
      </c>
      <c r="K692" s="52" t="str">
        <f t="shared" si="165"/>
        <v/>
      </c>
      <c r="L692" s="53" t="str">
        <f t="shared" si="143"/>
        <v/>
      </c>
      <c r="M692" s="52" t="str">
        <f t="shared" si="148"/>
        <v/>
      </c>
      <c r="N692" s="58" t="str">
        <f t="shared" si="144"/>
        <v/>
      </c>
      <c r="Q692" s="51" t="str">
        <f t="shared" si="149"/>
        <v/>
      </c>
      <c r="R692" s="52" t="str">
        <f t="shared" si="150"/>
        <v/>
      </c>
      <c r="S692" s="58" t="str">
        <f t="shared" si="176"/>
        <v/>
      </c>
      <c r="T692" s="52" t="str">
        <f t="shared" si="145"/>
        <v/>
      </c>
    </row>
    <row r="693" spans="2:20" ht="15.75" customHeight="1" x14ac:dyDescent="0.25">
      <c r="B693" s="33">
        <f t="shared" si="181"/>
        <v>69.416666666666643</v>
      </c>
      <c r="C693" s="34"/>
      <c r="D693" s="35">
        <f>(5/12)*D688</f>
        <v>1.1133333333333332E-2</v>
      </c>
      <c r="E693" s="36">
        <f>E688-(5/12)*F688</f>
        <v>698162.38674139231</v>
      </c>
      <c r="F693" s="36">
        <f t="shared" si="182"/>
        <v>1572.0773759294534</v>
      </c>
      <c r="G693" s="31">
        <f t="shared" si="140"/>
        <v>0.98886666666666667</v>
      </c>
      <c r="H693" s="32"/>
      <c r="I693" s="51" t="str">
        <f t="shared" si="146"/>
        <v/>
      </c>
      <c r="J693" s="51" t="str">
        <f t="shared" si="147"/>
        <v/>
      </c>
      <c r="K693" s="52" t="str">
        <f t="shared" si="165"/>
        <v/>
      </c>
      <c r="L693" s="53" t="str">
        <f t="shared" si="143"/>
        <v/>
      </c>
      <c r="M693" s="52" t="str">
        <f t="shared" si="148"/>
        <v/>
      </c>
      <c r="N693" s="58" t="str">
        <f t="shared" si="144"/>
        <v/>
      </c>
      <c r="Q693" s="51" t="str">
        <f t="shared" si="149"/>
        <v/>
      </c>
      <c r="R693" s="52" t="str">
        <f t="shared" si="150"/>
        <v/>
      </c>
      <c r="S693" s="58" t="str">
        <f t="shared" si="176"/>
        <v/>
      </c>
      <c r="T693" s="52" t="str">
        <f t="shared" si="145"/>
        <v/>
      </c>
    </row>
    <row r="694" spans="2:20" ht="15.75" customHeight="1" x14ac:dyDescent="0.25">
      <c r="B694" s="33">
        <f t="shared" si="181"/>
        <v>69.499999999999972</v>
      </c>
      <c r="C694" s="34"/>
      <c r="D694" s="35">
        <f>(6/12)*D688</f>
        <v>1.3359999999999999E-2</v>
      </c>
      <c r="E694" s="36">
        <f>E688-(6/12)*F688</f>
        <v>696590.30936546286</v>
      </c>
      <c r="F694" s="36">
        <f t="shared" si="182"/>
        <v>1572.0773759295698</v>
      </c>
      <c r="G694" s="31">
        <f t="shared" si="140"/>
        <v>0.98663999999999996</v>
      </c>
      <c r="H694" s="32"/>
      <c r="I694" s="51" t="str">
        <f t="shared" si="146"/>
        <v/>
      </c>
      <c r="J694" s="51" t="str">
        <f t="shared" si="147"/>
        <v/>
      </c>
      <c r="K694" s="52" t="str">
        <f t="shared" si="165"/>
        <v/>
      </c>
      <c r="L694" s="53" t="str">
        <f t="shared" si="143"/>
        <v/>
      </c>
      <c r="M694" s="52" t="str">
        <f t="shared" si="148"/>
        <v/>
      </c>
      <c r="N694" s="58" t="str">
        <f t="shared" si="144"/>
        <v/>
      </c>
      <c r="Q694" s="51" t="str">
        <f t="shared" si="149"/>
        <v/>
      </c>
      <c r="R694" s="52" t="str">
        <f t="shared" si="150"/>
        <v/>
      </c>
      <c r="S694" s="58" t="str">
        <f t="shared" si="176"/>
        <v/>
      </c>
      <c r="T694" s="52" t="str">
        <f t="shared" si="145"/>
        <v/>
      </c>
    </row>
    <row r="695" spans="2:20" ht="15.75" customHeight="1" x14ac:dyDescent="0.25">
      <c r="B695" s="33">
        <f t="shared" si="181"/>
        <v>69.5833333333333</v>
      </c>
      <c r="C695" s="34"/>
      <c r="D695" s="35">
        <f>(7/12)*D688</f>
        <v>1.5586666666666665E-2</v>
      </c>
      <c r="E695" s="36">
        <f>E688-(7/12)*F688</f>
        <v>695018.23198953329</v>
      </c>
      <c r="F695" s="36">
        <f t="shared" si="182"/>
        <v>1572.0773759294534</v>
      </c>
      <c r="G695" s="31">
        <f t="shared" si="140"/>
        <v>0.98441333333333336</v>
      </c>
      <c r="H695" s="32"/>
      <c r="I695" s="51" t="str">
        <f t="shared" si="146"/>
        <v/>
      </c>
      <c r="J695" s="51" t="str">
        <f t="shared" si="147"/>
        <v/>
      </c>
      <c r="K695" s="52" t="str">
        <f t="shared" si="165"/>
        <v/>
      </c>
      <c r="L695" s="53" t="str">
        <f t="shared" si="143"/>
        <v/>
      </c>
      <c r="M695" s="52" t="str">
        <f t="shared" si="148"/>
        <v/>
      </c>
      <c r="N695" s="58" t="str">
        <f t="shared" si="144"/>
        <v/>
      </c>
      <c r="Q695" s="51" t="str">
        <f t="shared" si="149"/>
        <v/>
      </c>
      <c r="R695" s="52" t="str">
        <f t="shared" si="150"/>
        <v/>
      </c>
      <c r="S695" s="58" t="str">
        <f t="shared" si="176"/>
        <v/>
      </c>
      <c r="T695" s="52" t="str">
        <f t="shared" si="145"/>
        <v/>
      </c>
    </row>
    <row r="696" spans="2:20" ht="15.75" customHeight="1" x14ac:dyDescent="0.25">
      <c r="B696" s="33">
        <f t="shared" si="181"/>
        <v>69.666666666666629</v>
      </c>
      <c r="C696" s="34"/>
      <c r="D696" s="35">
        <f>(8/12)*D688</f>
        <v>1.781333333333333E-2</v>
      </c>
      <c r="E696" s="36">
        <f>E688-(8/12)*F688</f>
        <v>693446.15461360384</v>
      </c>
      <c r="F696" s="36">
        <f t="shared" si="182"/>
        <v>1572.0773759295698</v>
      </c>
      <c r="G696" s="31">
        <f t="shared" si="140"/>
        <v>0.98218666666666665</v>
      </c>
      <c r="H696" s="32"/>
      <c r="I696" s="51" t="str">
        <f t="shared" si="146"/>
        <v/>
      </c>
      <c r="J696" s="51" t="str">
        <f t="shared" si="147"/>
        <v/>
      </c>
      <c r="K696" s="52" t="str">
        <f t="shared" si="165"/>
        <v/>
      </c>
      <c r="L696" s="53" t="str">
        <f t="shared" si="143"/>
        <v/>
      </c>
      <c r="M696" s="52" t="str">
        <f t="shared" si="148"/>
        <v/>
      </c>
      <c r="N696" s="58" t="str">
        <f t="shared" si="144"/>
        <v/>
      </c>
      <c r="Q696" s="51" t="str">
        <f t="shared" si="149"/>
        <v/>
      </c>
      <c r="R696" s="52" t="str">
        <f t="shared" si="150"/>
        <v/>
      </c>
      <c r="S696" s="58" t="str">
        <f t="shared" si="176"/>
        <v/>
      </c>
      <c r="T696" s="52" t="str">
        <f t="shared" si="145"/>
        <v/>
      </c>
    </row>
    <row r="697" spans="2:20" ht="15.75" customHeight="1" x14ac:dyDescent="0.25">
      <c r="B697" s="33">
        <f t="shared" si="181"/>
        <v>69.749999999999957</v>
      </c>
      <c r="C697" s="34"/>
      <c r="D697" s="35">
        <f>(9/12)*D688</f>
        <v>2.0039999999999999E-2</v>
      </c>
      <c r="E697" s="36">
        <f>E688-(9/12)*F688</f>
        <v>691874.07723767427</v>
      </c>
      <c r="F697" s="36">
        <f t="shared" si="182"/>
        <v>1572.0773759294534</v>
      </c>
      <c r="G697" s="31">
        <f t="shared" si="140"/>
        <v>0.97996000000000005</v>
      </c>
      <c r="H697" s="32"/>
      <c r="I697" s="51" t="str">
        <f t="shared" si="146"/>
        <v/>
      </c>
      <c r="J697" s="51" t="str">
        <f t="shared" si="147"/>
        <v/>
      </c>
      <c r="K697" s="52" t="str">
        <f t="shared" si="165"/>
        <v/>
      </c>
      <c r="L697" s="53" t="str">
        <f t="shared" si="143"/>
        <v/>
      </c>
      <c r="M697" s="52" t="str">
        <f t="shared" si="148"/>
        <v/>
      </c>
      <c r="N697" s="58" t="str">
        <f t="shared" si="144"/>
        <v/>
      </c>
      <c r="Q697" s="51" t="str">
        <f t="shared" si="149"/>
        <v/>
      </c>
      <c r="R697" s="52" t="str">
        <f t="shared" si="150"/>
        <v/>
      </c>
      <c r="S697" s="58" t="str">
        <f t="shared" si="176"/>
        <v/>
      </c>
      <c r="T697" s="52" t="str">
        <f t="shared" si="145"/>
        <v/>
      </c>
    </row>
    <row r="698" spans="2:20" ht="15.75" customHeight="1" x14ac:dyDescent="0.25">
      <c r="B698" s="33">
        <f t="shared" si="181"/>
        <v>69.833333333333286</v>
      </c>
      <c r="C698" s="34"/>
      <c r="D698" s="35">
        <f>(10/12)*D688</f>
        <v>2.2266666666666664E-2</v>
      </c>
      <c r="E698" s="36">
        <f>E688-(10/12)*F688</f>
        <v>690301.99986174481</v>
      </c>
      <c r="F698" s="36">
        <f t="shared" si="182"/>
        <v>1572.0773759295698</v>
      </c>
      <c r="G698" s="31">
        <f t="shared" si="140"/>
        <v>0.97773333333333334</v>
      </c>
      <c r="H698" s="32"/>
      <c r="I698" s="51" t="str">
        <f t="shared" si="146"/>
        <v/>
      </c>
      <c r="J698" s="51" t="str">
        <f t="shared" si="147"/>
        <v/>
      </c>
      <c r="K698" s="52" t="str">
        <f t="shared" si="165"/>
        <v/>
      </c>
      <c r="L698" s="53" t="str">
        <f t="shared" si="143"/>
        <v/>
      </c>
      <c r="M698" s="52" t="str">
        <f t="shared" si="148"/>
        <v/>
      </c>
      <c r="N698" s="58" t="str">
        <f t="shared" si="144"/>
        <v/>
      </c>
      <c r="Q698" s="51" t="str">
        <f t="shared" si="149"/>
        <v/>
      </c>
      <c r="R698" s="52" t="str">
        <f t="shared" si="150"/>
        <v/>
      </c>
      <c r="S698" s="58" t="str">
        <f t="shared" si="176"/>
        <v/>
      </c>
      <c r="T698" s="52" t="str">
        <f t="shared" si="145"/>
        <v/>
      </c>
    </row>
    <row r="699" spans="2:20" ht="15.75" customHeight="1" x14ac:dyDescent="0.25">
      <c r="B699" s="33">
        <f t="shared" si="181"/>
        <v>69.916666666666615</v>
      </c>
      <c r="C699" s="34"/>
      <c r="D699" s="35">
        <f>(11/12)*D688</f>
        <v>2.4493333333333329E-2</v>
      </c>
      <c r="E699" s="36">
        <f>E688-(11/12)*F688</f>
        <v>688729.92248581524</v>
      </c>
      <c r="F699" s="36">
        <f t="shared" si="182"/>
        <v>1572.0773759294534</v>
      </c>
      <c r="G699" s="31">
        <f t="shared" si="140"/>
        <v>0.97550666666666663</v>
      </c>
      <c r="H699" s="32"/>
      <c r="I699" s="51" t="str">
        <f t="shared" si="146"/>
        <v/>
      </c>
      <c r="J699" s="51" t="str">
        <f t="shared" si="147"/>
        <v/>
      </c>
      <c r="K699" s="52" t="str">
        <f t="shared" si="165"/>
        <v/>
      </c>
      <c r="L699" s="53" t="str">
        <f t="shared" si="143"/>
        <v/>
      </c>
      <c r="M699" s="52" t="str">
        <f t="shared" si="148"/>
        <v/>
      </c>
      <c r="N699" s="58" t="str">
        <f t="shared" si="144"/>
        <v/>
      </c>
      <c r="Q699" s="51" t="str">
        <f t="shared" si="149"/>
        <v/>
      </c>
      <c r="R699" s="52" t="str">
        <f t="shared" si="150"/>
        <v/>
      </c>
      <c r="S699" s="58" t="str">
        <f t="shared" si="176"/>
        <v/>
      </c>
      <c r="T699" s="52" t="str">
        <f t="shared" si="145"/>
        <v/>
      </c>
    </row>
    <row r="700" spans="2:20" ht="15.75" customHeight="1" x14ac:dyDescent="0.25">
      <c r="B700" s="27">
        <v>70</v>
      </c>
      <c r="C700" s="28">
        <v>28.724</v>
      </c>
      <c r="D700" s="29">
        <f>C700/1000</f>
        <v>2.8724E-2</v>
      </c>
      <c r="E700" s="30">
        <f>E688-F688</f>
        <v>687157.84510988579</v>
      </c>
      <c r="F700" s="48">
        <f>D700*E700</f>
        <v>19737.921942936358</v>
      </c>
      <c r="G700" s="31">
        <f t="shared" si="140"/>
        <v>0.97127600000000003</v>
      </c>
      <c r="H700" s="49"/>
      <c r="I700" s="51" t="str">
        <f t="shared" si="146"/>
        <v/>
      </c>
      <c r="J700" s="51" t="str">
        <f t="shared" si="147"/>
        <v/>
      </c>
      <c r="K700" s="52" t="str">
        <f t="shared" si="165"/>
        <v/>
      </c>
      <c r="L700" s="53" t="str">
        <f t="shared" si="143"/>
        <v/>
      </c>
      <c r="M700" s="52" t="str">
        <f t="shared" si="148"/>
        <v/>
      </c>
      <c r="N700" s="58" t="str">
        <f t="shared" si="144"/>
        <v/>
      </c>
      <c r="Q700" s="51" t="str">
        <f t="shared" si="149"/>
        <v/>
      </c>
      <c r="R700" s="52" t="str">
        <f t="shared" si="150"/>
        <v/>
      </c>
      <c r="S700" s="58" t="str">
        <f t="shared" si="176"/>
        <v/>
      </c>
      <c r="T700" s="52" t="str">
        <f t="shared" si="145"/>
        <v/>
      </c>
    </row>
    <row r="701" spans="2:20" ht="15.75" customHeight="1" x14ac:dyDescent="0.25">
      <c r="B701" s="33">
        <f t="shared" ref="B701:B711" si="183">B700+1/12</f>
        <v>70.083333333333329</v>
      </c>
      <c r="C701" s="34"/>
      <c r="D701" s="35">
        <f>(1/12)*D700</f>
        <v>2.3936666666666663E-3</v>
      </c>
      <c r="E701" s="36">
        <f>E700-(1/12)*F700</f>
        <v>685513.01828130777</v>
      </c>
      <c r="F701" s="36">
        <f t="shared" ref="F701:F711" si="184">E701-E702</f>
        <v>1644.8268285780214</v>
      </c>
      <c r="G701" s="31">
        <f t="shared" si="140"/>
        <v>0.99760633333333337</v>
      </c>
      <c r="H701" s="37"/>
      <c r="I701" s="51" t="str">
        <f t="shared" si="146"/>
        <v/>
      </c>
      <c r="J701" s="51" t="str">
        <f t="shared" si="147"/>
        <v/>
      </c>
      <c r="K701" s="52" t="str">
        <f t="shared" si="165"/>
        <v/>
      </c>
      <c r="L701" s="53" t="str">
        <f t="shared" si="143"/>
        <v/>
      </c>
      <c r="M701" s="52" t="str">
        <f t="shared" si="148"/>
        <v/>
      </c>
      <c r="N701" s="58" t="str">
        <f t="shared" si="144"/>
        <v/>
      </c>
      <c r="Q701" s="51" t="str">
        <f t="shared" si="149"/>
        <v/>
      </c>
      <c r="R701" s="52" t="str">
        <f t="shared" si="150"/>
        <v/>
      </c>
      <c r="S701" s="58" t="str">
        <f t="shared" si="176"/>
        <v/>
      </c>
      <c r="T701" s="52" t="str">
        <f t="shared" si="145"/>
        <v/>
      </c>
    </row>
    <row r="702" spans="2:20" ht="15.75" customHeight="1" x14ac:dyDescent="0.25">
      <c r="B702" s="33">
        <f t="shared" si="183"/>
        <v>70.166666666666657</v>
      </c>
      <c r="C702" s="34"/>
      <c r="D702" s="35">
        <f>(2/12)*D700</f>
        <v>4.7873333333333327E-3</v>
      </c>
      <c r="E702" s="36">
        <f>E700-(2/12)*F700</f>
        <v>683868.19145272975</v>
      </c>
      <c r="F702" s="36">
        <f t="shared" si="184"/>
        <v>1644.8268285780214</v>
      </c>
      <c r="G702" s="31">
        <f t="shared" si="140"/>
        <v>0.99521266666666663</v>
      </c>
      <c r="H702" s="32"/>
      <c r="I702" s="51" t="str">
        <f t="shared" si="146"/>
        <v/>
      </c>
      <c r="J702" s="51" t="str">
        <f t="shared" si="147"/>
        <v/>
      </c>
      <c r="K702" s="52" t="str">
        <f t="shared" si="165"/>
        <v/>
      </c>
      <c r="L702" s="53" t="str">
        <f t="shared" si="143"/>
        <v/>
      </c>
      <c r="M702" s="52" t="str">
        <f t="shared" si="148"/>
        <v/>
      </c>
      <c r="N702" s="58" t="str">
        <f t="shared" si="144"/>
        <v/>
      </c>
      <c r="Q702" s="51" t="str">
        <f t="shared" si="149"/>
        <v/>
      </c>
      <c r="R702" s="52" t="str">
        <f t="shared" si="150"/>
        <v/>
      </c>
      <c r="S702" s="58" t="str">
        <f t="shared" si="176"/>
        <v/>
      </c>
      <c r="T702" s="52" t="str">
        <f t="shared" si="145"/>
        <v/>
      </c>
    </row>
    <row r="703" spans="2:20" ht="15.75" customHeight="1" x14ac:dyDescent="0.25">
      <c r="B703" s="33">
        <f t="shared" si="183"/>
        <v>70.249999999999986</v>
      </c>
      <c r="C703" s="34"/>
      <c r="D703" s="35">
        <f>(3/12)*D700</f>
        <v>7.1809999999999999E-3</v>
      </c>
      <c r="E703" s="36">
        <f>E700-(3/12)*F700</f>
        <v>682223.36462415173</v>
      </c>
      <c r="F703" s="36">
        <f t="shared" si="184"/>
        <v>1644.8268285780214</v>
      </c>
      <c r="G703" s="31">
        <f t="shared" si="140"/>
        <v>0.99281900000000001</v>
      </c>
      <c r="H703" s="32"/>
      <c r="I703" s="51" t="str">
        <f t="shared" si="146"/>
        <v/>
      </c>
      <c r="J703" s="51" t="str">
        <f t="shared" si="147"/>
        <v/>
      </c>
      <c r="K703" s="52" t="str">
        <f t="shared" si="165"/>
        <v/>
      </c>
      <c r="L703" s="53" t="str">
        <f t="shared" si="143"/>
        <v/>
      </c>
      <c r="M703" s="52" t="str">
        <f t="shared" si="148"/>
        <v/>
      </c>
      <c r="N703" s="58" t="str">
        <f t="shared" si="144"/>
        <v/>
      </c>
      <c r="Q703" s="51" t="str">
        <f t="shared" si="149"/>
        <v/>
      </c>
      <c r="R703" s="52" t="str">
        <f t="shared" si="150"/>
        <v/>
      </c>
      <c r="S703" s="58" t="str">
        <f t="shared" si="176"/>
        <v/>
      </c>
      <c r="T703" s="52" t="str">
        <f t="shared" si="145"/>
        <v/>
      </c>
    </row>
    <row r="704" spans="2:20" ht="15.75" customHeight="1" x14ac:dyDescent="0.25">
      <c r="B704" s="33">
        <f t="shared" si="183"/>
        <v>70.333333333333314</v>
      </c>
      <c r="C704" s="34"/>
      <c r="D704" s="35">
        <f>(4/12)*D700</f>
        <v>9.5746666666666654E-3</v>
      </c>
      <c r="E704" s="36">
        <f>E700-(4/12)*F700</f>
        <v>680578.53779557371</v>
      </c>
      <c r="F704" s="36">
        <f t="shared" si="184"/>
        <v>1644.8268285780214</v>
      </c>
      <c r="G704" s="31">
        <f t="shared" si="140"/>
        <v>0.99042533333333338</v>
      </c>
      <c r="H704" s="32"/>
      <c r="I704" s="51" t="str">
        <f t="shared" si="146"/>
        <v/>
      </c>
      <c r="J704" s="51" t="str">
        <f t="shared" si="147"/>
        <v/>
      </c>
      <c r="K704" s="52" t="str">
        <f t="shared" si="165"/>
        <v/>
      </c>
      <c r="L704" s="53" t="str">
        <f t="shared" si="143"/>
        <v/>
      </c>
      <c r="M704" s="52" t="str">
        <f t="shared" si="148"/>
        <v/>
      </c>
      <c r="N704" s="58" t="str">
        <f t="shared" si="144"/>
        <v/>
      </c>
      <c r="Q704" s="51" t="str">
        <f t="shared" si="149"/>
        <v/>
      </c>
      <c r="R704" s="52" t="str">
        <f t="shared" si="150"/>
        <v/>
      </c>
      <c r="S704" s="58" t="str">
        <f t="shared" si="176"/>
        <v/>
      </c>
      <c r="T704" s="52" t="str">
        <f t="shared" si="145"/>
        <v/>
      </c>
    </row>
    <row r="705" spans="2:20" ht="15.75" customHeight="1" x14ac:dyDescent="0.25">
      <c r="B705" s="33">
        <f t="shared" si="183"/>
        <v>70.416666666666643</v>
      </c>
      <c r="C705" s="34"/>
      <c r="D705" s="35">
        <f>(5/12)*D700</f>
        <v>1.1968333333333334E-2</v>
      </c>
      <c r="E705" s="36">
        <f>E700-(5/12)*F700</f>
        <v>678933.71096699568</v>
      </c>
      <c r="F705" s="36">
        <f t="shared" si="184"/>
        <v>1644.8268285780214</v>
      </c>
      <c r="G705" s="31">
        <f t="shared" si="140"/>
        <v>0.98803166666666664</v>
      </c>
      <c r="H705" s="32"/>
      <c r="I705" s="51" t="str">
        <f t="shared" si="146"/>
        <v/>
      </c>
      <c r="J705" s="51" t="str">
        <f t="shared" si="147"/>
        <v/>
      </c>
      <c r="K705" s="52" t="str">
        <f t="shared" si="165"/>
        <v/>
      </c>
      <c r="L705" s="53" t="str">
        <f t="shared" si="143"/>
        <v/>
      </c>
      <c r="M705" s="52" t="str">
        <f t="shared" si="148"/>
        <v/>
      </c>
      <c r="N705" s="58" t="str">
        <f t="shared" si="144"/>
        <v/>
      </c>
      <c r="Q705" s="51" t="str">
        <f t="shared" si="149"/>
        <v/>
      </c>
      <c r="R705" s="52" t="str">
        <f t="shared" si="150"/>
        <v/>
      </c>
      <c r="S705" s="58" t="str">
        <f t="shared" si="176"/>
        <v/>
      </c>
      <c r="T705" s="52" t="str">
        <f t="shared" si="145"/>
        <v/>
      </c>
    </row>
    <row r="706" spans="2:20" ht="15.75" customHeight="1" x14ac:dyDescent="0.25">
      <c r="B706" s="33">
        <f t="shared" si="183"/>
        <v>70.499999999999972</v>
      </c>
      <c r="C706" s="34"/>
      <c r="D706" s="35">
        <f>(6/12)*D700</f>
        <v>1.4362E-2</v>
      </c>
      <c r="E706" s="36">
        <f>E700-(6/12)*F700</f>
        <v>677288.88413841766</v>
      </c>
      <c r="F706" s="36">
        <f t="shared" si="184"/>
        <v>1644.8268285781378</v>
      </c>
      <c r="G706" s="31">
        <f t="shared" si="140"/>
        <v>0.98563800000000001</v>
      </c>
      <c r="H706" s="32"/>
      <c r="I706" s="51" t="str">
        <f t="shared" si="146"/>
        <v/>
      </c>
      <c r="J706" s="51" t="str">
        <f t="shared" si="147"/>
        <v/>
      </c>
      <c r="K706" s="52" t="str">
        <f t="shared" si="165"/>
        <v/>
      </c>
      <c r="L706" s="53" t="str">
        <f t="shared" si="143"/>
        <v/>
      </c>
      <c r="M706" s="52" t="str">
        <f t="shared" si="148"/>
        <v/>
      </c>
      <c r="N706" s="58" t="str">
        <f t="shared" si="144"/>
        <v/>
      </c>
      <c r="Q706" s="51" t="str">
        <f t="shared" si="149"/>
        <v/>
      </c>
      <c r="R706" s="52" t="str">
        <f t="shared" si="150"/>
        <v/>
      </c>
      <c r="S706" s="58" t="str">
        <f t="shared" si="176"/>
        <v/>
      </c>
      <c r="T706" s="52" t="str">
        <f t="shared" si="145"/>
        <v/>
      </c>
    </row>
    <row r="707" spans="2:20" ht="15.75" customHeight="1" x14ac:dyDescent="0.25">
      <c r="B707" s="33">
        <f t="shared" si="183"/>
        <v>70.5833333333333</v>
      </c>
      <c r="C707" s="34"/>
      <c r="D707" s="35">
        <f>(7/12)*D700</f>
        <v>1.6755666666666669E-2</v>
      </c>
      <c r="E707" s="36">
        <f>E700-(7/12)*F700</f>
        <v>675644.05730983953</v>
      </c>
      <c r="F707" s="36">
        <f t="shared" si="184"/>
        <v>1644.8268285780214</v>
      </c>
      <c r="G707" s="31">
        <f t="shared" si="140"/>
        <v>0.98324433333333339</v>
      </c>
      <c r="H707" s="32"/>
      <c r="I707" s="51" t="str">
        <f t="shared" si="146"/>
        <v/>
      </c>
      <c r="J707" s="51" t="str">
        <f t="shared" si="147"/>
        <v/>
      </c>
      <c r="K707" s="52" t="str">
        <f t="shared" si="165"/>
        <v/>
      </c>
      <c r="L707" s="53" t="str">
        <f t="shared" si="143"/>
        <v/>
      </c>
      <c r="M707" s="52" t="str">
        <f t="shared" si="148"/>
        <v/>
      </c>
      <c r="N707" s="58" t="str">
        <f t="shared" si="144"/>
        <v/>
      </c>
      <c r="Q707" s="51" t="str">
        <f t="shared" si="149"/>
        <v/>
      </c>
      <c r="R707" s="52" t="str">
        <f t="shared" si="150"/>
        <v/>
      </c>
      <c r="S707" s="58" t="str">
        <f t="shared" si="176"/>
        <v/>
      </c>
      <c r="T707" s="52" t="str">
        <f t="shared" si="145"/>
        <v/>
      </c>
    </row>
    <row r="708" spans="2:20" ht="15.75" customHeight="1" x14ac:dyDescent="0.25">
      <c r="B708" s="33">
        <f t="shared" si="183"/>
        <v>70.666666666666629</v>
      </c>
      <c r="C708" s="34"/>
      <c r="D708" s="35">
        <f>(8/12)*D700</f>
        <v>1.9149333333333331E-2</v>
      </c>
      <c r="E708" s="36">
        <f>E700-(8/12)*F700</f>
        <v>673999.2304812615</v>
      </c>
      <c r="F708" s="36">
        <f t="shared" si="184"/>
        <v>1644.8268285780214</v>
      </c>
      <c r="G708" s="31">
        <f t="shared" si="140"/>
        <v>0.98085066666666665</v>
      </c>
      <c r="H708" s="32"/>
      <c r="I708" s="51" t="str">
        <f t="shared" si="146"/>
        <v/>
      </c>
      <c r="J708" s="51" t="str">
        <f t="shared" si="147"/>
        <v/>
      </c>
      <c r="K708" s="52" t="str">
        <f t="shared" si="165"/>
        <v/>
      </c>
      <c r="L708" s="53" t="str">
        <f t="shared" si="143"/>
        <v/>
      </c>
      <c r="M708" s="52" t="str">
        <f t="shared" si="148"/>
        <v/>
      </c>
      <c r="N708" s="58" t="str">
        <f t="shared" si="144"/>
        <v/>
      </c>
      <c r="Q708" s="51" t="str">
        <f t="shared" si="149"/>
        <v/>
      </c>
      <c r="R708" s="52" t="str">
        <f t="shared" si="150"/>
        <v/>
      </c>
      <c r="S708" s="58" t="str">
        <f t="shared" si="176"/>
        <v/>
      </c>
      <c r="T708" s="52" t="str">
        <f t="shared" si="145"/>
        <v/>
      </c>
    </row>
    <row r="709" spans="2:20" ht="15.75" customHeight="1" x14ac:dyDescent="0.25">
      <c r="B709" s="33">
        <f t="shared" si="183"/>
        <v>70.749999999999957</v>
      </c>
      <c r="C709" s="34"/>
      <c r="D709" s="35">
        <f>(9/12)*D700</f>
        <v>2.1543E-2</v>
      </c>
      <c r="E709" s="36">
        <f>E700-(9/12)*F700</f>
        <v>672354.40365268348</v>
      </c>
      <c r="F709" s="36">
        <f t="shared" si="184"/>
        <v>1644.8268285780214</v>
      </c>
      <c r="G709" s="31">
        <f t="shared" si="140"/>
        <v>0.97845700000000002</v>
      </c>
      <c r="H709" s="32"/>
      <c r="I709" s="51" t="str">
        <f t="shared" si="146"/>
        <v/>
      </c>
      <c r="J709" s="51" t="str">
        <f t="shared" si="147"/>
        <v/>
      </c>
      <c r="K709" s="52" t="str">
        <f t="shared" si="165"/>
        <v/>
      </c>
      <c r="L709" s="53" t="str">
        <f t="shared" si="143"/>
        <v/>
      </c>
      <c r="M709" s="52" t="str">
        <f t="shared" si="148"/>
        <v/>
      </c>
      <c r="N709" s="58" t="str">
        <f t="shared" si="144"/>
        <v/>
      </c>
      <c r="Q709" s="51" t="str">
        <f t="shared" si="149"/>
        <v/>
      </c>
      <c r="R709" s="52" t="str">
        <f t="shared" si="150"/>
        <v/>
      </c>
      <c r="S709" s="58" t="str">
        <f t="shared" si="176"/>
        <v/>
      </c>
      <c r="T709" s="52" t="str">
        <f t="shared" si="145"/>
        <v/>
      </c>
    </row>
    <row r="710" spans="2:20" ht="15.75" customHeight="1" x14ac:dyDescent="0.25">
      <c r="B710" s="33">
        <f t="shared" si="183"/>
        <v>70.833333333333286</v>
      </c>
      <c r="C710" s="34"/>
      <c r="D710" s="35">
        <f>(10/12)*D700</f>
        <v>2.3936666666666669E-2</v>
      </c>
      <c r="E710" s="36">
        <f>E700-(10/12)*F700</f>
        <v>670709.57682410546</v>
      </c>
      <c r="F710" s="36">
        <f t="shared" si="184"/>
        <v>1644.8268285780214</v>
      </c>
      <c r="G710" s="31">
        <f t="shared" si="140"/>
        <v>0.97606333333333328</v>
      </c>
      <c r="H710" s="32"/>
      <c r="I710" s="51" t="str">
        <f t="shared" si="146"/>
        <v/>
      </c>
      <c r="J710" s="51" t="str">
        <f t="shared" si="147"/>
        <v/>
      </c>
      <c r="K710" s="52" t="str">
        <f t="shared" si="165"/>
        <v/>
      </c>
      <c r="L710" s="53" t="str">
        <f t="shared" si="143"/>
        <v/>
      </c>
      <c r="M710" s="52" t="str">
        <f t="shared" si="148"/>
        <v/>
      </c>
      <c r="N710" s="58" t="str">
        <f t="shared" si="144"/>
        <v/>
      </c>
      <c r="Q710" s="51" t="str">
        <f t="shared" si="149"/>
        <v/>
      </c>
      <c r="R710" s="52" t="str">
        <f t="shared" si="150"/>
        <v/>
      </c>
      <c r="S710" s="58" t="str">
        <f t="shared" si="176"/>
        <v/>
      </c>
      <c r="T710" s="52" t="str">
        <f t="shared" si="145"/>
        <v/>
      </c>
    </row>
    <row r="711" spans="2:20" ht="15.75" customHeight="1" x14ac:dyDescent="0.25">
      <c r="B711" s="33">
        <f t="shared" si="183"/>
        <v>70.916666666666615</v>
      </c>
      <c r="C711" s="34"/>
      <c r="D711" s="35">
        <f>(11/12)*D700</f>
        <v>2.6330333333333331E-2</v>
      </c>
      <c r="E711" s="36">
        <f>E700-(11/12)*F700</f>
        <v>669064.74999552744</v>
      </c>
      <c r="F711" s="36">
        <f t="shared" si="184"/>
        <v>1644.8268285780214</v>
      </c>
      <c r="G711" s="31">
        <f t="shared" si="140"/>
        <v>0.97366966666666666</v>
      </c>
      <c r="H711" s="32"/>
      <c r="I711" s="51" t="str">
        <f t="shared" si="146"/>
        <v/>
      </c>
      <c r="J711" s="51" t="str">
        <f t="shared" si="147"/>
        <v/>
      </c>
      <c r="K711" s="52" t="str">
        <f t="shared" si="165"/>
        <v/>
      </c>
      <c r="L711" s="53" t="str">
        <f t="shared" si="143"/>
        <v/>
      </c>
      <c r="M711" s="52" t="str">
        <f t="shared" si="148"/>
        <v/>
      </c>
      <c r="N711" s="58" t="str">
        <f t="shared" si="144"/>
        <v/>
      </c>
      <c r="Q711" s="51" t="str">
        <f t="shared" si="149"/>
        <v/>
      </c>
      <c r="R711" s="52" t="str">
        <f t="shared" si="150"/>
        <v/>
      </c>
      <c r="S711" s="58" t="str">
        <f t="shared" si="176"/>
        <v/>
      </c>
      <c r="T711" s="52" t="str">
        <f t="shared" si="145"/>
        <v/>
      </c>
    </row>
    <row r="712" spans="2:20" ht="15.75" customHeight="1" x14ac:dyDescent="0.25">
      <c r="B712" s="27">
        <v>71</v>
      </c>
      <c r="C712" s="28">
        <v>30.873999999999999</v>
      </c>
      <c r="D712" s="29">
        <f>C712/1000</f>
        <v>3.0873999999999999E-2</v>
      </c>
      <c r="E712" s="30">
        <f>E700-F700</f>
        <v>667419.92316694942</v>
      </c>
      <c r="F712" s="48">
        <f>D712*E712</f>
        <v>20605.922707856396</v>
      </c>
      <c r="G712" s="31">
        <f t="shared" si="140"/>
        <v>0.96912600000000004</v>
      </c>
      <c r="H712" s="49"/>
      <c r="I712" s="51" t="str">
        <f t="shared" si="146"/>
        <v/>
      </c>
      <c r="J712" s="51" t="str">
        <f t="shared" si="147"/>
        <v/>
      </c>
      <c r="K712" s="52" t="str">
        <f t="shared" si="165"/>
        <v/>
      </c>
      <c r="L712" s="53" t="str">
        <f t="shared" si="143"/>
        <v/>
      </c>
      <c r="M712" s="52" t="str">
        <f t="shared" si="148"/>
        <v/>
      </c>
      <c r="N712" s="58" t="str">
        <f t="shared" si="144"/>
        <v/>
      </c>
      <c r="Q712" s="51" t="str">
        <f t="shared" si="149"/>
        <v/>
      </c>
      <c r="R712" s="52" t="str">
        <f t="shared" si="150"/>
        <v/>
      </c>
      <c r="S712" s="58" t="str">
        <f t="shared" si="176"/>
        <v/>
      </c>
      <c r="T712" s="52" t="str">
        <f t="shared" si="145"/>
        <v/>
      </c>
    </row>
    <row r="713" spans="2:20" ht="15.75" customHeight="1" x14ac:dyDescent="0.25">
      <c r="B713" s="33">
        <f t="shared" ref="B713:B723" si="185">B712+1/12</f>
        <v>71.083333333333329</v>
      </c>
      <c r="C713" s="34"/>
      <c r="D713" s="35">
        <f>(1/12)*D712</f>
        <v>2.5728333333333332E-3</v>
      </c>
      <c r="E713" s="36">
        <f>E712-(1/12)*F712</f>
        <v>665702.7629412947</v>
      </c>
      <c r="F713" s="36">
        <f t="shared" ref="F713:F723" si="186">E713-E714</f>
        <v>1717.1602256547194</v>
      </c>
      <c r="G713" s="31">
        <f t="shared" si="140"/>
        <v>0.99742716666666664</v>
      </c>
      <c r="H713" s="37"/>
      <c r="I713" s="51" t="str">
        <f t="shared" si="146"/>
        <v/>
      </c>
      <c r="J713" s="51" t="str">
        <f t="shared" si="147"/>
        <v/>
      </c>
      <c r="K713" s="52" t="str">
        <f t="shared" si="165"/>
        <v/>
      </c>
      <c r="L713" s="53" t="str">
        <f t="shared" si="143"/>
        <v/>
      </c>
      <c r="M713" s="52" t="str">
        <f t="shared" si="148"/>
        <v/>
      </c>
      <c r="N713" s="58" t="str">
        <f t="shared" si="144"/>
        <v/>
      </c>
      <c r="Q713" s="51" t="str">
        <f t="shared" si="149"/>
        <v/>
      </c>
      <c r="R713" s="52" t="str">
        <f t="shared" si="150"/>
        <v/>
      </c>
      <c r="S713" s="58" t="str">
        <f t="shared" si="176"/>
        <v/>
      </c>
      <c r="T713" s="52" t="str">
        <f t="shared" si="145"/>
        <v/>
      </c>
    </row>
    <row r="714" spans="2:20" ht="15.75" customHeight="1" x14ac:dyDescent="0.25">
      <c r="B714" s="33">
        <f t="shared" si="185"/>
        <v>71.166666666666657</v>
      </c>
      <c r="C714" s="34"/>
      <c r="D714" s="35">
        <f>(2/12)*D712</f>
        <v>5.1456666666666664E-3</v>
      </c>
      <c r="E714" s="36">
        <f>E712-(2/12)*F712</f>
        <v>663985.60271563998</v>
      </c>
      <c r="F714" s="36">
        <f t="shared" si="186"/>
        <v>1717.160225654603</v>
      </c>
      <c r="G714" s="31">
        <f t="shared" si="140"/>
        <v>0.99485433333333328</v>
      </c>
      <c r="H714" s="32"/>
      <c r="I714" s="51" t="str">
        <f t="shared" si="146"/>
        <v/>
      </c>
      <c r="J714" s="51" t="str">
        <f t="shared" si="147"/>
        <v/>
      </c>
      <c r="K714" s="52" t="str">
        <f t="shared" si="165"/>
        <v/>
      </c>
      <c r="L714" s="53" t="str">
        <f t="shared" si="143"/>
        <v/>
      </c>
      <c r="M714" s="52" t="str">
        <f t="shared" si="148"/>
        <v/>
      </c>
      <c r="N714" s="58" t="str">
        <f t="shared" si="144"/>
        <v/>
      </c>
      <c r="Q714" s="51" t="str">
        <f t="shared" si="149"/>
        <v/>
      </c>
      <c r="R714" s="52" t="str">
        <f t="shared" si="150"/>
        <v/>
      </c>
      <c r="S714" s="58" t="str">
        <f t="shared" si="176"/>
        <v/>
      </c>
      <c r="T714" s="52" t="str">
        <f t="shared" si="145"/>
        <v/>
      </c>
    </row>
    <row r="715" spans="2:20" ht="15.75" customHeight="1" x14ac:dyDescent="0.25">
      <c r="B715" s="33">
        <f t="shared" si="185"/>
        <v>71.249999999999986</v>
      </c>
      <c r="C715" s="34"/>
      <c r="D715" s="35">
        <f>(3/12)*D712</f>
        <v>7.7184999999999997E-3</v>
      </c>
      <c r="E715" s="36">
        <f>E712-(3/12)*F712</f>
        <v>662268.44248998538</v>
      </c>
      <c r="F715" s="36">
        <f t="shared" si="186"/>
        <v>1717.1602256547194</v>
      </c>
      <c r="G715" s="31">
        <f t="shared" si="140"/>
        <v>0.99228150000000004</v>
      </c>
      <c r="H715" s="32"/>
      <c r="I715" s="51" t="str">
        <f t="shared" si="146"/>
        <v/>
      </c>
      <c r="J715" s="51" t="str">
        <f t="shared" si="147"/>
        <v/>
      </c>
      <c r="K715" s="52" t="str">
        <f t="shared" si="165"/>
        <v/>
      </c>
      <c r="L715" s="53" t="str">
        <f t="shared" si="143"/>
        <v/>
      </c>
      <c r="M715" s="52" t="str">
        <f t="shared" si="148"/>
        <v/>
      </c>
      <c r="N715" s="58" t="str">
        <f t="shared" si="144"/>
        <v/>
      </c>
      <c r="Q715" s="51" t="str">
        <f t="shared" si="149"/>
        <v/>
      </c>
      <c r="R715" s="52" t="str">
        <f t="shared" si="150"/>
        <v/>
      </c>
      <c r="S715" s="58" t="str">
        <f t="shared" si="176"/>
        <v/>
      </c>
      <c r="T715" s="52" t="str">
        <f t="shared" si="145"/>
        <v/>
      </c>
    </row>
    <row r="716" spans="2:20" ht="15.75" customHeight="1" x14ac:dyDescent="0.25">
      <c r="B716" s="33">
        <f t="shared" si="185"/>
        <v>71.333333333333314</v>
      </c>
      <c r="C716" s="34"/>
      <c r="D716" s="35">
        <f>(4/12)*D712</f>
        <v>1.0291333333333333E-2</v>
      </c>
      <c r="E716" s="36">
        <f>E712-(4/12)*F712</f>
        <v>660551.28226433066</v>
      </c>
      <c r="F716" s="36">
        <f t="shared" si="186"/>
        <v>1717.1602256547194</v>
      </c>
      <c r="G716" s="31">
        <f t="shared" si="140"/>
        <v>0.98970866666666668</v>
      </c>
      <c r="H716" s="32"/>
      <c r="I716" s="51" t="str">
        <f t="shared" si="146"/>
        <v/>
      </c>
      <c r="J716" s="51" t="str">
        <f t="shared" si="147"/>
        <v/>
      </c>
      <c r="K716" s="52" t="str">
        <f t="shared" si="165"/>
        <v/>
      </c>
      <c r="L716" s="53" t="str">
        <f t="shared" si="143"/>
        <v/>
      </c>
      <c r="M716" s="52" t="str">
        <f t="shared" si="148"/>
        <v/>
      </c>
      <c r="N716" s="58" t="str">
        <f t="shared" si="144"/>
        <v/>
      </c>
      <c r="Q716" s="51" t="str">
        <f t="shared" si="149"/>
        <v/>
      </c>
      <c r="R716" s="52" t="str">
        <f t="shared" si="150"/>
        <v/>
      </c>
      <c r="S716" s="58" t="str">
        <f t="shared" si="176"/>
        <v/>
      </c>
      <c r="T716" s="52" t="str">
        <f t="shared" si="145"/>
        <v/>
      </c>
    </row>
    <row r="717" spans="2:20" ht="15.75" customHeight="1" x14ac:dyDescent="0.25">
      <c r="B717" s="33">
        <f t="shared" si="185"/>
        <v>71.416666666666643</v>
      </c>
      <c r="C717" s="34"/>
      <c r="D717" s="35">
        <f>(5/12)*D712</f>
        <v>1.2864166666666666E-2</v>
      </c>
      <c r="E717" s="36">
        <f>E712-(5/12)*F712</f>
        <v>658834.12203867594</v>
      </c>
      <c r="F717" s="36">
        <f t="shared" si="186"/>
        <v>1717.1602256547194</v>
      </c>
      <c r="G717" s="31">
        <f t="shared" si="140"/>
        <v>0.98713583333333332</v>
      </c>
      <c r="H717" s="32"/>
      <c r="I717" s="51" t="str">
        <f t="shared" si="146"/>
        <v/>
      </c>
      <c r="J717" s="51" t="str">
        <f t="shared" si="147"/>
        <v/>
      </c>
      <c r="K717" s="52" t="str">
        <f t="shared" si="165"/>
        <v/>
      </c>
      <c r="L717" s="53" t="str">
        <f t="shared" si="143"/>
        <v/>
      </c>
      <c r="M717" s="52" t="str">
        <f t="shared" si="148"/>
        <v/>
      </c>
      <c r="N717" s="58" t="str">
        <f t="shared" si="144"/>
        <v/>
      </c>
      <c r="Q717" s="51" t="str">
        <f t="shared" si="149"/>
        <v/>
      </c>
      <c r="R717" s="52" t="str">
        <f t="shared" si="150"/>
        <v/>
      </c>
      <c r="S717" s="58" t="str">
        <f t="shared" si="176"/>
        <v/>
      </c>
      <c r="T717" s="52" t="str">
        <f t="shared" si="145"/>
        <v/>
      </c>
    </row>
    <row r="718" spans="2:20" ht="15.75" customHeight="1" x14ac:dyDescent="0.25">
      <c r="B718" s="33">
        <f t="shared" si="185"/>
        <v>71.499999999999972</v>
      </c>
      <c r="C718" s="34"/>
      <c r="D718" s="35">
        <f>(6/12)*D712</f>
        <v>1.5436999999999999E-2</v>
      </c>
      <c r="E718" s="36">
        <f>E712-(6/12)*F712</f>
        <v>657116.96181302122</v>
      </c>
      <c r="F718" s="36">
        <f t="shared" si="186"/>
        <v>1717.1602256547194</v>
      </c>
      <c r="G718" s="31">
        <f t="shared" si="140"/>
        <v>0.98456299999999997</v>
      </c>
      <c r="H718" s="32"/>
      <c r="I718" s="51" t="str">
        <f t="shared" si="146"/>
        <v/>
      </c>
      <c r="J718" s="51" t="str">
        <f t="shared" si="147"/>
        <v/>
      </c>
      <c r="K718" s="52" t="str">
        <f t="shared" si="165"/>
        <v/>
      </c>
      <c r="L718" s="53" t="str">
        <f t="shared" si="143"/>
        <v/>
      </c>
      <c r="M718" s="52" t="str">
        <f t="shared" si="148"/>
        <v/>
      </c>
      <c r="N718" s="58" t="str">
        <f t="shared" si="144"/>
        <v/>
      </c>
      <c r="Q718" s="51" t="str">
        <f t="shared" si="149"/>
        <v/>
      </c>
      <c r="R718" s="52" t="str">
        <f t="shared" si="150"/>
        <v/>
      </c>
      <c r="S718" s="58" t="str">
        <f t="shared" si="176"/>
        <v/>
      </c>
      <c r="T718" s="52" t="str">
        <f t="shared" si="145"/>
        <v/>
      </c>
    </row>
    <row r="719" spans="2:20" ht="15.75" customHeight="1" x14ac:dyDescent="0.25">
      <c r="B719" s="33">
        <f t="shared" si="185"/>
        <v>71.5833333333333</v>
      </c>
      <c r="C719" s="34"/>
      <c r="D719" s="35">
        <f>(7/12)*D712</f>
        <v>1.8009833333333333E-2</v>
      </c>
      <c r="E719" s="36">
        <f>E712-(7/12)*F712</f>
        <v>655399.8015873665</v>
      </c>
      <c r="F719" s="36">
        <f t="shared" si="186"/>
        <v>1717.1602256547194</v>
      </c>
      <c r="G719" s="31">
        <f t="shared" si="140"/>
        <v>0.98199016666666672</v>
      </c>
      <c r="H719" s="32"/>
      <c r="I719" s="51" t="str">
        <f t="shared" si="146"/>
        <v/>
      </c>
      <c r="J719" s="51" t="str">
        <f t="shared" si="147"/>
        <v/>
      </c>
      <c r="K719" s="52" t="str">
        <f t="shared" si="165"/>
        <v/>
      </c>
      <c r="L719" s="53" t="str">
        <f t="shared" si="143"/>
        <v/>
      </c>
      <c r="M719" s="52" t="str">
        <f t="shared" si="148"/>
        <v/>
      </c>
      <c r="N719" s="58" t="str">
        <f t="shared" si="144"/>
        <v/>
      </c>
      <c r="Q719" s="51" t="str">
        <f t="shared" si="149"/>
        <v/>
      </c>
      <c r="R719" s="52" t="str">
        <f t="shared" si="150"/>
        <v/>
      </c>
      <c r="S719" s="58" t="str">
        <f t="shared" si="176"/>
        <v/>
      </c>
      <c r="T719" s="52" t="str">
        <f t="shared" si="145"/>
        <v/>
      </c>
    </row>
    <row r="720" spans="2:20" ht="15.75" customHeight="1" x14ac:dyDescent="0.25">
      <c r="B720" s="33">
        <f t="shared" si="185"/>
        <v>71.666666666666629</v>
      </c>
      <c r="C720" s="34"/>
      <c r="D720" s="35">
        <f>(8/12)*D712</f>
        <v>2.0582666666666666E-2</v>
      </c>
      <c r="E720" s="36">
        <f>E712-(8/12)*F712</f>
        <v>653682.64136171178</v>
      </c>
      <c r="F720" s="36">
        <f t="shared" si="186"/>
        <v>1717.160225654603</v>
      </c>
      <c r="G720" s="31">
        <f t="shared" si="140"/>
        <v>0.97941733333333336</v>
      </c>
      <c r="H720" s="32"/>
      <c r="I720" s="51" t="str">
        <f t="shared" si="146"/>
        <v/>
      </c>
      <c r="J720" s="51" t="str">
        <f t="shared" si="147"/>
        <v/>
      </c>
      <c r="K720" s="52" t="str">
        <f t="shared" si="165"/>
        <v/>
      </c>
      <c r="L720" s="53" t="str">
        <f t="shared" si="143"/>
        <v/>
      </c>
      <c r="M720" s="52" t="str">
        <f t="shared" si="148"/>
        <v/>
      </c>
      <c r="N720" s="58" t="str">
        <f t="shared" si="144"/>
        <v/>
      </c>
      <c r="Q720" s="51" t="str">
        <f t="shared" si="149"/>
        <v/>
      </c>
      <c r="R720" s="52" t="str">
        <f t="shared" si="150"/>
        <v/>
      </c>
      <c r="S720" s="58" t="str">
        <f t="shared" si="176"/>
        <v/>
      </c>
      <c r="T720" s="52" t="str">
        <f t="shared" si="145"/>
        <v/>
      </c>
    </row>
    <row r="721" spans="2:20" ht="15.75" customHeight="1" x14ac:dyDescent="0.25">
      <c r="B721" s="33">
        <f t="shared" si="185"/>
        <v>71.749999999999957</v>
      </c>
      <c r="C721" s="34"/>
      <c r="D721" s="35">
        <f>(9/12)*D712</f>
        <v>2.3155499999999999E-2</v>
      </c>
      <c r="E721" s="36">
        <f>E712-(9/12)*F712</f>
        <v>651965.48113605718</v>
      </c>
      <c r="F721" s="36">
        <f t="shared" si="186"/>
        <v>1717.1602256547194</v>
      </c>
      <c r="G721" s="31">
        <f t="shared" si="140"/>
        <v>0.9768445</v>
      </c>
      <c r="H721" s="32"/>
      <c r="I721" s="51" t="str">
        <f t="shared" si="146"/>
        <v/>
      </c>
      <c r="J721" s="51" t="str">
        <f t="shared" si="147"/>
        <v/>
      </c>
      <c r="K721" s="52" t="str">
        <f t="shared" si="165"/>
        <v/>
      </c>
      <c r="L721" s="53" t="str">
        <f t="shared" si="143"/>
        <v/>
      </c>
      <c r="M721" s="52" t="str">
        <f t="shared" si="148"/>
        <v/>
      </c>
      <c r="N721" s="58" t="str">
        <f t="shared" si="144"/>
        <v/>
      </c>
      <c r="Q721" s="51" t="str">
        <f t="shared" si="149"/>
        <v/>
      </c>
      <c r="R721" s="52" t="str">
        <f t="shared" si="150"/>
        <v/>
      </c>
      <c r="S721" s="58" t="str">
        <f t="shared" si="176"/>
        <v/>
      </c>
      <c r="T721" s="52" t="str">
        <f t="shared" si="145"/>
        <v/>
      </c>
    </row>
    <row r="722" spans="2:20" ht="15.75" customHeight="1" x14ac:dyDescent="0.25">
      <c r="B722" s="33">
        <f t="shared" si="185"/>
        <v>71.833333333333286</v>
      </c>
      <c r="C722" s="34"/>
      <c r="D722" s="35">
        <f>(10/12)*D712</f>
        <v>2.5728333333333332E-2</v>
      </c>
      <c r="E722" s="36">
        <f>E712-(10/12)*F712</f>
        <v>650248.32091040246</v>
      </c>
      <c r="F722" s="36">
        <f t="shared" si="186"/>
        <v>1717.1602256547194</v>
      </c>
      <c r="G722" s="31">
        <f t="shared" si="140"/>
        <v>0.97427166666666665</v>
      </c>
      <c r="H722" s="32"/>
      <c r="I722" s="51" t="str">
        <f t="shared" si="146"/>
        <v/>
      </c>
      <c r="J722" s="51" t="str">
        <f t="shared" si="147"/>
        <v/>
      </c>
      <c r="K722" s="52" t="str">
        <f t="shared" si="165"/>
        <v/>
      </c>
      <c r="L722" s="53" t="str">
        <f t="shared" si="143"/>
        <v/>
      </c>
      <c r="M722" s="52" t="str">
        <f t="shared" si="148"/>
        <v/>
      </c>
      <c r="N722" s="58" t="str">
        <f t="shared" si="144"/>
        <v/>
      </c>
      <c r="Q722" s="51" t="str">
        <f t="shared" si="149"/>
        <v/>
      </c>
      <c r="R722" s="52" t="str">
        <f t="shared" si="150"/>
        <v/>
      </c>
      <c r="S722" s="58" t="str">
        <f t="shared" ref="S722:S785" si="187">IF(Q722&lt;&gt;"",(1+$M$10)^-(12*Q722),"")</f>
        <v/>
      </c>
      <c r="T722" s="52" t="str">
        <f t="shared" si="145"/>
        <v/>
      </c>
    </row>
    <row r="723" spans="2:20" ht="15.75" customHeight="1" x14ac:dyDescent="0.25">
      <c r="B723" s="33">
        <f t="shared" si="185"/>
        <v>71.916666666666615</v>
      </c>
      <c r="C723" s="34"/>
      <c r="D723" s="35">
        <f>(11/12)*D712</f>
        <v>2.8301166666666665E-2</v>
      </c>
      <c r="E723" s="36">
        <f>E712-(11/12)*F712</f>
        <v>648531.16068474774</v>
      </c>
      <c r="F723" s="36">
        <f t="shared" si="186"/>
        <v>1717.1602256547194</v>
      </c>
      <c r="G723" s="31">
        <f t="shared" si="140"/>
        <v>0.97169883333333329</v>
      </c>
      <c r="H723" s="32"/>
      <c r="I723" s="51" t="str">
        <f t="shared" si="146"/>
        <v/>
      </c>
      <c r="J723" s="51" t="str">
        <f t="shared" si="147"/>
        <v/>
      </c>
      <c r="K723" s="52" t="str">
        <f t="shared" si="165"/>
        <v/>
      </c>
      <c r="L723" s="53" t="str">
        <f t="shared" si="143"/>
        <v/>
      </c>
      <c r="M723" s="52" t="str">
        <f t="shared" si="148"/>
        <v/>
      </c>
      <c r="N723" s="58" t="str">
        <f t="shared" si="144"/>
        <v/>
      </c>
      <c r="Q723" s="51" t="str">
        <f t="shared" si="149"/>
        <v/>
      </c>
      <c r="R723" s="52" t="str">
        <f t="shared" si="150"/>
        <v/>
      </c>
      <c r="S723" s="58" t="str">
        <f t="shared" si="187"/>
        <v/>
      </c>
      <c r="T723" s="52" t="str">
        <f t="shared" si="145"/>
        <v/>
      </c>
    </row>
    <row r="724" spans="2:20" ht="15.75" customHeight="1" x14ac:dyDescent="0.25">
      <c r="B724" s="27">
        <v>72</v>
      </c>
      <c r="C724" s="28">
        <v>33.18</v>
      </c>
      <c r="D724" s="29">
        <f>C724/1000</f>
        <v>3.3180000000000001E-2</v>
      </c>
      <c r="E724" s="30">
        <f>E712-F712</f>
        <v>646814.00045909302</v>
      </c>
      <c r="F724" s="48">
        <f>D724*E724</f>
        <v>21461.288535232707</v>
      </c>
      <c r="G724" s="31">
        <f t="shared" si="140"/>
        <v>0.96682000000000001</v>
      </c>
      <c r="H724" s="49"/>
      <c r="I724" s="51" t="str">
        <f t="shared" si="146"/>
        <v/>
      </c>
      <c r="J724" s="51" t="str">
        <f t="shared" si="147"/>
        <v/>
      </c>
      <c r="K724" s="52" t="str">
        <f t="shared" si="165"/>
        <v/>
      </c>
      <c r="L724" s="53" t="str">
        <f t="shared" si="143"/>
        <v/>
      </c>
      <c r="M724" s="52" t="str">
        <f t="shared" si="148"/>
        <v/>
      </c>
      <c r="N724" s="58" t="str">
        <f t="shared" si="144"/>
        <v/>
      </c>
      <c r="Q724" s="51" t="str">
        <f t="shared" si="149"/>
        <v/>
      </c>
      <c r="R724" s="52" t="str">
        <f t="shared" si="150"/>
        <v/>
      </c>
      <c r="S724" s="58" t="str">
        <f t="shared" si="187"/>
        <v/>
      </c>
      <c r="T724" s="52" t="str">
        <f t="shared" si="145"/>
        <v/>
      </c>
    </row>
    <row r="725" spans="2:20" ht="15.75" customHeight="1" x14ac:dyDescent="0.25">
      <c r="B725" s="33">
        <f t="shared" ref="B725:B735" si="188">B724+1/12</f>
        <v>72.083333333333329</v>
      </c>
      <c r="C725" s="34"/>
      <c r="D725" s="35">
        <f>(1/12)*D724</f>
        <v>2.7650000000000001E-3</v>
      </c>
      <c r="E725" s="36">
        <f>E724-(1/12)*F724</f>
        <v>645025.55974782363</v>
      </c>
      <c r="F725" s="36">
        <f t="shared" ref="F725:F735" si="189">E725-E726</f>
        <v>1788.440711269388</v>
      </c>
      <c r="G725" s="31">
        <f t="shared" si="140"/>
        <v>0.99723499999999998</v>
      </c>
      <c r="H725" s="37"/>
      <c r="I725" s="51" t="str">
        <f t="shared" si="146"/>
        <v/>
      </c>
      <c r="J725" s="51" t="str">
        <f t="shared" si="147"/>
        <v/>
      </c>
      <c r="K725" s="52" t="str">
        <f t="shared" si="165"/>
        <v/>
      </c>
      <c r="L725" s="53" t="str">
        <f t="shared" si="143"/>
        <v/>
      </c>
      <c r="M725" s="52" t="str">
        <f t="shared" si="148"/>
        <v/>
      </c>
      <c r="N725" s="58" t="str">
        <f t="shared" si="144"/>
        <v/>
      </c>
      <c r="Q725" s="51" t="str">
        <f t="shared" si="149"/>
        <v/>
      </c>
      <c r="R725" s="52" t="str">
        <f t="shared" si="150"/>
        <v/>
      </c>
      <c r="S725" s="58" t="str">
        <f t="shared" si="187"/>
        <v/>
      </c>
      <c r="T725" s="52" t="str">
        <f t="shared" si="145"/>
        <v/>
      </c>
    </row>
    <row r="726" spans="2:20" ht="15.75" customHeight="1" x14ac:dyDescent="0.25">
      <c r="B726" s="33">
        <f t="shared" si="188"/>
        <v>72.166666666666657</v>
      </c>
      <c r="C726" s="34"/>
      <c r="D726" s="35">
        <f>(2/12)*D724</f>
        <v>5.5300000000000002E-3</v>
      </c>
      <c r="E726" s="36">
        <f>E724-(2/12)*F724</f>
        <v>643237.11903655424</v>
      </c>
      <c r="F726" s="36">
        <f t="shared" si="189"/>
        <v>1788.440711269388</v>
      </c>
      <c r="G726" s="31">
        <f t="shared" si="140"/>
        <v>0.99446999999999997</v>
      </c>
      <c r="H726" s="32"/>
      <c r="I726" s="51" t="str">
        <f t="shared" si="146"/>
        <v/>
      </c>
      <c r="J726" s="51" t="str">
        <f t="shared" si="147"/>
        <v/>
      </c>
      <c r="K726" s="52" t="str">
        <f t="shared" si="165"/>
        <v/>
      </c>
      <c r="L726" s="53" t="str">
        <f t="shared" si="143"/>
        <v/>
      </c>
      <c r="M726" s="52" t="str">
        <f t="shared" si="148"/>
        <v/>
      </c>
      <c r="N726" s="58" t="str">
        <f t="shared" si="144"/>
        <v/>
      </c>
      <c r="Q726" s="51" t="str">
        <f t="shared" si="149"/>
        <v/>
      </c>
      <c r="R726" s="52" t="str">
        <f t="shared" si="150"/>
        <v/>
      </c>
      <c r="S726" s="58" t="str">
        <f t="shared" si="187"/>
        <v/>
      </c>
      <c r="T726" s="52" t="str">
        <f t="shared" si="145"/>
        <v/>
      </c>
    </row>
    <row r="727" spans="2:20" ht="15.75" customHeight="1" x14ac:dyDescent="0.25">
      <c r="B727" s="33">
        <f t="shared" si="188"/>
        <v>72.249999999999986</v>
      </c>
      <c r="C727" s="34"/>
      <c r="D727" s="35">
        <f>(3/12)*D724</f>
        <v>8.2950000000000003E-3</v>
      </c>
      <c r="E727" s="36">
        <f>E724-(3/12)*F724</f>
        <v>641448.67832528485</v>
      </c>
      <c r="F727" s="36">
        <f t="shared" si="189"/>
        <v>1788.440711269388</v>
      </c>
      <c r="G727" s="31">
        <f t="shared" si="140"/>
        <v>0.99170499999999995</v>
      </c>
      <c r="H727" s="32"/>
      <c r="I727" s="51" t="str">
        <f t="shared" si="146"/>
        <v/>
      </c>
      <c r="J727" s="51" t="str">
        <f t="shared" si="147"/>
        <v/>
      </c>
      <c r="K727" s="52" t="str">
        <f t="shared" si="165"/>
        <v/>
      </c>
      <c r="L727" s="53" t="str">
        <f t="shared" si="143"/>
        <v/>
      </c>
      <c r="M727" s="52" t="str">
        <f t="shared" si="148"/>
        <v/>
      </c>
      <c r="N727" s="58" t="str">
        <f t="shared" si="144"/>
        <v/>
      </c>
      <c r="Q727" s="51" t="str">
        <f t="shared" si="149"/>
        <v/>
      </c>
      <c r="R727" s="52" t="str">
        <f t="shared" si="150"/>
        <v/>
      </c>
      <c r="S727" s="58" t="str">
        <f t="shared" si="187"/>
        <v/>
      </c>
      <c r="T727" s="52" t="str">
        <f t="shared" si="145"/>
        <v/>
      </c>
    </row>
    <row r="728" spans="2:20" ht="15.75" customHeight="1" x14ac:dyDescent="0.25">
      <c r="B728" s="33">
        <f t="shared" si="188"/>
        <v>72.333333333333314</v>
      </c>
      <c r="C728" s="34"/>
      <c r="D728" s="35">
        <f>(4/12)*D724</f>
        <v>1.106E-2</v>
      </c>
      <c r="E728" s="36">
        <f>E724-(4/12)*F724</f>
        <v>639660.23761401547</v>
      </c>
      <c r="F728" s="36">
        <f t="shared" si="189"/>
        <v>1788.440711269388</v>
      </c>
      <c r="G728" s="31">
        <f t="shared" si="140"/>
        <v>0.98894000000000004</v>
      </c>
      <c r="H728" s="32"/>
      <c r="I728" s="51" t="str">
        <f t="shared" si="146"/>
        <v/>
      </c>
      <c r="J728" s="51" t="str">
        <f t="shared" si="147"/>
        <v/>
      </c>
      <c r="K728" s="52" t="str">
        <f t="shared" si="165"/>
        <v/>
      </c>
      <c r="L728" s="53" t="str">
        <f t="shared" si="143"/>
        <v/>
      </c>
      <c r="M728" s="52" t="str">
        <f t="shared" si="148"/>
        <v/>
      </c>
      <c r="N728" s="58" t="str">
        <f t="shared" si="144"/>
        <v/>
      </c>
      <c r="Q728" s="51" t="str">
        <f t="shared" si="149"/>
        <v/>
      </c>
      <c r="R728" s="52" t="str">
        <f t="shared" si="150"/>
        <v/>
      </c>
      <c r="S728" s="58" t="str">
        <f t="shared" si="187"/>
        <v/>
      </c>
      <c r="T728" s="52" t="str">
        <f t="shared" si="145"/>
        <v/>
      </c>
    </row>
    <row r="729" spans="2:20" ht="15.75" customHeight="1" x14ac:dyDescent="0.25">
      <c r="B729" s="33">
        <f t="shared" si="188"/>
        <v>72.416666666666643</v>
      </c>
      <c r="C729" s="34"/>
      <c r="D729" s="35">
        <f>(5/12)*D724</f>
        <v>1.3825E-2</v>
      </c>
      <c r="E729" s="36">
        <f>E724-(5/12)*F724</f>
        <v>637871.79690274608</v>
      </c>
      <c r="F729" s="36">
        <f t="shared" si="189"/>
        <v>1788.440711269388</v>
      </c>
      <c r="G729" s="31">
        <f t="shared" si="140"/>
        <v>0.98617500000000002</v>
      </c>
      <c r="H729" s="32"/>
      <c r="I729" s="51" t="str">
        <f t="shared" si="146"/>
        <v/>
      </c>
      <c r="J729" s="51" t="str">
        <f t="shared" si="147"/>
        <v/>
      </c>
      <c r="K729" s="52" t="str">
        <f t="shared" si="165"/>
        <v/>
      </c>
      <c r="L729" s="53" t="str">
        <f t="shared" si="143"/>
        <v/>
      </c>
      <c r="M729" s="52" t="str">
        <f t="shared" si="148"/>
        <v/>
      </c>
      <c r="N729" s="58" t="str">
        <f t="shared" si="144"/>
        <v/>
      </c>
      <c r="Q729" s="51" t="str">
        <f t="shared" si="149"/>
        <v/>
      </c>
      <c r="R729" s="52" t="str">
        <f t="shared" si="150"/>
        <v/>
      </c>
      <c r="S729" s="58" t="str">
        <f t="shared" si="187"/>
        <v/>
      </c>
      <c r="T729" s="52" t="str">
        <f t="shared" si="145"/>
        <v/>
      </c>
    </row>
    <row r="730" spans="2:20" ht="15.75" customHeight="1" x14ac:dyDescent="0.25">
      <c r="B730" s="33">
        <f t="shared" si="188"/>
        <v>72.499999999999972</v>
      </c>
      <c r="C730" s="34"/>
      <c r="D730" s="35">
        <f>(6/12)*D724</f>
        <v>1.6590000000000001E-2</v>
      </c>
      <c r="E730" s="36">
        <f>E724-(6/12)*F724</f>
        <v>636083.35619147669</v>
      </c>
      <c r="F730" s="36">
        <f t="shared" si="189"/>
        <v>1788.440711269388</v>
      </c>
      <c r="G730" s="31">
        <f t="shared" si="140"/>
        <v>0.98341000000000001</v>
      </c>
      <c r="H730" s="32"/>
      <c r="I730" s="51" t="str">
        <f t="shared" si="146"/>
        <v/>
      </c>
      <c r="J730" s="51" t="str">
        <f t="shared" si="147"/>
        <v/>
      </c>
      <c r="K730" s="52" t="str">
        <f t="shared" si="165"/>
        <v/>
      </c>
      <c r="L730" s="53" t="str">
        <f t="shared" si="143"/>
        <v/>
      </c>
      <c r="M730" s="52" t="str">
        <f t="shared" si="148"/>
        <v/>
      </c>
      <c r="N730" s="58" t="str">
        <f t="shared" si="144"/>
        <v/>
      </c>
      <c r="Q730" s="51" t="str">
        <f t="shared" si="149"/>
        <v/>
      </c>
      <c r="R730" s="52" t="str">
        <f t="shared" si="150"/>
        <v/>
      </c>
      <c r="S730" s="58" t="str">
        <f t="shared" si="187"/>
        <v/>
      </c>
      <c r="T730" s="52" t="str">
        <f t="shared" si="145"/>
        <v/>
      </c>
    </row>
    <row r="731" spans="2:20" ht="15.75" customHeight="1" x14ac:dyDescent="0.25">
      <c r="B731" s="33">
        <f t="shared" si="188"/>
        <v>72.5833333333333</v>
      </c>
      <c r="C731" s="34"/>
      <c r="D731" s="35">
        <f>(7/12)*D724</f>
        <v>1.9355000000000001E-2</v>
      </c>
      <c r="E731" s="36">
        <f>E724-(7/12)*F724</f>
        <v>634294.9154802073</v>
      </c>
      <c r="F731" s="36">
        <f t="shared" si="189"/>
        <v>1788.440711269388</v>
      </c>
      <c r="G731" s="31">
        <f t="shared" si="140"/>
        <v>0.98064499999999999</v>
      </c>
      <c r="H731" s="32"/>
      <c r="I731" s="51" t="str">
        <f t="shared" si="146"/>
        <v/>
      </c>
      <c r="J731" s="51" t="str">
        <f t="shared" si="147"/>
        <v/>
      </c>
      <c r="K731" s="52" t="str">
        <f t="shared" si="165"/>
        <v/>
      </c>
      <c r="L731" s="53" t="str">
        <f t="shared" si="143"/>
        <v/>
      </c>
      <c r="M731" s="52" t="str">
        <f t="shared" si="148"/>
        <v/>
      </c>
      <c r="N731" s="58" t="str">
        <f t="shared" si="144"/>
        <v/>
      </c>
      <c r="Q731" s="51" t="str">
        <f t="shared" si="149"/>
        <v/>
      </c>
      <c r="R731" s="52" t="str">
        <f t="shared" si="150"/>
        <v/>
      </c>
      <c r="S731" s="58" t="str">
        <f t="shared" si="187"/>
        <v/>
      </c>
      <c r="T731" s="52" t="str">
        <f t="shared" si="145"/>
        <v/>
      </c>
    </row>
    <row r="732" spans="2:20" ht="15.75" customHeight="1" x14ac:dyDescent="0.25">
      <c r="B732" s="33">
        <f t="shared" si="188"/>
        <v>72.666666666666629</v>
      </c>
      <c r="C732" s="34"/>
      <c r="D732" s="35">
        <f>(8/12)*D724</f>
        <v>2.2120000000000001E-2</v>
      </c>
      <c r="E732" s="36">
        <f>E724-(8/12)*F724</f>
        <v>632506.47476893791</v>
      </c>
      <c r="F732" s="36">
        <f t="shared" si="189"/>
        <v>1788.440711269388</v>
      </c>
      <c r="G732" s="31">
        <f t="shared" si="140"/>
        <v>0.97787999999999997</v>
      </c>
      <c r="H732" s="32"/>
      <c r="I732" s="51" t="str">
        <f t="shared" si="146"/>
        <v/>
      </c>
      <c r="J732" s="51" t="str">
        <f t="shared" si="147"/>
        <v/>
      </c>
      <c r="K732" s="52" t="str">
        <f t="shared" si="165"/>
        <v/>
      </c>
      <c r="L732" s="53" t="str">
        <f t="shared" si="143"/>
        <v/>
      </c>
      <c r="M732" s="52" t="str">
        <f t="shared" si="148"/>
        <v/>
      </c>
      <c r="N732" s="58" t="str">
        <f t="shared" si="144"/>
        <v/>
      </c>
      <c r="Q732" s="51" t="str">
        <f t="shared" si="149"/>
        <v/>
      </c>
      <c r="R732" s="52" t="str">
        <f t="shared" si="150"/>
        <v/>
      </c>
      <c r="S732" s="58" t="str">
        <f t="shared" si="187"/>
        <v/>
      </c>
      <c r="T732" s="52" t="str">
        <f t="shared" si="145"/>
        <v/>
      </c>
    </row>
    <row r="733" spans="2:20" ht="15.75" customHeight="1" x14ac:dyDescent="0.25">
      <c r="B733" s="33">
        <f t="shared" si="188"/>
        <v>72.749999999999957</v>
      </c>
      <c r="C733" s="34"/>
      <c r="D733" s="35">
        <f>(9/12)*D724</f>
        <v>2.4885000000000001E-2</v>
      </c>
      <c r="E733" s="36">
        <f>E724-(9/12)*F724</f>
        <v>630718.03405766853</v>
      </c>
      <c r="F733" s="36">
        <f t="shared" si="189"/>
        <v>1788.440711269388</v>
      </c>
      <c r="G733" s="31">
        <f t="shared" si="140"/>
        <v>0.97511499999999995</v>
      </c>
      <c r="H733" s="32"/>
      <c r="I733" s="51" t="str">
        <f t="shared" si="146"/>
        <v/>
      </c>
      <c r="J733" s="51" t="str">
        <f t="shared" si="147"/>
        <v/>
      </c>
      <c r="K733" s="52" t="str">
        <f t="shared" si="165"/>
        <v/>
      </c>
      <c r="L733" s="53" t="str">
        <f t="shared" si="143"/>
        <v/>
      </c>
      <c r="M733" s="52" t="str">
        <f t="shared" si="148"/>
        <v/>
      </c>
      <c r="N733" s="58" t="str">
        <f t="shared" si="144"/>
        <v/>
      </c>
      <c r="Q733" s="51" t="str">
        <f t="shared" si="149"/>
        <v/>
      </c>
      <c r="R733" s="52" t="str">
        <f t="shared" si="150"/>
        <v/>
      </c>
      <c r="S733" s="58" t="str">
        <f t="shared" si="187"/>
        <v/>
      </c>
      <c r="T733" s="52" t="str">
        <f t="shared" si="145"/>
        <v/>
      </c>
    </row>
    <row r="734" spans="2:20" ht="15.75" customHeight="1" x14ac:dyDescent="0.25">
      <c r="B734" s="33">
        <f t="shared" si="188"/>
        <v>72.833333333333286</v>
      </c>
      <c r="C734" s="34"/>
      <c r="D734" s="35">
        <f>(10/12)*D724</f>
        <v>2.7650000000000001E-2</v>
      </c>
      <c r="E734" s="36">
        <f>E724-(10/12)*F724</f>
        <v>628929.59334639914</v>
      </c>
      <c r="F734" s="36">
        <f t="shared" si="189"/>
        <v>1788.440711269388</v>
      </c>
      <c r="G734" s="31">
        <f t="shared" si="140"/>
        <v>0.97235000000000005</v>
      </c>
      <c r="H734" s="32"/>
      <c r="I734" s="51" t="str">
        <f t="shared" si="146"/>
        <v/>
      </c>
      <c r="J734" s="51" t="str">
        <f t="shared" si="147"/>
        <v/>
      </c>
      <c r="K734" s="52" t="str">
        <f t="shared" si="165"/>
        <v/>
      </c>
      <c r="L734" s="53" t="str">
        <f t="shared" si="143"/>
        <v/>
      </c>
      <c r="M734" s="52" t="str">
        <f t="shared" si="148"/>
        <v/>
      </c>
      <c r="N734" s="58" t="str">
        <f t="shared" si="144"/>
        <v/>
      </c>
      <c r="Q734" s="51" t="str">
        <f t="shared" si="149"/>
        <v/>
      </c>
      <c r="R734" s="52" t="str">
        <f t="shared" si="150"/>
        <v/>
      </c>
      <c r="S734" s="58" t="str">
        <f t="shared" si="187"/>
        <v/>
      </c>
      <c r="T734" s="52" t="str">
        <f t="shared" si="145"/>
        <v/>
      </c>
    </row>
    <row r="735" spans="2:20" ht="15.75" customHeight="1" x14ac:dyDescent="0.25">
      <c r="B735" s="33">
        <f t="shared" si="188"/>
        <v>72.916666666666615</v>
      </c>
      <c r="C735" s="34"/>
      <c r="D735" s="35">
        <f>(11/12)*D724</f>
        <v>3.0415000000000001E-2</v>
      </c>
      <c r="E735" s="36">
        <f>E724-(11/12)*F724</f>
        <v>627141.15263512975</v>
      </c>
      <c r="F735" s="36">
        <f t="shared" si="189"/>
        <v>1788.440711269388</v>
      </c>
      <c r="G735" s="31">
        <f t="shared" si="140"/>
        <v>0.96958500000000003</v>
      </c>
      <c r="H735" s="32"/>
      <c r="I735" s="51" t="str">
        <f t="shared" si="146"/>
        <v/>
      </c>
      <c r="J735" s="51" t="str">
        <f t="shared" si="147"/>
        <v/>
      </c>
      <c r="K735" s="52" t="str">
        <f t="shared" si="165"/>
        <v/>
      </c>
      <c r="L735" s="53" t="str">
        <f t="shared" si="143"/>
        <v/>
      </c>
      <c r="M735" s="52" t="str">
        <f t="shared" si="148"/>
        <v/>
      </c>
      <c r="N735" s="58" t="str">
        <f t="shared" si="144"/>
        <v/>
      </c>
      <c r="Q735" s="51" t="str">
        <f t="shared" si="149"/>
        <v/>
      </c>
      <c r="R735" s="52" t="str">
        <f t="shared" si="150"/>
        <v/>
      </c>
      <c r="S735" s="58" t="str">
        <f t="shared" si="187"/>
        <v/>
      </c>
      <c r="T735" s="52" t="str">
        <f t="shared" si="145"/>
        <v/>
      </c>
    </row>
    <row r="736" spans="2:20" ht="15.75" customHeight="1" x14ac:dyDescent="0.25">
      <c r="B736" s="27">
        <v>73</v>
      </c>
      <c r="C736" s="28">
        <v>35.651000000000003</v>
      </c>
      <c r="D736" s="29">
        <f>C736/1000</f>
        <v>3.5651000000000002E-2</v>
      </c>
      <c r="E736" s="30">
        <f>E724-F724</f>
        <v>625352.71192386036</v>
      </c>
      <c r="F736" s="48">
        <f>D736*E736</f>
        <v>22294.449532797546</v>
      </c>
      <c r="G736" s="31">
        <f t="shared" si="140"/>
        <v>0.96434900000000001</v>
      </c>
      <c r="H736" s="49"/>
      <c r="I736" s="51" t="str">
        <f t="shared" si="146"/>
        <v/>
      </c>
      <c r="J736" s="51" t="str">
        <f t="shared" si="147"/>
        <v/>
      </c>
      <c r="K736" s="52" t="str">
        <f t="shared" si="165"/>
        <v/>
      </c>
      <c r="L736" s="53" t="str">
        <f t="shared" si="143"/>
        <v/>
      </c>
      <c r="M736" s="52" t="str">
        <f t="shared" si="148"/>
        <v/>
      </c>
      <c r="N736" s="58" t="str">
        <f t="shared" si="144"/>
        <v/>
      </c>
      <c r="Q736" s="51" t="str">
        <f t="shared" si="149"/>
        <v/>
      </c>
      <c r="R736" s="52" t="str">
        <f t="shared" si="150"/>
        <v/>
      </c>
      <c r="S736" s="58" t="str">
        <f t="shared" si="187"/>
        <v/>
      </c>
      <c r="T736" s="52" t="str">
        <f t="shared" si="145"/>
        <v/>
      </c>
    </row>
    <row r="737" spans="2:20" ht="15.75" customHeight="1" x14ac:dyDescent="0.25">
      <c r="B737" s="33">
        <f t="shared" ref="B737:B747" si="190">B736+1/12</f>
        <v>73.083333333333329</v>
      </c>
      <c r="C737" s="34"/>
      <c r="D737" s="35">
        <f>(1/12)*D736</f>
        <v>2.9709166666666668E-3</v>
      </c>
      <c r="E737" s="36">
        <f>E736-(1/12)*F736</f>
        <v>623494.8411294606</v>
      </c>
      <c r="F737" s="36">
        <f t="shared" ref="F737:F747" si="191">E737-E738</f>
        <v>1857.8707943998743</v>
      </c>
      <c r="G737" s="31">
        <f t="shared" si="140"/>
        <v>0.99702908333333329</v>
      </c>
      <c r="H737" s="37"/>
      <c r="I737" s="51" t="str">
        <f t="shared" si="146"/>
        <v/>
      </c>
      <c r="J737" s="51" t="str">
        <f t="shared" si="147"/>
        <v/>
      </c>
      <c r="K737" s="52" t="str">
        <f t="shared" si="165"/>
        <v/>
      </c>
      <c r="L737" s="53" t="str">
        <f t="shared" si="143"/>
        <v/>
      </c>
      <c r="M737" s="52" t="str">
        <f t="shared" si="148"/>
        <v/>
      </c>
      <c r="N737" s="58" t="str">
        <f t="shared" si="144"/>
        <v/>
      </c>
      <c r="Q737" s="51" t="str">
        <f t="shared" si="149"/>
        <v/>
      </c>
      <c r="R737" s="52" t="str">
        <f t="shared" si="150"/>
        <v/>
      </c>
      <c r="S737" s="58" t="str">
        <f t="shared" si="187"/>
        <v/>
      </c>
      <c r="T737" s="52" t="str">
        <f t="shared" si="145"/>
        <v/>
      </c>
    </row>
    <row r="738" spans="2:20" ht="15.75" customHeight="1" x14ac:dyDescent="0.25">
      <c r="B738" s="33">
        <f t="shared" si="190"/>
        <v>73.166666666666657</v>
      </c>
      <c r="C738" s="34"/>
      <c r="D738" s="35">
        <f>(2/12)*D736</f>
        <v>5.9418333333333337E-3</v>
      </c>
      <c r="E738" s="36">
        <f>E736-(2/12)*F736</f>
        <v>621636.97033506073</v>
      </c>
      <c r="F738" s="36">
        <f t="shared" si="191"/>
        <v>1857.8707943997579</v>
      </c>
      <c r="G738" s="31">
        <f t="shared" si="140"/>
        <v>0.99405816666666669</v>
      </c>
      <c r="H738" s="32"/>
      <c r="I738" s="51" t="str">
        <f t="shared" si="146"/>
        <v/>
      </c>
      <c r="J738" s="51" t="str">
        <f t="shared" si="147"/>
        <v/>
      </c>
      <c r="K738" s="52" t="str">
        <f t="shared" si="165"/>
        <v/>
      </c>
      <c r="L738" s="53" t="str">
        <f t="shared" si="143"/>
        <v/>
      </c>
      <c r="M738" s="52" t="str">
        <f t="shared" si="148"/>
        <v/>
      </c>
      <c r="N738" s="58" t="str">
        <f t="shared" si="144"/>
        <v/>
      </c>
      <c r="Q738" s="51" t="str">
        <f t="shared" si="149"/>
        <v/>
      </c>
      <c r="R738" s="52" t="str">
        <f t="shared" si="150"/>
        <v/>
      </c>
      <c r="S738" s="58" t="str">
        <f t="shared" si="187"/>
        <v/>
      </c>
      <c r="T738" s="52" t="str">
        <f t="shared" si="145"/>
        <v/>
      </c>
    </row>
    <row r="739" spans="2:20" ht="15.75" customHeight="1" x14ac:dyDescent="0.25">
      <c r="B739" s="33">
        <f t="shared" si="190"/>
        <v>73.249999999999986</v>
      </c>
      <c r="C739" s="34"/>
      <c r="D739" s="35">
        <f>(3/12)*D736</f>
        <v>8.9127500000000005E-3</v>
      </c>
      <c r="E739" s="36">
        <f>E736-(3/12)*F736</f>
        <v>619779.09954066097</v>
      </c>
      <c r="F739" s="36">
        <f t="shared" si="191"/>
        <v>1857.8707943997579</v>
      </c>
      <c r="G739" s="31">
        <f t="shared" si="140"/>
        <v>0.99108724999999998</v>
      </c>
      <c r="H739" s="32"/>
      <c r="I739" s="51" t="str">
        <f t="shared" si="146"/>
        <v/>
      </c>
      <c r="J739" s="51" t="str">
        <f t="shared" si="147"/>
        <v/>
      </c>
      <c r="K739" s="52" t="str">
        <f t="shared" si="165"/>
        <v/>
      </c>
      <c r="L739" s="53" t="str">
        <f t="shared" si="143"/>
        <v/>
      </c>
      <c r="M739" s="52" t="str">
        <f t="shared" si="148"/>
        <v/>
      </c>
      <c r="N739" s="58" t="str">
        <f t="shared" si="144"/>
        <v/>
      </c>
      <c r="Q739" s="51" t="str">
        <f t="shared" si="149"/>
        <v/>
      </c>
      <c r="R739" s="52" t="str">
        <f t="shared" si="150"/>
        <v/>
      </c>
      <c r="S739" s="58" t="str">
        <f t="shared" si="187"/>
        <v/>
      </c>
      <c r="T739" s="52" t="str">
        <f t="shared" si="145"/>
        <v/>
      </c>
    </row>
    <row r="740" spans="2:20" ht="15.75" customHeight="1" x14ac:dyDescent="0.25">
      <c r="B740" s="33">
        <f t="shared" si="190"/>
        <v>73.333333333333314</v>
      </c>
      <c r="C740" s="34"/>
      <c r="D740" s="35">
        <f>(4/12)*D736</f>
        <v>1.1883666666666667E-2</v>
      </c>
      <c r="E740" s="36">
        <f>E736-(4/12)*F736</f>
        <v>617921.22874626121</v>
      </c>
      <c r="F740" s="36">
        <f t="shared" si="191"/>
        <v>1857.8707943998743</v>
      </c>
      <c r="G740" s="31">
        <f t="shared" si="140"/>
        <v>0.98811633333333337</v>
      </c>
      <c r="H740" s="32"/>
      <c r="I740" s="51" t="str">
        <f t="shared" si="146"/>
        <v/>
      </c>
      <c r="J740" s="51" t="str">
        <f t="shared" si="147"/>
        <v/>
      </c>
      <c r="K740" s="52" t="str">
        <f t="shared" si="165"/>
        <v/>
      </c>
      <c r="L740" s="53" t="str">
        <f t="shared" si="143"/>
        <v/>
      </c>
      <c r="M740" s="52" t="str">
        <f t="shared" si="148"/>
        <v/>
      </c>
      <c r="N740" s="58" t="str">
        <f t="shared" si="144"/>
        <v/>
      </c>
      <c r="Q740" s="51" t="str">
        <f t="shared" si="149"/>
        <v/>
      </c>
      <c r="R740" s="52" t="str">
        <f t="shared" si="150"/>
        <v/>
      </c>
      <c r="S740" s="58" t="str">
        <f t="shared" si="187"/>
        <v/>
      </c>
      <c r="T740" s="52" t="str">
        <f t="shared" si="145"/>
        <v/>
      </c>
    </row>
    <row r="741" spans="2:20" ht="15.75" customHeight="1" x14ac:dyDescent="0.25">
      <c r="B741" s="33">
        <f t="shared" si="190"/>
        <v>73.416666666666643</v>
      </c>
      <c r="C741" s="34"/>
      <c r="D741" s="35">
        <f>(5/12)*D736</f>
        <v>1.4854583333333334E-2</v>
      </c>
      <c r="E741" s="36">
        <f>E736-(5/12)*F736</f>
        <v>616063.35795186134</v>
      </c>
      <c r="F741" s="36">
        <f t="shared" si="191"/>
        <v>1857.8707943997579</v>
      </c>
      <c r="G741" s="31">
        <f t="shared" si="140"/>
        <v>0.98514541666666666</v>
      </c>
      <c r="H741" s="32"/>
      <c r="I741" s="51" t="str">
        <f t="shared" si="146"/>
        <v/>
      </c>
      <c r="J741" s="51" t="str">
        <f t="shared" si="147"/>
        <v/>
      </c>
      <c r="K741" s="52" t="str">
        <f t="shared" si="165"/>
        <v/>
      </c>
      <c r="L741" s="53" t="str">
        <f t="shared" si="143"/>
        <v/>
      </c>
      <c r="M741" s="52" t="str">
        <f t="shared" si="148"/>
        <v/>
      </c>
      <c r="N741" s="58" t="str">
        <f t="shared" si="144"/>
        <v/>
      </c>
      <c r="Q741" s="51" t="str">
        <f t="shared" si="149"/>
        <v/>
      </c>
      <c r="R741" s="52" t="str">
        <f t="shared" si="150"/>
        <v/>
      </c>
      <c r="S741" s="58" t="str">
        <f t="shared" si="187"/>
        <v/>
      </c>
      <c r="T741" s="52" t="str">
        <f t="shared" si="145"/>
        <v/>
      </c>
    </row>
    <row r="742" spans="2:20" ht="15.75" customHeight="1" x14ac:dyDescent="0.25">
      <c r="B742" s="33">
        <f t="shared" si="190"/>
        <v>73.499999999999972</v>
      </c>
      <c r="C742" s="34"/>
      <c r="D742" s="35">
        <f>(6/12)*D736</f>
        <v>1.7825500000000001E-2</v>
      </c>
      <c r="E742" s="36">
        <f>E736-(6/12)*F736</f>
        <v>614205.48715746158</v>
      </c>
      <c r="F742" s="36">
        <f t="shared" si="191"/>
        <v>1857.8707943997579</v>
      </c>
      <c r="G742" s="31">
        <f t="shared" si="140"/>
        <v>0.98217449999999995</v>
      </c>
      <c r="H742" s="32"/>
      <c r="I742" s="51" t="str">
        <f t="shared" si="146"/>
        <v/>
      </c>
      <c r="J742" s="51" t="str">
        <f t="shared" si="147"/>
        <v/>
      </c>
      <c r="K742" s="52" t="str">
        <f t="shared" si="165"/>
        <v/>
      </c>
      <c r="L742" s="53" t="str">
        <f t="shared" si="143"/>
        <v/>
      </c>
      <c r="M742" s="52" t="str">
        <f t="shared" si="148"/>
        <v/>
      </c>
      <c r="N742" s="58" t="str">
        <f t="shared" si="144"/>
        <v/>
      </c>
      <c r="Q742" s="51" t="str">
        <f t="shared" si="149"/>
        <v/>
      </c>
      <c r="R742" s="52" t="str">
        <f t="shared" si="150"/>
        <v/>
      </c>
      <c r="S742" s="58" t="str">
        <f t="shared" si="187"/>
        <v/>
      </c>
      <c r="T742" s="52" t="str">
        <f t="shared" si="145"/>
        <v/>
      </c>
    </row>
    <row r="743" spans="2:20" ht="15.75" customHeight="1" x14ac:dyDescent="0.25">
      <c r="B743" s="33">
        <f t="shared" si="190"/>
        <v>73.5833333333333</v>
      </c>
      <c r="C743" s="34"/>
      <c r="D743" s="35">
        <f>(7/12)*D736</f>
        <v>2.0796416666666668E-2</v>
      </c>
      <c r="E743" s="36">
        <f>E736-(7/12)*F736</f>
        <v>612347.61636306182</v>
      </c>
      <c r="F743" s="36">
        <f t="shared" si="191"/>
        <v>1857.8707943998743</v>
      </c>
      <c r="G743" s="31">
        <f t="shared" si="140"/>
        <v>0.97920358333333335</v>
      </c>
      <c r="H743" s="32"/>
      <c r="I743" s="51" t="str">
        <f t="shared" si="146"/>
        <v/>
      </c>
      <c r="J743" s="51" t="str">
        <f t="shared" si="147"/>
        <v/>
      </c>
      <c r="K743" s="52" t="str">
        <f t="shared" si="165"/>
        <v/>
      </c>
      <c r="L743" s="53" t="str">
        <f t="shared" si="143"/>
        <v/>
      </c>
      <c r="M743" s="52" t="str">
        <f t="shared" si="148"/>
        <v/>
      </c>
      <c r="N743" s="58" t="str">
        <f t="shared" si="144"/>
        <v/>
      </c>
      <c r="Q743" s="51" t="str">
        <f t="shared" si="149"/>
        <v/>
      </c>
      <c r="R743" s="52" t="str">
        <f t="shared" si="150"/>
        <v/>
      </c>
      <c r="S743" s="58" t="str">
        <f t="shared" si="187"/>
        <v/>
      </c>
      <c r="T743" s="52" t="str">
        <f t="shared" si="145"/>
        <v/>
      </c>
    </row>
    <row r="744" spans="2:20" ht="15.75" customHeight="1" x14ac:dyDescent="0.25">
      <c r="B744" s="33">
        <f t="shared" si="190"/>
        <v>73.666666666666629</v>
      </c>
      <c r="C744" s="34"/>
      <c r="D744" s="35">
        <f>(8/12)*D736</f>
        <v>2.3767333333333335E-2</v>
      </c>
      <c r="E744" s="36">
        <f>E736-(8/12)*F736</f>
        <v>610489.74556866195</v>
      </c>
      <c r="F744" s="36">
        <f t="shared" si="191"/>
        <v>1857.8707943997579</v>
      </c>
      <c r="G744" s="31">
        <f t="shared" si="140"/>
        <v>0.97623266666666664</v>
      </c>
      <c r="H744" s="32"/>
      <c r="I744" s="51" t="str">
        <f t="shared" si="146"/>
        <v/>
      </c>
      <c r="J744" s="51" t="str">
        <f t="shared" si="147"/>
        <v/>
      </c>
      <c r="K744" s="52" t="str">
        <f t="shared" si="165"/>
        <v/>
      </c>
      <c r="L744" s="53" t="str">
        <f t="shared" si="143"/>
        <v/>
      </c>
      <c r="M744" s="52" t="str">
        <f t="shared" si="148"/>
        <v/>
      </c>
      <c r="N744" s="58" t="str">
        <f t="shared" si="144"/>
        <v/>
      </c>
      <c r="Q744" s="51" t="str">
        <f t="shared" si="149"/>
        <v/>
      </c>
      <c r="R744" s="52" t="str">
        <f t="shared" si="150"/>
        <v/>
      </c>
      <c r="S744" s="58" t="str">
        <f t="shared" si="187"/>
        <v/>
      </c>
      <c r="T744" s="52" t="str">
        <f t="shared" si="145"/>
        <v/>
      </c>
    </row>
    <row r="745" spans="2:20" ht="15.75" customHeight="1" x14ac:dyDescent="0.25">
      <c r="B745" s="33">
        <f t="shared" si="190"/>
        <v>73.749999999999957</v>
      </c>
      <c r="C745" s="34"/>
      <c r="D745" s="35">
        <f>(9/12)*D736</f>
        <v>2.6738250000000002E-2</v>
      </c>
      <c r="E745" s="36">
        <f>E736-(9/12)*F736</f>
        <v>608631.87477426219</v>
      </c>
      <c r="F745" s="36">
        <f t="shared" si="191"/>
        <v>1857.8707943997579</v>
      </c>
      <c r="G745" s="31">
        <f t="shared" si="140"/>
        <v>0.97326175000000004</v>
      </c>
      <c r="H745" s="32"/>
      <c r="I745" s="51" t="str">
        <f t="shared" si="146"/>
        <v/>
      </c>
      <c r="J745" s="51" t="str">
        <f t="shared" si="147"/>
        <v/>
      </c>
      <c r="K745" s="52" t="str">
        <f t="shared" si="165"/>
        <v/>
      </c>
      <c r="L745" s="53" t="str">
        <f t="shared" si="143"/>
        <v/>
      </c>
      <c r="M745" s="52" t="str">
        <f t="shared" si="148"/>
        <v/>
      </c>
      <c r="N745" s="58" t="str">
        <f t="shared" si="144"/>
        <v/>
      </c>
      <c r="Q745" s="51" t="str">
        <f t="shared" si="149"/>
        <v/>
      </c>
      <c r="R745" s="52" t="str">
        <f t="shared" si="150"/>
        <v/>
      </c>
      <c r="S745" s="58" t="str">
        <f t="shared" si="187"/>
        <v/>
      </c>
      <c r="T745" s="52" t="str">
        <f t="shared" si="145"/>
        <v/>
      </c>
    </row>
    <row r="746" spans="2:20" ht="15.75" customHeight="1" x14ac:dyDescent="0.25">
      <c r="B746" s="33">
        <f t="shared" si="190"/>
        <v>73.833333333333286</v>
      </c>
      <c r="C746" s="34"/>
      <c r="D746" s="35">
        <f>(10/12)*D736</f>
        <v>2.9709166666666668E-2</v>
      </c>
      <c r="E746" s="36">
        <f>E736-(10/12)*F736</f>
        <v>606774.00397986243</v>
      </c>
      <c r="F746" s="36">
        <f t="shared" si="191"/>
        <v>1857.8707943998743</v>
      </c>
      <c r="G746" s="31">
        <f t="shared" si="140"/>
        <v>0.97029083333333332</v>
      </c>
      <c r="H746" s="32"/>
      <c r="I746" s="51" t="str">
        <f t="shared" si="146"/>
        <v/>
      </c>
      <c r="J746" s="51" t="str">
        <f t="shared" si="147"/>
        <v/>
      </c>
      <c r="K746" s="52" t="str">
        <f t="shared" si="165"/>
        <v/>
      </c>
      <c r="L746" s="53" t="str">
        <f t="shared" si="143"/>
        <v/>
      </c>
      <c r="M746" s="52" t="str">
        <f t="shared" si="148"/>
        <v/>
      </c>
      <c r="N746" s="58" t="str">
        <f t="shared" si="144"/>
        <v/>
      </c>
      <c r="Q746" s="51" t="str">
        <f t="shared" si="149"/>
        <v/>
      </c>
      <c r="R746" s="52" t="str">
        <f t="shared" si="150"/>
        <v/>
      </c>
      <c r="S746" s="58" t="str">
        <f t="shared" si="187"/>
        <v/>
      </c>
      <c r="T746" s="52" t="str">
        <f t="shared" si="145"/>
        <v/>
      </c>
    </row>
    <row r="747" spans="2:20" ht="15.75" customHeight="1" x14ac:dyDescent="0.25">
      <c r="B747" s="33">
        <f t="shared" si="190"/>
        <v>73.916666666666615</v>
      </c>
      <c r="C747" s="34"/>
      <c r="D747" s="35">
        <f>(11/12)*D736</f>
        <v>3.2680083333333332E-2</v>
      </c>
      <c r="E747" s="36">
        <f>E736-(11/12)*F736</f>
        <v>604916.13318546256</v>
      </c>
      <c r="F747" s="36">
        <f t="shared" si="191"/>
        <v>1857.8707943997579</v>
      </c>
      <c r="G747" s="31">
        <f t="shared" si="140"/>
        <v>0.96731991666666661</v>
      </c>
      <c r="H747" s="32"/>
      <c r="I747" s="51" t="str">
        <f t="shared" si="146"/>
        <v/>
      </c>
      <c r="J747" s="51" t="str">
        <f t="shared" si="147"/>
        <v/>
      </c>
      <c r="K747" s="52" t="str">
        <f t="shared" si="165"/>
        <v/>
      </c>
      <c r="L747" s="53" t="str">
        <f t="shared" si="143"/>
        <v/>
      </c>
      <c r="M747" s="52" t="str">
        <f t="shared" si="148"/>
        <v/>
      </c>
      <c r="N747" s="58" t="str">
        <f t="shared" si="144"/>
        <v/>
      </c>
      <c r="Q747" s="51" t="str">
        <f t="shared" si="149"/>
        <v/>
      </c>
      <c r="R747" s="52" t="str">
        <f t="shared" si="150"/>
        <v/>
      </c>
      <c r="S747" s="58" t="str">
        <f t="shared" si="187"/>
        <v/>
      </c>
      <c r="T747" s="52" t="str">
        <f t="shared" si="145"/>
        <v/>
      </c>
    </row>
    <row r="748" spans="2:20" ht="15.75" customHeight="1" x14ac:dyDescent="0.25">
      <c r="B748" s="27">
        <v>74</v>
      </c>
      <c r="C748" s="28">
        <v>38.299999999999997</v>
      </c>
      <c r="D748" s="29">
        <f>C748/1000</f>
        <v>3.8299999999999994E-2</v>
      </c>
      <c r="E748" s="30">
        <f>E736-F736</f>
        <v>603058.2623910628</v>
      </c>
      <c r="F748" s="48">
        <f>D748*E748</f>
        <v>23097.131449577701</v>
      </c>
      <c r="G748" s="31">
        <f t="shared" si="140"/>
        <v>0.9617</v>
      </c>
      <c r="H748" s="49"/>
      <c r="I748" s="51" t="str">
        <f t="shared" si="146"/>
        <v/>
      </c>
      <c r="J748" s="51" t="str">
        <f t="shared" si="147"/>
        <v/>
      </c>
      <c r="K748" s="52" t="str">
        <f t="shared" si="165"/>
        <v/>
      </c>
      <c r="L748" s="53" t="str">
        <f t="shared" si="143"/>
        <v/>
      </c>
      <c r="M748" s="52" t="str">
        <f t="shared" si="148"/>
        <v/>
      </c>
      <c r="N748" s="58" t="str">
        <f t="shared" si="144"/>
        <v/>
      </c>
      <c r="Q748" s="51" t="str">
        <f t="shared" si="149"/>
        <v/>
      </c>
      <c r="R748" s="52" t="str">
        <f t="shared" si="150"/>
        <v/>
      </c>
      <c r="S748" s="58" t="str">
        <f t="shared" si="187"/>
        <v/>
      </c>
      <c r="T748" s="52" t="str">
        <f t="shared" si="145"/>
        <v/>
      </c>
    </row>
    <row r="749" spans="2:20" ht="15.75" customHeight="1" x14ac:dyDescent="0.25">
      <c r="B749" s="33">
        <f t="shared" ref="B749:B759" si="192">B748+1/12</f>
        <v>74.083333333333329</v>
      </c>
      <c r="C749" s="34"/>
      <c r="D749" s="35">
        <f>(1/12)*D748</f>
        <v>3.191666666666666E-3</v>
      </c>
      <c r="E749" s="36">
        <f>E748-(1/12)*F748</f>
        <v>601133.50143693131</v>
      </c>
      <c r="F749" s="36">
        <f t="shared" ref="F749:F759" si="193">E749-E750</f>
        <v>1924.7609541314887</v>
      </c>
      <c r="G749" s="31">
        <f t="shared" si="140"/>
        <v>0.9968083333333333</v>
      </c>
      <c r="H749" s="37"/>
      <c r="I749" s="51" t="str">
        <f t="shared" si="146"/>
        <v/>
      </c>
      <c r="J749" s="51" t="str">
        <f t="shared" si="147"/>
        <v/>
      </c>
      <c r="K749" s="52" t="str">
        <f t="shared" si="165"/>
        <v/>
      </c>
      <c r="L749" s="53" t="str">
        <f t="shared" si="143"/>
        <v/>
      </c>
      <c r="M749" s="52" t="str">
        <f t="shared" si="148"/>
        <v/>
      </c>
      <c r="N749" s="58" t="str">
        <f t="shared" si="144"/>
        <v/>
      </c>
      <c r="Q749" s="51" t="str">
        <f t="shared" si="149"/>
        <v/>
      </c>
      <c r="R749" s="52" t="str">
        <f t="shared" si="150"/>
        <v/>
      </c>
      <c r="S749" s="58" t="str">
        <f t="shared" si="187"/>
        <v/>
      </c>
      <c r="T749" s="52" t="str">
        <f t="shared" si="145"/>
        <v/>
      </c>
    </row>
    <row r="750" spans="2:20" ht="15.75" customHeight="1" x14ac:dyDescent="0.25">
      <c r="B750" s="33">
        <f t="shared" si="192"/>
        <v>74.166666666666657</v>
      </c>
      <c r="C750" s="34"/>
      <c r="D750" s="35">
        <f>(2/12)*D748</f>
        <v>6.383333333333332E-3</v>
      </c>
      <c r="E750" s="36">
        <f>E748-(2/12)*F748</f>
        <v>599208.74048279983</v>
      </c>
      <c r="F750" s="36">
        <f t="shared" si="193"/>
        <v>1924.7609541314887</v>
      </c>
      <c r="G750" s="31">
        <f t="shared" si="140"/>
        <v>0.9936166666666667</v>
      </c>
      <c r="H750" s="32"/>
      <c r="I750" s="51" t="str">
        <f t="shared" si="146"/>
        <v/>
      </c>
      <c r="J750" s="51" t="str">
        <f t="shared" si="147"/>
        <v/>
      </c>
      <c r="K750" s="52" t="str">
        <f t="shared" si="165"/>
        <v/>
      </c>
      <c r="L750" s="53" t="str">
        <f t="shared" si="143"/>
        <v/>
      </c>
      <c r="M750" s="52" t="str">
        <f t="shared" si="148"/>
        <v/>
      </c>
      <c r="N750" s="58" t="str">
        <f t="shared" si="144"/>
        <v/>
      </c>
      <c r="Q750" s="51" t="str">
        <f t="shared" si="149"/>
        <v/>
      </c>
      <c r="R750" s="52" t="str">
        <f t="shared" si="150"/>
        <v/>
      </c>
      <c r="S750" s="58" t="str">
        <f t="shared" si="187"/>
        <v/>
      </c>
      <c r="T750" s="52" t="str">
        <f t="shared" si="145"/>
        <v/>
      </c>
    </row>
    <row r="751" spans="2:20" ht="15.75" customHeight="1" x14ac:dyDescent="0.25">
      <c r="B751" s="33">
        <f t="shared" si="192"/>
        <v>74.249999999999986</v>
      </c>
      <c r="C751" s="34"/>
      <c r="D751" s="35">
        <f>(3/12)*D748</f>
        <v>9.5749999999999984E-3</v>
      </c>
      <c r="E751" s="36">
        <f>E748-(3/12)*F748</f>
        <v>597283.97952866834</v>
      </c>
      <c r="F751" s="36">
        <f t="shared" si="193"/>
        <v>1924.7609541314887</v>
      </c>
      <c r="G751" s="31">
        <f t="shared" si="140"/>
        <v>0.990425</v>
      </c>
      <c r="H751" s="32"/>
      <c r="I751" s="51" t="str">
        <f t="shared" si="146"/>
        <v/>
      </c>
      <c r="J751" s="51" t="str">
        <f t="shared" si="147"/>
        <v/>
      </c>
      <c r="K751" s="52" t="str">
        <f t="shared" si="165"/>
        <v/>
      </c>
      <c r="L751" s="53" t="str">
        <f t="shared" si="143"/>
        <v/>
      </c>
      <c r="M751" s="52" t="str">
        <f t="shared" si="148"/>
        <v/>
      </c>
      <c r="N751" s="58" t="str">
        <f t="shared" si="144"/>
        <v/>
      </c>
      <c r="Q751" s="51" t="str">
        <f t="shared" si="149"/>
        <v/>
      </c>
      <c r="R751" s="52" t="str">
        <f t="shared" si="150"/>
        <v/>
      </c>
      <c r="S751" s="58" t="str">
        <f t="shared" si="187"/>
        <v/>
      </c>
      <c r="T751" s="52" t="str">
        <f t="shared" si="145"/>
        <v/>
      </c>
    </row>
    <row r="752" spans="2:20" ht="15.75" customHeight="1" x14ac:dyDescent="0.25">
      <c r="B752" s="33">
        <f t="shared" si="192"/>
        <v>74.333333333333314</v>
      </c>
      <c r="C752" s="34"/>
      <c r="D752" s="35">
        <f>(4/12)*D748</f>
        <v>1.2766666666666664E-2</v>
      </c>
      <c r="E752" s="36">
        <f>E748-(4/12)*F748</f>
        <v>595359.21857453685</v>
      </c>
      <c r="F752" s="36">
        <f t="shared" si="193"/>
        <v>1924.7609541313723</v>
      </c>
      <c r="G752" s="31">
        <f t="shared" si="140"/>
        <v>0.9872333333333333</v>
      </c>
      <c r="H752" s="32"/>
      <c r="I752" s="51" t="str">
        <f t="shared" si="146"/>
        <v/>
      </c>
      <c r="J752" s="51" t="str">
        <f t="shared" si="147"/>
        <v/>
      </c>
      <c r="K752" s="52" t="str">
        <f t="shared" si="165"/>
        <v/>
      </c>
      <c r="L752" s="53" t="str">
        <f t="shared" si="143"/>
        <v/>
      </c>
      <c r="M752" s="52" t="str">
        <f t="shared" si="148"/>
        <v/>
      </c>
      <c r="N752" s="58" t="str">
        <f t="shared" si="144"/>
        <v/>
      </c>
      <c r="Q752" s="51" t="str">
        <f t="shared" si="149"/>
        <v/>
      </c>
      <c r="R752" s="52" t="str">
        <f t="shared" si="150"/>
        <v/>
      </c>
      <c r="S752" s="58" t="str">
        <f t="shared" si="187"/>
        <v/>
      </c>
      <c r="T752" s="52" t="str">
        <f t="shared" si="145"/>
        <v/>
      </c>
    </row>
    <row r="753" spans="2:20" ht="15.75" customHeight="1" x14ac:dyDescent="0.25">
      <c r="B753" s="33">
        <f t="shared" si="192"/>
        <v>74.416666666666643</v>
      </c>
      <c r="C753" s="34"/>
      <c r="D753" s="35">
        <f>(5/12)*D748</f>
        <v>1.5958333333333331E-2</v>
      </c>
      <c r="E753" s="36">
        <f>E748-(5/12)*F748</f>
        <v>593434.45762040548</v>
      </c>
      <c r="F753" s="36">
        <f t="shared" si="193"/>
        <v>1924.7609541314887</v>
      </c>
      <c r="G753" s="31">
        <f t="shared" si="140"/>
        <v>0.9840416666666667</v>
      </c>
      <c r="H753" s="32"/>
      <c r="I753" s="51" t="str">
        <f t="shared" si="146"/>
        <v/>
      </c>
      <c r="J753" s="51" t="str">
        <f t="shared" si="147"/>
        <v/>
      </c>
      <c r="K753" s="52" t="str">
        <f t="shared" si="165"/>
        <v/>
      </c>
      <c r="L753" s="53" t="str">
        <f t="shared" si="143"/>
        <v/>
      </c>
      <c r="M753" s="52" t="str">
        <f t="shared" si="148"/>
        <v/>
      </c>
      <c r="N753" s="58" t="str">
        <f t="shared" si="144"/>
        <v/>
      </c>
      <c r="Q753" s="51" t="str">
        <f t="shared" si="149"/>
        <v/>
      </c>
      <c r="R753" s="52" t="str">
        <f t="shared" si="150"/>
        <v/>
      </c>
      <c r="S753" s="58" t="str">
        <f t="shared" si="187"/>
        <v/>
      </c>
      <c r="T753" s="52" t="str">
        <f t="shared" si="145"/>
        <v/>
      </c>
    </row>
    <row r="754" spans="2:20" ht="15.75" customHeight="1" x14ac:dyDescent="0.25">
      <c r="B754" s="33">
        <f t="shared" si="192"/>
        <v>74.499999999999972</v>
      </c>
      <c r="C754" s="34"/>
      <c r="D754" s="35">
        <f>(6/12)*D748</f>
        <v>1.9149999999999997E-2</v>
      </c>
      <c r="E754" s="36">
        <f>E748-(6/12)*F748</f>
        <v>591509.69666627399</v>
      </c>
      <c r="F754" s="36">
        <f t="shared" si="193"/>
        <v>1924.7609541314887</v>
      </c>
      <c r="G754" s="31">
        <f t="shared" si="140"/>
        <v>0.98085</v>
      </c>
      <c r="H754" s="32"/>
      <c r="I754" s="51" t="str">
        <f t="shared" si="146"/>
        <v/>
      </c>
      <c r="J754" s="51" t="str">
        <f t="shared" si="147"/>
        <v/>
      </c>
      <c r="K754" s="52" t="str">
        <f t="shared" si="165"/>
        <v/>
      </c>
      <c r="L754" s="53" t="str">
        <f t="shared" si="143"/>
        <v/>
      </c>
      <c r="M754" s="52" t="str">
        <f t="shared" si="148"/>
        <v/>
      </c>
      <c r="N754" s="58" t="str">
        <f t="shared" si="144"/>
        <v/>
      </c>
      <c r="Q754" s="51" t="str">
        <f t="shared" si="149"/>
        <v/>
      </c>
      <c r="R754" s="52" t="str">
        <f t="shared" si="150"/>
        <v/>
      </c>
      <c r="S754" s="58" t="str">
        <f t="shared" si="187"/>
        <v/>
      </c>
      <c r="T754" s="52" t="str">
        <f t="shared" si="145"/>
        <v/>
      </c>
    </row>
    <row r="755" spans="2:20" ht="15.75" customHeight="1" x14ac:dyDescent="0.25">
      <c r="B755" s="33">
        <f t="shared" si="192"/>
        <v>74.5833333333333</v>
      </c>
      <c r="C755" s="34"/>
      <c r="D755" s="35">
        <f>(7/12)*D748</f>
        <v>2.2341666666666666E-2</v>
      </c>
      <c r="E755" s="36">
        <f>E748-(7/12)*F748</f>
        <v>589584.9357121425</v>
      </c>
      <c r="F755" s="36">
        <f t="shared" si="193"/>
        <v>1924.7609541314887</v>
      </c>
      <c r="G755" s="31">
        <f t="shared" si="140"/>
        <v>0.9776583333333333</v>
      </c>
      <c r="H755" s="32"/>
      <c r="I755" s="51" t="str">
        <f t="shared" si="146"/>
        <v/>
      </c>
      <c r="J755" s="51" t="str">
        <f t="shared" si="147"/>
        <v/>
      </c>
      <c r="K755" s="52" t="str">
        <f t="shared" si="165"/>
        <v/>
      </c>
      <c r="L755" s="53" t="str">
        <f t="shared" si="143"/>
        <v/>
      </c>
      <c r="M755" s="52" t="str">
        <f t="shared" si="148"/>
        <v/>
      </c>
      <c r="N755" s="58" t="str">
        <f t="shared" si="144"/>
        <v/>
      </c>
      <c r="Q755" s="51" t="str">
        <f t="shared" si="149"/>
        <v/>
      </c>
      <c r="R755" s="52" t="str">
        <f t="shared" si="150"/>
        <v/>
      </c>
      <c r="S755" s="58" t="str">
        <f t="shared" si="187"/>
        <v/>
      </c>
      <c r="T755" s="52" t="str">
        <f t="shared" si="145"/>
        <v/>
      </c>
    </row>
    <row r="756" spans="2:20" ht="15.75" customHeight="1" x14ac:dyDescent="0.25">
      <c r="B756" s="33">
        <f t="shared" si="192"/>
        <v>74.666666666666629</v>
      </c>
      <c r="C756" s="34"/>
      <c r="D756" s="35">
        <f>(8/12)*D748</f>
        <v>2.5533333333333328E-2</v>
      </c>
      <c r="E756" s="36">
        <f>E748-(8/12)*F748</f>
        <v>587660.17475801101</v>
      </c>
      <c r="F756" s="36">
        <f t="shared" si="193"/>
        <v>1924.7609541314887</v>
      </c>
      <c r="G756" s="31">
        <f t="shared" si="140"/>
        <v>0.9744666666666667</v>
      </c>
      <c r="H756" s="32"/>
      <c r="I756" s="51" t="str">
        <f t="shared" si="146"/>
        <v/>
      </c>
      <c r="J756" s="51" t="str">
        <f t="shared" si="147"/>
        <v/>
      </c>
      <c r="K756" s="52" t="str">
        <f t="shared" si="165"/>
        <v/>
      </c>
      <c r="L756" s="53" t="str">
        <f t="shared" si="143"/>
        <v/>
      </c>
      <c r="M756" s="52" t="str">
        <f t="shared" si="148"/>
        <v/>
      </c>
      <c r="N756" s="58" t="str">
        <f t="shared" si="144"/>
        <v/>
      </c>
      <c r="Q756" s="51" t="str">
        <f t="shared" si="149"/>
        <v/>
      </c>
      <c r="R756" s="52" t="str">
        <f t="shared" si="150"/>
        <v/>
      </c>
      <c r="S756" s="58" t="str">
        <f t="shared" si="187"/>
        <v/>
      </c>
      <c r="T756" s="52" t="str">
        <f t="shared" si="145"/>
        <v/>
      </c>
    </row>
    <row r="757" spans="2:20" ht="15.75" customHeight="1" x14ac:dyDescent="0.25">
      <c r="B757" s="33">
        <f t="shared" si="192"/>
        <v>74.749999999999957</v>
      </c>
      <c r="C757" s="34"/>
      <c r="D757" s="35">
        <f>(9/12)*D748</f>
        <v>2.8724999999999994E-2</v>
      </c>
      <c r="E757" s="36">
        <f>E748-(9/12)*F748</f>
        <v>585735.41380387952</v>
      </c>
      <c r="F757" s="36">
        <f t="shared" si="193"/>
        <v>1924.7609541314887</v>
      </c>
      <c r="G757" s="31">
        <f t="shared" si="140"/>
        <v>0.971275</v>
      </c>
      <c r="H757" s="32"/>
      <c r="I757" s="51" t="str">
        <f t="shared" si="146"/>
        <v/>
      </c>
      <c r="J757" s="51" t="str">
        <f t="shared" si="147"/>
        <v/>
      </c>
      <c r="K757" s="52" t="str">
        <f t="shared" si="165"/>
        <v/>
      </c>
      <c r="L757" s="53" t="str">
        <f t="shared" si="143"/>
        <v/>
      </c>
      <c r="M757" s="52" t="str">
        <f t="shared" si="148"/>
        <v/>
      </c>
      <c r="N757" s="58" t="str">
        <f t="shared" si="144"/>
        <v/>
      </c>
      <c r="Q757" s="51" t="str">
        <f t="shared" si="149"/>
        <v/>
      </c>
      <c r="R757" s="52" t="str">
        <f t="shared" si="150"/>
        <v/>
      </c>
      <c r="S757" s="58" t="str">
        <f t="shared" si="187"/>
        <v/>
      </c>
      <c r="T757" s="52" t="str">
        <f t="shared" si="145"/>
        <v/>
      </c>
    </row>
    <row r="758" spans="2:20" ht="15.75" customHeight="1" x14ac:dyDescent="0.25">
      <c r="B758" s="33">
        <f t="shared" si="192"/>
        <v>74.833333333333286</v>
      </c>
      <c r="C758" s="34"/>
      <c r="D758" s="35">
        <f>(10/12)*D748</f>
        <v>3.1916666666666663E-2</v>
      </c>
      <c r="E758" s="36">
        <f>E748-(10/12)*F748</f>
        <v>583810.65284974803</v>
      </c>
      <c r="F758" s="36">
        <f t="shared" si="193"/>
        <v>1924.7609541314887</v>
      </c>
      <c r="G758" s="31">
        <f t="shared" si="140"/>
        <v>0.9680833333333333</v>
      </c>
      <c r="H758" s="32"/>
      <c r="I758" s="51" t="str">
        <f t="shared" si="146"/>
        <v/>
      </c>
      <c r="J758" s="51" t="str">
        <f t="shared" si="147"/>
        <v/>
      </c>
      <c r="K758" s="52" t="str">
        <f t="shared" si="165"/>
        <v/>
      </c>
      <c r="L758" s="53" t="str">
        <f t="shared" si="143"/>
        <v/>
      </c>
      <c r="M758" s="52" t="str">
        <f t="shared" si="148"/>
        <v/>
      </c>
      <c r="N758" s="58" t="str">
        <f t="shared" si="144"/>
        <v/>
      </c>
      <c r="Q758" s="51" t="str">
        <f t="shared" si="149"/>
        <v/>
      </c>
      <c r="R758" s="52" t="str">
        <f t="shared" si="150"/>
        <v/>
      </c>
      <c r="S758" s="58" t="str">
        <f t="shared" si="187"/>
        <v/>
      </c>
      <c r="T758" s="52" t="str">
        <f t="shared" si="145"/>
        <v/>
      </c>
    </row>
    <row r="759" spans="2:20" ht="15.75" customHeight="1" x14ac:dyDescent="0.25">
      <c r="B759" s="33">
        <f t="shared" si="192"/>
        <v>74.916666666666615</v>
      </c>
      <c r="C759" s="34"/>
      <c r="D759" s="35">
        <f>(11/12)*D748</f>
        <v>3.5108333333333325E-2</v>
      </c>
      <c r="E759" s="36">
        <f>E748-(11/12)*F748</f>
        <v>581885.89189561654</v>
      </c>
      <c r="F759" s="36">
        <f t="shared" si="193"/>
        <v>1924.7609541314887</v>
      </c>
      <c r="G759" s="31">
        <f t="shared" si="140"/>
        <v>0.9648916666666667</v>
      </c>
      <c r="H759" s="32"/>
      <c r="I759" s="51" t="str">
        <f t="shared" si="146"/>
        <v/>
      </c>
      <c r="J759" s="51" t="str">
        <f t="shared" si="147"/>
        <v/>
      </c>
      <c r="K759" s="52" t="str">
        <f t="shared" si="165"/>
        <v/>
      </c>
      <c r="L759" s="53" t="str">
        <f t="shared" si="143"/>
        <v/>
      </c>
      <c r="M759" s="52" t="str">
        <f t="shared" si="148"/>
        <v/>
      </c>
      <c r="N759" s="58" t="str">
        <f t="shared" si="144"/>
        <v/>
      </c>
      <c r="Q759" s="51" t="str">
        <f t="shared" si="149"/>
        <v/>
      </c>
      <c r="R759" s="52" t="str">
        <f t="shared" si="150"/>
        <v/>
      </c>
      <c r="S759" s="58" t="str">
        <f t="shared" si="187"/>
        <v/>
      </c>
      <c r="T759" s="52" t="str">
        <f t="shared" si="145"/>
        <v/>
      </c>
    </row>
    <row r="760" spans="2:20" ht="15.75" customHeight="1" x14ac:dyDescent="0.25">
      <c r="B760" s="27">
        <v>75</v>
      </c>
      <c r="C760" s="28">
        <v>41.135999999999996</v>
      </c>
      <c r="D760" s="29">
        <f>C760/1000</f>
        <v>4.1135999999999999E-2</v>
      </c>
      <c r="E760" s="30">
        <f>E748-F748</f>
        <v>579961.13094148505</v>
      </c>
      <c r="F760" s="48">
        <f>D760*E760</f>
        <v>23857.281082408928</v>
      </c>
      <c r="G760" s="31">
        <f t="shared" si="140"/>
        <v>0.95886400000000005</v>
      </c>
      <c r="H760" s="49"/>
      <c r="I760" s="51" t="str">
        <f t="shared" si="146"/>
        <v/>
      </c>
      <c r="J760" s="51" t="str">
        <f t="shared" si="147"/>
        <v/>
      </c>
      <c r="K760" s="52" t="str">
        <f t="shared" si="165"/>
        <v/>
      </c>
      <c r="L760" s="53" t="str">
        <f t="shared" si="143"/>
        <v/>
      </c>
      <c r="M760" s="52" t="str">
        <f t="shared" si="148"/>
        <v/>
      </c>
      <c r="N760" s="58" t="str">
        <f t="shared" si="144"/>
        <v/>
      </c>
      <c r="Q760" s="51" t="str">
        <f t="shared" si="149"/>
        <v/>
      </c>
      <c r="R760" s="52" t="str">
        <f t="shared" si="150"/>
        <v/>
      </c>
      <c r="S760" s="58" t="str">
        <f t="shared" si="187"/>
        <v/>
      </c>
      <c r="T760" s="52" t="str">
        <f t="shared" si="145"/>
        <v/>
      </c>
    </row>
    <row r="761" spans="2:20" ht="15.75" customHeight="1" x14ac:dyDescent="0.25">
      <c r="B761" s="33">
        <f t="shared" ref="B761:B771" si="194">B760+1/12</f>
        <v>75.083333333333329</v>
      </c>
      <c r="C761" s="34"/>
      <c r="D761" s="35">
        <f>(1/12)*D760</f>
        <v>3.4279999999999996E-3</v>
      </c>
      <c r="E761" s="36">
        <f>E760-(1/12)*F760</f>
        <v>577973.02418461768</v>
      </c>
      <c r="F761" s="36">
        <f t="shared" ref="F761:F771" si="195">E761-E762</f>
        <v>1988.1067568674916</v>
      </c>
      <c r="G761" s="31">
        <f t="shared" si="140"/>
        <v>0.99657200000000001</v>
      </c>
      <c r="H761" s="37"/>
      <c r="I761" s="51" t="str">
        <f t="shared" si="146"/>
        <v/>
      </c>
      <c r="J761" s="51" t="str">
        <f t="shared" si="147"/>
        <v/>
      </c>
      <c r="K761" s="52" t="str">
        <f t="shared" si="165"/>
        <v/>
      </c>
      <c r="L761" s="53" t="str">
        <f t="shared" si="143"/>
        <v/>
      </c>
      <c r="M761" s="52" t="str">
        <f t="shared" si="148"/>
        <v/>
      </c>
      <c r="N761" s="58" t="str">
        <f t="shared" si="144"/>
        <v/>
      </c>
      <c r="Q761" s="51" t="str">
        <f t="shared" si="149"/>
        <v/>
      </c>
      <c r="R761" s="52" t="str">
        <f t="shared" si="150"/>
        <v/>
      </c>
      <c r="S761" s="58" t="str">
        <f t="shared" si="187"/>
        <v/>
      </c>
      <c r="T761" s="52" t="str">
        <f t="shared" si="145"/>
        <v/>
      </c>
    </row>
    <row r="762" spans="2:20" ht="15.75" customHeight="1" x14ac:dyDescent="0.25">
      <c r="B762" s="33">
        <f t="shared" si="194"/>
        <v>75.166666666666657</v>
      </c>
      <c r="C762" s="34"/>
      <c r="D762" s="35">
        <f>(2/12)*D760</f>
        <v>6.8559999999999992E-3</v>
      </c>
      <c r="E762" s="36">
        <f>E760-(2/12)*F760</f>
        <v>575984.91742775019</v>
      </c>
      <c r="F762" s="36">
        <f t="shared" si="195"/>
        <v>1988.1067568673752</v>
      </c>
      <c r="G762" s="31">
        <f t="shared" si="140"/>
        <v>0.99314400000000003</v>
      </c>
      <c r="H762" s="32"/>
      <c r="I762" s="51" t="str">
        <f t="shared" si="146"/>
        <v/>
      </c>
      <c r="J762" s="51" t="str">
        <f t="shared" si="147"/>
        <v/>
      </c>
      <c r="K762" s="52" t="str">
        <f t="shared" si="165"/>
        <v/>
      </c>
      <c r="L762" s="53" t="str">
        <f t="shared" si="143"/>
        <v/>
      </c>
      <c r="M762" s="52" t="str">
        <f t="shared" si="148"/>
        <v/>
      </c>
      <c r="N762" s="58" t="str">
        <f t="shared" si="144"/>
        <v/>
      </c>
      <c r="Q762" s="51" t="str">
        <f t="shared" si="149"/>
        <v/>
      </c>
      <c r="R762" s="52" t="str">
        <f t="shared" si="150"/>
        <v/>
      </c>
      <c r="S762" s="58" t="str">
        <f t="shared" si="187"/>
        <v/>
      </c>
      <c r="T762" s="52" t="str">
        <f t="shared" si="145"/>
        <v/>
      </c>
    </row>
    <row r="763" spans="2:20" ht="15.75" customHeight="1" x14ac:dyDescent="0.25">
      <c r="B763" s="33">
        <f t="shared" si="194"/>
        <v>75.249999999999986</v>
      </c>
      <c r="C763" s="34"/>
      <c r="D763" s="35">
        <f>(3/12)*D760</f>
        <v>1.0284E-2</v>
      </c>
      <c r="E763" s="36">
        <f>E760-(3/12)*F760</f>
        <v>573996.81067088281</v>
      </c>
      <c r="F763" s="36">
        <f t="shared" si="195"/>
        <v>1988.1067568673752</v>
      </c>
      <c r="G763" s="31">
        <f t="shared" si="140"/>
        <v>0.98971600000000004</v>
      </c>
      <c r="H763" s="32"/>
      <c r="I763" s="51" t="str">
        <f t="shared" si="146"/>
        <v/>
      </c>
      <c r="J763" s="51" t="str">
        <f t="shared" si="147"/>
        <v/>
      </c>
      <c r="K763" s="52" t="str">
        <f t="shared" si="165"/>
        <v/>
      </c>
      <c r="L763" s="53" t="str">
        <f t="shared" si="143"/>
        <v/>
      </c>
      <c r="M763" s="52" t="str">
        <f t="shared" si="148"/>
        <v/>
      </c>
      <c r="N763" s="58" t="str">
        <f t="shared" si="144"/>
        <v/>
      </c>
      <c r="Q763" s="51" t="str">
        <f t="shared" si="149"/>
        <v/>
      </c>
      <c r="R763" s="52" t="str">
        <f t="shared" si="150"/>
        <v/>
      </c>
      <c r="S763" s="58" t="str">
        <f t="shared" si="187"/>
        <v/>
      </c>
      <c r="T763" s="52" t="str">
        <f t="shared" si="145"/>
        <v/>
      </c>
    </row>
    <row r="764" spans="2:20" ht="15.75" customHeight="1" x14ac:dyDescent="0.25">
      <c r="B764" s="33">
        <f t="shared" si="194"/>
        <v>75.333333333333314</v>
      </c>
      <c r="C764" s="34"/>
      <c r="D764" s="35">
        <f>(4/12)*D760</f>
        <v>1.3711999999999998E-2</v>
      </c>
      <c r="E764" s="36">
        <f>E760-(4/12)*F760</f>
        <v>572008.70391401544</v>
      </c>
      <c r="F764" s="36">
        <f t="shared" si="195"/>
        <v>1988.1067568674916</v>
      </c>
      <c r="G764" s="31">
        <f t="shared" si="140"/>
        <v>0.98628800000000005</v>
      </c>
      <c r="H764" s="32"/>
      <c r="I764" s="51" t="str">
        <f t="shared" si="146"/>
        <v/>
      </c>
      <c r="J764" s="51" t="str">
        <f t="shared" si="147"/>
        <v/>
      </c>
      <c r="K764" s="52" t="str">
        <f t="shared" si="165"/>
        <v/>
      </c>
      <c r="L764" s="53" t="str">
        <f t="shared" si="143"/>
        <v/>
      </c>
      <c r="M764" s="52" t="str">
        <f t="shared" si="148"/>
        <v/>
      </c>
      <c r="N764" s="58" t="str">
        <f t="shared" si="144"/>
        <v/>
      </c>
      <c r="Q764" s="51" t="str">
        <f t="shared" si="149"/>
        <v/>
      </c>
      <c r="R764" s="52" t="str">
        <f t="shared" si="150"/>
        <v/>
      </c>
      <c r="S764" s="58" t="str">
        <f t="shared" si="187"/>
        <v/>
      </c>
      <c r="T764" s="52" t="str">
        <f t="shared" si="145"/>
        <v/>
      </c>
    </row>
    <row r="765" spans="2:20" ht="15.75" customHeight="1" x14ac:dyDescent="0.25">
      <c r="B765" s="33">
        <f t="shared" si="194"/>
        <v>75.416666666666643</v>
      </c>
      <c r="C765" s="34"/>
      <c r="D765" s="35">
        <f>(5/12)*D760</f>
        <v>1.7139999999999999E-2</v>
      </c>
      <c r="E765" s="36">
        <f>E760-(5/12)*F760</f>
        <v>570020.59715714795</v>
      </c>
      <c r="F765" s="36">
        <f t="shared" si="195"/>
        <v>1988.1067568673752</v>
      </c>
      <c r="G765" s="31">
        <f t="shared" si="140"/>
        <v>0.98285999999999996</v>
      </c>
      <c r="H765" s="32"/>
      <c r="I765" s="51" t="str">
        <f t="shared" si="146"/>
        <v/>
      </c>
      <c r="J765" s="51" t="str">
        <f t="shared" si="147"/>
        <v/>
      </c>
      <c r="K765" s="52" t="str">
        <f t="shared" si="165"/>
        <v/>
      </c>
      <c r="L765" s="53" t="str">
        <f t="shared" si="143"/>
        <v/>
      </c>
      <c r="M765" s="52" t="str">
        <f t="shared" si="148"/>
        <v/>
      </c>
      <c r="N765" s="58" t="str">
        <f t="shared" si="144"/>
        <v/>
      </c>
      <c r="Q765" s="51" t="str">
        <f t="shared" si="149"/>
        <v/>
      </c>
      <c r="R765" s="52" t="str">
        <f t="shared" si="150"/>
        <v/>
      </c>
      <c r="S765" s="58" t="str">
        <f t="shared" si="187"/>
        <v/>
      </c>
      <c r="T765" s="52" t="str">
        <f t="shared" si="145"/>
        <v/>
      </c>
    </row>
    <row r="766" spans="2:20" ht="15.75" customHeight="1" x14ac:dyDescent="0.25">
      <c r="B766" s="33">
        <f t="shared" si="194"/>
        <v>75.499999999999972</v>
      </c>
      <c r="C766" s="34"/>
      <c r="D766" s="35">
        <f>(6/12)*D760</f>
        <v>2.0567999999999999E-2</v>
      </c>
      <c r="E766" s="36">
        <f>E760-(6/12)*F760</f>
        <v>568032.49040028057</v>
      </c>
      <c r="F766" s="36">
        <f t="shared" si="195"/>
        <v>1988.1067568673752</v>
      </c>
      <c r="G766" s="31">
        <f t="shared" si="140"/>
        <v>0.97943199999999997</v>
      </c>
      <c r="H766" s="32"/>
      <c r="I766" s="51" t="str">
        <f t="shared" si="146"/>
        <v/>
      </c>
      <c r="J766" s="51" t="str">
        <f t="shared" si="147"/>
        <v/>
      </c>
      <c r="K766" s="52" t="str">
        <f t="shared" si="165"/>
        <v/>
      </c>
      <c r="L766" s="53" t="str">
        <f t="shared" si="143"/>
        <v/>
      </c>
      <c r="M766" s="52" t="str">
        <f t="shared" si="148"/>
        <v/>
      </c>
      <c r="N766" s="58" t="str">
        <f t="shared" si="144"/>
        <v/>
      </c>
      <c r="Q766" s="51" t="str">
        <f t="shared" si="149"/>
        <v/>
      </c>
      <c r="R766" s="52" t="str">
        <f t="shared" si="150"/>
        <v/>
      </c>
      <c r="S766" s="58" t="str">
        <f t="shared" si="187"/>
        <v/>
      </c>
      <c r="T766" s="52" t="str">
        <f t="shared" si="145"/>
        <v/>
      </c>
    </row>
    <row r="767" spans="2:20" ht="15.75" customHeight="1" x14ac:dyDescent="0.25">
      <c r="B767" s="33">
        <f t="shared" si="194"/>
        <v>75.5833333333333</v>
      </c>
      <c r="C767" s="34"/>
      <c r="D767" s="35">
        <f>(7/12)*D760</f>
        <v>2.3996E-2</v>
      </c>
      <c r="E767" s="36">
        <f>E760-(7/12)*F760</f>
        <v>566044.3836434132</v>
      </c>
      <c r="F767" s="36">
        <f t="shared" si="195"/>
        <v>1988.1067568673752</v>
      </c>
      <c r="G767" s="31">
        <f t="shared" si="140"/>
        <v>0.97600399999999998</v>
      </c>
      <c r="H767" s="32"/>
      <c r="I767" s="51" t="str">
        <f t="shared" si="146"/>
        <v/>
      </c>
      <c r="J767" s="51" t="str">
        <f t="shared" si="147"/>
        <v/>
      </c>
      <c r="K767" s="52" t="str">
        <f t="shared" si="165"/>
        <v/>
      </c>
      <c r="L767" s="53" t="str">
        <f t="shared" si="143"/>
        <v/>
      </c>
      <c r="M767" s="52" t="str">
        <f t="shared" si="148"/>
        <v/>
      </c>
      <c r="N767" s="58" t="str">
        <f t="shared" si="144"/>
        <v/>
      </c>
      <c r="Q767" s="51" t="str">
        <f t="shared" si="149"/>
        <v/>
      </c>
      <c r="R767" s="52" t="str">
        <f t="shared" si="150"/>
        <v/>
      </c>
      <c r="S767" s="58" t="str">
        <f t="shared" si="187"/>
        <v/>
      </c>
      <c r="T767" s="52" t="str">
        <f t="shared" si="145"/>
        <v/>
      </c>
    </row>
    <row r="768" spans="2:20" ht="15.75" customHeight="1" x14ac:dyDescent="0.25">
      <c r="B768" s="33">
        <f t="shared" si="194"/>
        <v>75.666666666666629</v>
      </c>
      <c r="C768" s="34"/>
      <c r="D768" s="35">
        <f>(8/12)*D760</f>
        <v>2.7423999999999997E-2</v>
      </c>
      <c r="E768" s="36">
        <f>E760-(8/12)*F760</f>
        <v>564056.27688654582</v>
      </c>
      <c r="F768" s="36">
        <f t="shared" si="195"/>
        <v>1988.1067568674916</v>
      </c>
      <c r="G768" s="31">
        <f t="shared" si="140"/>
        <v>0.972576</v>
      </c>
      <c r="H768" s="32"/>
      <c r="I768" s="51" t="str">
        <f t="shared" si="146"/>
        <v/>
      </c>
      <c r="J768" s="51" t="str">
        <f t="shared" si="147"/>
        <v/>
      </c>
      <c r="K768" s="52" t="str">
        <f t="shared" si="165"/>
        <v/>
      </c>
      <c r="L768" s="53" t="str">
        <f t="shared" si="143"/>
        <v/>
      </c>
      <c r="M768" s="52" t="str">
        <f t="shared" si="148"/>
        <v/>
      </c>
      <c r="N768" s="58" t="str">
        <f t="shared" si="144"/>
        <v/>
      </c>
      <c r="Q768" s="51" t="str">
        <f t="shared" si="149"/>
        <v/>
      </c>
      <c r="R768" s="52" t="str">
        <f t="shared" si="150"/>
        <v/>
      </c>
      <c r="S768" s="58" t="str">
        <f t="shared" si="187"/>
        <v/>
      </c>
      <c r="T768" s="52" t="str">
        <f t="shared" si="145"/>
        <v/>
      </c>
    </row>
    <row r="769" spans="2:20" ht="15.75" customHeight="1" x14ac:dyDescent="0.25">
      <c r="B769" s="33">
        <f t="shared" si="194"/>
        <v>75.749999999999957</v>
      </c>
      <c r="C769" s="34"/>
      <c r="D769" s="35">
        <f>(9/12)*D760</f>
        <v>3.0851999999999997E-2</v>
      </c>
      <c r="E769" s="36">
        <f>E760-(9/12)*F760</f>
        <v>562068.17012967833</v>
      </c>
      <c r="F769" s="36">
        <f t="shared" si="195"/>
        <v>1988.1067568673752</v>
      </c>
      <c r="G769" s="31">
        <f t="shared" ref="G769:G1023" si="196">1-D769</f>
        <v>0.96914800000000001</v>
      </c>
      <c r="H769" s="32"/>
      <c r="I769" s="51" t="str">
        <f t="shared" si="146"/>
        <v/>
      </c>
      <c r="J769" s="51" t="str">
        <f t="shared" si="147"/>
        <v/>
      </c>
      <c r="K769" s="52" t="str">
        <f t="shared" si="165"/>
        <v/>
      </c>
      <c r="L769" s="53" t="str">
        <f t="shared" si="143"/>
        <v/>
      </c>
      <c r="M769" s="52" t="str">
        <f t="shared" si="148"/>
        <v/>
      </c>
      <c r="N769" s="58" t="str">
        <f t="shared" si="144"/>
        <v/>
      </c>
      <c r="Q769" s="51" t="str">
        <f t="shared" si="149"/>
        <v/>
      </c>
      <c r="R769" s="52" t="str">
        <f t="shared" si="150"/>
        <v/>
      </c>
      <c r="S769" s="58" t="str">
        <f t="shared" si="187"/>
        <v/>
      </c>
      <c r="T769" s="52" t="str">
        <f t="shared" si="145"/>
        <v/>
      </c>
    </row>
    <row r="770" spans="2:20" ht="15.75" customHeight="1" x14ac:dyDescent="0.25">
      <c r="B770" s="33">
        <f t="shared" si="194"/>
        <v>75.833333333333286</v>
      </c>
      <c r="C770" s="34"/>
      <c r="D770" s="35">
        <f>(10/12)*D760</f>
        <v>3.4279999999999998E-2</v>
      </c>
      <c r="E770" s="36">
        <f>E760-(10/12)*F760</f>
        <v>560080.06337281095</v>
      </c>
      <c r="F770" s="36">
        <f t="shared" si="195"/>
        <v>1988.1067568673752</v>
      </c>
      <c r="G770" s="31">
        <f t="shared" si="196"/>
        <v>0.96572000000000002</v>
      </c>
      <c r="H770" s="32"/>
      <c r="I770" s="51" t="str">
        <f t="shared" si="146"/>
        <v/>
      </c>
      <c r="J770" s="51" t="str">
        <f t="shared" si="147"/>
        <v/>
      </c>
      <c r="K770" s="52" t="str">
        <f t="shared" si="165"/>
        <v/>
      </c>
      <c r="L770" s="53" t="str">
        <f t="shared" si="143"/>
        <v/>
      </c>
      <c r="M770" s="52" t="str">
        <f t="shared" si="148"/>
        <v/>
      </c>
      <c r="N770" s="58" t="str">
        <f t="shared" si="144"/>
        <v/>
      </c>
      <c r="Q770" s="51" t="str">
        <f t="shared" si="149"/>
        <v/>
      </c>
      <c r="R770" s="52" t="str">
        <f t="shared" si="150"/>
        <v/>
      </c>
      <c r="S770" s="58" t="str">
        <f t="shared" si="187"/>
        <v/>
      </c>
      <c r="T770" s="52" t="str">
        <f t="shared" si="145"/>
        <v/>
      </c>
    </row>
    <row r="771" spans="2:20" ht="15.75" customHeight="1" x14ac:dyDescent="0.25">
      <c r="B771" s="33">
        <f t="shared" si="194"/>
        <v>75.916666666666615</v>
      </c>
      <c r="C771" s="34"/>
      <c r="D771" s="35">
        <f>(11/12)*D760</f>
        <v>3.7707999999999998E-2</v>
      </c>
      <c r="E771" s="36">
        <f>E760-(11/12)*F760</f>
        <v>558091.95661594358</v>
      </c>
      <c r="F771" s="36">
        <f t="shared" si="195"/>
        <v>1988.1067568674916</v>
      </c>
      <c r="G771" s="31">
        <f t="shared" si="196"/>
        <v>0.96229200000000004</v>
      </c>
      <c r="H771" s="32"/>
      <c r="I771" s="51" t="str">
        <f t="shared" si="146"/>
        <v/>
      </c>
      <c r="J771" s="51" t="str">
        <f t="shared" si="147"/>
        <v/>
      </c>
      <c r="K771" s="52" t="str">
        <f t="shared" si="165"/>
        <v/>
      </c>
      <c r="L771" s="53" t="str">
        <f t="shared" si="143"/>
        <v/>
      </c>
      <c r="M771" s="52" t="str">
        <f t="shared" si="148"/>
        <v/>
      </c>
      <c r="N771" s="58" t="str">
        <f t="shared" si="144"/>
        <v/>
      </c>
      <c r="Q771" s="51" t="str">
        <f t="shared" si="149"/>
        <v/>
      </c>
      <c r="R771" s="52" t="str">
        <f t="shared" si="150"/>
        <v/>
      </c>
      <c r="S771" s="58" t="str">
        <f t="shared" si="187"/>
        <v/>
      </c>
      <c r="T771" s="52" t="str">
        <f t="shared" si="145"/>
        <v/>
      </c>
    </row>
    <row r="772" spans="2:20" ht="15.75" customHeight="1" x14ac:dyDescent="0.25">
      <c r="B772" s="27">
        <v>76</v>
      </c>
      <c r="C772" s="28">
        <v>44.173999999999999</v>
      </c>
      <c r="D772" s="29">
        <f>C772/1000</f>
        <v>4.4173999999999998E-2</v>
      </c>
      <c r="E772" s="30">
        <f>E760-F760</f>
        <v>556103.84985907609</v>
      </c>
      <c r="F772" s="48">
        <f>D772*E772</f>
        <v>24565.331463674825</v>
      </c>
      <c r="G772" s="31">
        <f t="shared" si="196"/>
        <v>0.95582599999999995</v>
      </c>
      <c r="H772" s="49"/>
      <c r="I772" s="51" t="str">
        <f t="shared" si="146"/>
        <v/>
      </c>
      <c r="J772" s="51" t="str">
        <f t="shared" si="147"/>
        <v/>
      </c>
      <c r="K772" s="52" t="str">
        <f t="shared" si="165"/>
        <v/>
      </c>
      <c r="L772" s="53" t="str">
        <f t="shared" si="143"/>
        <v/>
      </c>
      <c r="M772" s="52" t="str">
        <f t="shared" si="148"/>
        <v/>
      </c>
      <c r="N772" s="58" t="str">
        <f t="shared" si="144"/>
        <v/>
      </c>
      <c r="Q772" s="51" t="str">
        <f t="shared" si="149"/>
        <v/>
      </c>
      <c r="R772" s="52" t="str">
        <f t="shared" si="150"/>
        <v/>
      </c>
      <c r="S772" s="58" t="str">
        <f t="shared" si="187"/>
        <v/>
      </c>
      <c r="T772" s="52" t="str">
        <f t="shared" si="145"/>
        <v/>
      </c>
    </row>
    <row r="773" spans="2:20" ht="15.75" customHeight="1" x14ac:dyDescent="0.25">
      <c r="B773" s="33">
        <f t="shared" ref="B773:B783" si="197">B772+1/12</f>
        <v>76.083333333333329</v>
      </c>
      <c r="C773" s="34"/>
      <c r="D773" s="35">
        <f>(1/12)*D772</f>
        <v>3.6811666666666664E-3</v>
      </c>
      <c r="E773" s="36">
        <f>E772-(1/12)*F772</f>
        <v>554056.73890376987</v>
      </c>
      <c r="F773" s="36">
        <f t="shared" ref="F773:F783" si="198">E773-E774</f>
        <v>2047.1109553062124</v>
      </c>
      <c r="G773" s="31">
        <f t="shared" si="196"/>
        <v>0.99631883333333338</v>
      </c>
      <c r="H773" s="37"/>
      <c r="I773" s="51" t="str">
        <f t="shared" si="146"/>
        <v/>
      </c>
      <c r="J773" s="51" t="str">
        <f t="shared" si="147"/>
        <v/>
      </c>
      <c r="K773" s="52" t="str">
        <f t="shared" si="165"/>
        <v/>
      </c>
      <c r="L773" s="53" t="str">
        <f t="shared" si="143"/>
        <v/>
      </c>
      <c r="M773" s="52" t="str">
        <f t="shared" si="148"/>
        <v/>
      </c>
      <c r="N773" s="58" t="str">
        <f t="shared" si="144"/>
        <v/>
      </c>
      <c r="Q773" s="51" t="str">
        <f t="shared" si="149"/>
        <v/>
      </c>
      <c r="R773" s="52" t="str">
        <f t="shared" si="150"/>
        <v/>
      </c>
      <c r="S773" s="58" t="str">
        <f t="shared" si="187"/>
        <v/>
      </c>
      <c r="T773" s="52" t="str">
        <f t="shared" si="145"/>
        <v/>
      </c>
    </row>
    <row r="774" spans="2:20" ht="15.75" customHeight="1" x14ac:dyDescent="0.25">
      <c r="B774" s="33">
        <f t="shared" si="197"/>
        <v>76.166666666666657</v>
      </c>
      <c r="C774" s="34"/>
      <c r="D774" s="35">
        <f>(2/12)*D772</f>
        <v>7.3623333333333327E-3</v>
      </c>
      <c r="E774" s="36">
        <f>E772-(2/12)*F772</f>
        <v>552009.62794846366</v>
      </c>
      <c r="F774" s="36">
        <f t="shared" si="198"/>
        <v>2047.1109553063288</v>
      </c>
      <c r="G774" s="31">
        <f t="shared" si="196"/>
        <v>0.99263766666666664</v>
      </c>
      <c r="H774" s="32"/>
      <c r="I774" s="51" t="str">
        <f t="shared" si="146"/>
        <v/>
      </c>
      <c r="J774" s="51" t="str">
        <f t="shared" si="147"/>
        <v/>
      </c>
      <c r="K774" s="52" t="str">
        <f t="shared" si="165"/>
        <v/>
      </c>
      <c r="L774" s="53" t="str">
        <f t="shared" si="143"/>
        <v/>
      </c>
      <c r="M774" s="52" t="str">
        <f t="shared" si="148"/>
        <v/>
      </c>
      <c r="N774" s="58" t="str">
        <f t="shared" si="144"/>
        <v/>
      </c>
      <c r="Q774" s="51" t="str">
        <f t="shared" si="149"/>
        <v/>
      </c>
      <c r="R774" s="52" t="str">
        <f t="shared" si="150"/>
        <v/>
      </c>
      <c r="S774" s="58" t="str">
        <f t="shared" si="187"/>
        <v/>
      </c>
      <c r="T774" s="52" t="str">
        <f t="shared" si="145"/>
        <v/>
      </c>
    </row>
    <row r="775" spans="2:20" ht="15.75" customHeight="1" x14ac:dyDescent="0.25">
      <c r="B775" s="33">
        <f t="shared" si="197"/>
        <v>76.249999999999986</v>
      </c>
      <c r="C775" s="34"/>
      <c r="D775" s="35">
        <f>(3/12)*D772</f>
        <v>1.1043499999999999E-2</v>
      </c>
      <c r="E775" s="36">
        <f>E772-(3/12)*F772</f>
        <v>549962.51699315733</v>
      </c>
      <c r="F775" s="36">
        <f t="shared" si="198"/>
        <v>2047.1109553062124</v>
      </c>
      <c r="G775" s="31">
        <f t="shared" si="196"/>
        <v>0.98895650000000002</v>
      </c>
      <c r="H775" s="32"/>
      <c r="I775" s="51" t="str">
        <f t="shared" si="146"/>
        <v/>
      </c>
      <c r="J775" s="51" t="str">
        <f t="shared" si="147"/>
        <v/>
      </c>
      <c r="K775" s="52" t="str">
        <f t="shared" si="165"/>
        <v/>
      </c>
      <c r="L775" s="53" t="str">
        <f t="shared" si="143"/>
        <v/>
      </c>
      <c r="M775" s="52" t="str">
        <f t="shared" si="148"/>
        <v/>
      </c>
      <c r="N775" s="58" t="str">
        <f t="shared" si="144"/>
        <v/>
      </c>
      <c r="Q775" s="51" t="str">
        <f t="shared" si="149"/>
        <v/>
      </c>
      <c r="R775" s="52" t="str">
        <f t="shared" si="150"/>
        <v/>
      </c>
      <c r="S775" s="58" t="str">
        <f t="shared" si="187"/>
        <v/>
      </c>
      <c r="T775" s="52" t="str">
        <f t="shared" si="145"/>
        <v/>
      </c>
    </row>
    <row r="776" spans="2:20" ht="15.75" customHeight="1" x14ac:dyDescent="0.25">
      <c r="B776" s="33">
        <f t="shared" si="197"/>
        <v>76.333333333333314</v>
      </c>
      <c r="C776" s="34"/>
      <c r="D776" s="35">
        <f>(4/12)*D772</f>
        <v>1.4724666666666665E-2</v>
      </c>
      <c r="E776" s="36">
        <f>E772-(4/12)*F772</f>
        <v>547915.40603785112</v>
      </c>
      <c r="F776" s="36">
        <f t="shared" si="198"/>
        <v>2047.1109553062124</v>
      </c>
      <c r="G776" s="31">
        <f t="shared" si="196"/>
        <v>0.98527533333333328</v>
      </c>
      <c r="H776" s="32"/>
      <c r="I776" s="51" t="str">
        <f t="shared" si="146"/>
        <v/>
      </c>
      <c r="J776" s="51" t="str">
        <f t="shared" si="147"/>
        <v/>
      </c>
      <c r="K776" s="52" t="str">
        <f t="shared" si="165"/>
        <v/>
      </c>
      <c r="L776" s="53" t="str">
        <f t="shared" si="143"/>
        <v/>
      </c>
      <c r="M776" s="52" t="str">
        <f t="shared" si="148"/>
        <v/>
      </c>
      <c r="N776" s="58" t="str">
        <f t="shared" si="144"/>
        <v/>
      </c>
      <c r="Q776" s="51" t="str">
        <f t="shared" si="149"/>
        <v/>
      </c>
      <c r="R776" s="52" t="str">
        <f t="shared" si="150"/>
        <v/>
      </c>
      <c r="S776" s="58" t="str">
        <f t="shared" si="187"/>
        <v/>
      </c>
      <c r="T776" s="52" t="str">
        <f t="shared" si="145"/>
        <v/>
      </c>
    </row>
    <row r="777" spans="2:20" ht="15.75" customHeight="1" x14ac:dyDescent="0.25">
      <c r="B777" s="33">
        <f t="shared" si="197"/>
        <v>76.416666666666643</v>
      </c>
      <c r="C777" s="34"/>
      <c r="D777" s="35">
        <f>(5/12)*D772</f>
        <v>1.8405833333333333E-2</v>
      </c>
      <c r="E777" s="36">
        <f>E772-(5/12)*F772</f>
        <v>545868.29508254491</v>
      </c>
      <c r="F777" s="36">
        <f t="shared" si="198"/>
        <v>2047.1109553062124</v>
      </c>
      <c r="G777" s="31">
        <f t="shared" si="196"/>
        <v>0.98159416666666666</v>
      </c>
      <c r="H777" s="32"/>
      <c r="I777" s="51" t="str">
        <f t="shared" si="146"/>
        <v/>
      </c>
      <c r="J777" s="51" t="str">
        <f t="shared" si="147"/>
        <v/>
      </c>
      <c r="K777" s="52" t="str">
        <f t="shared" si="165"/>
        <v/>
      </c>
      <c r="L777" s="53" t="str">
        <f t="shared" si="143"/>
        <v/>
      </c>
      <c r="M777" s="52" t="str">
        <f t="shared" si="148"/>
        <v/>
      </c>
      <c r="N777" s="58" t="str">
        <f t="shared" si="144"/>
        <v/>
      </c>
      <c r="Q777" s="51" t="str">
        <f t="shared" si="149"/>
        <v/>
      </c>
      <c r="R777" s="52" t="str">
        <f t="shared" si="150"/>
        <v/>
      </c>
      <c r="S777" s="58" t="str">
        <f t="shared" si="187"/>
        <v/>
      </c>
      <c r="T777" s="52" t="str">
        <f t="shared" si="145"/>
        <v/>
      </c>
    </row>
    <row r="778" spans="2:20" ht="15.75" customHeight="1" x14ac:dyDescent="0.25">
      <c r="B778" s="33">
        <f t="shared" si="197"/>
        <v>76.499999999999972</v>
      </c>
      <c r="C778" s="34"/>
      <c r="D778" s="35">
        <f>(6/12)*D772</f>
        <v>2.2086999999999999E-2</v>
      </c>
      <c r="E778" s="36">
        <f>E772-(6/12)*F772</f>
        <v>543821.1841272387</v>
      </c>
      <c r="F778" s="36">
        <f t="shared" si="198"/>
        <v>2047.1109553062124</v>
      </c>
      <c r="G778" s="31">
        <f t="shared" si="196"/>
        <v>0.97791300000000003</v>
      </c>
      <c r="H778" s="32"/>
      <c r="I778" s="51" t="str">
        <f t="shared" si="146"/>
        <v/>
      </c>
      <c r="J778" s="51" t="str">
        <f t="shared" si="147"/>
        <v/>
      </c>
      <c r="K778" s="52" t="str">
        <f t="shared" si="165"/>
        <v/>
      </c>
      <c r="L778" s="53" t="str">
        <f t="shared" si="143"/>
        <v/>
      </c>
      <c r="M778" s="52" t="str">
        <f t="shared" si="148"/>
        <v/>
      </c>
      <c r="N778" s="58" t="str">
        <f t="shared" si="144"/>
        <v/>
      </c>
      <c r="Q778" s="51" t="str">
        <f t="shared" si="149"/>
        <v/>
      </c>
      <c r="R778" s="52" t="str">
        <f t="shared" si="150"/>
        <v/>
      </c>
      <c r="S778" s="58" t="str">
        <f t="shared" si="187"/>
        <v/>
      </c>
      <c r="T778" s="52" t="str">
        <f t="shared" si="145"/>
        <v/>
      </c>
    </row>
    <row r="779" spans="2:20" ht="15.75" customHeight="1" x14ac:dyDescent="0.25">
      <c r="B779" s="33">
        <f t="shared" si="197"/>
        <v>76.5833333333333</v>
      </c>
      <c r="C779" s="34"/>
      <c r="D779" s="35">
        <f>(7/12)*D772</f>
        <v>2.5768166666666668E-2</v>
      </c>
      <c r="E779" s="36">
        <f>E772-(7/12)*F772</f>
        <v>541774.07317193248</v>
      </c>
      <c r="F779" s="36">
        <f t="shared" si="198"/>
        <v>2047.1109553063288</v>
      </c>
      <c r="G779" s="31">
        <f t="shared" si="196"/>
        <v>0.9742318333333333</v>
      </c>
      <c r="H779" s="32"/>
      <c r="I779" s="51" t="str">
        <f t="shared" si="146"/>
        <v/>
      </c>
      <c r="J779" s="51" t="str">
        <f t="shared" si="147"/>
        <v/>
      </c>
      <c r="K779" s="52" t="str">
        <f t="shared" si="165"/>
        <v/>
      </c>
      <c r="L779" s="53" t="str">
        <f t="shared" si="143"/>
        <v/>
      </c>
      <c r="M779" s="52" t="str">
        <f t="shared" si="148"/>
        <v/>
      </c>
      <c r="N779" s="58" t="str">
        <f t="shared" si="144"/>
        <v/>
      </c>
      <c r="Q779" s="51" t="str">
        <f t="shared" si="149"/>
        <v/>
      </c>
      <c r="R779" s="52" t="str">
        <f t="shared" si="150"/>
        <v/>
      </c>
      <c r="S779" s="58" t="str">
        <f t="shared" si="187"/>
        <v/>
      </c>
      <c r="T779" s="52" t="str">
        <f t="shared" si="145"/>
        <v/>
      </c>
    </row>
    <row r="780" spans="2:20" ht="15.75" customHeight="1" x14ac:dyDescent="0.25">
      <c r="B780" s="33">
        <f t="shared" si="197"/>
        <v>76.666666666666629</v>
      </c>
      <c r="C780" s="34"/>
      <c r="D780" s="35">
        <f>(8/12)*D772</f>
        <v>2.9449333333333331E-2</v>
      </c>
      <c r="E780" s="36">
        <f>E772-(8/12)*F772</f>
        <v>539726.96221662615</v>
      </c>
      <c r="F780" s="36">
        <f t="shared" si="198"/>
        <v>2047.1109553062124</v>
      </c>
      <c r="G780" s="31">
        <f t="shared" si="196"/>
        <v>0.97055066666666667</v>
      </c>
      <c r="H780" s="32"/>
      <c r="I780" s="51" t="str">
        <f t="shared" si="146"/>
        <v/>
      </c>
      <c r="J780" s="51" t="str">
        <f t="shared" si="147"/>
        <v/>
      </c>
      <c r="K780" s="52" t="str">
        <f t="shared" si="165"/>
        <v/>
      </c>
      <c r="L780" s="53" t="str">
        <f t="shared" si="143"/>
        <v/>
      </c>
      <c r="M780" s="52" t="str">
        <f t="shared" si="148"/>
        <v/>
      </c>
      <c r="N780" s="58" t="str">
        <f t="shared" si="144"/>
        <v/>
      </c>
      <c r="Q780" s="51" t="str">
        <f t="shared" si="149"/>
        <v/>
      </c>
      <c r="R780" s="52" t="str">
        <f t="shared" si="150"/>
        <v/>
      </c>
      <c r="S780" s="58" t="str">
        <f t="shared" si="187"/>
        <v/>
      </c>
      <c r="T780" s="52" t="str">
        <f t="shared" si="145"/>
        <v/>
      </c>
    </row>
    <row r="781" spans="2:20" ht="15.75" customHeight="1" x14ac:dyDescent="0.25">
      <c r="B781" s="33">
        <f t="shared" si="197"/>
        <v>76.749999999999957</v>
      </c>
      <c r="C781" s="34"/>
      <c r="D781" s="35">
        <f>(9/12)*D772</f>
        <v>3.31305E-2</v>
      </c>
      <c r="E781" s="36">
        <f>E772-(9/12)*F772</f>
        <v>537679.85126131994</v>
      </c>
      <c r="F781" s="36">
        <f t="shared" si="198"/>
        <v>2047.1109553062124</v>
      </c>
      <c r="G781" s="31">
        <f t="shared" si="196"/>
        <v>0.96686950000000005</v>
      </c>
      <c r="H781" s="32"/>
      <c r="I781" s="51" t="str">
        <f t="shared" si="146"/>
        <v/>
      </c>
      <c r="J781" s="51" t="str">
        <f t="shared" si="147"/>
        <v/>
      </c>
      <c r="K781" s="52" t="str">
        <f t="shared" si="165"/>
        <v/>
      </c>
      <c r="L781" s="53" t="str">
        <f t="shared" ref="L781:L1035" si="199">IF(I781&lt;&gt;"",1-K781,"")</f>
        <v/>
      </c>
      <c r="M781" s="52" t="str">
        <f t="shared" si="148"/>
        <v/>
      </c>
      <c r="N781" s="58" t="str">
        <f t="shared" ref="N781:N1035" si="200">IF(I781&lt;&gt;"",(1+$M$10)^-(1+I781),"")</f>
        <v/>
      </c>
      <c r="Q781" s="51" t="str">
        <f t="shared" si="149"/>
        <v/>
      </c>
      <c r="R781" s="52" t="str">
        <f t="shared" si="150"/>
        <v/>
      </c>
      <c r="S781" s="58" t="str">
        <f t="shared" si="187"/>
        <v/>
      </c>
      <c r="T781" s="52" t="str">
        <f t="shared" ref="T781:T1035" si="201">IFERROR(S781*R781,"")</f>
        <v/>
      </c>
    </row>
    <row r="782" spans="2:20" ht="15.75" customHeight="1" x14ac:dyDescent="0.25">
      <c r="B782" s="33">
        <f t="shared" si="197"/>
        <v>76.833333333333286</v>
      </c>
      <c r="C782" s="34"/>
      <c r="D782" s="35">
        <f>(10/12)*D772</f>
        <v>3.6811666666666666E-2</v>
      </c>
      <c r="E782" s="36">
        <f>E772-(10/12)*F772</f>
        <v>535632.74030601373</v>
      </c>
      <c r="F782" s="36">
        <f t="shared" si="198"/>
        <v>2047.1109553062124</v>
      </c>
      <c r="G782" s="31">
        <f t="shared" si="196"/>
        <v>0.96318833333333331</v>
      </c>
      <c r="H782" s="32"/>
      <c r="I782" s="51" t="str">
        <f t="shared" ref="I782:I1036" si="202">IFERROR(IF(I781+1/12&lt;$J$8,I781+1/12,""),"")</f>
        <v/>
      </c>
      <c r="J782" s="51" t="str">
        <f t="shared" ref="J782:J1036" si="203">IF(I782&lt;&gt;"",J781+1/12,"")</f>
        <v/>
      </c>
      <c r="K782" s="52" t="str">
        <f t="shared" si="165"/>
        <v/>
      </c>
      <c r="L782" s="53" t="str">
        <f t="shared" si="199"/>
        <v/>
      </c>
      <c r="M782" s="52" t="str">
        <f t="shared" ref="M782:M1036" si="204">IF(I782&lt;&gt;"",M781*L781,"")</f>
        <v/>
      </c>
      <c r="N782" s="58" t="str">
        <f t="shared" si="200"/>
        <v/>
      </c>
      <c r="Q782" s="51" t="str">
        <f t="shared" ref="Q782:Q1036" si="205">IFERROR(IF(Q781+1/12&lt;$J$8,Q781+1/12,""),"")</f>
        <v/>
      </c>
      <c r="R782" s="52" t="str">
        <f t="shared" ref="R782:R1036" si="206">IF(Q782&lt;&gt;"",R781*L781,"")</f>
        <v/>
      </c>
      <c r="S782" s="58" t="str">
        <f t="shared" si="187"/>
        <v/>
      </c>
      <c r="T782" s="52" t="str">
        <f t="shared" si="201"/>
        <v/>
      </c>
    </row>
    <row r="783" spans="2:20" ht="15.75" customHeight="1" x14ac:dyDescent="0.25">
      <c r="B783" s="33">
        <f t="shared" si="197"/>
        <v>76.916666666666615</v>
      </c>
      <c r="C783" s="34"/>
      <c r="D783" s="35">
        <f>(11/12)*D772</f>
        <v>4.0492833333333332E-2</v>
      </c>
      <c r="E783" s="36">
        <f>E772-(11/12)*F772</f>
        <v>533585.62935070752</v>
      </c>
      <c r="F783" s="36">
        <f t="shared" si="198"/>
        <v>2047.1109553062124</v>
      </c>
      <c r="G783" s="31">
        <f t="shared" si="196"/>
        <v>0.95950716666666669</v>
      </c>
      <c r="H783" s="32"/>
      <c r="I783" s="51" t="str">
        <f t="shared" si="202"/>
        <v/>
      </c>
      <c r="J783" s="51" t="str">
        <f t="shared" si="203"/>
        <v/>
      </c>
      <c r="K783" s="52" t="str">
        <f t="shared" si="165"/>
        <v/>
      </c>
      <c r="L783" s="53" t="str">
        <f t="shared" si="199"/>
        <v/>
      </c>
      <c r="M783" s="52" t="str">
        <f t="shared" si="204"/>
        <v/>
      </c>
      <c r="N783" s="58" t="str">
        <f t="shared" si="200"/>
        <v/>
      </c>
      <c r="Q783" s="51" t="str">
        <f t="shared" si="205"/>
        <v/>
      </c>
      <c r="R783" s="52" t="str">
        <f t="shared" si="206"/>
        <v/>
      </c>
      <c r="S783" s="58" t="str">
        <f t="shared" si="187"/>
        <v/>
      </c>
      <c r="T783" s="52" t="str">
        <f t="shared" si="201"/>
        <v/>
      </c>
    </row>
    <row r="784" spans="2:20" ht="15.75" customHeight="1" x14ac:dyDescent="0.25">
      <c r="B784" s="27">
        <v>77</v>
      </c>
      <c r="C784" s="28">
        <v>47.423999999999999</v>
      </c>
      <c r="D784" s="29">
        <f>C784/1000</f>
        <v>4.7424000000000001E-2</v>
      </c>
      <c r="E784" s="30">
        <f>E772-F772</f>
        <v>531538.5183954013</v>
      </c>
      <c r="F784" s="48">
        <f>D784*E784</f>
        <v>25207.682696383512</v>
      </c>
      <c r="G784" s="31">
        <f t="shared" si="196"/>
        <v>0.95257599999999998</v>
      </c>
      <c r="H784" s="49"/>
      <c r="I784" s="51" t="str">
        <f t="shared" si="202"/>
        <v/>
      </c>
      <c r="J784" s="51" t="str">
        <f t="shared" si="203"/>
        <v/>
      </c>
      <c r="K784" s="52" t="str">
        <f t="shared" si="165"/>
        <v/>
      </c>
      <c r="L784" s="53" t="str">
        <f t="shared" si="199"/>
        <v/>
      </c>
      <c r="M784" s="52" t="str">
        <f t="shared" si="204"/>
        <v/>
      </c>
      <c r="N784" s="58" t="str">
        <f t="shared" si="200"/>
        <v/>
      </c>
      <c r="Q784" s="51" t="str">
        <f t="shared" si="205"/>
        <v/>
      </c>
      <c r="R784" s="52" t="str">
        <f t="shared" si="206"/>
        <v/>
      </c>
      <c r="S784" s="58" t="str">
        <f t="shared" si="187"/>
        <v/>
      </c>
      <c r="T784" s="52" t="str">
        <f t="shared" si="201"/>
        <v/>
      </c>
    </row>
    <row r="785" spans="2:20" ht="15.75" customHeight="1" x14ac:dyDescent="0.25">
      <c r="B785" s="33">
        <f t="shared" ref="B785:B795" si="207">B784+1/12</f>
        <v>77.083333333333329</v>
      </c>
      <c r="C785" s="34"/>
      <c r="D785" s="35">
        <f>(1/12)*D784</f>
        <v>3.9519999999999998E-3</v>
      </c>
      <c r="E785" s="36">
        <f>E784-(1/12)*F784</f>
        <v>529437.87817070272</v>
      </c>
      <c r="F785" s="36">
        <f t="shared" ref="F785:F795" si="208">E785-E786</f>
        <v>2100.6402246986981</v>
      </c>
      <c r="G785" s="31">
        <f t="shared" si="196"/>
        <v>0.99604800000000004</v>
      </c>
      <c r="H785" s="37"/>
      <c r="I785" s="51" t="str">
        <f t="shared" si="202"/>
        <v/>
      </c>
      <c r="J785" s="51" t="str">
        <f t="shared" si="203"/>
        <v/>
      </c>
      <c r="K785" s="52" t="str">
        <f t="shared" si="165"/>
        <v/>
      </c>
      <c r="L785" s="53" t="str">
        <f t="shared" si="199"/>
        <v/>
      </c>
      <c r="M785" s="52" t="str">
        <f t="shared" si="204"/>
        <v/>
      </c>
      <c r="N785" s="58" t="str">
        <f t="shared" si="200"/>
        <v/>
      </c>
      <c r="Q785" s="51" t="str">
        <f t="shared" si="205"/>
        <v/>
      </c>
      <c r="R785" s="52" t="str">
        <f t="shared" si="206"/>
        <v/>
      </c>
      <c r="S785" s="58" t="str">
        <f t="shared" si="187"/>
        <v/>
      </c>
      <c r="T785" s="52" t="str">
        <f t="shared" si="201"/>
        <v/>
      </c>
    </row>
    <row r="786" spans="2:20" ht="15.75" customHeight="1" x14ac:dyDescent="0.25">
      <c r="B786" s="33">
        <f t="shared" si="207"/>
        <v>77.166666666666657</v>
      </c>
      <c r="C786" s="34"/>
      <c r="D786" s="35">
        <f>(2/12)*D784</f>
        <v>7.9039999999999996E-3</v>
      </c>
      <c r="E786" s="36">
        <f>E784-(2/12)*F784</f>
        <v>527337.23794600402</v>
      </c>
      <c r="F786" s="36">
        <f t="shared" si="208"/>
        <v>2100.6402246985817</v>
      </c>
      <c r="G786" s="31">
        <f t="shared" si="196"/>
        <v>0.99209599999999998</v>
      </c>
      <c r="H786" s="32"/>
      <c r="I786" s="51" t="str">
        <f t="shared" si="202"/>
        <v/>
      </c>
      <c r="J786" s="51" t="str">
        <f t="shared" si="203"/>
        <v/>
      </c>
      <c r="K786" s="52" t="str">
        <f t="shared" si="165"/>
        <v/>
      </c>
      <c r="L786" s="53" t="str">
        <f t="shared" si="199"/>
        <v/>
      </c>
      <c r="M786" s="52" t="str">
        <f t="shared" si="204"/>
        <v/>
      </c>
      <c r="N786" s="58" t="str">
        <f t="shared" si="200"/>
        <v/>
      </c>
      <c r="Q786" s="51" t="str">
        <f t="shared" si="205"/>
        <v/>
      </c>
      <c r="R786" s="52" t="str">
        <f t="shared" si="206"/>
        <v/>
      </c>
      <c r="S786" s="58" t="str">
        <f t="shared" ref="S786:S849" si="209">IF(Q786&lt;&gt;"",(1+$M$10)^-(12*Q786),"")</f>
        <v/>
      </c>
      <c r="T786" s="52" t="str">
        <f t="shared" si="201"/>
        <v/>
      </c>
    </row>
    <row r="787" spans="2:20" ht="15.75" customHeight="1" x14ac:dyDescent="0.25">
      <c r="B787" s="33">
        <f t="shared" si="207"/>
        <v>77.249999999999986</v>
      </c>
      <c r="C787" s="34"/>
      <c r="D787" s="35">
        <f>(3/12)*D784</f>
        <v>1.1856E-2</v>
      </c>
      <c r="E787" s="36">
        <f>E784-(3/12)*F784</f>
        <v>525236.59772130544</v>
      </c>
      <c r="F787" s="36">
        <f t="shared" si="208"/>
        <v>2100.6402246986399</v>
      </c>
      <c r="G787" s="31">
        <f t="shared" si="196"/>
        <v>0.98814400000000002</v>
      </c>
      <c r="H787" s="32"/>
      <c r="I787" s="51" t="str">
        <f t="shared" si="202"/>
        <v/>
      </c>
      <c r="J787" s="51" t="str">
        <f t="shared" si="203"/>
        <v/>
      </c>
      <c r="K787" s="52" t="str">
        <f t="shared" si="165"/>
        <v/>
      </c>
      <c r="L787" s="53" t="str">
        <f t="shared" si="199"/>
        <v/>
      </c>
      <c r="M787" s="52" t="str">
        <f t="shared" si="204"/>
        <v/>
      </c>
      <c r="N787" s="58" t="str">
        <f t="shared" si="200"/>
        <v/>
      </c>
      <c r="Q787" s="51" t="str">
        <f t="shared" si="205"/>
        <v/>
      </c>
      <c r="R787" s="52" t="str">
        <f t="shared" si="206"/>
        <v/>
      </c>
      <c r="S787" s="58" t="str">
        <f t="shared" si="209"/>
        <v/>
      </c>
      <c r="T787" s="52" t="str">
        <f t="shared" si="201"/>
        <v/>
      </c>
    </row>
    <row r="788" spans="2:20" ht="15.75" customHeight="1" x14ac:dyDescent="0.25">
      <c r="B788" s="33">
        <f t="shared" si="207"/>
        <v>77.333333333333314</v>
      </c>
      <c r="C788" s="34"/>
      <c r="D788" s="35">
        <f>(4/12)*D784</f>
        <v>1.5807999999999999E-2</v>
      </c>
      <c r="E788" s="36">
        <f>E784-(4/12)*F784</f>
        <v>523135.9574966068</v>
      </c>
      <c r="F788" s="36">
        <f t="shared" si="208"/>
        <v>2100.6402246986399</v>
      </c>
      <c r="G788" s="31">
        <f t="shared" si="196"/>
        <v>0.98419199999999996</v>
      </c>
      <c r="H788" s="32"/>
      <c r="I788" s="51" t="str">
        <f t="shared" si="202"/>
        <v/>
      </c>
      <c r="J788" s="51" t="str">
        <f t="shared" si="203"/>
        <v/>
      </c>
      <c r="K788" s="52" t="str">
        <f t="shared" si="165"/>
        <v/>
      </c>
      <c r="L788" s="53" t="str">
        <f t="shared" si="199"/>
        <v/>
      </c>
      <c r="M788" s="52" t="str">
        <f t="shared" si="204"/>
        <v/>
      </c>
      <c r="N788" s="58" t="str">
        <f t="shared" si="200"/>
        <v/>
      </c>
      <c r="Q788" s="51" t="str">
        <f t="shared" si="205"/>
        <v/>
      </c>
      <c r="R788" s="52" t="str">
        <f t="shared" si="206"/>
        <v/>
      </c>
      <c r="S788" s="58" t="str">
        <f t="shared" si="209"/>
        <v/>
      </c>
      <c r="T788" s="52" t="str">
        <f t="shared" si="201"/>
        <v/>
      </c>
    </row>
    <row r="789" spans="2:20" ht="15.75" customHeight="1" x14ac:dyDescent="0.25">
      <c r="B789" s="33">
        <f t="shared" si="207"/>
        <v>77.416666666666643</v>
      </c>
      <c r="C789" s="34"/>
      <c r="D789" s="35">
        <f>(5/12)*D784</f>
        <v>1.976E-2</v>
      </c>
      <c r="E789" s="36">
        <f>E784-(5/12)*F784</f>
        <v>521035.31727190816</v>
      </c>
      <c r="F789" s="36">
        <f t="shared" si="208"/>
        <v>2100.6402246986399</v>
      </c>
      <c r="G789" s="31">
        <f t="shared" si="196"/>
        <v>0.98024</v>
      </c>
      <c r="H789" s="32"/>
      <c r="I789" s="51" t="str">
        <f t="shared" si="202"/>
        <v/>
      </c>
      <c r="J789" s="51" t="str">
        <f t="shared" si="203"/>
        <v/>
      </c>
      <c r="K789" s="52" t="str">
        <f t="shared" si="165"/>
        <v/>
      </c>
      <c r="L789" s="53" t="str">
        <f t="shared" si="199"/>
        <v/>
      </c>
      <c r="M789" s="52" t="str">
        <f t="shared" si="204"/>
        <v/>
      </c>
      <c r="N789" s="58" t="str">
        <f t="shared" si="200"/>
        <v/>
      </c>
      <c r="Q789" s="51" t="str">
        <f t="shared" si="205"/>
        <v/>
      </c>
      <c r="R789" s="52" t="str">
        <f t="shared" si="206"/>
        <v/>
      </c>
      <c r="S789" s="58" t="str">
        <f t="shared" si="209"/>
        <v/>
      </c>
      <c r="T789" s="52" t="str">
        <f t="shared" si="201"/>
        <v/>
      </c>
    </row>
    <row r="790" spans="2:20" ht="15.75" customHeight="1" x14ac:dyDescent="0.25">
      <c r="B790" s="33">
        <f t="shared" si="207"/>
        <v>77.499999999999972</v>
      </c>
      <c r="C790" s="34"/>
      <c r="D790" s="35">
        <f>(6/12)*D784</f>
        <v>2.3712E-2</v>
      </c>
      <c r="E790" s="36">
        <f>E784-(6/12)*F784</f>
        <v>518934.67704720952</v>
      </c>
      <c r="F790" s="36">
        <f t="shared" si="208"/>
        <v>2100.6402246985817</v>
      </c>
      <c r="G790" s="31">
        <f t="shared" si="196"/>
        <v>0.97628800000000004</v>
      </c>
      <c r="H790" s="32"/>
      <c r="I790" s="51" t="str">
        <f t="shared" si="202"/>
        <v/>
      </c>
      <c r="J790" s="51" t="str">
        <f t="shared" si="203"/>
        <v/>
      </c>
      <c r="K790" s="52" t="str">
        <f t="shared" si="165"/>
        <v/>
      </c>
      <c r="L790" s="53" t="str">
        <f t="shared" si="199"/>
        <v/>
      </c>
      <c r="M790" s="52" t="str">
        <f t="shared" si="204"/>
        <v/>
      </c>
      <c r="N790" s="58" t="str">
        <f t="shared" si="200"/>
        <v/>
      </c>
      <c r="Q790" s="51" t="str">
        <f t="shared" si="205"/>
        <v/>
      </c>
      <c r="R790" s="52" t="str">
        <f t="shared" si="206"/>
        <v/>
      </c>
      <c r="S790" s="58" t="str">
        <f t="shared" si="209"/>
        <v/>
      </c>
      <c r="T790" s="52" t="str">
        <f t="shared" si="201"/>
        <v/>
      </c>
    </row>
    <row r="791" spans="2:20" ht="15.75" customHeight="1" x14ac:dyDescent="0.25">
      <c r="B791" s="33">
        <f t="shared" si="207"/>
        <v>77.5833333333333</v>
      </c>
      <c r="C791" s="34"/>
      <c r="D791" s="35">
        <f>(7/12)*D784</f>
        <v>2.7664000000000001E-2</v>
      </c>
      <c r="E791" s="36">
        <f>E784-(7/12)*F784</f>
        <v>516834.03682251094</v>
      </c>
      <c r="F791" s="36">
        <f t="shared" si="208"/>
        <v>2100.6402246986399</v>
      </c>
      <c r="G791" s="31">
        <f t="shared" si="196"/>
        <v>0.97233599999999998</v>
      </c>
      <c r="H791" s="32"/>
      <c r="I791" s="51" t="str">
        <f t="shared" si="202"/>
        <v/>
      </c>
      <c r="J791" s="51" t="str">
        <f t="shared" si="203"/>
        <v/>
      </c>
      <c r="K791" s="52" t="str">
        <f t="shared" si="165"/>
        <v/>
      </c>
      <c r="L791" s="53" t="str">
        <f t="shared" si="199"/>
        <v/>
      </c>
      <c r="M791" s="52" t="str">
        <f t="shared" si="204"/>
        <v/>
      </c>
      <c r="N791" s="58" t="str">
        <f t="shared" si="200"/>
        <v/>
      </c>
      <c r="Q791" s="51" t="str">
        <f t="shared" si="205"/>
        <v/>
      </c>
      <c r="R791" s="52" t="str">
        <f t="shared" si="206"/>
        <v/>
      </c>
      <c r="S791" s="58" t="str">
        <f t="shared" si="209"/>
        <v/>
      </c>
      <c r="T791" s="52" t="str">
        <f t="shared" si="201"/>
        <v/>
      </c>
    </row>
    <row r="792" spans="2:20" ht="15.75" customHeight="1" x14ac:dyDescent="0.25">
      <c r="B792" s="33">
        <f t="shared" si="207"/>
        <v>77.666666666666629</v>
      </c>
      <c r="C792" s="34"/>
      <c r="D792" s="35">
        <f>(8/12)*D784</f>
        <v>3.1615999999999998E-2</v>
      </c>
      <c r="E792" s="36">
        <f>E784-(8/12)*F784</f>
        <v>514733.3965978123</v>
      </c>
      <c r="F792" s="36">
        <f t="shared" si="208"/>
        <v>2100.6402246986399</v>
      </c>
      <c r="G792" s="31">
        <f t="shared" si="196"/>
        <v>0.96838400000000002</v>
      </c>
      <c r="H792" s="32"/>
      <c r="I792" s="51" t="str">
        <f t="shared" si="202"/>
        <v/>
      </c>
      <c r="J792" s="51" t="str">
        <f t="shared" si="203"/>
        <v/>
      </c>
      <c r="K792" s="52" t="str">
        <f t="shared" si="165"/>
        <v/>
      </c>
      <c r="L792" s="53" t="str">
        <f t="shared" si="199"/>
        <v/>
      </c>
      <c r="M792" s="52" t="str">
        <f t="shared" si="204"/>
        <v/>
      </c>
      <c r="N792" s="58" t="str">
        <f t="shared" si="200"/>
        <v/>
      </c>
      <c r="Q792" s="51" t="str">
        <f t="shared" si="205"/>
        <v/>
      </c>
      <c r="R792" s="52" t="str">
        <f t="shared" si="206"/>
        <v/>
      </c>
      <c r="S792" s="58" t="str">
        <f t="shared" si="209"/>
        <v/>
      </c>
      <c r="T792" s="52" t="str">
        <f t="shared" si="201"/>
        <v/>
      </c>
    </row>
    <row r="793" spans="2:20" ht="15.75" customHeight="1" x14ac:dyDescent="0.25">
      <c r="B793" s="33">
        <f t="shared" si="207"/>
        <v>77.749999999999957</v>
      </c>
      <c r="C793" s="34"/>
      <c r="D793" s="35">
        <f>(9/12)*D784</f>
        <v>3.5568000000000002E-2</v>
      </c>
      <c r="E793" s="36">
        <f>E784-(9/12)*F784</f>
        <v>512632.75637311366</v>
      </c>
      <c r="F793" s="36">
        <f t="shared" si="208"/>
        <v>2100.6402246986399</v>
      </c>
      <c r="G793" s="31">
        <f t="shared" si="196"/>
        <v>0.96443199999999996</v>
      </c>
      <c r="H793" s="32"/>
      <c r="I793" s="51" t="str">
        <f t="shared" si="202"/>
        <v/>
      </c>
      <c r="J793" s="51" t="str">
        <f t="shared" si="203"/>
        <v/>
      </c>
      <c r="K793" s="52" t="str">
        <f t="shared" si="165"/>
        <v/>
      </c>
      <c r="L793" s="53" t="str">
        <f t="shared" si="199"/>
        <v/>
      </c>
      <c r="M793" s="52" t="str">
        <f t="shared" si="204"/>
        <v/>
      </c>
      <c r="N793" s="58" t="str">
        <f t="shared" si="200"/>
        <v/>
      </c>
      <c r="Q793" s="51" t="str">
        <f t="shared" si="205"/>
        <v/>
      </c>
      <c r="R793" s="52" t="str">
        <f t="shared" si="206"/>
        <v/>
      </c>
      <c r="S793" s="58" t="str">
        <f t="shared" si="209"/>
        <v/>
      </c>
      <c r="T793" s="52" t="str">
        <f t="shared" si="201"/>
        <v/>
      </c>
    </row>
    <row r="794" spans="2:20" ht="15.75" customHeight="1" x14ac:dyDescent="0.25">
      <c r="B794" s="33">
        <f t="shared" si="207"/>
        <v>77.833333333333286</v>
      </c>
      <c r="C794" s="34"/>
      <c r="D794" s="35">
        <f>(10/12)*D784</f>
        <v>3.952E-2</v>
      </c>
      <c r="E794" s="36">
        <f>E784-(10/12)*F784</f>
        <v>510532.11614841502</v>
      </c>
      <c r="F794" s="36">
        <f t="shared" si="208"/>
        <v>2100.6402246985817</v>
      </c>
      <c r="G794" s="31">
        <f t="shared" si="196"/>
        <v>0.96048</v>
      </c>
      <c r="H794" s="32"/>
      <c r="I794" s="51" t="str">
        <f t="shared" si="202"/>
        <v/>
      </c>
      <c r="J794" s="51" t="str">
        <f t="shared" si="203"/>
        <v/>
      </c>
      <c r="K794" s="52" t="str">
        <f t="shared" si="165"/>
        <v/>
      </c>
      <c r="L794" s="53" t="str">
        <f t="shared" si="199"/>
        <v/>
      </c>
      <c r="M794" s="52" t="str">
        <f t="shared" si="204"/>
        <v/>
      </c>
      <c r="N794" s="58" t="str">
        <f t="shared" si="200"/>
        <v/>
      </c>
      <c r="Q794" s="51" t="str">
        <f t="shared" si="205"/>
        <v/>
      </c>
      <c r="R794" s="52" t="str">
        <f t="shared" si="206"/>
        <v/>
      </c>
      <c r="S794" s="58" t="str">
        <f t="shared" si="209"/>
        <v/>
      </c>
      <c r="T794" s="52" t="str">
        <f t="shared" si="201"/>
        <v/>
      </c>
    </row>
    <row r="795" spans="2:20" ht="15.75" customHeight="1" x14ac:dyDescent="0.25">
      <c r="B795" s="33">
        <f t="shared" si="207"/>
        <v>77.916666666666615</v>
      </c>
      <c r="C795" s="34"/>
      <c r="D795" s="35">
        <f>(11/12)*D784</f>
        <v>4.3471999999999997E-2</v>
      </c>
      <c r="E795" s="36">
        <f>E784-(11/12)*F784</f>
        <v>508431.47592371644</v>
      </c>
      <c r="F795" s="36">
        <f t="shared" si="208"/>
        <v>2100.6402246986399</v>
      </c>
      <c r="G795" s="31">
        <f t="shared" si="196"/>
        <v>0.95652800000000004</v>
      </c>
      <c r="H795" s="32"/>
      <c r="I795" s="51" t="str">
        <f t="shared" si="202"/>
        <v/>
      </c>
      <c r="J795" s="51" t="str">
        <f t="shared" si="203"/>
        <v/>
      </c>
      <c r="K795" s="52" t="str">
        <f t="shared" si="165"/>
        <v/>
      </c>
      <c r="L795" s="53" t="str">
        <f t="shared" si="199"/>
        <v/>
      </c>
      <c r="M795" s="52" t="str">
        <f t="shared" si="204"/>
        <v/>
      </c>
      <c r="N795" s="58" t="str">
        <f t="shared" si="200"/>
        <v/>
      </c>
      <c r="Q795" s="51" t="str">
        <f t="shared" si="205"/>
        <v/>
      </c>
      <c r="R795" s="52" t="str">
        <f t="shared" si="206"/>
        <v/>
      </c>
      <c r="S795" s="58" t="str">
        <f t="shared" si="209"/>
        <v/>
      </c>
      <c r="T795" s="52" t="str">
        <f t="shared" si="201"/>
        <v/>
      </c>
    </row>
    <row r="796" spans="2:20" ht="15.75" customHeight="1" x14ac:dyDescent="0.25">
      <c r="B796" s="27">
        <v>78</v>
      </c>
      <c r="C796" s="28">
        <v>50.902000000000001</v>
      </c>
      <c r="D796" s="29">
        <f>C796/1000</f>
        <v>5.0902000000000003E-2</v>
      </c>
      <c r="E796" s="30">
        <f>E784-F784</f>
        <v>506330.8356990178</v>
      </c>
      <c r="F796" s="48">
        <f>D796*E796</f>
        <v>25773.252198751405</v>
      </c>
      <c r="G796" s="31">
        <f t="shared" si="196"/>
        <v>0.949098</v>
      </c>
      <c r="H796" s="49"/>
      <c r="I796" s="51" t="str">
        <f t="shared" si="202"/>
        <v/>
      </c>
      <c r="J796" s="51" t="str">
        <f t="shared" si="203"/>
        <v/>
      </c>
      <c r="K796" s="52" t="str">
        <f t="shared" si="165"/>
        <v/>
      </c>
      <c r="L796" s="53" t="str">
        <f t="shared" si="199"/>
        <v/>
      </c>
      <c r="M796" s="52" t="str">
        <f t="shared" si="204"/>
        <v/>
      </c>
      <c r="N796" s="58" t="str">
        <f t="shared" si="200"/>
        <v/>
      </c>
      <c r="Q796" s="51" t="str">
        <f t="shared" si="205"/>
        <v/>
      </c>
      <c r="R796" s="52" t="str">
        <f t="shared" si="206"/>
        <v/>
      </c>
      <c r="S796" s="58" t="str">
        <f t="shared" si="209"/>
        <v/>
      </c>
      <c r="T796" s="52" t="str">
        <f t="shared" si="201"/>
        <v/>
      </c>
    </row>
    <row r="797" spans="2:20" ht="15.75" customHeight="1" x14ac:dyDescent="0.25">
      <c r="B797" s="33">
        <f t="shared" ref="B797:B807" si="210">B796+1/12</f>
        <v>78.083333333333329</v>
      </c>
      <c r="C797" s="34"/>
      <c r="D797" s="35">
        <f>(1/12)*D796</f>
        <v>4.2418333333333336E-3</v>
      </c>
      <c r="E797" s="36">
        <f>E796-(1/12)*F796</f>
        <v>504183.06468245521</v>
      </c>
      <c r="F797" s="36">
        <f t="shared" ref="F797:F807" si="211">E797-E798</f>
        <v>2147.7710165626486</v>
      </c>
      <c r="G797" s="31">
        <f t="shared" si="196"/>
        <v>0.99575816666666661</v>
      </c>
      <c r="H797" s="37"/>
      <c r="I797" s="51" t="str">
        <f t="shared" si="202"/>
        <v/>
      </c>
      <c r="J797" s="51" t="str">
        <f t="shared" si="203"/>
        <v/>
      </c>
      <c r="K797" s="52" t="str">
        <f t="shared" si="165"/>
        <v/>
      </c>
      <c r="L797" s="53" t="str">
        <f t="shared" si="199"/>
        <v/>
      </c>
      <c r="M797" s="52" t="str">
        <f t="shared" si="204"/>
        <v/>
      </c>
      <c r="N797" s="58" t="str">
        <f t="shared" si="200"/>
        <v/>
      </c>
      <c r="Q797" s="51" t="str">
        <f t="shared" si="205"/>
        <v/>
      </c>
      <c r="R797" s="52" t="str">
        <f t="shared" si="206"/>
        <v/>
      </c>
      <c r="S797" s="58" t="str">
        <f t="shared" si="209"/>
        <v/>
      </c>
      <c r="T797" s="52" t="str">
        <f t="shared" si="201"/>
        <v/>
      </c>
    </row>
    <row r="798" spans="2:20" ht="15.75" customHeight="1" x14ac:dyDescent="0.25">
      <c r="B798" s="33">
        <f t="shared" si="210"/>
        <v>78.166666666666657</v>
      </c>
      <c r="C798" s="34"/>
      <c r="D798" s="35">
        <f>(2/12)*D796</f>
        <v>8.4836666666666671E-3</v>
      </c>
      <c r="E798" s="36">
        <f>E796-(2/12)*F796</f>
        <v>502035.29366589256</v>
      </c>
      <c r="F798" s="36">
        <f t="shared" si="211"/>
        <v>2147.7710165625904</v>
      </c>
      <c r="G798" s="31">
        <f t="shared" si="196"/>
        <v>0.99151633333333333</v>
      </c>
      <c r="H798" s="32"/>
      <c r="I798" s="51" t="str">
        <f t="shared" si="202"/>
        <v/>
      </c>
      <c r="J798" s="51" t="str">
        <f t="shared" si="203"/>
        <v/>
      </c>
      <c r="K798" s="52" t="str">
        <f t="shared" si="165"/>
        <v/>
      </c>
      <c r="L798" s="53" t="str">
        <f t="shared" si="199"/>
        <v/>
      </c>
      <c r="M798" s="52" t="str">
        <f t="shared" si="204"/>
        <v/>
      </c>
      <c r="N798" s="58" t="str">
        <f t="shared" si="200"/>
        <v/>
      </c>
      <c r="Q798" s="51" t="str">
        <f t="shared" si="205"/>
        <v/>
      </c>
      <c r="R798" s="52" t="str">
        <f t="shared" si="206"/>
        <v/>
      </c>
      <c r="S798" s="58" t="str">
        <f t="shared" si="209"/>
        <v/>
      </c>
      <c r="T798" s="52" t="str">
        <f t="shared" si="201"/>
        <v/>
      </c>
    </row>
    <row r="799" spans="2:20" ht="15.75" customHeight="1" x14ac:dyDescent="0.25">
      <c r="B799" s="33">
        <f t="shared" si="210"/>
        <v>78.249999999999986</v>
      </c>
      <c r="C799" s="34"/>
      <c r="D799" s="35">
        <f>(3/12)*D796</f>
        <v>1.2725500000000001E-2</v>
      </c>
      <c r="E799" s="36">
        <f>E796-(3/12)*F796</f>
        <v>499887.52264932997</v>
      </c>
      <c r="F799" s="36">
        <f t="shared" si="211"/>
        <v>2147.7710165626486</v>
      </c>
      <c r="G799" s="31">
        <f t="shared" si="196"/>
        <v>0.98727450000000005</v>
      </c>
      <c r="H799" s="32"/>
      <c r="I799" s="51" t="str">
        <f t="shared" si="202"/>
        <v/>
      </c>
      <c r="J799" s="51" t="str">
        <f t="shared" si="203"/>
        <v/>
      </c>
      <c r="K799" s="52" t="str">
        <f t="shared" si="165"/>
        <v/>
      </c>
      <c r="L799" s="53" t="str">
        <f t="shared" si="199"/>
        <v/>
      </c>
      <c r="M799" s="52" t="str">
        <f t="shared" si="204"/>
        <v/>
      </c>
      <c r="N799" s="58" t="str">
        <f t="shared" si="200"/>
        <v/>
      </c>
      <c r="Q799" s="51" t="str">
        <f t="shared" si="205"/>
        <v/>
      </c>
      <c r="R799" s="52" t="str">
        <f t="shared" si="206"/>
        <v/>
      </c>
      <c r="S799" s="58" t="str">
        <f t="shared" si="209"/>
        <v/>
      </c>
      <c r="T799" s="52" t="str">
        <f t="shared" si="201"/>
        <v/>
      </c>
    </row>
    <row r="800" spans="2:20" ht="15.75" customHeight="1" x14ac:dyDescent="0.25">
      <c r="B800" s="33">
        <f t="shared" si="210"/>
        <v>78.333333333333314</v>
      </c>
      <c r="C800" s="34"/>
      <c r="D800" s="35">
        <f>(4/12)*D796</f>
        <v>1.6967333333333334E-2</v>
      </c>
      <c r="E800" s="36">
        <f>E796-(4/12)*F796</f>
        <v>497739.75163276732</v>
      </c>
      <c r="F800" s="36">
        <f t="shared" si="211"/>
        <v>2147.7710165625904</v>
      </c>
      <c r="G800" s="31">
        <f t="shared" si="196"/>
        <v>0.98303266666666667</v>
      </c>
      <c r="H800" s="32"/>
      <c r="I800" s="51" t="str">
        <f t="shared" si="202"/>
        <v/>
      </c>
      <c r="J800" s="51" t="str">
        <f t="shared" si="203"/>
        <v/>
      </c>
      <c r="K800" s="52" t="str">
        <f t="shared" si="165"/>
        <v/>
      </c>
      <c r="L800" s="53" t="str">
        <f t="shared" si="199"/>
        <v/>
      </c>
      <c r="M800" s="52" t="str">
        <f t="shared" si="204"/>
        <v/>
      </c>
      <c r="N800" s="58" t="str">
        <f t="shared" si="200"/>
        <v/>
      </c>
      <c r="Q800" s="51" t="str">
        <f t="shared" si="205"/>
        <v/>
      </c>
      <c r="R800" s="52" t="str">
        <f t="shared" si="206"/>
        <v/>
      </c>
      <c r="S800" s="58" t="str">
        <f t="shared" si="209"/>
        <v/>
      </c>
      <c r="T800" s="52" t="str">
        <f t="shared" si="201"/>
        <v/>
      </c>
    </row>
    <row r="801" spans="2:20" ht="15.75" customHeight="1" x14ac:dyDescent="0.25">
      <c r="B801" s="33">
        <f t="shared" si="210"/>
        <v>78.416666666666643</v>
      </c>
      <c r="C801" s="34"/>
      <c r="D801" s="35">
        <f>(5/12)*D796</f>
        <v>2.1209166666666668E-2</v>
      </c>
      <c r="E801" s="36">
        <f>E796-(5/12)*F796</f>
        <v>495591.98061620473</v>
      </c>
      <c r="F801" s="36">
        <f t="shared" si="211"/>
        <v>2147.7710165626486</v>
      </c>
      <c r="G801" s="31">
        <f t="shared" si="196"/>
        <v>0.97879083333333328</v>
      </c>
      <c r="H801" s="32"/>
      <c r="I801" s="51" t="str">
        <f t="shared" si="202"/>
        <v/>
      </c>
      <c r="J801" s="51" t="str">
        <f t="shared" si="203"/>
        <v/>
      </c>
      <c r="K801" s="52" t="str">
        <f t="shared" si="165"/>
        <v/>
      </c>
      <c r="L801" s="53" t="str">
        <f t="shared" si="199"/>
        <v/>
      </c>
      <c r="M801" s="52" t="str">
        <f t="shared" si="204"/>
        <v/>
      </c>
      <c r="N801" s="58" t="str">
        <f t="shared" si="200"/>
        <v/>
      </c>
      <c r="Q801" s="51" t="str">
        <f t="shared" si="205"/>
        <v/>
      </c>
      <c r="R801" s="52" t="str">
        <f t="shared" si="206"/>
        <v/>
      </c>
      <c r="S801" s="58" t="str">
        <f t="shared" si="209"/>
        <v/>
      </c>
      <c r="T801" s="52" t="str">
        <f t="shared" si="201"/>
        <v/>
      </c>
    </row>
    <row r="802" spans="2:20" ht="15.75" customHeight="1" x14ac:dyDescent="0.25">
      <c r="B802" s="33">
        <f t="shared" si="210"/>
        <v>78.499999999999972</v>
      </c>
      <c r="C802" s="34"/>
      <c r="D802" s="35">
        <f>(6/12)*D796</f>
        <v>2.5451000000000001E-2</v>
      </c>
      <c r="E802" s="36">
        <f>E796-(6/12)*F796</f>
        <v>493444.20959964208</v>
      </c>
      <c r="F802" s="36">
        <f t="shared" si="211"/>
        <v>2147.7710165625904</v>
      </c>
      <c r="G802" s="31">
        <f t="shared" si="196"/>
        <v>0.974549</v>
      </c>
      <c r="H802" s="32"/>
      <c r="I802" s="51" t="str">
        <f t="shared" si="202"/>
        <v/>
      </c>
      <c r="J802" s="51" t="str">
        <f t="shared" si="203"/>
        <v/>
      </c>
      <c r="K802" s="52" t="str">
        <f t="shared" si="165"/>
        <v/>
      </c>
      <c r="L802" s="53" t="str">
        <f t="shared" si="199"/>
        <v/>
      </c>
      <c r="M802" s="52" t="str">
        <f t="shared" si="204"/>
        <v/>
      </c>
      <c r="N802" s="58" t="str">
        <f t="shared" si="200"/>
        <v/>
      </c>
      <c r="Q802" s="51" t="str">
        <f t="shared" si="205"/>
        <v/>
      </c>
      <c r="R802" s="52" t="str">
        <f t="shared" si="206"/>
        <v/>
      </c>
      <c r="S802" s="58" t="str">
        <f t="shared" si="209"/>
        <v/>
      </c>
      <c r="T802" s="52" t="str">
        <f t="shared" si="201"/>
        <v/>
      </c>
    </row>
    <row r="803" spans="2:20" ht="15.75" customHeight="1" x14ac:dyDescent="0.25">
      <c r="B803" s="33">
        <f t="shared" si="210"/>
        <v>78.5833333333333</v>
      </c>
      <c r="C803" s="34"/>
      <c r="D803" s="35">
        <f>(7/12)*D796</f>
        <v>2.9692833333333338E-2</v>
      </c>
      <c r="E803" s="36">
        <f>E796-(7/12)*F796</f>
        <v>491296.43858307949</v>
      </c>
      <c r="F803" s="36">
        <f t="shared" si="211"/>
        <v>2147.7710165626486</v>
      </c>
      <c r="G803" s="31">
        <f t="shared" si="196"/>
        <v>0.97030716666666661</v>
      </c>
      <c r="H803" s="32"/>
      <c r="I803" s="51" t="str">
        <f t="shared" si="202"/>
        <v/>
      </c>
      <c r="J803" s="51" t="str">
        <f t="shared" si="203"/>
        <v/>
      </c>
      <c r="K803" s="52" t="str">
        <f t="shared" si="165"/>
        <v/>
      </c>
      <c r="L803" s="53" t="str">
        <f t="shared" si="199"/>
        <v/>
      </c>
      <c r="M803" s="52" t="str">
        <f t="shared" si="204"/>
        <v/>
      </c>
      <c r="N803" s="58" t="str">
        <f t="shared" si="200"/>
        <v/>
      </c>
      <c r="Q803" s="51" t="str">
        <f t="shared" si="205"/>
        <v/>
      </c>
      <c r="R803" s="52" t="str">
        <f t="shared" si="206"/>
        <v/>
      </c>
      <c r="S803" s="58" t="str">
        <f t="shared" si="209"/>
        <v/>
      </c>
      <c r="T803" s="52" t="str">
        <f t="shared" si="201"/>
        <v/>
      </c>
    </row>
    <row r="804" spans="2:20" ht="15.75" customHeight="1" x14ac:dyDescent="0.25">
      <c r="B804" s="33">
        <f t="shared" si="210"/>
        <v>78.666666666666629</v>
      </c>
      <c r="C804" s="34"/>
      <c r="D804" s="35">
        <f>(8/12)*D796</f>
        <v>3.3934666666666669E-2</v>
      </c>
      <c r="E804" s="36">
        <f>E796-(8/12)*F796</f>
        <v>489148.66756651684</v>
      </c>
      <c r="F804" s="36">
        <f t="shared" si="211"/>
        <v>2147.7710165625904</v>
      </c>
      <c r="G804" s="31">
        <f t="shared" si="196"/>
        <v>0.96606533333333333</v>
      </c>
      <c r="H804" s="32"/>
      <c r="I804" s="51" t="str">
        <f t="shared" si="202"/>
        <v/>
      </c>
      <c r="J804" s="51" t="str">
        <f t="shared" si="203"/>
        <v/>
      </c>
      <c r="K804" s="52" t="str">
        <f t="shared" si="165"/>
        <v/>
      </c>
      <c r="L804" s="53" t="str">
        <f t="shared" si="199"/>
        <v/>
      </c>
      <c r="M804" s="52" t="str">
        <f t="shared" si="204"/>
        <v/>
      </c>
      <c r="N804" s="58" t="str">
        <f t="shared" si="200"/>
        <v/>
      </c>
      <c r="Q804" s="51" t="str">
        <f t="shared" si="205"/>
        <v/>
      </c>
      <c r="R804" s="52" t="str">
        <f t="shared" si="206"/>
        <v/>
      </c>
      <c r="S804" s="58" t="str">
        <f t="shared" si="209"/>
        <v/>
      </c>
      <c r="T804" s="52" t="str">
        <f t="shared" si="201"/>
        <v/>
      </c>
    </row>
    <row r="805" spans="2:20" ht="15.75" customHeight="1" x14ac:dyDescent="0.25">
      <c r="B805" s="33">
        <f t="shared" si="210"/>
        <v>78.749999999999957</v>
      </c>
      <c r="C805" s="34"/>
      <c r="D805" s="35">
        <f>(9/12)*D796</f>
        <v>3.8176500000000002E-2</v>
      </c>
      <c r="E805" s="36">
        <f>E796-(9/12)*F796</f>
        <v>487000.89654995425</v>
      </c>
      <c r="F805" s="36">
        <f t="shared" si="211"/>
        <v>2147.7710165626486</v>
      </c>
      <c r="G805" s="31">
        <f t="shared" si="196"/>
        <v>0.96182349999999994</v>
      </c>
      <c r="H805" s="32"/>
      <c r="I805" s="51" t="str">
        <f t="shared" si="202"/>
        <v/>
      </c>
      <c r="J805" s="51" t="str">
        <f t="shared" si="203"/>
        <v/>
      </c>
      <c r="K805" s="52" t="str">
        <f t="shared" si="165"/>
        <v/>
      </c>
      <c r="L805" s="53" t="str">
        <f t="shared" si="199"/>
        <v/>
      </c>
      <c r="M805" s="52" t="str">
        <f t="shared" si="204"/>
        <v/>
      </c>
      <c r="N805" s="58" t="str">
        <f t="shared" si="200"/>
        <v/>
      </c>
      <c r="Q805" s="51" t="str">
        <f t="shared" si="205"/>
        <v/>
      </c>
      <c r="R805" s="52" t="str">
        <f t="shared" si="206"/>
        <v/>
      </c>
      <c r="S805" s="58" t="str">
        <f t="shared" si="209"/>
        <v/>
      </c>
      <c r="T805" s="52" t="str">
        <f t="shared" si="201"/>
        <v/>
      </c>
    </row>
    <row r="806" spans="2:20" ht="15.75" customHeight="1" x14ac:dyDescent="0.25">
      <c r="B806" s="33">
        <f t="shared" si="210"/>
        <v>78.833333333333286</v>
      </c>
      <c r="C806" s="34"/>
      <c r="D806" s="35">
        <f>(10/12)*D796</f>
        <v>4.2418333333333336E-2</v>
      </c>
      <c r="E806" s="36">
        <f>E796-(10/12)*F796</f>
        <v>484853.12553339161</v>
      </c>
      <c r="F806" s="36">
        <f t="shared" si="211"/>
        <v>2147.7710165625904</v>
      </c>
      <c r="G806" s="31">
        <f t="shared" si="196"/>
        <v>0.95758166666666666</v>
      </c>
      <c r="H806" s="32"/>
      <c r="I806" s="51" t="str">
        <f t="shared" si="202"/>
        <v/>
      </c>
      <c r="J806" s="51" t="str">
        <f t="shared" si="203"/>
        <v/>
      </c>
      <c r="K806" s="52" t="str">
        <f t="shared" si="165"/>
        <v/>
      </c>
      <c r="L806" s="53" t="str">
        <f t="shared" si="199"/>
        <v/>
      </c>
      <c r="M806" s="52" t="str">
        <f t="shared" si="204"/>
        <v/>
      </c>
      <c r="N806" s="58" t="str">
        <f t="shared" si="200"/>
        <v/>
      </c>
      <c r="Q806" s="51" t="str">
        <f t="shared" si="205"/>
        <v/>
      </c>
      <c r="R806" s="52" t="str">
        <f t="shared" si="206"/>
        <v/>
      </c>
      <c r="S806" s="58" t="str">
        <f t="shared" si="209"/>
        <v/>
      </c>
      <c r="T806" s="52" t="str">
        <f t="shared" si="201"/>
        <v/>
      </c>
    </row>
    <row r="807" spans="2:20" ht="15.75" customHeight="1" x14ac:dyDescent="0.25">
      <c r="B807" s="33">
        <f t="shared" si="210"/>
        <v>78.916666666666615</v>
      </c>
      <c r="C807" s="34"/>
      <c r="D807" s="35">
        <f>(11/12)*D796</f>
        <v>4.6660166666666669E-2</v>
      </c>
      <c r="E807" s="36">
        <f>E796-(11/12)*F796</f>
        <v>482705.35451682901</v>
      </c>
      <c r="F807" s="36">
        <f t="shared" si="211"/>
        <v>2147.7710165625904</v>
      </c>
      <c r="G807" s="31">
        <f t="shared" si="196"/>
        <v>0.95333983333333339</v>
      </c>
      <c r="H807" s="32"/>
      <c r="I807" s="51" t="str">
        <f t="shared" si="202"/>
        <v/>
      </c>
      <c r="J807" s="51" t="str">
        <f t="shared" si="203"/>
        <v/>
      </c>
      <c r="K807" s="52" t="str">
        <f t="shared" si="165"/>
        <v/>
      </c>
      <c r="L807" s="53" t="str">
        <f t="shared" si="199"/>
        <v/>
      </c>
      <c r="M807" s="52" t="str">
        <f t="shared" si="204"/>
        <v/>
      </c>
      <c r="N807" s="58" t="str">
        <f t="shared" si="200"/>
        <v/>
      </c>
      <c r="Q807" s="51" t="str">
        <f t="shared" si="205"/>
        <v/>
      </c>
      <c r="R807" s="52" t="str">
        <f t="shared" si="206"/>
        <v/>
      </c>
      <c r="S807" s="58" t="str">
        <f t="shared" si="209"/>
        <v/>
      </c>
      <c r="T807" s="52" t="str">
        <f t="shared" si="201"/>
        <v/>
      </c>
    </row>
    <row r="808" spans="2:20" ht="15.75" customHeight="1" x14ac:dyDescent="0.25">
      <c r="B808" s="27">
        <v>79</v>
      </c>
      <c r="C808" s="28">
        <v>54.619</v>
      </c>
      <c r="D808" s="29">
        <f>C808/1000</f>
        <v>5.4619000000000001E-2</v>
      </c>
      <c r="E808" s="30">
        <f>E796-F796</f>
        <v>480557.58350026642</v>
      </c>
      <c r="F808" s="48">
        <f>D808*E808</f>
        <v>26247.574653201053</v>
      </c>
      <c r="G808" s="31">
        <f t="shared" si="196"/>
        <v>0.94538100000000003</v>
      </c>
      <c r="H808" s="49"/>
      <c r="I808" s="51" t="str">
        <f t="shared" si="202"/>
        <v/>
      </c>
      <c r="J808" s="51" t="str">
        <f t="shared" si="203"/>
        <v/>
      </c>
      <c r="K808" s="52" t="str">
        <f t="shared" si="165"/>
        <v/>
      </c>
      <c r="L808" s="53" t="str">
        <f t="shared" si="199"/>
        <v/>
      </c>
      <c r="M808" s="52" t="str">
        <f t="shared" si="204"/>
        <v/>
      </c>
      <c r="N808" s="58" t="str">
        <f t="shared" si="200"/>
        <v/>
      </c>
      <c r="Q808" s="51" t="str">
        <f t="shared" si="205"/>
        <v/>
      </c>
      <c r="R808" s="52" t="str">
        <f t="shared" si="206"/>
        <v/>
      </c>
      <c r="S808" s="58" t="str">
        <f t="shared" si="209"/>
        <v/>
      </c>
      <c r="T808" s="52" t="str">
        <f t="shared" si="201"/>
        <v/>
      </c>
    </row>
    <row r="809" spans="2:20" ht="15.75" customHeight="1" x14ac:dyDescent="0.25">
      <c r="B809" s="33">
        <f t="shared" ref="B809:B819" si="212">B808+1/12</f>
        <v>79.083333333333329</v>
      </c>
      <c r="C809" s="34"/>
      <c r="D809" s="35">
        <f>(1/12)*D808</f>
        <v>4.5515833333333328E-3</v>
      </c>
      <c r="E809" s="36">
        <f>E808-(1/12)*F808</f>
        <v>478370.28561249969</v>
      </c>
      <c r="F809" s="36">
        <f t="shared" ref="F809:F819" si="213">E809-E810</f>
        <v>2187.297887766792</v>
      </c>
      <c r="G809" s="31">
        <f t="shared" si="196"/>
        <v>0.99544841666666661</v>
      </c>
      <c r="H809" s="37"/>
      <c r="I809" s="51" t="str">
        <f t="shared" si="202"/>
        <v/>
      </c>
      <c r="J809" s="51" t="str">
        <f t="shared" si="203"/>
        <v/>
      </c>
      <c r="K809" s="52" t="str">
        <f t="shared" si="165"/>
        <v/>
      </c>
      <c r="L809" s="53" t="str">
        <f t="shared" si="199"/>
        <v/>
      </c>
      <c r="M809" s="52" t="str">
        <f t="shared" si="204"/>
        <v/>
      </c>
      <c r="N809" s="58" t="str">
        <f t="shared" si="200"/>
        <v/>
      </c>
      <c r="Q809" s="51" t="str">
        <f t="shared" si="205"/>
        <v/>
      </c>
      <c r="R809" s="52" t="str">
        <f t="shared" si="206"/>
        <v/>
      </c>
      <c r="S809" s="58" t="str">
        <f t="shared" si="209"/>
        <v/>
      </c>
      <c r="T809" s="52" t="str">
        <f t="shared" si="201"/>
        <v/>
      </c>
    </row>
    <row r="810" spans="2:20" ht="15.75" customHeight="1" x14ac:dyDescent="0.25">
      <c r="B810" s="33">
        <f t="shared" si="212"/>
        <v>79.166666666666657</v>
      </c>
      <c r="C810" s="34"/>
      <c r="D810" s="35">
        <f>(2/12)*D808</f>
        <v>9.1031666666666657E-3</v>
      </c>
      <c r="E810" s="36">
        <f>E808-(2/12)*F808</f>
        <v>476182.9877247329</v>
      </c>
      <c r="F810" s="36">
        <f t="shared" si="213"/>
        <v>2187.2978877667338</v>
      </c>
      <c r="G810" s="31">
        <f t="shared" si="196"/>
        <v>0.99089683333333334</v>
      </c>
      <c r="H810" s="32"/>
      <c r="I810" s="51" t="str">
        <f t="shared" si="202"/>
        <v/>
      </c>
      <c r="J810" s="51" t="str">
        <f t="shared" si="203"/>
        <v/>
      </c>
      <c r="K810" s="52" t="str">
        <f t="shared" si="165"/>
        <v/>
      </c>
      <c r="L810" s="53" t="str">
        <f t="shared" si="199"/>
        <v/>
      </c>
      <c r="M810" s="52" t="str">
        <f t="shared" si="204"/>
        <v/>
      </c>
      <c r="N810" s="58" t="str">
        <f t="shared" si="200"/>
        <v/>
      </c>
      <c r="Q810" s="51" t="str">
        <f t="shared" si="205"/>
        <v/>
      </c>
      <c r="R810" s="52" t="str">
        <f t="shared" si="206"/>
        <v/>
      </c>
      <c r="S810" s="58" t="str">
        <f t="shared" si="209"/>
        <v/>
      </c>
      <c r="T810" s="52" t="str">
        <f t="shared" si="201"/>
        <v/>
      </c>
    </row>
    <row r="811" spans="2:20" ht="15.75" customHeight="1" x14ac:dyDescent="0.25">
      <c r="B811" s="33">
        <f t="shared" si="212"/>
        <v>79.249999999999986</v>
      </c>
      <c r="C811" s="34"/>
      <c r="D811" s="35">
        <f>(3/12)*D808</f>
        <v>1.365475E-2</v>
      </c>
      <c r="E811" s="36">
        <f>E808-(3/12)*F808</f>
        <v>473995.68983696616</v>
      </c>
      <c r="F811" s="36">
        <f t="shared" si="213"/>
        <v>2187.2978877667338</v>
      </c>
      <c r="G811" s="31">
        <f t="shared" si="196"/>
        <v>0.98634524999999995</v>
      </c>
      <c r="H811" s="32"/>
      <c r="I811" s="51" t="str">
        <f t="shared" si="202"/>
        <v/>
      </c>
      <c r="J811" s="51" t="str">
        <f t="shared" si="203"/>
        <v/>
      </c>
      <c r="K811" s="52" t="str">
        <f t="shared" si="165"/>
        <v/>
      </c>
      <c r="L811" s="53" t="str">
        <f t="shared" si="199"/>
        <v/>
      </c>
      <c r="M811" s="52" t="str">
        <f t="shared" si="204"/>
        <v/>
      </c>
      <c r="N811" s="58" t="str">
        <f t="shared" si="200"/>
        <v/>
      </c>
      <c r="Q811" s="51" t="str">
        <f t="shared" si="205"/>
        <v/>
      </c>
      <c r="R811" s="52" t="str">
        <f t="shared" si="206"/>
        <v/>
      </c>
      <c r="S811" s="58" t="str">
        <f t="shared" si="209"/>
        <v/>
      </c>
      <c r="T811" s="52" t="str">
        <f t="shared" si="201"/>
        <v/>
      </c>
    </row>
    <row r="812" spans="2:20" ht="15.75" customHeight="1" x14ac:dyDescent="0.25">
      <c r="B812" s="33">
        <f t="shared" si="212"/>
        <v>79.333333333333314</v>
      </c>
      <c r="C812" s="34"/>
      <c r="D812" s="35">
        <f>(4/12)*D808</f>
        <v>1.8206333333333331E-2</v>
      </c>
      <c r="E812" s="36">
        <f>E808-(4/12)*F808</f>
        <v>471808.39194919943</v>
      </c>
      <c r="F812" s="36">
        <f t="shared" si="213"/>
        <v>2187.297887766792</v>
      </c>
      <c r="G812" s="31">
        <f t="shared" si="196"/>
        <v>0.98179366666666668</v>
      </c>
      <c r="H812" s="32"/>
      <c r="I812" s="51" t="str">
        <f t="shared" si="202"/>
        <v/>
      </c>
      <c r="J812" s="51" t="str">
        <f t="shared" si="203"/>
        <v/>
      </c>
      <c r="K812" s="52" t="str">
        <f t="shared" si="165"/>
        <v/>
      </c>
      <c r="L812" s="53" t="str">
        <f t="shared" si="199"/>
        <v/>
      </c>
      <c r="M812" s="52" t="str">
        <f t="shared" si="204"/>
        <v/>
      </c>
      <c r="N812" s="58" t="str">
        <f t="shared" si="200"/>
        <v/>
      </c>
      <c r="Q812" s="51" t="str">
        <f t="shared" si="205"/>
        <v/>
      </c>
      <c r="R812" s="52" t="str">
        <f t="shared" si="206"/>
        <v/>
      </c>
      <c r="S812" s="58" t="str">
        <f t="shared" si="209"/>
        <v/>
      </c>
      <c r="T812" s="52" t="str">
        <f t="shared" si="201"/>
        <v/>
      </c>
    </row>
    <row r="813" spans="2:20" ht="15.75" customHeight="1" x14ac:dyDescent="0.25">
      <c r="B813" s="33">
        <f t="shared" si="212"/>
        <v>79.416666666666643</v>
      </c>
      <c r="C813" s="34"/>
      <c r="D813" s="35">
        <f>(5/12)*D808</f>
        <v>2.2757916666666669E-2</v>
      </c>
      <c r="E813" s="36">
        <f>E808-(5/12)*F808</f>
        <v>469621.09406143264</v>
      </c>
      <c r="F813" s="36">
        <f t="shared" si="213"/>
        <v>2187.2978877667338</v>
      </c>
      <c r="G813" s="31">
        <f t="shared" si="196"/>
        <v>0.97724208333333329</v>
      </c>
      <c r="H813" s="32"/>
      <c r="I813" s="51" t="str">
        <f t="shared" si="202"/>
        <v/>
      </c>
      <c r="J813" s="51" t="str">
        <f t="shared" si="203"/>
        <v/>
      </c>
      <c r="K813" s="52" t="str">
        <f t="shared" si="165"/>
        <v/>
      </c>
      <c r="L813" s="53" t="str">
        <f t="shared" si="199"/>
        <v/>
      </c>
      <c r="M813" s="52" t="str">
        <f t="shared" si="204"/>
        <v/>
      </c>
      <c r="N813" s="58" t="str">
        <f t="shared" si="200"/>
        <v/>
      </c>
      <c r="Q813" s="51" t="str">
        <f t="shared" si="205"/>
        <v/>
      </c>
      <c r="R813" s="52" t="str">
        <f t="shared" si="206"/>
        <v/>
      </c>
      <c r="S813" s="58" t="str">
        <f t="shared" si="209"/>
        <v/>
      </c>
      <c r="T813" s="52" t="str">
        <f t="shared" si="201"/>
        <v/>
      </c>
    </row>
    <row r="814" spans="2:20" ht="15.75" customHeight="1" x14ac:dyDescent="0.25">
      <c r="B814" s="33">
        <f t="shared" si="212"/>
        <v>79.499999999999972</v>
      </c>
      <c r="C814" s="34"/>
      <c r="D814" s="35">
        <f>(6/12)*D808</f>
        <v>2.73095E-2</v>
      </c>
      <c r="E814" s="36">
        <f>E808-(6/12)*F808</f>
        <v>467433.79617366591</v>
      </c>
      <c r="F814" s="36">
        <f t="shared" si="213"/>
        <v>2187.2978877667338</v>
      </c>
      <c r="G814" s="31">
        <f t="shared" si="196"/>
        <v>0.97269050000000001</v>
      </c>
      <c r="H814" s="32"/>
      <c r="I814" s="51" t="str">
        <f t="shared" si="202"/>
        <v/>
      </c>
      <c r="J814" s="51" t="str">
        <f t="shared" si="203"/>
        <v/>
      </c>
      <c r="K814" s="52" t="str">
        <f t="shared" si="165"/>
        <v/>
      </c>
      <c r="L814" s="53" t="str">
        <f t="shared" si="199"/>
        <v/>
      </c>
      <c r="M814" s="52" t="str">
        <f t="shared" si="204"/>
        <v/>
      </c>
      <c r="N814" s="58" t="str">
        <f t="shared" si="200"/>
        <v/>
      </c>
      <c r="Q814" s="51" t="str">
        <f t="shared" si="205"/>
        <v/>
      </c>
      <c r="R814" s="52" t="str">
        <f t="shared" si="206"/>
        <v/>
      </c>
      <c r="S814" s="58" t="str">
        <f t="shared" si="209"/>
        <v/>
      </c>
      <c r="T814" s="52" t="str">
        <f t="shared" si="201"/>
        <v/>
      </c>
    </row>
    <row r="815" spans="2:20" ht="15.75" customHeight="1" x14ac:dyDescent="0.25">
      <c r="B815" s="33">
        <f t="shared" si="212"/>
        <v>79.5833333333333</v>
      </c>
      <c r="C815" s="34"/>
      <c r="D815" s="35">
        <f>(7/12)*D808</f>
        <v>3.1861083333333338E-2</v>
      </c>
      <c r="E815" s="36">
        <f>E808-(7/12)*F808</f>
        <v>465246.49828589917</v>
      </c>
      <c r="F815" s="36">
        <f t="shared" si="213"/>
        <v>2187.297887766792</v>
      </c>
      <c r="G815" s="31">
        <f t="shared" si="196"/>
        <v>0.96813891666666663</v>
      </c>
      <c r="H815" s="32"/>
      <c r="I815" s="51" t="str">
        <f t="shared" si="202"/>
        <v/>
      </c>
      <c r="J815" s="51" t="str">
        <f t="shared" si="203"/>
        <v/>
      </c>
      <c r="K815" s="52" t="str">
        <f t="shared" si="165"/>
        <v/>
      </c>
      <c r="L815" s="53" t="str">
        <f t="shared" si="199"/>
        <v/>
      </c>
      <c r="M815" s="52" t="str">
        <f t="shared" si="204"/>
        <v/>
      </c>
      <c r="N815" s="58" t="str">
        <f t="shared" si="200"/>
        <v/>
      </c>
      <c r="Q815" s="51" t="str">
        <f t="shared" si="205"/>
        <v/>
      </c>
      <c r="R815" s="52" t="str">
        <f t="shared" si="206"/>
        <v/>
      </c>
      <c r="S815" s="58" t="str">
        <f t="shared" si="209"/>
        <v/>
      </c>
      <c r="T815" s="52" t="str">
        <f t="shared" si="201"/>
        <v/>
      </c>
    </row>
    <row r="816" spans="2:20" ht="15.75" customHeight="1" x14ac:dyDescent="0.25">
      <c r="B816" s="33">
        <f t="shared" si="212"/>
        <v>79.666666666666629</v>
      </c>
      <c r="C816" s="34"/>
      <c r="D816" s="35">
        <f>(8/12)*D808</f>
        <v>3.6412666666666663E-2</v>
      </c>
      <c r="E816" s="36">
        <f>E808-(8/12)*F808</f>
        <v>463059.20039813238</v>
      </c>
      <c r="F816" s="36">
        <f t="shared" si="213"/>
        <v>2187.2978877667338</v>
      </c>
      <c r="G816" s="31">
        <f t="shared" si="196"/>
        <v>0.96358733333333335</v>
      </c>
      <c r="H816" s="32"/>
      <c r="I816" s="51" t="str">
        <f t="shared" si="202"/>
        <v/>
      </c>
      <c r="J816" s="51" t="str">
        <f t="shared" si="203"/>
        <v/>
      </c>
      <c r="K816" s="52" t="str">
        <f t="shared" si="165"/>
        <v/>
      </c>
      <c r="L816" s="53" t="str">
        <f t="shared" si="199"/>
        <v/>
      </c>
      <c r="M816" s="52" t="str">
        <f t="shared" si="204"/>
        <v/>
      </c>
      <c r="N816" s="58" t="str">
        <f t="shared" si="200"/>
        <v/>
      </c>
      <c r="Q816" s="51" t="str">
        <f t="shared" si="205"/>
        <v/>
      </c>
      <c r="R816" s="52" t="str">
        <f t="shared" si="206"/>
        <v/>
      </c>
      <c r="S816" s="58" t="str">
        <f t="shared" si="209"/>
        <v/>
      </c>
      <c r="T816" s="52" t="str">
        <f t="shared" si="201"/>
        <v/>
      </c>
    </row>
    <row r="817" spans="2:20" ht="15.75" customHeight="1" x14ac:dyDescent="0.25">
      <c r="B817" s="33">
        <f t="shared" si="212"/>
        <v>79.749999999999957</v>
      </c>
      <c r="C817" s="34"/>
      <c r="D817" s="35">
        <f>(9/12)*D808</f>
        <v>4.0964250000000001E-2</v>
      </c>
      <c r="E817" s="36">
        <f>E808-(9/12)*F808</f>
        <v>460871.90251036565</v>
      </c>
      <c r="F817" s="36">
        <f t="shared" si="213"/>
        <v>2187.297887766792</v>
      </c>
      <c r="G817" s="31">
        <f t="shared" si="196"/>
        <v>0.95903574999999996</v>
      </c>
      <c r="H817" s="32"/>
      <c r="I817" s="51" t="str">
        <f t="shared" si="202"/>
        <v/>
      </c>
      <c r="J817" s="51" t="str">
        <f t="shared" si="203"/>
        <v/>
      </c>
      <c r="K817" s="52" t="str">
        <f t="shared" si="165"/>
        <v/>
      </c>
      <c r="L817" s="53" t="str">
        <f t="shared" si="199"/>
        <v/>
      </c>
      <c r="M817" s="52" t="str">
        <f t="shared" si="204"/>
        <v/>
      </c>
      <c r="N817" s="58" t="str">
        <f t="shared" si="200"/>
        <v/>
      </c>
      <c r="Q817" s="51" t="str">
        <f t="shared" si="205"/>
        <v/>
      </c>
      <c r="R817" s="52" t="str">
        <f t="shared" si="206"/>
        <v/>
      </c>
      <c r="S817" s="58" t="str">
        <f t="shared" si="209"/>
        <v/>
      </c>
      <c r="T817" s="52" t="str">
        <f t="shared" si="201"/>
        <v/>
      </c>
    </row>
    <row r="818" spans="2:20" ht="15.75" customHeight="1" x14ac:dyDescent="0.25">
      <c r="B818" s="33">
        <f t="shared" si="212"/>
        <v>79.833333333333286</v>
      </c>
      <c r="C818" s="34"/>
      <c r="D818" s="35">
        <f>(10/12)*D808</f>
        <v>4.5515833333333339E-2</v>
      </c>
      <c r="E818" s="36">
        <f>E808-(10/12)*F808</f>
        <v>458684.60462259885</v>
      </c>
      <c r="F818" s="36">
        <f t="shared" si="213"/>
        <v>2187.2978877667338</v>
      </c>
      <c r="G818" s="31">
        <f t="shared" si="196"/>
        <v>0.95448416666666669</v>
      </c>
      <c r="H818" s="32"/>
      <c r="I818" s="51" t="str">
        <f t="shared" si="202"/>
        <v/>
      </c>
      <c r="J818" s="51" t="str">
        <f t="shared" si="203"/>
        <v/>
      </c>
      <c r="K818" s="52" t="str">
        <f t="shared" si="165"/>
        <v/>
      </c>
      <c r="L818" s="53" t="str">
        <f t="shared" si="199"/>
        <v/>
      </c>
      <c r="M818" s="52" t="str">
        <f t="shared" si="204"/>
        <v/>
      </c>
      <c r="N818" s="58" t="str">
        <f t="shared" si="200"/>
        <v/>
      </c>
      <c r="Q818" s="51" t="str">
        <f t="shared" si="205"/>
        <v/>
      </c>
      <c r="R818" s="52" t="str">
        <f t="shared" si="206"/>
        <v/>
      </c>
      <c r="S818" s="58" t="str">
        <f t="shared" si="209"/>
        <v/>
      </c>
      <c r="T818" s="52" t="str">
        <f t="shared" si="201"/>
        <v/>
      </c>
    </row>
    <row r="819" spans="2:20" ht="15.75" customHeight="1" x14ac:dyDescent="0.25">
      <c r="B819" s="33">
        <f t="shared" si="212"/>
        <v>79.916666666666615</v>
      </c>
      <c r="C819" s="34"/>
      <c r="D819" s="35">
        <f>(11/12)*D808</f>
        <v>5.0067416666666663E-2</v>
      </c>
      <c r="E819" s="36">
        <f>E808-(11/12)*F808</f>
        <v>456497.30673483212</v>
      </c>
      <c r="F819" s="36">
        <f t="shared" si="213"/>
        <v>2187.2978877667338</v>
      </c>
      <c r="G819" s="31">
        <f t="shared" si="196"/>
        <v>0.9499325833333333</v>
      </c>
      <c r="H819" s="32"/>
      <c r="I819" s="51" t="str">
        <f t="shared" si="202"/>
        <v/>
      </c>
      <c r="J819" s="51" t="str">
        <f t="shared" si="203"/>
        <v/>
      </c>
      <c r="K819" s="52" t="str">
        <f t="shared" si="165"/>
        <v/>
      </c>
      <c r="L819" s="53" t="str">
        <f t="shared" si="199"/>
        <v/>
      </c>
      <c r="M819" s="52" t="str">
        <f t="shared" si="204"/>
        <v/>
      </c>
      <c r="N819" s="58" t="str">
        <f t="shared" si="200"/>
        <v/>
      </c>
      <c r="Q819" s="51" t="str">
        <f t="shared" si="205"/>
        <v/>
      </c>
      <c r="R819" s="52" t="str">
        <f t="shared" si="206"/>
        <v/>
      </c>
      <c r="S819" s="58" t="str">
        <f t="shared" si="209"/>
        <v/>
      </c>
      <c r="T819" s="52" t="str">
        <f t="shared" si="201"/>
        <v/>
      </c>
    </row>
    <row r="820" spans="2:20" ht="15.75" customHeight="1" x14ac:dyDescent="0.25">
      <c r="B820" s="27">
        <v>80</v>
      </c>
      <c r="C820" s="28">
        <v>58.591999999999999</v>
      </c>
      <c r="D820" s="29">
        <f>C820/1000</f>
        <v>5.8591999999999998E-2</v>
      </c>
      <c r="E820" s="30">
        <f>E808-F808</f>
        <v>454310.00884706539</v>
      </c>
      <c r="F820" s="48">
        <f>D820*E820</f>
        <v>26618.932038367253</v>
      </c>
      <c r="G820" s="31">
        <f t="shared" si="196"/>
        <v>0.94140800000000002</v>
      </c>
      <c r="H820" s="49"/>
      <c r="I820" s="51" t="str">
        <f t="shared" si="202"/>
        <v/>
      </c>
      <c r="J820" s="51" t="str">
        <f t="shared" si="203"/>
        <v/>
      </c>
      <c r="K820" s="52" t="str">
        <f t="shared" si="165"/>
        <v/>
      </c>
      <c r="L820" s="53" t="str">
        <f t="shared" si="199"/>
        <v/>
      </c>
      <c r="M820" s="52" t="str">
        <f t="shared" si="204"/>
        <v/>
      </c>
      <c r="N820" s="58" t="str">
        <f t="shared" si="200"/>
        <v/>
      </c>
      <c r="Q820" s="51" t="str">
        <f t="shared" si="205"/>
        <v/>
      </c>
      <c r="R820" s="52" t="str">
        <f t="shared" si="206"/>
        <v/>
      </c>
      <c r="S820" s="58" t="str">
        <f t="shared" si="209"/>
        <v/>
      </c>
      <c r="T820" s="52" t="str">
        <f t="shared" si="201"/>
        <v/>
      </c>
    </row>
    <row r="821" spans="2:20" ht="15.75" customHeight="1" x14ac:dyDescent="0.25">
      <c r="B821" s="33">
        <f t="shared" ref="B821:B831" si="214">B820+1/12</f>
        <v>80.083333333333329</v>
      </c>
      <c r="C821" s="34"/>
      <c r="D821" s="35">
        <f>(1/12)*D820</f>
        <v>4.8826666666666662E-3</v>
      </c>
      <c r="E821" s="36">
        <f>E820-(1/12)*F820</f>
        <v>452091.76451053476</v>
      </c>
      <c r="F821" s="36">
        <f t="shared" ref="F821:F831" si="215">E821-E822</f>
        <v>2218.2443365305662</v>
      </c>
      <c r="G821" s="31">
        <f t="shared" si="196"/>
        <v>0.9951173333333333</v>
      </c>
      <c r="H821" s="37"/>
      <c r="I821" s="51" t="str">
        <f t="shared" si="202"/>
        <v/>
      </c>
      <c r="J821" s="51" t="str">
        <f t="shared" si="203"/>
        <v/>
      </c>
      <c r="K821" s="52" t="str">
        <f t="shared" si="165"/>
        <v/>
      </c>
      <c r="L821" s="53" t="str">
        <f t="shared" si="199"/>
        <v/>
      </c>
      <c r="M821" s="52" t="str">
        <f t="shared" si="204"/>
        <v/>
      </c>
      <c r="N821" s="58" t="str">
        <f t="shared" si="200"/>
        <v/>
      </c>
      <c r="Q821" s="51" t="str">
        <f t="shared" si="205"/>
        <v/>
      </c>
      <c r="R821" s="52" t="str">
        <f t="shared" si="206"/>
        <v/>
      </c>
      <c r="S821" s="58" t="str">
        <f t="shared" si="209"/>
        <v/>
      </c>
      <c r="T821" s="52" t="str">
        <f t="shared" si="201"/>
        <v/>
      </c>
    </row>
    <row r="822" spans="2:20" ht="15.75" customHeight="1" x14ac:dyDescent="0.25">
      <c r="B822" s="33">
        <f t="shared" si="214"/>
        <v>80.166666666666657</v>
      </c>
      <c r="C822" s="34"/>
      <c r="D822" s="35">
        <f>(2/12)*D820</f>
        <v>9.7653333333333325E-3</v>
      </c>
      <c r="E822" s="36">
        <f>E820-(2/12)*F820</f>
        <v>449873.5201740042</v>
      </c>
      <c r="F822" s="36">
        <f t="shared" si="215"/>
        <v>2218.2443365306244</v>
      </c>
      <c r="G822" s="31">
        <f t="shared" si="196"/>
        <v>0.99023466666666671</v>
      </c>
      <c r="H822" s="32"/>
      <c r="I822" s="51" t="str">
        <f t="shared" si="202"/>
        <v/>
      </c>
      <c r="J822" s="51" t="str">
        <f t="shared" si="203"/>
        <v/>
      </c>
      <c r="K822" s="52" t="str">
        <f t="shared" si="165"/>
        <v/>
      </c>
      <c r="L822" s="53" t="str">
        <f t="shared" si="199"/>
        <v/>
      </c>
      <c r="M822" s="52" t="str">
        <f t="shared" si="204"/>
        <v/>
      </c>
      <c r="N822" s="58" t="str">
        <f t="shared" si="200"/>
        <v/>
      </c>
      <c r="Q822" s="51" t="str">
        <f t="shared" si="205"/>
        <v/>
      </c>
      <c r="R822" s="52" t="str">
        <f t="shared" si="206"/>
        <v/>
      </c>
      <c r="S822" s="58" t="str">
        <f t="shared" si="209"/>
        <v/>
      </c>
      <c r="T822" s="52" t="str">
        <f t="shared" si="201"/>
        <v/>
      </c>
    </row>
    <row r="823" spans="2:20" ht="15.75" customHeight="1" x14ac:dyDescent="0.25">
      <c r="B823" s="33">
        <f t="shared" si="214"/>
        <v>80.249999999999986</v>
      </c>
      <c r="C823" s="34"/>
      <c r="D823" s="35">
        <f>(3/12)*D820</f>
        <v>1.4648E-2</v>
      </c>
      <c r="E823" s="36">
        <f>E820-(3/12)*F820</f>
        <v>447655.27583747357</v>
      </c>
      <c r="F823" s="36">
        <f t="shared" si="215"/>
        <v>2218.2443365306244</v>
      </c>
      <c r="G823" s="31">
        <f t="shared" si="196"/>
        <v>0.98535200000000001</v>
      </c>
      <c r="H823" s="32"/>
      <c r="I823" s="51" t="str">
        <f t="shared" si="202"/>
        <v/>
      </c>
      <c r="J823" s="51" t="str">
        <f t="shared" si="203"/>
        <v/>
      </c>
      <c r="K823" s="52" t="str">
        <f t="shared" si="165"/>
        <v/>
      </c>
      <c r="L823" s="53" t="str">
        <f t="shared" si="199"/>
        <v/>
      </c>
      <c r="M823" s="52" t="str">
        <f t="shared" si="204"/>
        <v/>
      </c>
      <c r="N823" s="58" t="str">
        <f t="shared" si="200"/>
        <v/>
      </c>
      <c r="Q823" s="51" t="str">
        <f t="shared" si="205"/>
        <v/>
      </c>
      <c r="R823" s="52" t="str">
        <f t="shared" si="206"/>
        <v/>
      </c>
      <c r="S823" s="58" t="str">
        <f t="shared" si="209"/>
        <v/>
      </c>
      <c r="T823" s="52" t="str">
        <f t="shared" si="201"/>
        <v/>
      </c>
    </row>
    <row r="824" spans="2:20" ht="15.75" customHeight="1" x14ac:dyDescent="0.25">
      <c r="B824" s="33">
        <f t="shared" si="214"/>
        <v>80.333333333333314</v>
      </c>
      <c r="C824" s="34"/>
      <c r="D824" s="35">
        <f>(4/12)*D820</f>
        <v>1.9530666666666665E-2</v>
      </c>
      <c r="E824" s="36">
        <f>E820-(4/12)*F820</f>
        <v>445437.03150094295</v>
      </c>
      <c r="F824" s="36">
        <f t="shared" si="215"/>
        <v>2218.2443365305662</v>
      </c>
      <c r="G824" s="31">
        <f t="shared" si="196"/>
        <v>0.9804693333333333</v>
      </c>
      <c r="H824" s="32"/>
      <c r="I824" s="51" t="str">
        <f t="shared" si="202"/>
        <v/>
      </c>
      <c r="J824" s="51" t="str">
        <f t="shared" si="203"/>
        <v/>
      </c>
      <c r="K824" s="52" t="str">
        <f t="shared" si="165"/>
        <v/>
      </c>
      <c r="L824" s="53" t="str">
        <f t="shared" si="199"/>
        <v/>
      </c>
      <c r="M824" s="52" t="str">
        <f t="shared" si="204"/>
        <v/>
      </c>
      <c r="N824" s="58" t="str">
        <f t="shared" si="200"/>
        <v/>
      </c>
      <c r="Q824" s="51" t="str">
        <f t="shared" si="205"/>
        <v/>
      </c>
      <c r="R824" s="52" t="str">
        <f t="shared" si="206"/>
        <v/>
      </c>
      <c r="S824" s="58" t="str">
        <f t="shared" si="209"/>
        <v/>
      </c>
      <c r="T824" s="52" t="str">
        <f t="shared" si="201"/>
        <v/>
      </c>
    </row>
    <row r="825" spans="2:20" ht="15.75" customHeight="1" x14ac:dyDescent="0.25">
      <c r="B825" s="33">
        <f t="shared" si="214"/>
        <v>80.416666666666643</v>
      </c>
      <c r="C825" s="34"/>
      <c r="D825" s="35">
        <f>(5/12)*D820</f>
        <v>2.4413333333333332E-2</v>
      </c>
      <c r="E825" s="36">
        <f>E820-(5/12)*F820</f>
        <v>443218.78716441238</v>
      </c>
      <c r="F825" s="36">
        <f t="shared" si="215"/>
        <v>2218.2443365306244</v>
      </c>
      <c r="G825" s="31">
        <f t="shared" si="196"/>
        <v>0.97558666666666671</v>
      </c>
      <c r="H825" s="32"/>
      <c r="I825" s="51" t="str">
        <f t="shared" si="202"/>
        <v/>
      </c>
      <c r="J825" s="51" t="str">
        <f t="shared" si="203"/>
        <v/>
      </c>
      <c r="K825" s="52" t="str">
        <f t="shared" si="165"/>
        <v/>
      </c>
      <c r="L825" s="53" t="str">
        <f t="shared" si="199"/>
        <v/>
      </c>
      <c r="M825" s="52" t="str">
        <f t="shared" si="204"/>
        <v/>
      </c>
      <c r="N825" s="58" t="str">
        <f t="shared" si="200"/>
        <v/>
      </c>
      <c r="Q825" s="51" t="str">
        <f t="shared" si="205"/>
        <v/>
      </c>
      <c r="R825" s="52" t="str">
        <f t="shared" si="206"/>
        <v/>
      </c>
      <c r="S825" s="58" t="str">
        <f t="shared" si="209"/>
        <v/>
      </c>
      <c r="T825" s="52" t="str">
        <f t="shared" si="201"/>
        <v/>
      </c>
    </row>
    <row r="826" spans="2:20" ht="15.75" customHeight="1" x14ac:dyDescent="0.25">
      <c r="B826" s="33">
        <f t="shared" si="214"/>
        <v>80.499999999999972</v>
      </c>
      <c r="C826" s="34"/>
      <c r="D826" s="35">
        <f>(6/12)*D820</f>
        <v>2.9295999999999999E-2</v>
      </c>
      <c r="E826" s="36">
        <f>E820-(6/12)*F820</f>
        <v>441000.54282788176</v>
      </c>
      <c r="F826" s="36">
        <f t="shared" si="215"/>
        <v>2218.2443365306244</v>
      </c>
      <c r="G826" s="31">
        <f t="shared" si="196"/>
        <v>0.97070400000000001</v>
      </c>
      <c r="H826" s="32"/>
      <c r="I826" s="51" t="str">
        <f t="shared" si="202"/>
        <v/>
      </c>
      <c r="J826" s="51" t="str">
        <f t="shared" si="203"/>
        <v/>
      </c>
      <c r="K826" s="52" t="str">
        <f t="shared" si="165"/>
        <v/>
      </c>
      <c r="L826" s="53" t="str">
        <f t="shared" si="199"/>
        <v/>
      </c>
      <c r="M826" s="52" t="str">
        <f t="shared" si="204"/>
        <v/>
      </c>
      <c r="N826" s="58" t="str">
        <f t="shared" si="200"/>
        <v/>
      </c>
      <c r="Q826" s="51" t="str">
        <f t="shared" si="205"/>
        <v/>
      </c>
      <c r="R826" s="52" t="str">
        <f t="shared" si="206"/>
        <v/>
      </c>
      <c r="S826" s="58" t="str">
        <f t="shared" si="209"/>
        <v/>
      </c>
      <c r="T826" s="52" t="str">
        <f t="shared" si="201"/>
        <v/>
      </c>
    </row>
    <row r="827" spans="2:20" ht="15.75" customHeight="1" x14ac:dyDescent="0.25">
      <c r="B827" s="33">
        <f t="shared" si="214"/>
        <v>80.5833333333333</v>
      </c>
      <c r="C827" s="34"/>
      <c r="D827" s="35">
        <f>(7/12)*D820</f>
        <v>3.417866666666667E-2</v>
      </c>
      <c r="E827" s="36">
        <f>E820-(7/12)*F820</f>
        <v>438782.29849135113</v>
      </c>
      <c r="F827" s="36">
        <f t="shared" si="215"/>
        <v>2218.2443365305662</v>
      </c>
      <c r="G827" s="31">
        <f t="shared" si="196"/>
        <v>0.96582133333333331</v>
      </c>
      <c r="H827" s="32"/>
      <c r="I827" s="51" t="str">
        <f t="shared" si="202"/>
        <v/>
      </c>
      <c r="J827" s="51" t="str">
        <f t="shared" si="203"/>
        <v/>
      </c>
      <c r="K827" s="52" t="str">
        <f t="shared" si="165"/>
        <v/>
      </c>
      <c r="L827" s="53" t="str">
        <f t="shared" si="199"/>
        <v/>
      </c>
      <c r="M827" s="52" t="str">
        <f t="shared" si="204"/>
        <v/>
      </c>
      <c r="N827" s="58" t="str">
        <f t="shared" si="200"/>
        <v/>
      </c>
      <c r="Q827" s="51" t="str">
        <f t="shared" si="205"/>
        <v/>
      </c>
      <c r="R827" s="52" t="str">
        <f t="shared" si="206"/>
        <v/>
      </c>
      <c r="S827" s="58" t="str">
        <f t="shared" si="209"/>
        <v/>
      </c>
      <c r="T827" s="52" t="str">
        <f t="shared" si="201"/>
        <v/>
      </c>
    </row>
    <row r="828" spans="2:20" ht="15.75" customHeight="1" x14ac:dyDescent="0.25">
      <c r="B828" s="33">
        <f t="shared" si="214"/>
        <v>80.666666666666629</v>
      </c>
      <c r="C828" s="34"/>
      <c r="D828" s="35">
        <f>(8/12)*D820</f>
        <v>3.906133333333333E-2</v>
      </c>
      <c r="E828" s="36">
        <f>E820-(8/12)*F820</f>
        <v>436564.05415482057</v>
      </c>
      <c r="F828" s="36">
        <f t="shared" si="215"/>
        <v>2218.2443365306244</v>
      </c>
      <c r="G828" s="31">
        <f t="shared" si="196"/>
        <v>0.96093866666666672</v>
      </c>
      <c r="H828" s="32"/>
      <c r="I828" s="51" t="str">
        <f t="shared" si="202"/>
        <v/>
      </c>
      <c r="J828" s="51" t="str">
        <f t="shared" si="203"/>
        <v/>
      </c>
      <c r="K828" s="52" t="str">
        <f t="shared" si="165"/>
        <v/>
      </c>
      <c r="L828" s="53" t="str">
        <f t="shared" si="199"/>
        <v/>
      </c>
      <c r="M828" s="52" t="str">
        <f t="shared" si="204"/>
        <v/>
      </c>
      <c r="N828" s="58" t="str">
        <f t="shared" si="200"/>
        <v/>
      </c>
      <c r="Q828" s="51" t="str">
        <f t="shared" si="205"/>
        <v/>
      </c>
      <c r="R828" s="52" t="str">
        <f t="shared" si="206"/>
        <v/>
      </c>
      <c r="S828" s="58" t="str">
        <f t="shared" si="209"/>
        <v/>
      </c>
      <c r="T828" s="52" t="str">
        <f t="shared" si="201"/>
        <v/>
      </c>
    </row>
    <row r="829" spans="2:20" ht="15.75" customHeight="1" x14ac:dyDescent="0.25">
      <c r="B829" s="33">
        <f t="shared" si="214"/>
        <v>80.749999999999957</v>
      </c>
      <c r="C829" s="34"/>
      <c r="D829" s="35">
        <f>(9/12)*D820</f>
        <v>4.3943999999999997E-2</v>
      </c>
      <c r="E829" s="36">
        <f>E820-(9/12)*F820</f>
        <v>434345.80981828994</v>
      </c>
      <c r="F829" s="36">
        <f t="shared" si="215"/>
        <v>2218.2443365306244</v>
      </c>
      <c r="G829" s="31">
        <f t="shared" si="196"/>
        <v>0.95605600000000002</v>
      </c>
      <c r="H829" s="32"/>
      <c r="I829" s="51" t="str">
        <f t="shared" si="202"/>
        <v/>
      </c>
      <c r="J829" s="51" t="str">
        <f t="shared" si="203"/>
        <v/>
      </c>
      <c r="K829" s="52" t="str">
        <f t="shared" si="165"/>
        <v/>
      </c>
      <c r="L829" s="53" t="str">
        <f t="shared" si="199"/>
        <v/>
      </c>
      <c r="M829" s="52" t="str">
        <f t="shared" si="204"/>
        <v/>
      </c>
      <c r="N829" s="58" t="str">
        <f t="shared" si="200"/>
        <v/>
      </c>
      <c r="Q829" s="51" t="str">
        <f t="shared" si="205"/>
        <v/>
      </c>
      <c r="R829" s="52" t="str">
        <f t="shared" si="206"/>
        <v/>
      </c>
      <c r="S829" s="58" t="str">
        <f t="shared" si="209"/>
        <v/>
      </c>
      <c r="T829" s="52" t="str">
        <f t="shared" si="201"/>
        <v/>
      </c>
    </row>
    <row r="830" spans="2:20" ht="15.75" customHeight="1" x14ac:dyDescent="0.25">
      <c r="B830" s="33">
        <f t="shared" si="214"/>
        <v>80.833333333333286</v>
      </c>
      <c r="C830" s="34"/>
      <c r="D830" s="35">
        <f>(10/12)*D820</f>
        <v>4.8826666666666664E-2</v>
      </c>
      <c r="E830" s="36">
        <f>E820-(10/12)*F820</f>
        <v>432127.56548175932</v>
      </c>
      <c r="F830" s="36">
        <f t="shared" si="215"/>
        <v>2218.2443365305662</v>
      </c>
      <c r="G830" s="31">
        <f t="shared" si="196"/>
        <v>0.95117333333333332</v>
      </c>
      <c r="H830" s="32"/>
      <c r="I830" s="51" t="str">
        <f t="shared" si="202"/>
        <v/>
      </c>
      <c r="J830" s="51" t="str">
        <f t="shared" si="203"/>
        <v/>
      </c>
      <c r="K830" s="52" t="str">
        <f t="shared" si="165"/>
        <v/>
      </c>
      <c r="L830" s="53" t="str">
        <f t="shared" si="199"/>
        <v/>
      </c>
      <c r="M830" s="52" t="str">
        <f t="shared" si="204"/>
        <v/>
      </c>
      <c r="N830" s="58" t="str">
        <f t="shared" si="200"/>
        <v/>
      </c>
      <c r="Q830" s="51" t="str">
        <f t="shared" si="205"/>
        <v/>
      </c>
      <c r="R830" s="52" t="str">
        <f t="shared" si="206"/>
        <v/>
      </c>
      <c r="S830" s="58" t="str">
        <f t="shared" si="209"/>
        <v/>
      </c>
      <c r="T830" s="52" t="str">
        <f t="shared" si="201"/>
        <v/>
      </c>
    </row>
    <row r="831" spans="2:20" ht="15.75" customHeight="1" x14ac:dyDescent="0.25">
      <c r="B831" s="33">
        <f t="shared" si="214"/>
        <v>80.916666666666615</v>
      </c>
      <c r="C831" s="34"/>
      <c r="D831" s="35">
        <f>(11/12)*D820</f>
        <v>5.3709333333333331E-2</v>
      </c>
      <c r="E831" s="36">
        <f>E820-(11/12)*F820</f>
        <v>429909.32114522875</v>
      </c>
      <c r="F831" s="36">
        <f t="shared" si="215"/>
        <v>2218.2443365306244</v>
      </c>
      <c r="G831" s="31">
        <f t="shared" si="196"/>
        <v>0.94629066666666661</v>
      </c>
      <c r="H831" s="32"/>
      <c r="I831" s="51" t="str">
        <f t="shared" si="202"/>
        <v/>
      </c>
      <c r="J831" s="51" t="str">
        <f t="shared" si="203"/>
        <v/>
      </c>
      <c r="K831" s="52" t="str">
        <f t="shared" si="165"/>
        <v/>
      </c>
      <c r="L831" s="53" t="str">
        <f t="shared" si="199"/>
        <v/>
      </c>
      <c r="M831" s="52" t="str">
        <f t="shared" si="204"/>
        <v/>
      </c>
      <c r="N831" s="58" t="str">
        <f t="shared" si="200"/>
        <v/>
      </c>
      <c r="Q831" s="51" t="str">
        <f t="shared" si="205"/>
        <v/>
      </c>
      <c r="R831" s="52" t="str">
        <f t="shared" si="206"/>
        <v/>
      </c>
      <c r="S831" s="58" t="str">
        <f t="shared" si="209"/>
        <v/>
      </c>
      <c r="T831" s="52" t="str">
        <f t="shared" si="201"/>
        <v/>
      </c>
    </row>
    <row r="832" spans="2:20" ht="15.75" customHeight="1" x14ac:dyDescent="0.25">
      <c r="B832" s="27">
        <v>81</v>
      </c>
      <c r="C832" s="28">
        <v>62.834000000000003</v>
      </c>
      <c r="D832" s="29">
        <f>C832/1000</f>
        <v>6.2834000000000001E-2</v>
      </c>
      <c r="E832" s="30">
        <f>E820-F820</f>
        <v>427691.07680869813</v>
      </c>
      <c r="F832" s="48">
        <f>D832*E832</f>
        <v>26873.541120197737</v>
      </c>
      <c r="G832" s="31">
        <f t="shared" si="196"/>
        <v>0.93716599999999994</v>
      </c>
      <c r="H832" s="49"/>
      <c r="I832" s="51" t="str">
        <f t="shared" si="202"/>
        <v/>
      </c>
      <c r="J832" s="51" t="str">
        <f t="shared" si="203"/>
        <v/>
      </c>
      <c r="K832" s="52" t="str">
        <f t="shared" si="165"/>
        <v/>
      </c>
      <c r="L832" s="53" t="str">
        <f t="shared" si="199"/>
        <v/>
      </c>
      <c r="M832" s="52" t="str">
        <f t="shared" si="204"/>
        <v/>
      </c>
      <c r="N832" s="58" t="str">
        <f t="shared" si="200"/>
        <v/>
      </c>
      <c r="Q832" s="51" t="str">
        <f t="shared" si="205"/>
        <v/>
      </c>
      <c r="R832" s="52" t="str">
        <f t="shared" si="206"/>
        <v/>
      </c>
      <c r="S832" s="58" t="str">
        <f t="shared" si="209"/>
        <v/>
      </c>
      <c r="T832" s="52" t="str">
        <f t="shared" si="201"/>
        <v/>
      </c>
    </row>
    <row r="833" spans="2:20" ht="15.75" customHeight="1" x14ac:dyDescent="0.25">
      <c r="B833" s="33">
        <f t="shared" ref="B833:B843" si="216">B832+1/12</f>
        <v>81.083333333333329</v>
      </c>
      <c r="C833" s="34"/>
      <c r="D833" s="35">
        <f>(1/12)*D832</f>
        <v>5.2361666666666667E-3</v>
      </c>
      <c r="E833" s="36">
        <f>E832-(1/12)*F832</f>
        <v>425451.61504868168</v>
      </c>
      <c r="F833" s="36">
        <f t="shared" ref="F833:F843" si="217">E833-E834</f>
        <v>2239.4617600165075</v>
      </c>
      <c r="G833" s="31">
        <f t="shared" si="196"/>
        <v>0.99476383333333329</v>
      </c>
      <c r="H833" s="37"/>
      <c r="I833" s="51" t="str">
        <f t="shared" si="202"/>
        <v/>
      </c>
      <c r="J833" s="51" t="str">
        <f t="shared" si="203"/>
        <v/>
      </c>
      <c r="K833" s="52" t="str">
        <f t="shared" si="165"/>
        <v/>
      </c>
      <c r="L833" s="53" t="str">
        <f t="shared" si="199"/>
        <v/>
      </c>
      <c r="M833" s="52" t="str">
        <f t="shared" si="204"/>
        <v/>
      </c>
      <c r="N833" s="58" t="str">
        <f t="shared" si="200"/>
        <v/>
      </c>
      <c r="Q833" s="51" t="str">
        <f t="shared" si="205"/>
        <v/>
      </c>
      <c r="R833" s="52" t="str">
        <f t="shared" si="206"/>
        <v/>
      </c>
      <c r="S833" s="58" t="str">
        <f t="shared" si="209"/>
        <v/>
      </c>
      <c r="T833" s="52" t="str">
        <f t="shared" si="201"/>
        <v/>
      </c>
    </row>
    <row r="834" spans="2:20" ht="15.75" customHeight="1" x14ac:dyDescent="0.25">
      <c r="B834" s="33">
        <f t="shared" si="216"/>
        <v>81.166666666666657</v>
      </c>
      <c r="C834" s="34"/>
      <c r="D834" s="35">
        <f>(2/12)*D832</f>
        <v>1.0472333333333333E-2</v>
      </c>
      <c r="E834" s="36">
        <f>E832-(2/12)*F832</f>
        <v>423212.15328866517</v>
      </c>
      <c r="F834" s="36">
        <f t="shared" si="217"/>
        <v>2239.4617600164493</v>
      </c>
      <c r="G834" s="31">
        <f t="shared" si="196"/>
        <v>0.98952766666666669</v>
      </c>
      <c r="H834" s="32"/>
      <c r="I834" s="51" t="str">
        <f t="shared" si="202"/>
        <v/>
      </c>
      <c r="J834" s="51" t="str">
        <f t="shared" si="203"/>
        <v/>
      </c>
      <c r="K834" s="52" t="str">
        <f t="shared" si="165"/>
        <v/>
      </c>
      <c r="L834" s="53" t="str">
        <f t="shared" si="199"/>
        <v/>
      </c>
      <c r="M834" s="52" t="str">
        <f t="shared" si="204"/>
        <v/>
      </c>
      <c r="N834" s="58" t="str">
        <f t="shared" si="200"/>
        <v/>
      </c>
      <c r="Q834" s="51" t="str">
        <f t="shared" si="205"/>
        <v/>
      </c>
      <c r="R834" s="52" t="str">
        <f t="shared" si="206"/>
        <v/>
      </c>
      <c r="S834" s="58" t="str">
        <f t="shared" si="209"/>
        <v/>
      </c>
      <c r="T834" s="52" t="str">
        <f t="shared" si="201"/>
        <v/>
      </c>
    </row>
    <row r="835" spans="2:20" ht="15.75" customHeight="1" x14ac:dyDescent="0.25">
      <c r="B835" s="33">
        <f t="shared" si="216"/>
        <v>81.249999999999986</v>
      </c>
      <c r="C835" s="34"/>
      <c r="D835" s="35">
        <f>(3/12)*D832</f>
        <v>1.57085E-2</v>
      </c>
      <c r="E835" s="36">
        <f>E832-(3/12)*F832</f>
        <v>420972.69152864872</v>
      </c>
      <c r="F835" s="36">
        <f t="shared" si="217"/>
        <v>2239.4617600165075</v>
      </c>
      <c r="G835" s="31">
        <f t="shared" si="196"/>
        <v>0.98429149999999999</v>
      </c>
      <c r="H835" s="32"/>
      <c r="I835" s="51" t="str">
        <f t="shared" si="202"/>
        <v/>
      </c>
      <c r="J835" s="51" t="str">
        <f t="shared" si="203"/>
        <v/>
      </c>
      <c r="K835" s="52" t="str">
        <f t="shared" si="165"/>
        <v/>
      </c>
      <c r="L835" s="53" t="str">
        <f t="shared" si="199"/>
        <v/>
      </c>
      <c r="M835" s="52" t="str">
        <f t="shared" si="204"/>
        <v/>
      </c>
      <c r="N835" s="58" t="str">
        <f t="shared" si="200"/>
        <v/>
      </c>
      <c r="Q835" s="51" t="str">
        <f t="shared" si="205"/>
        <v/>
      </c>
      <c r="R835" s="52" t="str">
        <f t="shared" si="206"/>
        <v/>
      </c>
      <c r="S835" s="58" t="str">
        <f t="shared" si="209"/>
        <v/>
      </c>
      <c r="T835" s="52" t="str">
        <f t="shared" si="201"/>
        <v/>
      </c>
    </row>
    <row r="836" spans="2:20" ht="15.75" customHeight="1" x14ac:dyDescent="0.25">
      <c r="B836" s="33">
        <f t="shared" si="216"/>
        <v>81.333333333333314</v>
      </c>
      <c r="C836" s="34"/>
      <c r="D836" s="35">
        <f>(4/12)*D832</f>
        <v>2.0944666666666667E-2</v>
      </c>
      <c r="E836" s="36">
        <f>E832-(4/12)*F832</f>
        <v>418733.22976863221</v>
      </c>
      <c r="F836" s="36">
        <f t="shared" si="217"/>
        <v>2239.4617600164493</v>
      </c>
      <c r="G836" s="31">
        <f t="shared" si="196"/>
        <v>0.97905533333333339</v>
      </c>
      <c r="H836" s="32"/>
      <c r="I836" s="51" t="str">
        <f t="shared" si="202"/>
        <v/>
      </c>
      <c r="J836" s="51" t="str">
        <f t="shared" si="203"/>
        <v/>
      </c>
      <c r="K836" s="52" t="str">
        <f t="shared" si="165"/>
        <v/>
      </c>
      <c r="L836" s="53" t="str">
        <f t="shared" si="199"/>
        <v/>
      </c>
      <c r="M836" s="52" t="str">
        <f t="shared" si="204"/>
        <v/>
      </c>
      <c r="N836" s="58" t="str">
        <f t="shared" si="200"/>
        <v/>
      </c>
      <c r="Q836" s="51" t="str">
        <f t="shared" si="205"/>
        <v/>
      </c>
      <c r="R836" s="52" t="str">
        <f t="shared" si="206"/>
        <v/>
      </c>
      <c r="S836" s="58" t="str">
        <f t="shared" si="209"/>
        <v/>
      </c>
      <c r="T836" s="52" t="str">
        <f t="shared" si="201"/>
        <v/>
      </c>
    </row>
    <row r="837" spans="2:20" ht="15.75" customHeight="1" x14ac:dyDescent="0.25">
      <c r="B837" s="33">
        <f t="shared" si="216"/>
        <v>81.416666666666643</v>
      </c>
      <c r="C837" s="34"/>
      <c r="D837" s="35">
        <f>(5/12)*D832</f>
        <v>2.6180833333333334E-2</v>
      </c>
      <c r="E837" s="36">
        <f>E832-(5/12)*F832</f>
        <v>416493.76800861576</v>
      </c>
      <c r="F837" s="36">
        <f t="shared" si="217"/>
        <v>2239.4617600165075</v>
      </c>
      <c r="G837" s="31">
        <f t="shared" si="196"/>
        <v>0.97381916666666668</v>
      </c>
      <c r="H837" s="32"/>
      <c r="I837" s="51" t="str">
        <f t="shared" si="202"/>
        <v/>
      </c>
      <c r="J837" s="51" t="str">
        <f t="shared" si="203"/>
        <v/>
      </c>
      <c r="K837" s="52" t="str">
        <f t="shared" si="165"/>
        <v/>
      </c>
      <c r="L837" s="53" t="str">
        <f t="shared" si="199"/>
        <v/>
      </c>
      <c r="M837" s="52" t="str">
        <f t="shared" si="204"/>
        <v/>
      </c>
      <c r="N837" s="58" t="str">
        <f t="shared" si="200"/>
        <v/>
      </c>
      <c r="Q837" s="51" t="str">
        <f t="shared" si="205"/>
        <v/>
      </c>
      <c r="R837" s="52" t="str">
        <f t="shared" si="206"/>
        <v/>
      </c>
      <c r="S837" s="58" t="str">
        <f t="shared" si="209"/>
        <v/>
      </c>
      <c r="T837" s="52" t="str">
        <f t="shared" si="201"/>
        <v/>
      </c>
    </row>
    <row r="838" spans="2:20" ht="15.75" customHeight="1" x14ac:dyDescent="0.25">
      <c r="B838" s="33">
        <f t="shared" si="216"/>
        <v>81.499999999999972</v>
      </c>
      <c r="C838" s="34"/>
      <c r="D838" s="35">
        <f>(6/12)*D832</f>
        <v>3.1417E-2</v>
      </c>
      <c r="E838" s="36">
        <f>E832-(6/12)*F832</f>
        <v>414254.30624859926</v>
      </c>
      <c r="F838" s="36">
        <f t="shared" si="217"/>
        <v>2239.4617600164493</v>
      </c>
      <c r="G838" s="31">
        <f t="shared" si="196"/>
        <v>0.96858299999999997</v>
      </c>
      <c r="H838" s="32"/>
      <c r="I838" s="51" t="str">
        <f t="shared" si="202"/>
        <v/>
      </c>
      <c r="J838" s="51" t="str">
        <f t="shared" si="203"/>
        <v/>
      </c>
      <c r="K838" s="52" t="str">
        <f t="shared" si="165"/>
        <v/>
      </c>
      <c r="L838" s="53" t="str">
        <f t="shared" si="199"/>
        <v/>
      </c>
      <c r="M838" s="52" t="str">
        <f t="shared" si="204"/>
        <v/>
      </c>
      <c r="N838" s="58" t="str">
        <f t="shared" si="200"/>
        <v/>
      </c>
      <c r="Q838" s="51" t="str">
        <f t="shared" si="205"/>
        <v/>
      </c>
      <c r="R838" s="52" t="str">
        <f t="shared" si="206"/>
        <v/>
      </c>
      <c r="S838" s="58" t="str">
        <f t="shared" si="209"/>
        <v/>
      </c>
      <c r="T838" s="52" t="str">
        <f t="shared" si="201"/>
        <v/>
      </c>
    </row>
    <row r="839" spans="2:20" ht="15.75" customHeight="1" x14ac:dyDescent="0.25">
      <c r="B839" s="33">
        <f t="shared" si="216"/>
        <v>81.5833333333333</v>
      </c>
      <c r="C839" s="34"/>
      <c r="D839" s="35">
        <f>(7/12)*D832</f>
        <v>3.6653166666666667E-2</v>
      </c>
      <c r="E839" s="36">
        <f>E832-(7/12)*F832</f>
        <v>412014.84448858281</v>
      </c>
      <c r="F839" s="36">
        <f t="shared" si="217"/>
        <v>2239.4617600165075</v>
      </c>
      <c r="G839" s="31">
        <f t="shared" si="196"/>
        <v>0.96334683333333337</v>
      </c>
      <c r="H839" s="32"/>
      <c r="I839" s="51" t="str">
        <f t="shared" si="202"/>
        <v/>
      </c>
      <c r="J839" s="51" t="str">
        <f t="shared" si="203"/>
        <v/>
      </c>
      <c r="K839" s="52" t="str">
        <f t="shared" si="165"/>
        <v/>
      </c>
      <c r="L839" s="53" t="str">
        <f t="shared" si="199"/>
        <v/>
      </c>
      <c r="M839" s="52" t="str">
        <f t="shared" si="204"/>
        <v/>
      </c>
      <c r="N839" s="58" t="str">
        <f t="shared" si="200"/>
        <v/>
      </c>
      <c r="Q839" s="51" t="str">
        <f t="shared" si="205"/>
        <v/>
      </c>
      <c r="R839" s="52" t="str">
        <f t="shared" si="206"/>
        <v/>
      </c>
      <c r="S839" s="58" t="str">
        <f t="shared" si="209"/>
        <v/>
      </c>
      <c r="T839" s="52" t="str">
        <f t="shared" si="201"/>
        <v/>
      </c>
    </row>
    <row r="840" spans="2:20" ht="15.75" customHeight="1" x14ac:dyDescent="0.25">
      <c r="B840" s="33">
        <f t="shared" si="216"/>
        <v>81.666666666666629</v>
      </c>
      <c r="C840" s="34"/>
      <c r="D840" s="35">
        <f>(8/12)*D832</f>
        <v>4.1889333333333334E-2</v>
      </c>
      <c r="E840" s="36">
        <f>E832-(8/12)*F832</f>
        <v>409775.3827285663</v>
      </c>
      <c r="F840" s="36">
        <f t="shared" si="217"/>
        <v>2239.4617600164493</v>
      </c>
      <c r="G840" s="31">
        <f t="shared" si="196"/>
        <v>0.95811066666666667</v>
      </c>
      <c r="H840" s="32"/>
      <c r="I840" s="51" t="str">
        <f t="shared" si="202"/>
        <v/>
      </c>
      <c r="J840" s="51" t="str">
        <f t="shared" si="203"/>
        <v/>
      </c>
      <c r="K840" s="52" t="str">
        <f t="shared" si="165"/>
        <v/>
      </c>
      <c r="L840" s="53" t="str">
        <f t="shared" si="199"/>
        <v/>
      </c>
      <c r="M840" s="52" t="str">
        <f t="shared" si="204"/>
        <v/>
      </c>
      <c r="N840" s="58" t="str">
        <f t="shared" si="200"/>
        <v/>
      </c>
      <c r="Q840" s="51" t="str">
        <f t="shared" si="205"/>
        <v/>
      </c>
      <c r="R840" s="52" t="str">
        <f t="shared" si="206"/>
        <v/>
      </c>
      <c r="S840" s="58" t="str">
        <f t="shared" si="209"/>
        <v/>
      </c>
      <c r="T840" s="52" t="str">
        <f t="shared" si="201"/>
        <v/>
      </c>
    </row>
    <row r="841" spans="2:20" ht="15.75" customHeight="1" x14ac:dyDescent="0.25">
      <c r="B841" s="33">
        <f t="shared" si="216"/>
        <v>81.749999999999957</v>
      </c>
      <c r="C841" s="34"/>
      <c r="D841" s="35">
        <f>(9/12)*D832</f>
        <v>4.7125500000000001E-2</v>
      </c>
      <c r="E841" s="36">
        <f>E832-(9/12)*F832</f>
        <v>407535.92096854985</v>
      </c>
      <c r="F841" s="36">
        <f t="shared" si="217"/>
        <v>2239.4617600165075</v>
      </c>
      <c r="G841" s="31">
        <f t="shared" si="196"/>
        <v>0.95287449999999996</v>
      </c>
      <c r="H841" s="32"/>
      <c r="I841" s="51" t="str">
        <f t="shared" si="202"/>
        <v/>
      </c>
      <c r="J841" s="51" t="str">
        <f t="shared" si="203"/>
        <v/>
      </c>
      <c r="K841" s="52" t="str">
        <f t="shared" si="165"/>
        <v/>
      </c>
      <c r="L841" s="53" t="str">
        <f t="shared" si="199"/>
        <v/>
      </c>
      <c r="M841" s="52" t="str">
        <f t="shared" si="204"/>
        <v/>
      </c>
      <c r="N841" s="58" t="str">
        <f t="shared" si="200"/>
        <v/>
      </c>
      <c r="Q841" s="51" t="str">
        <f t="shared" si="205"/>
        <v/>
      </c>
      <c r="R841" s="52" t="str">
        <f t="shared" si="206"/>
        <v/>
      </c>
      <c r="S841" s="58" t="str">
        <f t="shared" si="209"/>
        <v/>
      </c>
      <c r="T841" s="52" t="str">
        <f t="shared" si="201"/>
        <v/>
      </c>
    </row>
    <row r="842" spans="2:20" ht="15.75" customHeight="1" x14ac:dyDescent="0.25">
      <c r="B842" s="33">
        <f t="shared" si="216"/>
        <v>81.833333333333286</v>
      </c>
      <c r="C842" s="34"/>
      <c r="D842" s="35">
        <f>(10/12)*D832</f>
        <v>5.2361666666666667E-2</v>
      </c>
      <c r="E842" s="36">
        <f>E832-(10/12)*F832</f>
        <v>405296.45920853334</v>
      </c>
      <c r="F842" s="36">
        <f t="shared" si="217"/>
        <v>2239.4617600164493</v>
      </c>
      <c r="G842" s="31">
        <f t="shared" si="196"/>
        <v>0.94763833333333336</v>
      </c>
      <c r="H842" s="32"/>
      <c r="I842" s="51" t="str">
        <f t="shared" si="202"/>
        <v/>
      </c>
      <c r="J842" s="51" t="str">
        <f t="shared" si="203"/>
        <v/>
      </c>
      <c r="K842" s="52" t="str">
        <f t="shared" si="165"/>
        <v/>
      </c>
      <c r="L842" s="53" t="str">
        <f t="shared" si="199"/>
        <v/>
      </c>
      <c r="M842" s="52" t="str">
        <f t="shared" si="204"/>
        <v/>
      </c>
      <c r="N842" s="58" t="str">
        <f t="shared" si="200"/>
        <v/>
      </c>
      <c r="Q842" s="51" t="str">
        <f t="shared" si="205"/>
        <v/>
      </c>
      <c r="R842" s="52" t="str">
        <f t="shared" si="206"/>
        <v/>
      </c>
      <c r="S842" s="58" t="str">
        <f t="shared" si="209"/>
        <v/>
      </c>
      <c r="T842" s="52" t="str">
        <f t="shared" si="201"/>
        <v/>
      </c>
    </row>
    <row r="843" spans="2:20" ht="15.75" customHeight="1" x14ac:dyDescent="0.25">
      <c r="B843" s="33">
        <f t="shared" si="216"/>
        <v>81.916666666666615</v>
      </c>
      <c r="C843" s="34"/>
      <c r="D843" s="35">
        <f>(11/12)*D832</f>
        <v>5.7597833333333334E-2</v>
      </c>
      <c r="E843" s="36">
        <f>E832-(11/12)*F832</f>
        <v>403056.99744851689</v>
      </c>
      <c r="F843" s="36">
        <f t="shared" si="217"/>
        <v>2239.4617600165075</v>
      </c>
      <c r="G843" s="31">
        <f t="shared" si="196"/>
        <v>0.94240216666666665</v>
      </c>
      <c r="H843" s="32"/>
      <c r="I843" s="51" t="str">
        <f t="shared" si="202"/>
        <v/>
      </c>
      <c r="J843" s="51" t="str">
        <f t="shared" si="203"/>
        <v/>
      </c>
      <c r="K843" s="52" t="str">
        <f t="shared" si="165"/>
        <v/>
      </c>
      <c r="L843" s="53" t="str">
        <f t="shared" si="199"/>
        <v/>
      </c>
      <c r="M843" s="52" t="str">
        <f t="shared" si="204"/>
        <v/>
      </c>
      <c r="N843" s="58" t="str">
        <f t="shared" si="200"/>
        <v/>
      </c>
      <c r="Q843" s="51" t="str">
        <f t="shared" si="205"/>
        <v/>
      </c>
      <c r="R843" s="52" t="str">
        <f t="shared" si="206"/>
        <v/>
      </c>
      <c r="S843" s="58" t="str">
        <f t="shared" si="209"/>
        <v/>
      </c>
      <c r="T843" s="52" t="str">
        <f t="shared" si="201"/>
        <v/>
      </c>
    </row>
    <row r="844" spans="2:20" ht="15.75" customHeight="1" x14ac:dyDescent="0.25">
      <c r="B844" s="27">
        <v>82</v>
      </c>
      <c r="C844" s="28">
        <v>67.362000000000009</v>
      </c>
      <c r="D844" s="29">
        <f>C844/1000</f>
        <v>6.7362000000000005E-2</v>
      </c>
      <c r="E844" s="30">
        <f>E832-F832</f>
        <v>400817.53568850039</v>
      </c>
      <c r="F844" s="48">
        <f>D844*E844</f>
        <v>26999.870839048766</v>
      </c>
      <c r="G844" s="31">
        <f t="shared" si="196"/>
        <v>0.93263799999999997</v>
      </c>
      <c r="H844" s="49"/>
      <c r="I844" s="51" t="str">
        <f t="shared" si="202"/>
        <v/>
      </c>
      <c r="J844" s="51" t="str">
        <f t="shared" si="203"/>
        <v/>
      </c>
      <c r="K844" s="52" t="str">
        <f t="shared" si="165"/>
        <v/>
      </c>
      <c r="L844" s="53" t="str">
        <f t="shared" si="199"/>
        <v/>
      </c>
      <c r="M844" s="52" t="str">
        <f t="shared" si="204"/>
        <v/>
      </c>
      <c r="N844" s="58" t="str">
        <f t="shared" si="200"/>
        <v/>
      </c>
      <c r="Q844" s="51" t="str">
        <f t="shared" si="205"/>
        <v/>
      </c>
      <c r="R844" s="52" t="str">
        <f t="shared" si="206"/>
        <v/>
      </c>
      <c r="S844" s="58" t="str">
        <f t="shared" si="209"/>
        <v/>
      </c>
      <c r="T844" s="52" t="str">
        <f t="shared" si="201"/>
        <v/>
      </c>
    </row>
    <row r="845" spans="2:20" ht="15.75" customHeight="1" x14ac:dyDescent="0.25">
      <c r="B845" s="33">
        <f t="shared" ref="B845:B855" si="218">B844+1/12</f>
        <v>82.083333333333329</v>
      </c>
      <c r="C845" s="34"/>
      <c r="D845" s="35">
        <f>(1/12)*D844</f>
        <v>5.6135000000000004E-3</v>
      </c>
      <c r="E845" s="36">
        <f>E844-(1/12)*F844</f>
        <v>398567.54645191296</v>
      </c>
      <c r="F845" s="36">
        <f t="shared" ref="F845:F855" si="219">E845-E846</f>
        <v>2249.9892365873675</v>
      </c>
      <c r="G845" s="31">
        <f t="shared" si="196"/>
        <v>0.99438649999999995</v>
      </c>
      <c r="H845" s="37"/>
      <c r="I845" s="51" t="str">
        <f t="shared" si="202"/>
        <v/>
      </c>
      <c r="J845" s="51" t="str">
        <f t="shared" si="203"/>
        <v/>
      </c>
      <c r="K845" s="52" t="str">
        <f t="shared" si="165"/>
        <v/>
      </c>
      <c r="L845" s="53" t="str">
        <f t="shared" si="199"/>
        <v/>
      </c>
      <c r="M845" s="52" t="str">
        <f t="shared" si="204"/>
        <v/>
      </c>
      <c r="N845" s="58" t="str">
        <f t="shared" si="200"/>
        <v/>
      </c>
      <c r="Q845" s="51" t="str">
        <f t="shared" si="205"/>
        <v/>
      </c>
      <c r="R845" s="52" t="str">
        <f t="shared" si="206"/>
        <v/>
      </c>
      <c r="S845" s="58" t="str">
        <f t="shared" si="209"/>
        <v/>
      </c>
      <c r="T845" s="52" t="str">
        <f t="shared" si="201"/>
        <v/>
      </c>
    </row>
    <row r="846" spans="2:20" ht="15.75" customHeight="1" x14ac:dyDescent="0.25">
      <c r="B846" s="33">
        <f t="shared" si="218"/>
        <v>82.166666666666657</v>
      </c>
      <c r="C846" s="34"/>
      <c r="D846" s="35">
        <f>(2/12)*D844</f>
        <v>1.1227000000000001E-2</v>
      </c>
      <c r="E846" s="36">
        <f>E844-(2/12)*F844</f>
        <v>396317.55721532559</v>
      </c>
      <c r="F846" s="36">
        <f t="shared" si="219"/>
        <v>2249.9892365874257</v>
      </c>
      <c r="G846" s="31">
        <f t="shared" si="196"/>
        <v>0.98877300000000001</v>
      </c>
      <c r="H846" s="32"/>
      <c r="I846" s="51" t="str">
        <f t="shared" si="202"/>
        <v/>
      </c>
      <c r="J846" s="51" t="str">
        <f t="shared" si="203"/>
        <v/>
      </c>
      <c r="K846" s="52" t="str">
        <f t="shared" si="165"/>
        <v/>
      </c>
      <c r="L846" s="53" t="str">
        <f t="shared" si="199"/>
        <v/>
      </c>
      <c r="M846" s="52" t="str">
        <f t="shared" si="204"/>
        <v/>
      </c>
      <c r="N846" s="58" t="str">
        <f t="shared" si="200"/>
        <v/>
      </c>
      <c r="Q846" s="51" t="str">
        <f t="shared" si="205"/>
        <v/>
      </c>
      <c r="R846" s="52" t="str">
        <f t="shared" si="206"/>
        <v/>
      </c>
      <c r="S846" s="58" t="str">
        <f t="shared" si="209"/>
        <v/>
      </c>
      <c r="T846" s="52" t="str">
        <f t="shared" si="201"/>
        <v/>
      </c>
    </row>
    <row r="847" spans="2:20" ht="15.75" customHeight="1" x14ac:dyDescent="0.25">
      <c r="B847" s="33">
        <f t="shared" si="218"/>
        <v>82.249999999999986</v>
      </c>
      <c r="C847" s="34"/>
      <c r="D847" s="35">
        <f>(3/12)*D844</f>
        <v>1.6840500000000001E-2</v>
      </c>
      <c r="E847" s="36">
        <f>E844-(3/12)*F844</f>
        <v>394067.56797873817</v>
      </c>
      <c r="F847" s="36">
        <f t="shared" si="219"/>
        <v>2249.9892365873675</v>
      </c>
      <c r="G847" s="31">
        <f t="shared" si="196"/>
        <v>0.98315949999999996</v>
      </c>
      <c r="H847" s="32"/>
      <c r="I847" s="51" t="str">
        <f t="shared" si="202"/>
        <v/>
      </c>
      <c r="J847" s="51" t="str">
        <f t="shared" si="203"/>
        <v/>
      </c>
      <c r="K847" s="52" t="str">
        <f t="shared" si="165"/>
        <v/>
      </c>
      <c r="L847" s="53" t="str">
        <f t="shared" si="199"/>
        <v/>
      </c>
      <c r="M847" s="52" t="str">
        <f t="shared" si="204"/>
        <v/>
      </c>
      <c r="N847" s="58" t="str">
        <f t="shared" si="200"/>
        <v/>
      </c>
      <c r="Q847" s="51" t="str">
        <f t="shared" si="205"/>
        <v/>
      </c>
      <c r="R847" s="52" t="str">
        <f t="shared" si="206"/>
        <v/>
      </c>
      <c r="S847" s="58" t="str">
        <f t="shared" si="209"/>
        <v/>
      </c>
      <c r="T847" s="52" t="str">
        <f t="shared" si="201"/>
        <v/>
      </c>
    </row>
    <row r="848" spans="2:20" ht="15.75" customHeight="1" x14ac:dyDescent="0.25">
      <c r="B848" s="33">
        <f t="shared" si="218"/>
        <v>82.333333333333314</v>
      </c>
      <c r="C848" s="34"/>
      <c r="D848" s="35">
        <f>(4/12)*D844</f>
        <v>2.2454000000000002E-2</v>
      </c>
      <c r="E848" s="36">
        <f>E844-(4/12)*F844</f>
        <v>391817.5787421508</v>
      </c>
      <c r="F848" s="36">
        <f t="shared" si="219"/>
        <v>2249.9892365874257</v>
      </c>
      <c r="G848" s="31">
        <f t="shared" si="196"/>
        <v>0.97754600000000003</v>
      </c>
      <c r="H848" s="32"/>
      <c r="I848" s="51" t="str">
        <f t="shared" si="202"/>
        <v/>
      </c>
      <c r="J848" s="51" t="str">
        <f t="shared" si="203"/>
        <v/>
      </c>
      <c r="K848" s="52" t="str">
        <f t="shared" si="165"/>
        <v/>
      </c>
      <c r="L848" s="53" t="str">
        <f t="shared" si="199"/>
        <v/>
      </c>
      <c r="M848" s="52" t="str">
        <f t="shared" si="204"/>
        <v/>
      </c>
      <c r="N848" s="58" t="str">
        <f t="shared" si="200"/>
        <v/>
      </c>
      <c r="Q848" s="51" t="str">
        <f t="shared" si="205"/>
        <v/>
      </c>
      <c r="R848" s="52" t="str">
        <f t="shared" si="206"/>
        <v/>
      </c>
      <c r="S848" s="58" t="str">
        <f t="shared" si="209"/>
        <v/>
      </c>
      <c r="T848" s="52" t="str">
        <f t="shared" si="201"/>
        <v/>
      </c>
    </row>
    <row r="849" spans="2:20" ht="15.75" customHeight="1" x14ac:dyDescent="0.25">
      <c r="B849" s="33">
        <f t="shared" si="218"/>
        <v>82.416666666666643</v>
      </c>
      <c r="C849" s="34"/>
      <c r="D849" s="35">
        <f>(5/12)*D844</f>
        <v>2.8067500000000002E-2</v>
      </c>
      <c r="E849" s="36">
        <f>E844-(5/12)*F844</f>
        <v>389567.58950556337</v>
      </c>
      <c r="F849" s="36">
        <f t="shared" si="219"/>
        <v>2249.9892365873675</v>
      </c>
      <c r="G849" s="31">
        <f t="shared" si="196"/>
        <v>0.97193249999999998</v>
      </c>
      <c r="H849" s="32"/>
      <c r="I849" s="51" t="str">
        <f t="shared" si="202"/>
        <v/>
      </c>
      <c r="J849" s="51" t="str">
        <f t="shared" si="203"/>
        <v/>
      </c>
      <c r="K849" s="52" t="str">
        <f t="shared" si="165"/>
        <v/>
      </c>
      <c r="L849" s="53" t="str">
        <f t="shared" si="199"/>
        <v/>
      </c>
      <c r="M849" s="52" t="str">
        <f t="shared" si="204"/>
        <v/>
      </c>
      <c r="N849" s="58" t="str">
        <f t="shared" si="200"/>
        <v/>
      </c>
      <c r="Q849" s="51" t="str">
        <f t="shared" si="205"/>
        <v/>
      </c>
      <c r="R849" s="52" t="str">
        <f t="shared" si="206"/>
        <v/>
      </c>
      <c r="S849" s="58" t="str">
        <f t="shared" si="209"/>
        <v/>
      </c>
      <c r="T849" s="52" t="str">
        <f t="shared" si="201"/>
        <v/>
      </c>
    </row>
    <row r="850" spans="2:20" ht="15.75" customHeight="1" x14ac:dyDescent="0.25">
      <c r="B850" s="33">
        <f t="shared" si="218"/>
        <v>82.499999999999972</v>
      </c>
      <c r="C850" s="34"/>
      <c r="D850" s="35">
        <f>(6/12)*D844</f>
        <v>3.3681000000000003E-2</v>
      </c>
      <c r="E850" s="36">
        <f>E844-(6/12)*F844</f>
        <v>387317.60026897601</v>
      </c>
      <c r="F850" s="36">
        <f t="shared" si="219"/>
        <v>2249.9892365874257</v>
      </c>
      <c r="G850" s="31">
        <f t="shared" si="196"/>
        <v>0.96631900000000004</v>
      </c>
      <c r="H850" s="32"/>
      <c r="I850" s="51" t="str">
        <f t="shared" si="202"/>
        <v/>
      </c>
      <c r="J850" s="51" t="str">
        <f t="shared" si="203"/>
        <v/>
      </c>
      <c r="K850" s="52" t="str">
        <f t="shared" ref="K850:K1072" si="220">IFERROR(VLOOKUP(J851,$B$3:$F$1060,3,TRUE),"")</f>
        <v/>
      </c>
      <c r="L850" s="53" t="str">
        <f t="shared" si="199"/>
        <v/>
      </c>
      <c r="M850" s="52" t="str">
        <f t="shared" si="204"/>
        <v/>
      </c>
      <c r="N850" s="58" t="str">
        <f t="shared" si="200"/>
        <v/>
      </c>
      <c r="Q850" s="51" t="str">
        <f t="shared" si="205"/>
        <v/>
      </c>
      <c r="R850" s="52" t="str">
        <f t="shared" si="206"/>
        <v/>
      </c>
      <c r="S850" s="58" t="str">
        <f t="shared" ref="S850:S913" si="221">IF(Q850&lt;&gt;"",(1+$M$10)^-(12*Q850),"")</f>
        <v/>
      </c>
      <c r="T850" s="52" t="str">
        <f t="shared" si="201"/>
        <v/>
      </c>
    </row>
    <row r="851" spans="2:20" ht="15.75" customHeight="1" x14ac:dyDescent="0.25">
      <c r="B851" s="33">
        <f t="shared" si="218"/>
        <v>82.5833333333333</v>
      </c>
      <c r="C851" s="34"/>
      <c r="D851" s="35">
        <f>(7/12)*D844</f>
        <v>3.9294500000000003E-2</v>
      </c>
      <c r="E851" s="36">
        <f>E844-(7/12)*F844</f>
        <v>385067.61103238858</v>
      </c>
      <c r="F851" s="36">
        <f t="shared" si="219"/>
        <v>2249.9892365873675</v>
      </c>
      <c r="G851" s="31">
        <f t="shared" si="196"/>
        <v>0.96070549999999999</v>
      </c>
      <c r="H851" s="32"/>
      <c r="I851" s="51" t="str">
        <f t="shared" si="202"/>
        <v/>
      </c>
      <c r="J851" s="51" t="str">
        <f t="shared" si="203"/>
        <v/>
      </c>
      <c r="K851" s="52" t="str">
        <f t="shared" si="220"/>
        <v/>
      </c>
      <c r="L851" s="53" t="str">
        <f t="shared" si="199"/>
        <v/>
      </c>
      <c r="M851" s="52" t="str">
        <f t="shared" si="204"/>
        <v/>
      </c>
      <c r="N851" s="58" t="str">
        <f t="shared" si="200"/>
        <v/>
      </c>
      <c r="Q851" s="51" t="str">
        <f t="shared" si="205"/>
        <v/>
      </c>
      <c r="R851" s="52" t="str">
        <f t="shared" si="206"/>
        <v/>
      </c>
      <c r="S851" s="58" t="str">
        <f t="shared" si="221"/>
        <v/>
      </c>
      <c r="T851" s="52" t="str">
        <f t="shared" si="201"/>
        <v/>
      </c>
    </row>
    <row r="852" spans="2:20" ht="15.75" customHeight="1" x14ac:dyDescent="0.25">
      <c r="B852" s="33">
        <f t="shared" si="218"/>
        <v>82.666666666666629</v>
      </c>
      <c r="C852" s="34"/>
      <c r="D852" s="35">
        <f>(8/12)*D844</f>
        <v>4.4908000000000003E-2</v>
      </c>
      <c r="E852" s="36">
        <f>E844-(8/12)*F844</f>
        <v>382817.62179580121</v>
      </c>
      <c r="F852" s="36">
        <f t="shared" si="219"/>
        <v>2249.9892365874257</v>
      </c>
      <c r="G852" s="31">
        <f t="shared" si="196"/>
        <v>0.95509200000000005</v>
      </c>
      <c r="H852" s="32"/>
      <c r="I852" s="51" t="str">
        <f t="shared" si="202"/>
        <v/>
      </c>
      <c r="J852" s="51" t="str">
        <f t="shared" si="203"/>
        <v/>
      </c>
      <c r="K852" s="52" t="str">
        <f t="shared" si="220"/>
        <v/>
      </c>
      <c r="L852" s="53" t="str">
        <f t="shared" si="199"/>
        <v/>
      </c>
      <c r="M852" s="52" t="str">
        <f t="shared" si="204"/>
        <v/>
      </c>
      <c r="N852" s="58" t="str">
        <f t="shared" si="200"/>
        <v/>
      </c>
      <c r="Q852" s="51" t="str">
        <f t="shared" si="205"/>
        <v/>
      </c>
      <c r="R852" s="52" t="str">
        <f t="shared" si="206"/>
        <v/>
      </c>
      <c r="S852" s="58" t="str">
        <f t="shared" si="221"/>
        <v/>
      </c>
      <c r="T852" s="52" t="str">
        <f t="shared" si="201"/>
        <v/>
      </c>
    </row>
    <row r="853" spans="2:20" ht="15.75" customHeight="1" x14ac:dyDescent="0.25">
      <c r="B853" s="33">
        <f t="shared" si="218"/>
        <v>82.749999999999957</v>
      </c>
      <c r="C853" s="34"/>
      <c r="D853" s="35">
        <f>(9/12)*D844</f>
        <v>5.0521500000000004E-2</v>
      </c>
      <c r="E853" s="36">
        <f>E844-(9/12)*F844</f>
        <v>380567.63255921379</v>
      </c>
      <c r="F853" s="36">
        <f t="shared" si="219"/>
        <v>2249.9892365873675</v>
      </c>
      <c r="G853" s="31">
        <f t="shared" si="196"/>
        <v>0.9494785</v>
      </c>
      <c r="H853" s="32"/>
      <c r="I853" s="51" t="str">
        <f t="shared" si="202"/>
        <v/>
      </c>
      <c r="J853" s="51" t="str">
        <f t="shared" si="203"/>
        <v/>
      </c>
      <c r="K853" s="52" t="str">
        <f t="shared" si="220"/>
        <v/>
      </c>
      <c r="L853" s="53" t="str">
        <f t="shared" si="199"/>
        <v/>
      </c>
      <c r="M853" s="52" t="str">
        <f t="shared" si="204"/>
        <v/>
      </c>
      <c r="N853" s="58" t="str">
        <f t="shared" si="200"/>
        <v/>
      </c>
      <c r="Q853" s="51" t="str">
        <f t="shared" si="205"/>
        <v/>
      </c>
      <c r="R853" s="52" t="str">
        <f t="shared" si="206"/>
        <v/>
      </c>
      <c r="S853" s="58" t="str">
        <f t="shared" si="221"/>
        <v/>
      </c>
      <c r="T853" s="52" t="str">
        <f t="shared" si="201"/>
        <v/>
      </c>
    </row>
    <row r="854" spans="2:20" ht="15.75" customHeight="1" x14ac:dyDescent="0.25">
      <c r="B854" s="33">
        <f t="shared" si="218"/>
        <v>82.833333333333286</v>
      </c>
      <c r="C854" s="34"/>
      <c r="D854" s="35">
        <f>(10/12)*D844</f>
        <v>5.6135000000000004E-2</v>
      </c>
      <c r="E854" s="36">
        <f>E844-(10/12)*F844</f>
        <v>378317.64332262642</v>
      </c>
      <c r="F854" s="36">
        <f t="shared" si="219"/>
        <v>2249.9892365874257</v>
      </c>
      <c r="G854" s="31">
        <f t="shared" si="196"/>
        <v>0.94386499999999995</v>
      </c>
      <c r="H854" s="32"/>
      <c r="I854" s="51" t="str">
        <f t="shared" si="202"/>
        <v/>
      </c>
      <c r="J854" s="51" t="str">
        <f t="shared" si="203"/>
        <v/>
      </c>
      <c r="K854" s="52" t="str">
        <f t="shared" si="220"/>
        <v/>
      </c>
      <c r="L854" s="53" t="str">
        <f t="shared" si="199"/>
        <v/>
      </c>
      <c r="M854" s="52" t="str">
        <f t="shared" si="204"/>
        <v/>
      </c>
      <c r="N854" s="58" t="str">
        <f t="shared" si="200"/>
        <v/>
      </c>
      <c r="Q854" s="51" t="str">
        <f t="shared" si="205"/>
        <v/>
      </c>
      <c r="R854" s="52" t="str">
        <f t="shared" si="206"/>
        <v/>
      </c>
      <c r="S854" s="58" t="str">
        <f t="shared" si="221"/>
        <v/>
      </c>
      <c r="T854" s="52" t="str">
        <f t="shared" si="201"/>
        <v/>
      </c>
    </row>
    <row r="855" spans="2:20" ht="15.75" customHeight="1" x14ac:dyDescent="0.25">
      <c r="B855" s="33">
        <f t="shared" si="218"/>
        <v>82.916666666666615</v>
      </c>
      <c r="C855" s="34"/>
      <c r="D855" s="35">
        <f>(11/12)*D844</f>
        <v>6.1748500000000005E-2</v>
      </c>
      <c r="E855" s="36">
        <f>E844-(11/12)*F844</f>
        <v>376067.65408603899</v>
      </c>
      <c r="F855" s="36">
        <f t="shared" si="219"/>
        <v>2249.9892365873675</v>
      </c>
      <c r="G855" s="31">
        <f t="shared" si="196"/>
        <v>0.93825150000000002</v>
      </c>
      <c r="H855" s="32"/>
      <c r="I855" s="51" t="str">
        <f t="shared" si="202"/>
        <v/>
      </c>
      <c r="J855" s="51" t="str">
        <f t="shared" si="203"/>
        <v/>
      </c>
      <c r="K855" s="52" t="str">
        <f t="shared" si="220"/>
        <v/>
      </c>
      <c r="L855" s="53" t="str">
        <f t="shared" si="199"/>
        <v/>
      </c>
      <c r="M855" s="52" t="str">
        <f t="shared" si="204"/>
        <v/>
      </c>
      <c r="N855" s="58" t="str">
        <f t="shared" si="200"/>
        <v/>
      </c>
      <c r="Q855" s="51" t="str">
        <f t="shared" si="205"/>
        <v/>
      </c>
      <c r="R855" s="52" t="str">
        <f t="shared" si="206"/>
        <v/>
      </c>
      <c r="S855" s="58" t="str">
        <f t="shared" si="221"/>
        <v/>
      </c>
      <c r="T855" s="52" t="str">
        <f t="shared" si="201"/>
        <v/>
      </c>
    </row>
    <row r="856" spans="2:20" ht="15.75" customHeight="1" x14ac:dyDescent="0.25">
      <c r="B856" s="27">
        <v>83</v>
      </c>
      <c r="C856" s="28">
        <v>72.19</v>
      </c>
      <c r="D856" s="29">
        <f>C856/1000</f>
        <v>7.2190000000000004E-2</v>
      </c>
      <c r="E856" s="30">
        <f>E844-F844</f>
        <v>373817.66484945163</v>
      </c>
      <c r="F856" s="48">
        <f>D856*E856</f>
        <v>26985.897225481913</v>
      </c>
      <c r="G856" s="31">
        <f t="shared" si="196"/>
        <v>0.92781000000000002</v>
      </c>
      <c r="H856" s="49"/>
      <c r="I856" s="51" t="str">
        <f t="shared" si="202"/>
        <v/>
      </c>
      <c r="J856" s="51" t="str">
        <f t="shared" si="203"/>
        <v/>
      </c>
      <c r="K856" s="52" t="str">
        <f t="shared" si="220"/>
        <v/>
      </c>
      <c r="L856" s="53" t="str">
        <f t="shared" si="199"/>
        <v/>
      </c>
      <c r="M856" s="52" t="str">
        <f t="shared" si="204"/>
        <v/>
      </c>
      <c r="N856" s="58" t="str">
        <f t="shared" si="200"/>
        <v/>
      </c>
      <c r="Q856" s="51" t="str">
        <f t="shared" si="205"/>
        <v/>
      </c>
      <c r="R856" s="52" t="str">
        <f t="shared" si="206"/>
        <v/>
      </c>
      <c r="S856" s="58" t="str">
        <f t="shared" si="221"/>
        <v/>
      </c>
      <c r="T856" s="52" t="str">
        <f t="shared" si="201"/>
        <v/>
      </c>
    </row>
    <row r="857" spans="2:20" ht="15.75" customHeight="1" x14ac:dyDescent="0.25">
      <c r="B857" s="33">
        <f t="shared" ref="B857:B867" si="222">B856+1/12</f>
        <v>83.083333333333329</v>
      </c>
      <c r="C857" s="34"/>
      <c r="D857" s="35">
        <f>(1/12)*D856</f>
        <v>6.0158333333333331E-3</v>
      </c>
      <c r="E857" s="36">
        <f>E856-(1/12)*F856</f>
        <v>371568.84008066147</v>
      </c>
      <c r="F857" s="36">
        <f t="shared" ref="F857:F867" si="223">E857-E858</f>
        <v>2248.8247687901603</v>
      </c>
      <c r="G857" s="31">
        <f t="shared" si="196"/>
        <v>0.99398416666666667</v>
      </c>
      <c r="H857" s="37"/>
      <c r="I857" s="51" t="str">
        <f t="shared" si="202"/>
        <v/>
      </c>
      <c r="J857" s="51" t="str">
        <f t="shared" si="203"/>
        <v/>
      </c>
      <c r="K857" s="52" t="str">
        <f t="shared" si="220"/>
        <v/>
      </c>
      <c r="L857" s="53" t="str">
        <f t="shared" si="199"/>
        <v/>
      </c>
      <c r="M857" s="52" t="str">
        <f t="shared" si="204"/>
        <v/>
      </c>
      <c r="N857" s="58" t="str">
        <f t="shared" si="200"/>
        <v/>
      </c>
      <c r="Q857" s="51" t="str">
        <f t="shared" si="205"/>
        <v/>
      </c>
      <c r="R857" s="52" t="str">
        <f t="shared" si="206"/>
        <v/>
      </c>
      <c r="S857" s="58" t="str">
        <f t="shared" si="221"/>
        <v/>
      </c>
      <c r="T857" s="52" t="str">
        <f t="shared" si="201"/>
        <v/>
      </c>
    </row>
    <row r="858" spans="2:20" ht="15.75" customHeight="1" x14ac:dyDescent="0.25">
      <c r="B858" s="33">
        <f t="shared" si="222"/>
        <v>83.166666666666657</v>
      </c>
      <c r="C858" s="34"/>
      <c r="D858" s="35">
        <f>(2/12)*D856</f>
        <v>1.2031666666666666E-2</v>
      </c>
      <c r="E858" s="36">
        <f>E856-(2/12)*F856</f>
        <v>369320.01531187131</v>
      </c>
      <c r="F858" s="36">
        <f t="shared" si="223"/>
        <v>2248.8247687901603</v>
      </c>
      <c r="G858" s="31">
        <f t="shared" si="196"/>
        <v>0.98796833333333334</v>
      </c>
      <c r="H858" s="32"/>
      <c r="I858" s="51" t="str">
        <f t="shared" si="202"/>
        <v/>
      </c>
      <c r="J858" s="51" t="str">
        <f t="shared" si="203"/>
        <v/>
      </c>
      <c r="K858" s="52" t="str">
        <f t="shared" si="220"/>
        <v/>
      </c>
      <c r="L858" s="53" t="str">
        <f t="shared" si="199"/>
        <v/>
      </c>
      <c r="M858" s="52" t="str">
        <f t="shared" si="204"/>
        <v/>
      </c>
      <c r="N858" s="58" t="str">
        <f t="shared" si="200"/>
        <v/>
      </c>
      <c r="Q858" s="51" t="str">
        <f t="shared" si="205"/>
        <v/>
      </c>
      <c r="R858" s="52" t="str">
        <f t="shared" si="206"/>
        <v/>
      </c>
      <c r="S858" s="58" t="str">
        <f t="shared" si="221"/>
        <v/>
      </c>
      <c r="T858" s="52" t="str">
        <f t="shared" si="201"/>
        <v/>
      </c>
    </row>
    <row r="859" spans="2:20" ht="15.75" customHeight="1" x14ac:dyDescent="0.25">
      <c r="B859" s="33">
        <f t="shared" si="222"/>
        <v>83.249999999999986</v>
      </c>
      <c r="C859" s="34"/>
      <c r="D859" s="35">
        <f>(3/12)*D856</f>
        <v>1.8047500000000001E-2</v>
      </c>
      <c r="E859" s="36">
        <f>E856-(3/12)*F856</f>
        <v>367071.19054308115</v>
      </c>
      <c r="F859" s="36">
        <f t="shared" si="223"/>
        <v>2248.8247687901603</v>
      </c>
      <c r="G859" s="31">
        <f t="shared" si="196"/>
        <v>0.98195250000000001</v>
      </c>
      <c r="H859" s="32"/>
      <c r="I859" s="51" t="str">
        <f t="shared" si="202"/>
        <v/>
      </c>
      <c r="J859" s="51" t="str">
        <f t="shared" si="203"/>
        <v/>
      </c>
      <c r="K859" s="52" t="str">
        <f t="shared" si="220"/>
        <v/>
      </c>
      <c r="L859" s="53" t="str">
        <f t="shared" si="199"/>
        <v/>
      </c>
      <c r="M859" s="52" t="str">
        <f t="shared" si="204"/>
        <v/>
      </c>
      <c r="N859" s="58" t="str">
        <f t="shared" si="200"/>
        <v/>
      </c>
      <c r="Q859" s="51" t="str">
        <f t="shared" si="205"/>
        <v/>
      </c>
      <c r="R859" s="52" t="str">
        <f t="shared" si="206"/>
        <v/>
      </c>
      <c r="S859" s="58" t="str">
        <f t="shared" si="221"/>
        <v/>
      </c>
      <c r="T859" s="52" t="str">
        <f t="shared" si="201"/>
        <v/>
      </c>
    </row>
    <row r="860" spans="2:20" ht="15.75" customHeight="1" x14ac:dyDescent="0.25">
      <c r="B860" s="33">
        <f t="shared" si="222"/>
        <v>83.333333333333314</v>
      </c>
      <c r="C860" s="34"/>
      <c r="D860" s="35">
        <f>(4/12)*D856</f>
        <v>2.4063333333333332E-2</v>
      </c>
      <c r="E860" s="36">
        <f>E856-(4/12)*F856</f>
        <v>364822.36577429099</v>
      </c>
      <c r="F860" s="36">
        <f t="shared" si="223"/>
        <v>2248.8247687901603</v>
      </c>
      <c r="G860" s="31">
        <f t="shared" si="196"/>
        <v>0.97593666666666667</v>
      </c>
      <c r="H860" s="32"/>
      <c r="I860" s="51" t="str">
        <f t="shared" si="202"/>
        <v/>
      </c>
      <c r="J860" s="51" t="str">
        <f t="shared" si="203"/>
        <v/>
      </c>
      <c r="K860" s="52" t="str">
        <f t="shared" si="220"/>
        <v/>
      </c>
      <c r="L860" s="53" t="str">
        <f t="shared" si="199"/>
        <v/>
      </c>
      <c r="M860" s="52" t="str">
        <f t="shared" si="204"/>
        <v/>
      </c>
      <c r="N860" s="58" t="str">
        <f t="shared" si="200"/>
        <v/>
      </c>
      <c r="Q860" s="51" t="str">
        <f t="shared" si="205"/>
        <v/>
      </c>
      <c r="R860" s="52" t="str">
        <f t="shared" si="206"/>
        <v/>
      </c>
      <c r="S860" s="58" t="str">
        <f t="shared" si="221"/>
        <v/>
      </c>
      <c r="T860" s="52" t="str">
        <f t="shared" si="201"/>
        <v/>
      </c>
    </row>
    <row r="861" spans="2:20" ht="15.75" customHeight="1" x14ac:dyDescent="0.25">
      <c r="B861" s="33">
        <f t="shared" si="222"/>
        <v>83.416666666666643</v>
      </c>
      <c r="C861" s="34"/>
      <c r="D861" s="35">
        <f>(5/12)*D856</f>
        <v>3.0079166666666671E-2</v>
      </c>
      <c r="E861" s="36">
        <f>E856-(5/12)*F856</f>
        <v>362573.54100550083</v>
      </c>
      <c r="F861" s="36">
        <f t="shared" si="223"/>
        <v>2248.8247687901603</v>
      </c>
      <c r="G861" s="31">
        <f t="shared" si="196"/>
        <v>0.96992083333333334</v>
      </c>
      <c r="H861" s="32"/>
      <c r="I861" s="51" t="str">
        <f t="shared" si="202"/>
        <v/>
      </c>
      <c r="J861" s="51" t="str">
        <f t="shared" si="203"/>
        <v/>
      </c>
      <c r="K861" s="52" t="str">
        <f t="shared" si="220"/>
        <v/>
      </c>
      <c r="L861" s="53" t="str">
        <f t="shared" si="199"/>
        <v/>
      </c>
      <c r="M861" s="52" t="str">
        <f t="shared" si="204"/>
        <v/>
      </c>
      <c r="N861" s="58" t="str">
        <f t="shared" si="200"/>
        <v/>
      </c>
      <c r="Q861" s="51" t="str">
        <f t="shared" si="205"/>
        <v/>
      </c>
      <c r="R861" s="52" t="str">
        <f t="shared" si="206"/>
        <v/>
      </c>
      <c r="S861" s="58" t="str">
        <f t="shared" si="221"/>
        <v/>
      </c>
      <c r="T861" s="52" t="str">
        <f t="shared" si="201"/>
        <v/>
      </c>
    </row>
    <row r="862" spans="2:20" ht="15.75" customHeight="1" x14ac:dyDescent="0.25">
      <c r="B862" s="33">
        <f t="shared" si="222"/>
        <v>83.499999999999972</v>
      </c>
      <c r="C862" s="34"/>
      <c r="D862" s="35">
        <f>(6/12)*D856</f>
        <v>3.6095000000000002E-2</v>
      </c>
      <c r="E862" s="36">
        <f>E856-(6/12)*F856</f>
        <v>360324.71623671066</v>
      </c>
      <c r="F862" s="36">
        <f t="shared" si="223"/>
        <v>2248.8247687901603</v>
      </c>
      <c r="G862" s="31">
        <f t="shared" si="196"/>
        <v>0.96390500000000001</v>
      </c>
      <c r="H862" s="32"/>
      <c r="I862" s="51" t="str">
        <f t="shared" si="202"/>
        <v/>
      </c>
      <c r="J862" s="51" t="str">
        <f t="shared" si="203"/>
        <v/>
      </c>
      <c r="K862" s="52" t="str">
        <f t="shared" si="220"/>
        <v/>
      </c>
      <c r="L862" s="53" t="str">
        <f t="shared" si="199"/>
        <v/>
      </c>
      <c r="M862" s="52" t="str">
        <f t="shared" si="204"/>
        <v/>
      </c>
      <c r="N862" s="58" t="str">
        <f t="shared" si="200"/>
        <v/>
      </c>
      <c r="Q862" s="51" t="str">
        <f t="shared" si="205"/>
        <v/>
      </c>
      <c r="R862" s="52" t="str">
        <f t="shared" si="206"/>
        <v/>
      </c>
      <c r="S862" s="58" t="str">
        <f t="shared" si="221"/>
        <v/>
      </c>
      <c r="T862" s="52" t="str">
        <f t="shared" si="201"/>
        <v/>
      </c>
    </row>
    <row r="863" spans="2:20" ht="15.75" customHeight="1" x14ac:dyDescent="0.25">
      <c r="B863" s="33">
        <f t="shared" si="222"/>
        <v>83.5833333333333</v>
      </c>
      <c r="C863" s="34"/>
      <c r="D863" s="35">
        <f>(7/12)*D856</f>
        <v>4.211083333333334E-2</v>
      </c>
      <c r="E863" s="36">
        <f>E856-(7/12)*F856</f>
        <v>358075.8914679205</v>
      </c>
      <c r="F863" s="36">
        <f t="shared" si="223"/>
        <v>2248.8247687901603</v>
      </c>
      <c r="G863" s="31">
        <f t="shared" si="196"/>
        <v>0.95788916666666668</v>
      </c>
      <c r="H863" s="32"/>
      <c r="I863" s="51" t="str">
        <f t="shared" si="202"/>
        <v/>
      </c>
      <c r="J863" s="51" t="str">
        <f t="shared" si="203"/>
        <v/>
      </c>
      <c r="K863" s="52" t="str">
        <f t="shared" si="220"/>
        <v/>
      </c>
      <c r="L863" s="53" t="str">
        <f t="shared" si="199"/>
        <v/>
      </c>
      <c r="M863" s="52" t="str">
        <f t="shared" si="204"/>
        <v/>
      </c>
      <c r="N863" s="58" t="str">
        <f t="shared" si="200"/>
        <v/>
      </c>
      <c r="Q863" s="51" t="str">
        <f t="shared" si="205"/>
        <v/>
      </c>
      <c r="R863" s="52" t="str">
        <f t="shared" si="206"/>
        <v/>
      </c>
      <c r="S863" s="58" t="str">
        <f t="shared" si="221"/>
        <v/>
      </c>
      <c r="T863" s="52" t="str">
        <f t="shared" si="201"/>
        <v/>
      </c>
    </row>
    <row r="864" spans="2:20" ht="15.75" customHeight="1" x14ac:dyDescent="0.25">
      <c r="B864" s="33">
        <f t="shared" si="222"/>
        <v>83.666666666666629</v>
      </c>
      <c r="C864" s="34"/>
      <c r="D864" s="35">
        <f>(8/12)*D856</f>
        <v>4.8126666666666665E-2</v>
      </c>
      <c r="E864" s="36">
        <f>E856-(8/12)*F856</f>
        <v>355827.06669913034</v>
      </c>
      <c r="F864" s="36">
        <f t="shared" si="223"/>
        <v>2248.8247687901603</v>
      </c>
      <c r="G864" s="31">
        <f t="shared" si="196"/>
        <v>0.95187333333333335</v>
      </c>
      <c r="H864" s="32"/>
      <c r="I864" s="51" t="str">
        <f t="shared" si="202"/>
        <v/>
      </c>
      <c r="J864" s="51" t="str">
        <f t="shared" si="203"/>
        <v/>
      </c>
      <c r="K864" s="52" t="str">
        <f t="shared" si="220"/>
        <v/>
      </c>
      <c r="L864" s="53" t="str">
        <f t="shared" si="199"/>
        <v/>
      </c>
      <c r="M864" s="52" t="str">
        <f t="shared" si="204"/>
        <v/>
      </c>
      <c r="N864" s="58" t="str">
        <f t="shared" si="200"/>
        <v/>
      </c>
      <c r="Q864" s="51" t="str">
        <f t="shared" si="205"/>
        <v/>
      </c>
      <c r="R864" s="52" t="str">
        <f t="shared" si="206"/>
        <v/>
      </c>
      <c r="S864" s="58" t="str">
        <f t="shared" si="221"/>
        <v/>
      </c>
      <c r="T864" s="52" t="str">
        <f t="shared" si="201"/>
        <v/>
      </c>
    </row>
    <row r="865" spans="2:20" ht="15.75" customHeight="1" x14ac:dyDescent="0.25">
      <c r="B865" s="33">
        <f t="shared" si="222"/>
        <v>83.749999999999957</v>
      </c>
      <c r="C865" s="34"/>
      <c r="D865" s="35">
        <f>(9/12)*D856</f>
        <v>5.4142500000000003E-2</v>
      </c>
      <c r="E865" s="36">
        <f>E856-(9/12)*F856</f>
        <v>353578.24193034018</v>
      </c>
      <c r="F865" s="36">
        <f t="shared" si="223"/>
        <v>2248.8247687901603</v>
      </c>
      <c r="G865" s="31">
        <f t="shared" si="196"/>
        <v>0.94585750000000002</v>
      </c>
      <c r="H865" s="32"/>
      <c r="I865" s="51" t="str">
        <f t="shared" si="202"/>
        <v/>
      </c>
      <c r="J865" s="51" t="str">
        <f t="shared" si="203"/>
        <v/>
      </c>
      <c r="K865" s="52" t="str">
        <f t="shared" si="220"/>
        <v/>
      </c>
      <c r="L865" s="53" t="str">
        <f t="shared" si="199"/>
        <v/>
      </c>
      <c r="M865" s="52" t="str">
        <f t="shared" si="204"/>
        <v/>
      </c>
      <c r="N865" s="58" t="str">
        <f t="shared" si="200"/>
        <v/>
      </c>
      <c r="Q865" s="51" t="str">
        <f t="shared" si="205"/>
        <v/>
      </c>
      <c r="R865" s="52" t="str">
        <f t="shared" si="206"/>
        <v/>
      </c>
      <c r="S865" s="58" t="str">
        <f t="shared" si="221"/>
        <v/>
      </c>
      <c r="T865" s="52" t="str">
        <f t="shared" si="201"/>
        <v/>
      </c>
    </row>
    <row r="866" spans="2:20" ht="15.75" customHeight="1" x14ac:dyDescent="0.25">
      <c r="B866" s="33">
        <f t="shared" si="222"/>
        <v>83.833333333333286</v>
      </c>
      <c r="C866" s="34"/>
      <c r="D866" s="35">
        <f>(10/12)*D856</f>
        <v>6.0158333333333341E-2</v>
      </c>
      <c r="E866" s="36">
        <f>E856-(10/12)*F856</f>
        <v>351329.41716155002</v>
      </c>
      <c r="F866" s="36">
        <f t="shared" si="223"/>
        <v>2248.8247687901603</v>
      </c>
      <c r="G866" s="31">
        <f t="shared" si="196"/>
        <v>0.93984166666666669</v>
      </c>
      <c r="H866" s="32"/>
      <c r="I866" s="51" t="str">
        <f t="shared" si="202"/>
        <v/>
      </c>
      <c r="J866" s="51" t="str">
        <f t="shared" si="203"/>
        <v/>
      </c>
      <c r="K866" s="52" t="str">
        <f t="shared" si="220"/>
        <v/>
      </c>
      <c r="L866" s="53" t="str">
        <f t="shared" si="199"/>
        <v/>
      </c>
      <c r="M866" s="52" t="str">
        <f t="shared" si="204"/>
        <v/>
      </c>
      <c r="N866" s="58" t="str">
        <f t="shared" si="200"/>
        <v/>
      </c>
      <c r="Q866" s="51" t="str">
        <f t="shared" si="205"/>
        <v/>
      </c>
      <c r="R866" s="52" t="str">
        <f t="shared" si="206"/>
        <v/>
      </c>
      <c r="S866" s="58" t="str">
        <f t="shared" si="221"/>
        <v/>
      </c>
      <c r="T866" s="52" t="str">
        <f t="shared" si="201"/>
        <v/>
      </c>
    </row>
    <row r="867" spans="2:20" ht="15.75" customHeight="1" x14ac:dyDescent="0.25">
      <c r="B867" s="33">
        <f t="shared" si="222"/>
        <v>83.916666666666615</v>
      </c>
      <c r="C867" s="34"/>
      <c r="D867" s="35">
        <f>(11/12)*D856</f>
        <v>6.6174166666666673E-2</v>
      </c>
      <c r="E867" s="36">
        <f>E856-(11/12)*F856</f>
        <v>349080.59239275986</v>
      </c>
      <c r="F867" s="36">
        <f t="shared" si="223"/>
        <v>2248.8247687901603</v>
      </c>
      <c r="G867" s="31">
        <f t="shared" si="196"/>
        <v>0.93382583333333335</v>
      </c>
      <c r="H867" s="32"/>
      <c r="I867" s="51" t="str">
        <f t="shared" si="202"/>
        <v/>
      </c>
      <c r="J867" s="51" t="str">
        <f t="shared" si="203"/>
        <v/>
      </c>
      <c r="K867" s="52" t="str">
        <f t="shared" si="220"/>
        <v/>
      </c>
      <c r="L867" s="53" t="str">
        <f t="shared" si="199"/>
        <v/>
      </c>
      <c r="M867" s="52" t="str">
        <f t="shared" si="204"/>
        <v/>
      </c>
      <c r="N867" s="58" t="str">
        <f t="shared" si="200"/>
        <v/>
      </c>
      <c r="Q867" s="51" t="str">
        <f t="shared" si="205"/>
        <v/>
      </c>
      <c r="R867" s="52" t="str">
        <f t="shared" si="206"/>
        <v/>
      </c>
      <c r="S867" s="58" t="str">
        <f t="shared" si="221"/>
        <v/>
      </c>
      <c r="T867" s="52" t="str">
        <f t="shared" si="201"/>
        <v/>
      </c>
    </row>
    <row r="868" spans="2:20" ht="15.75" customHeight="1" x14ac:dyDescent="0.25">
      <c r="B868" s="27">
        <v>84</v>
      </c>
      <c r="C868" s="28">
        <v>77.337000000000003</v>
      </c>
      <c r="D868" s="29">
        <f>C868/1000</f>
        <v>7.7337000000000003E-2</v>
      </c>
      <c r="E868" s="30">
        <f>E856-F856</f>
        <v>346831.7676239697</v>
      </c>
      <c r="F868" s="48">
        <f>D868*E868</f>
        <v>26822.928412734946</v>
      </c>
      <c r="G868" s="31">
        <f t="shared" si="196"/>
        <v>0.92266300000000001</v>
      </c>
      <c r="H868" s="49"/>
      <c r="I868" s="51" t="str">
        <f t="shared" si="202"/>
        <v/>
      </c>
      <c r="J868" s="51" t="str">
        <f t="shared" si="203"/>
        <v/>
      </c>
      <c r="K868" s="52" t="str">
        <f t="shared" si="220"/>
        <v/>
      </c>
      <c r="L868" s="53" t="str">
        <f t="shared" si="199"/>
        <v/>
      </c>
      <c r="M868" s="52" t="str">
        <f t="shared" si="204"/>
        <v/>
      </c>
      <c r="N868" s="58" t="str">
        <f t="shared" si="200"/>
        <v/>
      </c>
      <c r="Q868" s="51" t="str">
        <f t="shared" si="205"/>
        <v/>
      </c>
      <c r="R868" s="52" t="str">
        <f t="shared" si="206"/>
        <v/>
      </c>
      <c r="S868" s="58" t="str">
        <f t="shared" si="221"/>
        <v/>
      </c>
      <c r="T868" s="52" t="str">
        <f t="shared" si="201"/>
        <v/>
      </c>
    </row>
    <row r="869" spans="2:20" ht="15.75" customHeight="1" x14ac:dyDescent="0.25">
      <c r="B869" s="33">
        <f t="shared" ref="B869:B879" si="224">B868+1/12</f>
        <v>84.083333333333329</v>
      </c>
      <c r="C869" s="34"/>
      <c r="D869" s="35">
        <f>(1/12)*D868</f>
        <v>6.44475E-3</v>
      </c>
      <c r="E869" s="36">
        <f>E868-(1/12)*F868</f>
        <v>344596.52358957514</v>
      </c>
      <c r="F869" s="36">
        <f t="shared" ref="F869:F879" si="225">E869-E870</f>
        <v>2235.2440343946218</v>
      </c>
      <c r="G869" s="31">
        <f t="shared" si="196"/>
        <v>0.99355525</v>
      </c>
      <c r="H869" s="37"/>
      <c r="I869" s="51" t="str">
        <f t="shared" si="202"/>
        <v/>
      </c>
      <c r="J869" s="51" t="str">
        <f t="shared" si="203"/>
        <v/>
      </c>
      <c r="K869" s="52" t="str">
        <f t="shared" si="220"/>
        <v/>
      </c>
      <c r="L869" s="53" t="str">
        <f t="shared" si="199"/>
        <v/>
      </c>
      <c r="M869" s="52" t="str">
        <f t="shared" si="204"/>
        <v/>
      </c>
      <c r="N869" s="58" t="str">
        <f t="shared" si="200"/>
        <v/>
      </c>
      <c r="Q869" s="51" t="str">
        <f t="shared" si="205"/>
        <v/>
      </c>
      <c r="R869" s="52" t="str">
        <f t="shared" si="206"/>
        <v/>
      </c>
      <c r="S869" s="58" t="str">
        <f t="shared" si="221"/>
        <v/>
      </c>
      <c r="T869" s="52" t="str">
        <f t="shared" si="201"/>
        <v/>
      </c>
    </row>
    <row r="870" spans="2:20" ht="15.75" customHeight="1" x14ac:dyDescent="0.25">
      <c r="B870" s="33">
        <f t="shared" si="224"/>
        <v>84.166666666666657</v>
      </c>
      <c r="C870" s="34"/>
      <c r="D870" s="35">
        <f>(2/12)*D868</f>
        <v>1.28895E-2</v>
      </c>
      <c r="E870" s="36">
        <f>E868-(2/12)*F868</f>
        <v>342361.27955518052</v>
      </c>
      <c r="F870" s="36">
        <f t="shared" si="225"/>
        <v>2235.2440343945636</v>
      </c>
      <c r="G870" s="31">
        <f t="shared" si="196"/>
        <v>0.9871105</v>
      </c>
      <c r="H870" s="32"/>
      <c r="I870" s="51" t="str">
        <f t="shared" si="202"/>
        <v/>
      </c>
      <c r="J870" s="51" t="str">
        <f t="shared" si="203"/>
        <v/>
      </c>
      <c r="K870" s="52" t="str">
        <f t="shared" si="220"/>
        <v/>
      </c>
      <c r="L870" s="53" t="str">
        <f t="shared" si="199"/>
        <v/>
      </c>
      <c r="M870" s="52" t="str">
        <f t="shared" si="204"/>
        <v/>
      </c>
      <c r="N870" s="58" t="str">
        <f t="shared" si="200"/>
        <v/>
      </c>
      <c r="Q870" s="51" t="str">
        <f t="shared" si="205"/>
        <v/>
      </c>
      <c r="R870" s="52" t="str">
        <f t="shared" si="206"/>
        <v/>
      </c>
      <c r="S870" s="58" t="str">
        <f t="shared" si="221"/>
        <v/>
      </c>
      <c r="T870" s="52" t="str">
        <f t="shared" si="201"/>
        <v/>
      </c>
    </row>
    <row r="871" spans="2:20" ht="15.75" customHeight="1" x14ac:dyDescent="0.25">
      <c r="B871" s="33">
        <f t="shared" si="224"/>
        <v>84.249999999999986</v>
      </c>
      <c r="C871" s="34"/>
      <c r="D871" s="35">
        <f>(3/12)*D868</f>
        <v>1.9334250000000001E-2</v>
      </c>
      <c r="E871" s="36">
        <f>E868-(3/12)*F868</f>
        <v>340126.03552078595</v>
      </c>
      <c r="F871" s="36">
        <f t="shared" si="225"/>
        <v>2235.2440343945636</v>
      </c>
      <c r="G871" s="31">
        <f t="shared" si="196"/>
        <v>0.98066575</v>
      </c>
      <c r="H871" s="32"/>
      <c r="I871" s="51" t="str">
        <f t="shared" si="202"/>
        <v/>
      </c>
      <c r="J871" s="51" t="str">
        <f t="shared" si="203"/>
        <v/>
      </c>
      <c r="K871" s="52" t="str">
        <f t="shared" si="220"/>
        <v/>
      </c>
      <c r="L871" s="53" t="str">
        <f t="shared" si="199"/>
        <v/>
      </c>
      <c r="M871" s="52" t="str">
        <f t="shared" si="204"/>
        <v/>
      </c>
      <c r="N871" s="58" t="str">
        <f t="shared" si="200"/>
        <v/>
      </c>
      <c r="Q871" s="51" t="str">
        <f t="shared" si="205"/>
        <v/>
      </c>
      <c r="R871" s="52" t="str">
        <f t="shared" si="206"/>
        <v/>
      </c>
      <c r="S871" s="58" t="str">
        <f t="shared" si="221"/>
        <v/>
      </c>
      <c r="T871" s="52" t="str">
        <f t="shared" si="201"/>
        <v/>
      </c>
    </row>
    <row r="872" spans="2:20" ht="15.75" customHeight="1" x14ac:dyDescent="0.25">
      <c r="B872" s="33">
        <f t="shared" si="224"/>
        <v>84.333333333333314</v>
      </c>
      <c r="C872" s="34"/>
      <c r="D872" s="35">
        <f>(4/12)*D868</f>
        <v>2.5779E-2</v>
      </c>
      <c r="E872" s="36">
        <f>E868-(4/12)*F868</f>
        <v>337890.79148639139</v>
      </c>
      <c r="F872" s="36">
        <f t="shared" si="225"/>
        <v>2235.2440343945636</v>
      </c>
      <c r="G872" s="31">
        <f t="shared" si="196"/>
        <v>0.974221</v>
      </c>
      <c r="H872" s="32"/>
      <c r="I872" s="51" t="str">
        <f t="shared" si="202"/>
        <v/>
      </c>
      <c r="J872" s="51" t="str">
        <f t="shared" si="203"/>
        <v/>
      </c>
      <c r="K872" s="52" t="str">
        <f t="shared" si="220"/>
        <v/>
      </c>
      <c r="L872" s="53" t="str">
        <f t="shared" si="199"/>
        <v/>
      </c>
      <c r="M872" s="52" t="str">
        <f t="shared" si="204"/>
        <v/>
      </c>
      <c r="N872" s="58" t="str">
        <f t="shared" si="200"/>
        <v/>
      </c>
      <c r="Q872" s="51" t="str">
        <f t="shared" si="205"/>
        <v/>
      </c>
      <c r="R872" s="52" t="str">
        <f t="shared" si="206"/>
        <v/>
      </c>
      <c r="S872" s="58" t="str">
        <f t="shared" si="221"/>
        <v/>
      </c>
      <c r="T872" s="52" t="str">
        <f t="shared" si="201"/>
        <v/>
      </c>
    </row>
    <row r="873" spans="2:20" ht="15.75" customHeight="1" x14ac:dyDescent="0.25">
      <c r="B873" s="33">
        <f t="shared" si="224"/>
        <v>84.416666666666643</v>
      </c>
      <c r="C873" s="34"/>
      <c r="D873" s="35">
        <f>(5/12)*D868</f>
        <v>3.2223750000000002E-2</v>
      </c>
      <c r="E873" s="36">
        <f>E868-(5/12)*F868</f>
        <v>335655.54745199683</v>
      </c>
      <c r="F873" s="36">
        <f t="shared" si="225"/>
        <v>2235.2440343946218</v>
      </c>
      <c r="G873" s="31">
        <f t="shared" si="196"/>
        <v>0.96777625</v>
      </c>
      <c r="H873" s="32"/>
      <c r="I873" s="51" t="str">
        <f t="shared" si="202"/>
        <v/>
      </c>
      <c r="J873" s="51" t="str">
        <f t="shared" si="203"/>
        <v/>
      </c>
      <c r="K873" s="52" t="str">
        <f t="shared" si="220"/>
        <v/>
      </c>
      <c r="L873" s="53" t="str">
        <f t="shared" si="199"/>
        <v/>
      </c>
      <c r="M873" s="52" t="str">
        <f t="shared" si="204"/>
        <v/>
      </c>
      <c r="N873" s="58" t="str">
        <f t="shared" si="200"/>
        <v/>
      </c>
      <c r="Q873" s="51" t="str">
        <f t="shared" si="205"/>
        <v/>
      </c>
      <c r="R873" s="52" t="str">
        <f t="shared" si="206"/>
        <v/>
      </c>
      <c r="S873" s="58" t="str">
        <f t="shared" si="221"/>
        <v/>
      </c>
      <c r="T873" s="52" t="str">
        <f t="shared" si="201"/>
        <v/>
      </c>
    </row>
    <row r="874" spans="2:20" ht="15.75" customHeight="1" x14ac:dyDescent="0.25">
      <c r="B874" s="33">
        <f t="shared" si="224"/>
        <v>84.499999999999972</v>
      </c>
      <c r="C874" s="34"/>
      <c r="D874" s="35">
        <f>(6/12)*D868</f>
        <v>3.8668500000000001E-2</v>
      </c>
      <c r="E874" s="36">
        <f>E868-(6/12)*F868</f>
        <v>333420.3034176022</v>
      </c>
      <c r="F874" s="36">
        <f t="shared" si="225"/>
        <v>2235.2440343945636</v>
      </c>
      <c r="G874" s="31">
        <f t="shared" si="196"/>
        <v>0.96133150000000001</v>
      </c>
      <c r="H874" s="32"/>
      <c r="I874" s="51" t="str">
        <f t="shared" si="202"/>
        <v/>
      </c>
      <c r="J874" s="51" t="str">
        <f t="shared" si="203"/>
        <v/>
      </c>
      <c r="K874" s="52" t="str">
        <f t="shared" si="220"/>
        <v/>
      </c>
      <c r="L874" s="53" t="str">
        <f t="shared" si="199"/>
        <v/>
      </c>
      <c r="M874" s="52" t="str">
        <f t="shared" si="204"/>
        <v/>
      </c>
      <c r="N874" s="58" t="str">
        <f t="shared" si="200"/>
        <v/>
      </c>
      <c r="Q874" s="51" t="str">
        <f t="shared" si="205"/>
        <v/>
      </c>
      <c r="R874" s="52" t="str">
        <f t="shared" si="206"/>
        <v/>
      </c>
      <c r="S874" s="58" t="str">
        <f t="shared" si="221"/>
        <v/>
      </c>
      <c r="T874" s="52" t="str">
        <f t="shared" si="201"/>
        <v/>
      </c>
    </row>
    <row r="875" spans="2:20" ht="15.75" customHeight="1" x14ac:dyDescent="0.25">
      <c r="B875" s="33">
        <f t="shared" si="224"/>
        <v>84.5833333333333</v>
      </c>
      <c r="C875" s="34"/>
      <c r="D875" s="35">
        <f>(7/12)*D868</f>
        <v>4.5113250000000008E-2</v>
      </c>
      <c r="E875" s="36">
        <f>E868-(7/12)*F868</f>
        <v>331185.05938320764</v>
      </c>
      <c r="F875" s="36">
        <f t="shared" si="225"/>
        <v>2235.2440343945636</v>
      </c>
      <c r="G875" s="31">
        <f t="shared" si="196"/>
        <v>0.95488675000000001</v>
      </c>
      <c r="H875" s="32"/>
      <c r="I875" s="51" t="str">
        <f t="shared" si="202"/>
        <v/>
      </c>
      <c r="J875" s="51" t="str">
        <f t="shared" si="203"/>
        <v/>
      </c>
      <c r="K875" s="52" t="str">
        <f t="shared" si="220"/>
        <v/>
      </c>
      <c r="L875" s="53" t="str">
        <f t="shared" si="199"/>
        <v/>
      </c>
      <c r="M875" s="52" t="str">
        <f t="shared" si="204"/>
        <v/>
      </c>
      <c r="N875" s="58" t="str">
        <f t="shared" si="200"/>
        <v/>
      </c>
      <c r="Q875" s="51" t="str">
        <f t="shared" si="205"/>
        <v/>
      </c>
      <c r="R875" s="52" t="str">
        <f t="shared" si="206"/>
        <v/>
      </c>
      <c r="S875" s="58" t="str">
        <f t="shared" si="221"/>
        <v/>
      </c>
      <c r="T875" s="52" t="str">
        <f t="shared" si="201"/>
        <v/>
      </c>
    </row>
    <row r="876" spans="2:20" ht="15.75" customHeight="1" x14ac:dyDescent="0.25">
      <c r="B876" s="33">
        <f t="shared" si="224"/>
        <v>84.666666666666629</v>
      </c>
      <c r="C876" s="34"/>
      <c r="D876" s="35">
        <f>(8/12)*D868</f>
        <v>5.1558E-2</v>
      </c>
      <c r="E876" s="36">
        <f>E868-(8/12)*F868</f>
        <v>328949.81534881308</v>
      </c>
      <c r="F876" s="36">
        <f t="shared" si="225"/>
        <v>2235.2440343945636</v>
      </c>
      <c r="G876" s="31">
        <f t="shared" si="196"/>
        <v>0.94844200000000001</v>
      </c>
      <c r="H876" s="32"/>
      <c r="I876" s="51" t="str">
        <f t="shared" si="202"/>
        <v/>
      </c>
      <c r="J876" s="51" t="str">
        <f t="shared" si="203"/>
        <v/>
      </c>
      <c r="K876" s="52" t="str">
        <f t="shared" si="220"/>
        <v/>
      </c>
      <c r="L876" s="53" t="str">
        <f t="shared" si="199"/>
        <v/>
      </c>
      <c r="M876" s="52" t="str">
        <f t="shared" si="204"/>
        <v/>
      </c>
      <c r="N876" s="58" t="str">
        <f t="shared" si="200"/>
        <v/>
      </c>
      <c r="Q876" s="51" t="str">
        <f t="shared" si="205"/>
        <v/>
      </c>
      <c r="R876" s="52" t="str">
        <f t="shared" si="206"/>
        <v/>
      </c>
      <c r="S876" s="58" t="str">
        <f t="shared" si="221"/>
        <v/>
      </c>
      <c r="T876" s="52" t="str">
        <f t="shared" si="201"/>
        <v/>
      </c>
    </row>
    <row r="877" spans="2:20" ht="15.75" customHeight="1" x14ac:dyDescent="0.25">
      <c r="B877" s="33">
        <f t="shared" si="224"/>
        <v>84.749999999999957</v>
      </c>
      <c r="C877" s="34"/>
      <c r="D877" s="35">
        <f>(9/12)*D868</f>
        <v>5.8002750000000006E-2</v>
      </c>
      <c r="E877" s="36">
        <f>E868-(9/12)*F868</f>
        <v>326714.57131441851</v>
      </c>
      <c r="F877" s="36">
        <f t="shared" si="225"/>
        <v>2235.2440343946218</v>
      </c>
      <c r="G877" s="31">
        <f t="shared" si="196"/>
        <v>0.94199725000000001</v>
      </c>
      <c r="H877" s="32"/>
      <c r="I877" s="51" t="str">
        <f t="shared" si="202"/>
        <v/>
      </c>
      <c r="J877" s="51" t="str">
        <f t="shared" si="203"/>
        <v/>
      </c>
      <c r="K877" s="52" t="str">
        <f t="shared" si="220"/>
        <v/>
      </c>
      <c r="L877" s="53" t="str">
        <f t="shared" si="199"/>
        <v/>
      </c>
      <c r="M877" s="52" t="str">
        <f t="shared" si="204"/>
        <v/>
      </c>
      <c r="N877" s="58" t="str">
        <f t="shared" si="200"/>
        <v/>
      </c>
      <c r="Q877" s="51" t="str">
        <f t="shared" si="205"/>
        <v/>
      </c>
      <c r="R877" s="52" t="str">
        <f t="shared" si="206"/>
        <v/>
      </c>
      <c r="S877" s="58" t="str">
        <f t="shared" si="221"/>
        <v/>
      </c>
      <c r="T877" s="52" t="str">
        <f t="shared" si="201"/>
        <v/>
      </c>
    </row>
    <row r="878" spans="2:20" ht="15.75" customHeight="1" x14ac:dyDescent="0.25">
      <c r="B878" s="33">
        <f t="shared" si="224"/>
        <v>84.833333333333286</v>
      </c>
      <c r="C878" s="34"/>
      <c r="D878" s="35">
        <f>(10/12)*D868</f>
        <v>6.4447500000000005E-2</v>
      </c>
      <c r="E878" s="36">
        <f>E868-(10/12)*F868</f>
        <v>324479.32728002389</v>
      </c>
      <c r="F878" s="36">
        <f t="shared" si="225"/>
        <v>2235.2440343945636</v>
      </c>
      <c r="G878" s="31">
        <f t="shared" si="196"/>
        <v>0.93555250000000001</v>
      </c>
      <c r="H878" s="32"/>
      <c r="I878" s="51" t="str">
        <f t="shared" si="202"/>
        <v/>
      </c>
      <c r="J878" s="51" t="str">
        <f t="shared" si="203"/>
        <v/>
      </c>
      <c r="K878" s="52" t="str">
        <f t="shared" si="220"/>
        <v/>
      </c>
      <c r="L878" s="53" t="str">
        <f t="shared" si="199"/>
        <v/>
      </c>
      <c r="M878" s="52" t="str">
        <f t="shared" si="204"/>
        <v/>
      </c>
      <c r="N878" s="58" t="str">
        <f t="shared" si="200"/>
        <v/>
      </c>
      <c r="Q878" s="51" t="str">
        <f t="shared" si="205"/>
        <v/>
      </c>
      <c r="R878" s="52" t="str">
        <f t="shared" si="206"/>
        <v/>
      </c>
      <c r="S878" s="58" t="str">
        <f t="shared" si="221"/>
        <v/>
      </c>
      <c r="T878" s="52" t="str">
        <f t="shared" si="201"/>
        <v/>
      </c>
    </row>
    <row r="879" spans="2:20" ht="15.75" customHeight="1" x14ac:dyDescent="0.25">
      <c r="B879" s="33">
        <f t="shared" si="224"/>
        <v>84.916666666666615</v>
      </c>
      <c r="C879" s="34"/>
      <c r="D879" s="35">
        <f>(11/12)*D868</f>
        <v>7.0892250000000004E-2</v>
      </c>
      <c r="E879" s="36">
        <f>E868-(11/12)*F868</f>
        <v>322244.08324562933</v>
      </c>
      <c r="F879" s="36">
        <f t="shared" si="225"/>
        <v>2235.2440343945636</v>
      </c>
      <c r="G879" s="31">
        <f t="shared" si="196"/>
        <v>0.92910775000000001</v>
      </c>
      <c r="H879" s="32"/>
      <c r="I879" s="51" t="str">
        <f t="shared" si="202"/>
        <v/>
      </c>
      <c r="J879" s="51" t="str">
        <f t="shared" si="203"/>
        <v/>
      </c>
      <c r="K879" s="52" t="str">
        <f t="shared" si="220"/>
        <v/>
      </c>
      <c r="L879" s="53" t="str">
        <f t="shared" si="199"/>
        <v/>
      </c>
      <c r="M879" s="52" t="str">
        <f t="shared" si="204"/>
        <v/>
      </c>
      <c r="N879" s="58" t="str">
        <f t="shared" si="200"/>
        <v/>
      </c>
      <c r="Q879" s="51" t="str">
        <f t="shared" si="205"/>
        <v/>
      </c>
      <c r="R879" s="52" t="str">
        <f t="shared" si="206"/>
        <v/>
      </c>
      <c r="S879" s="58" t="str">
        <f t="shared" si="221"/>
        <v/>
      </c>
      <c r="T879" s="52" t="str">
        <f t="shared" si="201"/>
        <v/>
      </c>
    </row>
    <row r="880" spans="2:20" ht="15.75" customHeight="1" x14ac:dyDescent="0.25">
      <c r="B880" s="27">
        <v>85</v>
      </c>
      <c r="C880" s="28">
        <v>82.817000000000007</v>
      </c>
      <c r="D880" s="29">
        <f>C880/1000</f>
        <v>8.2817000000000002E-2</v>
      </c>
      <c r="E880" s="30">
        <f>E868-F868</f>
        <v>320008.83921123476</v>
      </c>
      <c r="F880" s="48">
        <f>D880*E880</f>
        <v>26502.172036956828</v>
      </c>
      <c r="G880" s="31">
        <f t="shared" si="196"/>
        <v>0.91718299999999997</v>
      </c>
      <c r="H880" s="49"/>
      <c r="I880" s="51" t="str">
        <f t="shared" si="202"/>
        <v/>
      </c>
      <c r="J880" s="51" t="str">
        <f t="shared" si="203"/>
        <v/>
      </c>
      <c r="K880" s="52" t="str">
        <f t="shared" si="220"/>
        <v/>
      </c>
      <c r="L880" s="53" t="str">
        <f t="shared" si="199"/>
        <v/>
      </c>
      <c r="M880" s="52" t="str">
        <f t="shared" si="204"/>
        <v/>
      </c>
      <c r="N880" s="58" t="str">
        <f t="shared" si="200"/>
        <v/>
      </c>
      <c r="Q880" s="51" t="str">
        <f t="shared" si="205"/>
        <v/>
      </c>
      <c r="R880" s="52" t="str">
        <f t="shared" si="206"/>
        <v/>
      </c>
      <c r="S880" s="58" t="str">
        <f t="shared" si="221"/>
        <v/>
      </c>
      <c r="T880" s="52" t="str">
        <f t="shared" si="201"/>
        <v/>
      </c>
    </row>
    <row r="881" spans="2:20" ht="15.75" customHeight="1" x14ac:dyDescent="0.25">
      <c r="B881" s="33">
        <f t="shared" ref="B881:B891" si="226">B880+1/12</f>
        <v>85.083333333333329</v>
      </c>
      <c r="C881" s="34"/>
      <c r="D881" s="35">
        <f>(1/12)*D880</f>
        <v>6.9014166666666668E-3</v>
      </c>
      <c r="E881" s="36">
        <f>E880-(1/12)*F880</f>
        <v>317800.3248748217</v>
      </c>
      <c r="F881" s="36">
        <f t="shared" ref="F881:F891" si="227">E881-E882</f>
        <v>2208.5143364130636</v>
      </c>
      <c r="G881" s="31">
        <f t="shared" si="196"/>
        <v>0.99309858333333334</v>
      </c>
      <c r="H881" s="37"/>
      <c r="I881" s="51" t="str">
        <f t="shared" si="202"/>
        <v/>
      </c>
      <c r="J881" s="51" t="str">
        <f t="shared" si="203"/>
        <v/>
      </c>
      <c r="K881" s="52" t="str">
        <f t="shared" si="220"/>
        <v/>
      </c>
      <c r="L881" s="53" t="str">
        <f t="shared" si="199"/>
        <v/>
      </c>
      <c r="M881" s="52" t="str">
        <f t="shared" si="204"/>
        <v/>
      </c>
      <c r="N881" s="58" t="str">
        <f t="shared" si="200"/>
        <v/>
      </c>
      <c r="Q881" s="51" t="str">
        <f t="shared" si="205"/>
        <v/>
      </c>
      <c r="R881" s="52" t="str">
        <f t="shared" si="206"/>
        <v/>
      </c>
      <c r="S881" s="58" t="str">
        <f t="shared" si="221"/>
        <v/>
      </c>
      <c r="T881" s="52" t="str">
        <f t="shared" si="201"/>
        <v/>
      </c>
    </row>
    <row r="882" spans="2:20" ht="15.75" customHeight="1" x14ac:dyDescent="0.25">
      <c r="B882" s="33">
        <f t="shared" si="226"/>
        <v>85.166666666666657</v>
      </c>
      <c r="C882" s="34"/>
      <c r="D882" s="35">
        <f>(2/12)*D880</f>
        <v>1.3802833333333334E-2</v>
      </c>
      <c r="E882" s="36">
        <f>E880-(2/12)*F880</f>
        <v>315591.81053840864</v>
      </c>
      <c r="F882" s="36">
        <f t="shared" si="227"/>
        <v>2208.5143364130636</v>
      </c>
      <c r="G882" s="31">
        <f t="shared" si="196"/>
        <v>0.98619716666666668</v>
      </c>
      <c r="H882" s="32"/>
      <c r="I882" s="51" t="str">
        <f t="shared" si="202"/>
        <v/>
      </c>
      <c r="J882" s="51" t="str">
        <f t="shared" si="203"/>
        <v/>
      </c>
      <c r="K882" s="52" t="str">
        <f t="shared" si="220"/>
        <v/>
      </c>
      <c r="L882" s="53" t="str">
        <f t="shared" si="199"/>
        <v/>
      </c>
      <c r="M882" s="52" t="str">
        <f t="shared" si="204"/>
        <v/>
      </c>
      <c r="N882" s="58" t="str">
        <f t="shared" si="200"/>
        <v/>
      </c>
      <c r="Q882" s="51" t="str">
        <f t="shared" si="205"/>
        <v/>
      </c>
      <c r="R882" s="52" t="str">
        <f t="shared" si="206"/>
        <v/>
      </c>
      <c r="S882" s="58" t="str">
        <f t="shared" si="221"/>
        <v/>
      </c>
      <c r="T882" s="52" t="str">
        <f t="shared" si="201"/>
        <v/>
      </c>
    </row>
    <row r="883" spans="2:20" ht="15.75" customHeight="1" x14ac:dyDescent="0.25">
      <c r="B883" s="33">
        <f t="shared" si="226"/>
        <v>85.249999999999986</v>
      </c>
      <c r="C883" s="34"/>
      <c r="D883" s="35">
        <f>(3/12)*D880</f>
        <v>2.070425E-2</v>
      </c>
      <c r="E883" s="36">
        <f>E880-(3/12)*F880</f>
        <v>313383.29620199557</v>
      </c>
      <c r="F883" s="36">
        <f t="shared" si="227"/>
        <v>2208.5143364130636</v>
      </c>
      <c r="G883" s="31">
        <f t="shared" si="196"/>
        <v>0.97929575000000002</v>
      </c>
      <c r="H883" s="32"/>
      <c r="I883" s="51" t="str">
        <f t="shared" si="202"/>
        <v/>
      </c>
      <c r="J883" s="51" t="str">
        <f t="shared" si="203"/>
        <v/>
      </c>
      <c r="K883" s="52" t="str">
        <f t="shared" si="220"/>
        <v/>
      </c>
      <c r="L883" s="53" t="str">
        <f t="shared" si="199"/>
        <v/>
      </c>
      <c r="M883" s="52" t="str">
        <f t="shared" si="204"/>
        <v/>
      </c>
      <c r="N883" s="58" t="str">
        <f t="shared" si="200"/>
        <v/>
      </c>
      <c r="Q883" s="51" t="str">
        <f t="shared" si="205"/>
        <v/>
      </c>
      <c r="R883" s="52" t="str">
        <f t="shared" si="206"/>
        <v/>
      </c>
      <c r="S883" s="58" t="str">
        <f t="shared" si="221"/>
        <v/>
      </c>
      <c r="T883" s="52" t="str">
        <f t="shared" si="201"/>
        <v/>
      </c>
    </row>
    <row r="884" spans="2:20" ht="15.75" customHeight="1" x14ac:dyDescent="0.25">
      <c r="B884" s="33">
        <f t="shared" si="226"/>
        <v>85.333333333333314</v>
      </c>
      <c r="C884" s="34"/>
      <c r="D884" s="35">
        <f>(4/12)*D880</f>
        <v>2.7605666666666667E-2</v>
      </c>
      <c r="E884" s="36">
        <f>E880-(4/12)*F880</f>
        <v>311174.78186558251</v>
      </c>
      <c r="F884" s="36">
        <f t="shared" si="227"/>
        <v>2208.5143364130636</v>
      </c>
      <c r="G884" s="31">
        <f t="shared" si="196"/>
        <v>0.97239433333333336</v>
      </c>
      <c r="H884" s="32"/>
      <c r="I884" s="51" t="str">
        <f t="shared" si="202"/>
        <v/>
      </c>
      <c r="J884" s="51" t="str">
        <f t="shared" si="203"/>
        <v/>
      </c>
      <c r="K884" s="52" t="str">
        <f t="shared" si="220"/>
        <v/>
      </c>
      <c r="L884" s="53" t="str">
        <f t="shared" si="199"/>
        <v/>
      </c>
      <c r="M884" s="52" t="str">
        <f t="shared" si="204"/>
        <v/>
      </c>
      <c r="N884" s="58" t="str">
        <f t="shared" si="200"/>
        <v/>
      </c>
      <c r="Q884" s="51" t="str">
        <f t="shared" si="205"/>
        <v/>
      </c>
      <c r="R884" s="52" t="str">
        <f t="shared" si="206"/>
        <v/>
      </c>
      <c r="S884" s="58" t="str">
        <f t="shared" si="221"/>
        <v/>
      </c>
      <c r="T884" s="52" t="str">
        <f t="shared" si="201"/>
        <v/>
      </c>
    </row>
    <row r="885" spans="2:20" ht="15.75" customHeight="1" x14ac:dyDescent="0.25">
      <c r="B885" s="33">
        <f t="shared" si="226"/>
        <v>85.416666666666643</v>
      </c>
      <c r="C885" s="34"/>
      <c r="D885" s="35">
        <f>(5/12)*D880</f>
        <v>3.4507083333333334E-2</v>
      </c>
      <c r="E885" s="36">
        <f>E880-(5/12)*F880</f>
        <v>308966.26752916945</v>
      </c>
      <c r="F885" s="36">
        <f t="shared" si="227"/>
        <v>2208.5143364131218</v>
      </c>
      <c r="G885" s="31">
        <f t="shared" si="196"/>
        <v>0.9654929166666667</v>
      </c>
      <c r="H885" s="32"/>
      <c r="I885" s="51" t="str">
        <f t="shared" si="202"/>
        <v/>
      </c>
      <c r="J885" s="51" t="str">
        <f t="shared" si="203"/>
        <v/>
      </c>
      <c r="K885" s="52" t="str">
        <f t="shared" si="220"/>
        <v/>
      </c>
      <c r="L885" s="53" t="str">
        <f t="shared" si="199"/>
        <v/>
      </c>
      <c r="M885" s="52" t="str">
        <f t="shared" si="204"/>
        <v/>
      </c>
      <c r="N885" s="58" t="str">
        <f t="shared" si="200"/>
        <v/>
      </c>
      <c r="Q885" s="51" t="str">
        <f t="shared" si="205"/>
        <v/>
      </c>
      <c r="R885" s="52" t="str">
        <f t="shared" si="206"/>
        <v/>
      </c>
      <c r="S885" s="58" t="str">
        <f t="shared" si="221"/>
        <v/>
      </c>
      <c r="T885" s="52" t="str">
        <f t="shared" si="201"/>
        <v/>
      </c>
    </row>
    <row r="886" spans="2:20" ht="15.75" customHeight="1" x14ac:dyDescent="0.25">
      <c r="B886" s="33">
        <f t="shared" si="226"/>
        <v>85.499999999999972</v>
      </c>
      <c r="C886" s="34"/>
      <c r="D886" s="35">
        <f>(6/12)*D880</f>
        <v>4.1408500000000001E-2</v>
      </c>
      <c r="E886" s="36">
        <f>E880-(6/12)*F880</f>
        <v>306757.75319275633</v>
      </c>
      <c r="F886" s="36">
        <f t="shared" si="227"/>
        <v>2208.5143364130636</v>
      </c>
      <c r="G886" s="31">
        <f t="shared" si="196"/>
        <v>0.95859150000000004</v>
      </c>
      <c r="H886" s="32"/>
      <c r="I886" s="51" t="str">
        <f t="shared" si="202"/>
        <v/>
      </c>
      <c r="J886" s="51" t="str">
        <f t="shared" si="203"/>
        <v/>
      </c>
      <c r="K886" s="52" t="str">
        <f t="shared" si="220"/>
        <v/>
      </c>
      <c r="L886" s="53" t="str">
        <f t="shared" si="199"/>
        <v/>
      </c>
      <c r="M886" s="52" t="str">
        <f t="shared" si="204"/>
        <v/>
      </c>
      <c r="N886" s="58" t="str">
        <f t="shared" si="200"/>
        <v/>
      </c>
      <c r="Q886" s="51" t="str">
        <f t="shared" si="205"/>
        <v/>
      </c>
      <c r="R886" s="52" t="str">
        <f t="shared" si="206"/>
        <v/>
      </c>
      <c r="S886" s="58" t="str">
        <f t="shared" si="221"/>
        <v/>
      </c>
      <c r="T886" s="52" t="str">
        <f t="shared" si="201"/>
        <v/>
      </c>
    </row>
    <row r="887" spans="2:20" ht="15.75" customHeight="1" x14ac:dyDescent="0.25">
      <c r="B887" s="33">
        <f t="shared" si="226"/>
        <v>85.5833333333333</v>
      </c>
      <c r="C887" s="34"/>
      <c r="D887" s="35">
        <f>(7/12)*D880</f>
        <v>4.8309916666666668E-2</v>
      </c>
      <c r="E887" s="36">
        <f>E880-(7/12)*F880</f>
        <v>304549.23885634326</v>
      </c>
      <c r="F887" s="36">
        <f t="shared" si="227"/>
        <v>2208.5143364130636</v>
      </c>
      <c r="G887" s="31">
        <f t="shared" si="196"/>
        <v>0.95169008333333338</v>
      </c>
      <c r="H887" s="32"/>
      <c r="I887" s="51" t="str">
        <f t="shared" si="202"/>
        <v/>
      </c>
      <c r="J887" s="51" t="str">
        <f t="shared" si="203"/>
        <v/>
      </c>
      <c r="K887" s="52" t="str">
        <f t="shared" si="220"/>
        <v/>
      </c>
      <c r="L887" s="53" t="str">
        <f t="shared" si="199"/>
        <v/>
      </c>
      <c r="M887" s="52" t="str">
        <f t="shared" si="204"/>
        <v/>
      </c>
      <c r="N887" s="58" t="str">
        <f t="shared" si="200"/>
        <v/>
      </c>
      <c r="Q887" s="51" t="str">
        <f t="shared" si="205"/>
        <v/>
      </c>
      <c r="R887" s="52" t="str">
        <f t="shared" si="206"/>
        <v/>
      </c>
      <c r="S887" s="58" t="str">
        <f t="shared" si="221"/>
        <v/>
      </c>
      <c r="T887" s="52" t="str">
        <f t="shared" si="201"/>
        <v/>
      </c>
    </row>
    <row r="888" spans="2:20" ht="15.75" customHeight="1" x14ac:dyDescent="0.25">
      <c r="B888" s="33">
        <f t="shared" si="226"/>
        <v>85.666666666666629</v>
      </c>
      <c r="C888" s="34"/>
      <c r="D888" s="35">
        <f>(8/12)*D880</f>
        <v>5.5211333333333334E-2</v>
      </c>
      <c r="E888" s="36">
        <f>E880-(8/12)*F880</f>
        <v>302340.7245199302</v>
      </c>
      <c r="F888" s="36">
        <f t="shared" si="227"/>
        <v>2208.5143364130636</v>
      </c>
      <c r="G888" s="31">
        <f t="shared" si="196"/>
        <v>0.94478866666666672</v>
      </c>
      <c r="H888" s="32"/>
      <c r="I888" s="51" t="str">
        <f t="shared" si="202"/>
        <v/>
      </c>
      <c r="J888" s="51" t="str">
        <f t="shared" si="203"/>
        <v/>
      </c>
      <c r="K888" s="52" t="str">
        <f t="shared" si="220"/>
        <v/>
      </c>
      <c r="L888" s="53" t="str">
        <f t="shared" si="199"/>
        <v/>
      </c>
      <c r="M888" s="52" t="str">
        <f t="shared" si="204"/>
        <v/>
      </c>
      <c r="N888" s="58" t="str">
        <f t="shared" si="200"/>
        <v/>
      </c>
      <c r="Q888" s="51" t="str">
        <f t="shared" si="205"/>
        <v/>
      </c>
      <c r="R888" s="52" t="str">
        <f t="shared" si="206"/>
        <v/>
      </c>
      <c r="S888" s="58" t="str">
        <f t="shared" si="221"/>
        <v/>
      </c>
      <c r="T888" s="52" t="str">
        <f t="shared" si="201"/>
        <v/>
      </c>
    </row>
    <row r="889" spans="2:20" ht="15.75" customHeight="1" x14ac:dyDescent="0.25">
      <c r="B889" s="33">
        <f t="shared" si="226"/>
        <v>85.749999999999957</v>
      </c>
      <c r="C889" s="34"/>
      <c r="D889" s="35">
        <f>(9/12)*D880</f>
        <v>6.2112750000000001E-2</v>
      </c>
      <c r="E889" s="36">
        <f>E880-(9/12)*F880</f>
        <v>300132.21018351713</v>
      </c>
      <c r="F889" s="36">
        <f t="shared" si="227"/>
        <v>2208.5143364130636</v>
      </c>
      <c r="G889" s="31">
        <f t="shared" si="196"/>
        <v>0.93788724999999995</v>
      </c>
      <c r="H889" s="32"/>
      <c r="I889" s="51" t="str">
        <f t="shared" si="202"/>
        <v/>
      </c>
      <c r="J889" s="51" t="str">
        <f t="shared" si="203"/>
        <v/>
      </c>
      <c r="K889" s="52" t="str">
        <f t="shared" si="220"/>
        <v/>
      </c>
      <c r="L889" s="53" t="str">
        <f t="shared" si="199"/>
        <v/>
      </c>
      <c r="M889" s="52" t="str">
        <f t="shared" si="204"/>
        <v/>
      </c>
      <c r="N889" s="58" t="str">
        <f t="shared" si="200"/>
        <v/>
      </c>
      <c r="Q889" s="51" t="str">
        <f t="shared" si="205"/>
        <v/>
      </c>
      <c r="R889" s="52" t="str">
        <f t="shared" si="206"/>
        <v/>
      </c>
      <c r="S889" s="58" t="str">
        <f t="shared" si="221"/>
        <v/>
      </c>
      <c r="T889" s="52" t="str">
        <f t="shared" si="201"/>
        <v/>
      </c>
    </row>
    <row r="890" spans="2:20" ht="15.75" customHeight="1" x14ac:dyDescent="0.25">
      <c r="B890" s="33">
        <f t="shared" si="226"/>
        <v>85.833333333333286</v>
      </c>
      <c r="C890" s="34"/>
      <c r="D890" s="35">
        <f>(10/12)*D880</f>
        <v>6.9014166666666668E-2</v>
      </c>
      <c r="E890" s="36">
        <f>E880-(10/12)*F880</f>
        <v>297923.69584710407</v>
      </c>
      <c r="F890" s="36">
        <f t="shared" si="227"/>
        <v>2208.5143364130636</v>
      </c>
      <c r="G890" s="31">
        <f t="shared" si="196"/>
        <v>0.93098583333333329</v>
      </c>
      <c r="H890" s="32"/>
      <c r="I890" s="51" t="str">
        <f t="shared" si="202"/>
        <v/>
      </c>
      <c r="J890" s="51" t="str">
        <f t="shared" si="203"/>
        <v/>
      </c>
      <c r="K890" s="52" t="str">
        <f t="shared" si="220"/>
        <v/>
      </c>
      <c r="L890" s="53" t="str">
        <f t="shared" si="199"/>
        <v/>
      </c>
      <c r="M890" s="52" t="str">
        <f t="shared" si="204"/>
        <v/>
      </c>
      <c r="N890" s="58" t="str">
        <f t="shared" si="200"/>
        <v/>
      </c>
      <c r="Q890" s="51" t="str">
        <f t="shared" si="205"/>
        <v/>
      </c>
      <c r="R890" s="52" t="str">
        <f t="shared" si="206"/>
        <v/>
      </c>
      <c r="S890" s="58" t="str">
        <f t="shared" si="221"/>
        <v/>
      </c>
      <c r="T890" s="52" t="str">
        <f t="shared" si="201"/>
        <v/>
      </c>
    </row>
    <row r="891" spans="2:20" ht="15.75" customHeight="1" x14ac:dyDescent="0.25">
      <c r="B891" s="33">
        <f t="shared" si="226"/>
        <v>85.916666666666615</v>
      </c>
      <c r="C891" s="34"/>
      <c r="D891" s="35">
        <f>(11/12)*D880</f>
        <v>7.5915583333333328E-2</v>
      </c>
      <c r="E891" s="36">
        <f>E880-(11/12)*F880</f>
        <v>295715.18151069101</v>
      </c>
      <c r="F891" s="36">
        <f t="shared" si="227"/>
        <v>2208.5143364130636</v>
      </c>
      <c r="G891" s="31">
        <f t="shared" si="196"/>
        <v>0.92408441666666663</v>
      </c>
      <c r="H891" s="32"/>
      <c r="I891" s="51" t="str">
        <f t="shared" si="202"/>
        <v/>
      </c>
      <c r="J891" s="51" t="str">
        <f t="shared" si="203"/>
        <v/>
      </c>
      <c r="K891" s="52" t="str">
        <f t="shared" si="220"/>
        <v/>
      </c>
      <c r="L891" s="53" t="str">
        <f t="shared" si="199"/>
        <v/>
      </c>
      <c r="M891" s="52" t="str">
        <f t="shared" si="204"/>
        <v/>
      </c>
      <c r="N891" s="58" t="str">
        <f t="shared" si="200"/>
        <v/>
      </c>
      <c r="Q891" s="51" t="str">
        <f t="shared" si="205"/>
        <v/>
      </c>
      <c r="R891" s="52" t="str">
        <f t="shared" si="206"/>
        <v/>
      </c>
      <c r="S891" s="58" t="str">
        <f t="shared" si="221"/>
        <v/>
      </c>
      <c r="T891" s="52" t="str">
        <f t="shared" si="201"/>
        <v/>
      </c>
    </row>
    <row r="892" spans="2:20" ht="15.75" customHeight="1" x14ac:dyDescent="0.25">
      <c r="B892" s="27">
        <v>86</v>
      </c>
      <c r="C892" s="28">
        <v>88.649000000000001</v>
      </c>
      <c r="D892" s="29">
        <f>C892/1000</f>
        <v>8.8649000000000006E-2</v>
      </c>
      <c r="E892" s="30">
        <f>E880-F880</f>
        <v>293506.66717427794</v>
      </c>
      <c r="F892" s="48">
        <f>D892*E892</f>
        <v>26019.072538332566</v>
      </c>
      <c r="G892" s="31">
        <f t="shared" si="196"/>
        <v>0.91135100000000002</v>
      </c>
      <c r="H892" s="49"/>
      <c r="I892" s="51" t="str">
        <f t="shared" si="202"/>
        <v/>
      </c>
      <c r="J892" s="51" t="str">
        <f t="shared" si="203"/>
        <v/>
      </c>
      <c r="K892" s="52" t="str">
        <f t="shared" si="220"/>
        <v/>
      </c>
      <c r="L892" s="53" t="str">
        <f t="shared" si="199"/>
        <v/>
      </c>
      <c r="M892" s="52" t="str">
        <f t="shared" si="204"/>
        <v/>
      </c>
      <c r="N892" s="58" t="str">
        <f t="shared" si="200"/>
        <v/>
      </c>
      <c r="Q892" s="51" t="str">
        <f t="shared" si="205"/>
        <v/>
      </c>
      <c r="R892" s="52" t="str">
        <f t="shared" si="206"/>
        <v/>
      </c>
      <c r="S892" s="58" t="str">
        <f t="shared" si="221"/>
        <v/>
      </c>
      <c r="T892" s="52" t="str">
        <f t="shared" si="201"/>
        <v/>
      </c>
    </row>
    <row r="893" spans="2:20" ht="15.75" customHeight="1" x14ac:dyDescent="0.25">
      <c r="B893" s="33">
        <f t="shared" ref="B893:B903" si="228">B892+1/12</f>
        <v>86.083333333333329</v>
      </c>
      <c r="C893" s="34"/>
      <c r="D893" s="35">
        <f>(1/12)*D892</f>
        <v>7.3874166666666671E-3</v>
      </c>
      <c r="E893" s="36">
        <f>E892-(1/12)*F892</f>
        <v>291338.4111294169</v>
      </c>
      <c r="F893" s="36">
        <f t="shared" ref="F893:F903" si="229">E893-E894</f>
        <v>2168.2560448610457</v>
      </c>
      <c r="G893" s="31">
        <f t="shared" si="196"/>
        <v>0.99261258333333335</v>
      </c>
      <c r="H893" s="37"/>
      <c r="I893" s="51" t="str">
        <f t="shared" si="202"/>
        <v/>
      </c>
      <c r="J893" s="51" t="str">
        <f t="shared" si="203"/>
        <v/>
      </c>
      <c r="K893" s="52" t="str">
        <f t="shared" si="220"/>
        <v/>
      </c>
      <c r="L893" s="53" t="str">
        <f t="shared" si="199"/>
        <v/>
      </c>
      <c r="M893" s="52" t="str">
        <f t="shared" si="204"/>
        <v/>
      </c>
      <c r="N893" s="58" t="str">
        <f t="shared" si="200"/>
        <v/>
      </c>
      <c r="Q893" s="51" t="str">
        <f t="shared" si="205"/>
        <v/>
      </c>
      <c r="R893" s="52" t="str">
        <f t="shared" si="206"/>
        <v/>
      </c>
      <c r="S893" s="58" t="str">
        <f t="shared" si="221"/>
        <v/>
      </c>
      <c r="T893" s="52" t="str">
        <f t="shared" si="201"/>
        <v/>
      </c>
    </row>
    <row r="894" spans="2:20" ht="15.75" customHeight="1" x14ac:dyDescent="0.25">
      <c r="B894" s="33">
        <f t="shared" si="228"/>
        <v>86.166666666666657</v>
      </c>
      <c r="C894" s="34"/>
      <c r="D894" s="35">
        <f>(2/12)*D892</f>
        <v>1.4774833333333334E-2</v>
      </c>
      <c r="E894" s="36">
        <f>E892-(2/12)*F892</f>
        <v>289170.15508455585</v>
      </c>
      <c r="F894" s="36">
        <f t="shared" si="229"/>
        <v>2168.2560448610457</v>
      </c>
      <c r="G894" s="31">
        <f t="shared" si="196"/>
        <v>0.98522516666666671</v>
      </c>
      <c r="H894" s="32"/>
      <c r="I894" s="51" t="str">
        <f t="shared" si="202"/>
        <v/>
      </c>
      <c r="J894" s="51" t="str">
        <f t="shared" si="203"/>
        <v/>
      </c>
      <c r="K894" s="52" t="str">
        <f t="shared" si="220"/>
        <v/>
      </c>
      <c r="L894" s="53" t="str">
        <f t="shared" si="199"/>
        <v/>
      </c>
      <c r="M894" s="52" t="str">
        <f t="shared" si="204"/>
        <v/>
      </c>
      <c r="N894" s="58" t="str">
        <f t="shared" si="200"/>
        <v/>
      </c>
      <c r="Q894" s="51" t="str">
        <f t="shared" si="205"/>
        <v/>
      </c>
      <c r="R894" s="52" t="str">
        <f t="shared" si="206"/>
        <v/>
      </c>
      <c r="S894" s="58" t="str">
        <f t="shared" si="221"/>
        <v/>
      </c>
      <c r="T894" s="52" t="str">
        <f t="shared" si="201"/>
        <v/>
      </c>
    </row>
    <row r="895" spans="2:20" ht="15.75" customHeight="1" x14ac:dyDescent="0.25">
      <c r="B895" s="33">
        <f t="shared" si="228"/>
        <v>86.249999999999986</v>
      </c>
      <c r="C895" s="34"/>
      <c r="D895" s="35">
        <f>(3/12)*D892</f>
        <v>2.2162250000000001E-2</v>
      </c>
      <c r="E895" s="36">
        <f>E892-(3/12)*F892</f>
        <v>287001.89903969481</v>
      </c>
      <c r="F895" s="36">
        <f t="shared" si="229"/>
        <v>2168.2560448610457</v>
      </c>
      <c r="G895" s="31">
        <f t="shared" si="196"/>
        <v>0.97783774999999995</v>
      </c>
      <c r="H895" s="32"/>
      <c r="I895" s="51" t="str">
        <f t="shared" si="202"/>
        <v/>
      </c>
      <c r="J895" s="51" t="str">
        <f t="shared" si="203"/>
        <v/>
      </c>
      <c r="K895" s="52" t="str">
        <f t="shared" si="220"/>
        <v/>
      </c>
      <c r="L895" s="53" t="str">
        <f t="shared" si="199"/>
        <v/>
      </c>
      <c r="M895" s="52" t="str">
        <f t="shared" si="204"/>
        <v/>
      </c>
      <c r="N895" s="58" t="str">
        <f t="shared" si="200"/>
        <v/>
      </c>
      <c r="Q895" s="51" t="str">
        <f t="shared" si="205"/>
        <v/>
      </c>
      <c r="R895" s="52" t="str">
        <f t="shared" si="206"/>
        <v/>
      </c>
      <c r="S895" s="58" t="str">
        <f t="shared" si="221"/>
        <v/>
      </c>
      <c r="T895" s="52" t="str">
        <f t="shared" si="201"/>
        <v/>
      </c>
    </row>
    <row r="896" spans="2:20" ht="15.75" customHeight="1" x14ac:dyDescent="0.25">
      <c r="B896" s="33">
        <f t="shared" si="228"/>
        <v>86.333333333333314</v>
      </c>
      <c r="C896" s="34"/>
      <c r="D896" s="35">
        <f>(4/12)*D892</f>
        <v>2.9549666666666669E-2</v>
      </c>
      <c r="E896" s="36">
        <f>E892-(4/12)*F892</f>
        <v>284833.64299483376</v>
      </c>
      <c r="F896" s="36">
        <f t="shared" si="229"/>
        <v>2168.2560448610457</v>
      </c>
      <c r="G896" s="31">
        <f t="shared" si="196"/>
        <v>0.9704503333333333</v>
      </c>
      <c r="H896" s="32"/>
      <c r="I896" s="51" t="str">
        <f t="shared" si="202"/>
        <v/>
      </c>
      <c r="J896" s="51" t="str">
        <f t="shared" si="203"/>
        <v/>
      </c>
      <c r="K896" s="52" t="str">
        <f t="shared" si="220"/>
        <v/>
      </c>
      <c r="L896" s="53" t="str">
        <f t="shared" si="199"/>
        <v/>
      </c>
      <c r="M896" s="52" t="str">
        <f t="shared" si="204"/>
        <v/>
      </c>
      <c r="N896" s="58" t="str">
        <f t="shared" si="200"/>
        <v/>
      </c>
      <c r="Q896" s="51" t="str">
        <f t="shared" si="205"/>
        <v/>
      </c>
      <c r="R896" s="52" t="str">
        <f t="shared" si="206"/>
        <v/>
      </c>
      <c r="S896" s="58" t="str">
        <f t="shared" si="221"/>
        <v/>
      </c>
      <c r="T896" s="52" t="str">
        <f t="shared" si="201"/>
        <v/>
      </c>
    </row>
    <row r="897" spans="2:20" ht="15.75" customHeight="1" x14ac:dyDescent="0.25">
      <c r="B897" s="33">
        <f t="shared" si="228"/>
        <v>86.416666666666643</v>
      </c>
      <c r="C897" s="34"/>
      <c r="D897" s="35">
        <f>(5/12)*D892</f>
        <v>3.6937083333333336E-2</v>
      </c>
      <c r="E897" s="36">
        <f>E892-(5/12)*F892</f>
        <v>282665.38694997272</v>
      </c>
      <c r="F897" s="36">
        <f t="shared" si="229"/>
        <v>2168.2560448610457</v>
      </c>
      <c r="G897" s="31">
        <f t="shared" si="196"/>
        <v>0.96306291666666666</v>
      </c>
      <c r="H897" s="32"/>
      <c r="I897" s="51" t="str">
        <f t="shared" si="202"/>
        <v/>
      </c>
      <c r="J897" s="51" t="str">
        <f t="shared" si="203"/>
        <v/>
      </c>
      <c r="K897" s="52" t="str">
        <f t="shared" si="220"/>
        <v/>
      </c>
      <c r="L897" s="53" t="str">
        <f t="shared" si="199"/>
        <v/>
      </c>
      <c r="M897" s="52" t="str">
        <f t="shared" si="204"/>
        <v/>
      </c>
      <c r="N897" s="58" t="str">
        <f t="shared" si="200"/>
        <v/>
      </c>
      <c r="Q897" s="51" t="str">
        <f t="shared" si="205"/>
        <v/>
      </c>
      <c r="R897" s="52" t="str">
        <f t="shared" si="206"/>
        <v/>
      </c>
      <c r="S897" s="58" t="str">
        <f t="shared" si="221"/>
        <v/>
      </c>
      <c r="T897" s="52" t="str">
        <f t="shared" si="201"/>
        <v/>
      </c>
    </row>
    <row r="898" spans="2:20" ht="15.75" customHeight="1" x14ac:dyDescent="0.25">
      <c r="B898" s="33">
        <f t="shared" si="228"/>
        <v>86.499999999999972</v>
      </c>
      <c r="C898" s="34"/>
      <c r="D898" s="35">
        <f>(6/12)*D892</f>
        <v>4.4324500000000003E-2</v>
      </c>
      <c r="E898" s="36">
        <f>E892-(6/12)*F892</f>
        <v>280497.13090511167</v>
      </c>
      <c r="F898" s="36">
        <f t="shared" si="229"/>
        <v>2168.2560448610457</v>
      </c>
      <c r="G898" s="31">
        <f t="shared" si="196"/>
        <v>0.95567550000000001</v>
      </c>
      <c r="H898" s="32"/>
      <c r="I898" s="51" t="str">
        <f t="shared" si="202"/>
        <v/>
      </c>
      <c r="J898" s="51" t="str">
        <f t="shared" si="203"/>
        <v/>
      </c>
      <c r="K898" s="52" t="str">
        <f t="shared" si="220"/>
        <v/>
      </c>
      <c r="L898" s="53" t="str">
        <f t="shared" si="199"/>
        <v/>
      </c>
      <c r="M898" s="52" t="str">
        <f t="shared" si="204"/>
        <v/>
      </c>
      <c r="N898" s="58" t="str">
        <f t="shared" si="200"/>
        <v/>
      </c>
      <c r="Q898" s="51" t="str">
        <f t="shared" si="205"/>
        <v/>
      </c>
      <c r="R898" s="52" t="str">
        <f t="shared" si="206"/>
        <v/>
      </c>
      <c r="S898" s="58" t="str">
        <f t="shared" si="221"/>
        <v/>
      </c>
      <c r="T898" s="52" t="str">
        <f t="shared" si="201"/>
        <v/>
      </c>
    </row>
    <row r="899" spans="2:20" ht="15.75" customHeight="1" x14ac:dyDescent="0.25">
      <c r="B899" s="33">
        <f t="shared" si="228"/>
        <v>86.5833333333333</v>
      </c>
      <c r="C899" s="34"/>
      <c r="D899" s="35">
        <f>(7/12)*D892</f>
        <v>5.171191666666667E-2</v>
      </c>
      <c r="E899" s="36">
        <f>E892-(7/12)*F892</f>
        <v>278328.87486025062</v>
      </c>
      <c r="F899" s="36">
        <f t="shared" si="229"/>
        <v>2168.2560448610457</v>
      </c>
      <c r="G899" s="31">
        <f t="shared" si="196"/>
        <v>0.94828808333333336</v>
      </c>
      <c r="H899" s="32"/>
      <c r="I899" s="51" t="str">
        <f t="shared" si="202"/>
        <v/>
      </c>
      <c r="J899" s="51" t="str">
        <f t="shared" si="203"/>
        <v/>
      </c>
      <c r="K899" s="52" t="str">
        <f t="shared" si="220"/>
        <v/>
      </c>
      <c r="L899" s="53" t="str">
        <f t="shared" si="199"/>
        <v/>
      </c>
      <c r="M899" s="52" t="str">
        <f t="shared" si="204"/>
        <v/>
      </c>
      <c r="N899" s="58" t="str">
        <f t="shared" si="200"/>
        <v/>
      </c>
      <c r="Q899" s="51" t="str">
        <f t="shared" si="205"/>
        <v/>
      </c>
      <c r="R899" s="52" t="str">
        <f t="shared" si="206"/>
        <v/>
      </c>
      <c r="S899" s="58" t="str">
        <f t="shared" si="221"/>
        <v/>
      </c>
      <c r="T899" s="52" t="str">
        <f t="shared" si="201"/>
        <v/>
      </c>
    </row>
    <row r="900" spans="2:20" ht="15.75" customHeight="1" x14ac:dyDescent="0.25">
      <c r="B900" s="33">
        <f t="shared" si="228"/>
        <v>86.666666666666629</v>
      </c>
      <c r="C900" s="34"/>
      <c r="D900" s="35">
        <f>(8/12)*D892</f>
        <v>5.9099333333333337E-2</v>
      </c>
      <c r="E900" s="36">
        <f>E892-(8/12)*F892</f>
        <v>276160.61881538958</v>
      </c>
      <c r="F900" s="36">
        <f t="shared" si="229"/>
        <v>2168.2560448610457</v>
      </c>
      <c r="G900" s="31">
        <f t="shared" si="196"/>
        <v>0.94090066666666661</v>
      </c>
      <c r="H900" s="32"/>
      <c r="I900" s="51" t="str">
        <f t="shared" si="202"/>
        <v/>
      </c>
      <c r="J900" s="51" t="str">
        <f t="shared" si="203"/>
        <v/>
      </c>
      <c r="K900" s="52" t="str">
        <f t="shared" si="220"/>
        <v/>
      </c>
      <c r="L900" s="53" t="str">
        <f t="shared" si="199"/>
        <v/>
      </c>
      <c r="M900" s="52" t="str">
        <f t="shared" si="204"/>
        <v/>
      </c>
      <c r="N900" s="58" t="str">
        <f t="shared" si="200"/>
        <v/>
      </c>
      <c r="Q900" s="51" t="str">
        <f t="shared" si="205"/>
        <v/>
      </c>
      <c r="R900" s="52" t="str">
        <f t="shared" si="206"/>
        <v/>
      </c>
      <c r="S900" s="58" t="str">
        <f t="shared" si="221"/>
        <v/>
      </c>
      <c r="T900" s="52" t="str">
        <f t="shared" si="201"/>
        <v/>
      </c>
    </row>
    <row r="901" spans="2:20" ht="15.75" customHeight="1" x14ac:dyDescent="0.25">
      <c r="B901" s="33">
        <f t="shared" si="228"/>
        <v>86.749999999999957</v>
      </c>
      <c r="C901" s="34"/>
      <c r="D901" s="35">
        <f>(9/12)*D892</f>
        <v>6.6486750000000011E-2</v>
      </c>
      <c r="E901" s="36">
        <f>E892-(9/12)*F892</f>
        <v>273992.36277052853</v>
      </c>
      <c r="F901" s="36">
        <f t="shared" si="229"/>
        <v>2168.2560448610457</v>
      </c>
      <c r="G901" s="31">
        <f t="shared" si="196"/>
        <v>0.93351324999999996</v>
      </c>
      <c r="H901" s="32"/>
      <c r="I901" s="51" t="str">
        <f t="shared" si="202"/>
        <v/>
      </c>
      <c r="J901" s="51" t="str">
        <f t="shared" si="203"/>
        <v/>
      </c>
      <c r="K901" s="52" t="str">
        <f t="shared" si="220"/>
        <v/>
      </c>
      <c r="L901" s="53" t="str">
        <f t="shared" si="199"/>
        <v/>
      </c>
      <c r="M901" s="52" t="str">
        <f t="shared" si="204"/>
        <v/>
      </c>
      <c r="N901" s="58" t="str">
        <f t="shared" si="200"/>
        <v/>
      </c>
      <c r="Q901" s="51" t="str">
        <f t="shared" si="205"/>
        <v/>
      </c>
      <c r="R901" s="52" t="str">
        <f t="shared" si="206"/>
        <v/>
      </c>
      <c r="S901" s="58" t="str">
        <f t="shared" si="221"/>
        <v/>
      </c>
      <c r="T901" s="52" t="str">
        <f t="shared" si="201"/>
        <v/>
      </c>
    </row>
    <row r="902" spans="2:20" ht="15.75" customHeight="1" x14ac:dyDescent="0.25">
      <c r="B902" s="33">
        <f t="shared" si="228"/>
        <v>86.833333333333286</v>
      </c>
      <c r="C902" s="34"/>
      <c r="D902" s="35">
        <f>(10/12)*D892</f>
        <v>7.3874166666666671E-2</v>
      </c>
      <c r="E902" s="36">
        <f>E892-(10/12)*F892</f>
        <v>271824.10672566749</v>
      </c>
      <c r="F902" s="36">
        <f t="shared" si="229"/>
        <v>2168.2560448610457</v>
      </c>
      <c r="G902" s="31">
        <f t="shared" si="196"/>
        <v>0.92612583333333331</v>
      </c>
      <c r="H902" s="32"/>
      <c r="I902" s="51" t="str">
        <f t="shared" si="202"/>
        <v/>
      </c>
      <c r="J902" s="51" t="str">
        <f t="shared" si="203"/>
        <v/>
      </c>
      <c r="K902" s="52" t="str">
        <f t="shared" si="220"/>
        <v/>
      </c>
      <c r="L902" s="53" t="str">
        <f t="shared" si="199"/>
        <v/>
      </c>
      <c r="M902" s="52" t="str">
        <f t="shared" si="204"/>
        <v/>
      </c>
      <c r="N902" s="58" t="str">
        <f t="shared" si="200"/>
        <v/>
      </c>
      <c r="Q902" s="51" t="str">
        <f t="shared" si="205"/>
        <v/>
      </c>
      <c r="R902" s="52" t="str">
        <f t="shared" si="206"/>
        <v/>
      </c>
      <c r="S902" s="58" t="str">
        <f t="shared" si="221"/>
        <v/>
      </c>
      <c r="T902" s="52" t="str">
        <f t="shared" si="201"/>
        <v/>
      </c>
    </row>
    <row r="903" spans="2:20" ht="15.75" customHeight="1" x14ac:dyDescent="0.25">
      <c r="B903" s="33">
        <f t="shared" si="228"/>
        <v>86.916666666666615</v>
      </c>
      <c r="C903" s="34"/>
      <c r="D903" s="35">
        <f>(11/12)*D892</f>
        <v>8.1261583333333332E-2</v>
      </c>
      <c r="E903" s="36">
        <f>E892-(11/12)*F892</f>
        <v>269655.85068080644</v>
      </c>
      <c r="F903" s="36">
        <f t="shared" si="229"/>
        <v>2168.2560448610457</v>
      </c>
      <c r="G903" s="31">
        <f t="shared" si="196"/>
        <v>0.91873841666666667</v>
      </c>
      <c r="H903" s="32"/>
      <c r="I903" s="51" t="str">
        <f t="shared" si="202"/>
        <v/>
      </c>
      <c r="J903" s="51" t="str">
        <f t="shared" si="203"/>
        <v/>
      </c>
      <c r="K903" s="52" t="str">
        <f t="shared" si="220"/>
        <v/>
      </c>
      <c r="L903" s="53" t="str">
        <f t="shared" si="199"/>
        <v/>
      </c>
      <c r="M903" s="52" t="str">
        <f t="shared" si="204"/>
        <v/>
      </c>
      <c r="N903" s="58" t="str">
        <f t="shared" si="200"/>
        <v/>
      </c>
      <c r="Q903" s="51" t="str">
        <f t="shared" si="205"/>
        <v/>
      </c>
      <c r="R903" s="52" t="str">
        <f t="shared" si="206"/>
        <v/>
      </c>
      <c r="S903" s="58" t="str">
        <f t="shared" si="221"/>
        <v/>
      </c>
      <c r="T903" s="52" t="str">
        <f t="shared" si="201"/>
        <v/>
      </c>
    </row>
    <row r="904" spans="2:20" ht="15.75" customHeight="1" x14ac:dyDescent="0.25">
      <c r="B904" s="27">
        <v>87</v>
      </c>
      <c r="C904" s="28">
        <v>94.85</v>
      </c>
      <c r="D904" s="29">
        <f>C904/1000</f>
        <v>9.484999999999999E-2</v>
      </c>
      <c r="E904" s="30">
        <f>E892-F892</f>
        <v>267487.5946359454</v>
      </c>
      <c r="F904" s="48">
        <f>D904*E904</f>
        <v>25371.198351219417</v>
      </c>
      <c r="G904" s="31">
        <f t="shared" si="196"/>
        <v>0.90515000000000001</v>
      </c>
      <c r="H904" s="49"/>
      <c r="I904" s="51" t="str">
        <f t="shared" si="202"/>
        <v/>
      </c>
      <c r="J904" s="51" t="str">
        <f t="shared" si="203"/>
        <v/>
      </c>
      <c r="K904" s="52" t="str">
        <f t="shared" si="220"/>
        <v/>
      </c>
      <c r="L904" s="53" t="str">
        <f t="shared" si="199"/>
        <v/>
      </c>
      <c r="M904" s="52" t="str">
        <f t="shared" si="204"/>
        <v/>
      </c>
      <c r="N904" s="58" t="str">
        <f t="shared" si="200"/>
        <v/>
      </c>
      <c r="Q904" s="51" t="str">
        <f t="shared" si="205"/>
        <v/>
      </c>
      <c r="R904" s="52" t="str">
        <f t="shared" si="206"/>
        <v/>
      </c>
      <c r="S904" s="58" t="str">
        <f t="shared" si="221"/>
        <v/>
      </c>
      <c r="T904" s="52" t="str">
        <f t="shared" si="201"/>
        <v/>
      </c>
    </row>
    <row r="905" spans="2:20" ht="15.75" customHeight="1" x14ac:dyDescent="0.25">
      <c r="B905" s="33">
        <f t="shared" ref="B905:B915" si="230">B904+1/12</f>
        <v>87.083333333333329</v>
      </c>
      <c r="C905" s="34"/>
      <c r="D905" s="35">
        <f>(1/12)*D904</f>
        <v>7.9041666666666652E-3</v>
      </c>
      <c r="E905" s="36">
        <f>E904-(1/12)*F904</f>
        <v>265373.3281066771</v>
      </c>
      <c r="F905" s="36">
        <f t="shared" ref="F905:F915" si="231">E905-E906</f>
        <v>2114.2665292682941</v>
      </c>
      <c r="G905" s="31">
        <f t="shared" si="196"/>
        <v>0.99209583333333329</v>
      </c>
      <c r="H905" s="37"/>
      <c r="I905" s="51" t="str">
        <f t="shared" si="202"/>
        <v/>
      </c>
      <c r="J905" s="51" t="str">
        <f t="shared" si="203"/>
        <v/>
      </c>
      <c r="K905" s="52" t="str">
        <f t="shared" si="220"/>
        <v/>
      </c>
      <c r="L905" s="53" t="str">
        <f t="shared" si="199"/>
        <v/>
      </c>
      <c r="M905" s="52" t="str">
        <f t="shared" si="204"/>
        <v/>
      </c>
      <c r="N905" s="58" t="str">
        <f t="shared" si="200"/>
        <v/>
      </c>
      <c r="Q905" s="51" t="str">
        <f t="shared" si="205"/>
        <v/>
      </c>
      <c r="R905" s="52" t="str">
        <f t="shared" si="206"/>
        <v/>
      </c>
      <c r="S905" s="58" t="str">
        <f t="shared" si="221"/>
        <v/>
      </c>
      <c r="T905" s="52" t="str">
        <f t="shared" si="201"/>
        <v/>
      </c>
    </row>
    <row r="906" spans="2:20" ht="15.75" customHeight="1" x14ac:dyDescent="0.25">
      <c r="B906" s="33">
        <f t="shared" si="230"/>
        <v>87.166666666666657</v>
      </c>
      <c r="C906" s="34"/>
      <c r="D906" s="35">
        <f>(2/12)*D904</f>
        <v>1.580833333333333E-2</v>
      </c>
      <c r="E906" s="36">
        <f>E904-(2/12)*F904</f>
        <v>263259.06157740881</v>
      </c>
      <c r="F906" s="36">
        <f t="shared" si="231"/>
        <v>2114.266529268265</v>
      </c>
      <c r="G906" s="31">
        <f t="shared" si="196"/>
        <v>0.98419166666666669</v>
      </c>
      <c r="H906" s="32"/>
      <c r="I906" s="51" t="str">
        <f t="shared" si="202"/>
        <v/>
      </c>
      <c r="J906" s="51" t="str">
        <f t="shared" si="203"/>
        <v/>
      </c>
      <c r="K906" s="52" t="str">
        <f t="shared" si="220"/>
        <v/>
      </c>
      <c r="L906" s="53" t="str">
        <f t="shared" si="199"/>
        <v/>
      </c>
      <c r="M906" s="52" t="str">
        <f t="shared" si="204"/>
        <v/>
      </c>
      <c r="N906" s="58" t="str">
        <f t="shared" si="200"/>
        <v/>
      </c>
      <c r="Q906" s="51" t="str">
        <f t="shared" si="205"/>
        <v/>
      </c>
      <c r="R906" s="52" t="str">
        <f t="shared" si="206"/>
        <v/>
      </c>
      <c r="S906" s="58" t="str">
        <f t="shared" si="221"/>
        <v/>
      </c>
      <c r="T906" s="52" t="str">
        <f t="shared" si="201"/>
        <v/>
      </c>
    </row>
    <row r="907" spans="2:20" ht="15.75" customHeight="1" x14ac:dyDescent="0.25">
      <c r="B907" s="33">
        <f t="shared" si="230"/>
        <v>87.249999999999986</v>
      </c>
      <c r="C907" s="34"/>
      <c r="D907" s="35">
        <f>(3/12)*D904</f>
        <v>2.3712499999999997E-2</v>
      </c>
      <c r="E907" s="36">
        <f>E904-(3/12)*F904</f>
        <v>261144.79504814054</v>
      </c>
      <c r="F907" s="36">
        <f t="shared" si="231"/>
        <v>2114.2665292682941</v>
      </c>
      <c r="G907" s="31">
        <f t="shared" si="196"/>
        <v>0.97628749999999997</v>
      </c>
      <c r="H907" s="32"/>
      <c r="I907" s="51" t="str">
        <f t="shared" si="202"/>
        <v/>
      </c>
      <c r="J907" s="51" t="str">
        <f t="shared" si="203"/>
        <v/>
      </c>
      <c r="K907" s="52" t="str">
        <f t="shared" si="220"/>
        <v/>
      </c>
      <c r="L907" s="53" t="str">
        <f t="shared" si="199"/>
        <v/>
      </c>
      <c r="M907" s="52" t="str">
        <f t="shared" si="204"/>
        <v/>
      </c>
      <c r="N907" s="58" t="str">
        <f t="shared" si="200"/>
        <v/>
      </c>
      <c r="Q907" s="51" t="str">
        <f t="shared" si="205"/>
        <v/>
      </c>
      <c r="R907" s="52" t="str">
        <f t="shared" si="206"/>
        <v/>
      </c>
      <c r="S907" s="58" t="str">
        <f t="shared" si="221"/>
        <v/>
      </c>
      <c r="T907" s="52" t="str">
        <f t="shared" si="201"/>
        <v/>
      </c>
    </row>
    <row r="908" spans="2:20" ht="15.75" customHeight="1" x14ac:dyDescent="0.25">
      <c r="B908" s="33">
        <f t="shared" si="230"/>
        <v>87.333333333333314</v>
      </c>
      <c r="C908" s="34"/>
      <c r="D908" s="35">
        <f>(4/12)*D904</f>
        <v>3.1616666666666661E-2</v>
      </c>
      <c r="E908" s="36">
        <f>E904-(4/12)*F904</f>
        <v>259030.52851887225</v>
      </c>
      <c r="F908" s="36">
        <f t="shared" si="231"/>
        <v>2114.266529268265</v>
      </c>
      <c r="G908" s="31">
        <f t="shared" si="196"/>
        <v>0.96838333333333337</v>
      </c>
      <c r="H908" s="32"/>
      <c r="I908" s="51" t="str">
        <f t="shared" si="202"/>
        <v/>
      </c>
      <c r="J908" s="51" t="str">
        <f t="shared" si="203"/>
        <v/>
      </c>
      <c r="K908" s="52" t="str">
        <f t="shared" si="220"/>
        <v/>
      </c>
      <c r="L908" s="53" t="str">
        <f t="shared" si="199"/>
        <v/>
      </c>
      <c r="M908" s="52" t="str">
        <f t="shared" si="204"/>
        <v/>
      </c>
      <c r="N908" s="58" t="str">
        <f t="shared" si="200"/>
        <v/>
      </c>
      <c r="Q908" s="51" t="str">
        <f t="shared" si="205"/>
        <v/>
      </c>
      <c r="R908" s="52" t="str">
        <f t="shared" si="206"/>
        <v/>
      </c>
      <c r="S908" s="58" t="str">
        <f t="shared" si="221"/>
        <v/>
      </c>
      <c r="T908" s="52" t="str">
        <f t="shared" si="201"/>
        <v/>
      </c>
    </row>
    <row r="909" spans="2:20" ht="15.75" customHeight="1" x14ac:dyDescent="0.25">
      <c r="B909" s="33">
        <f t="shared" si="230"/>
        <v>87.416666666666643</v>
      </c>
      <c r="C909" s="34"/>
      <c r="D909" s="35">
        <f>(5/12)*D904</f>
        <v>3.9520833333333331E-2</v>
      </c>
      <c r="E909" s="36">
        <f>E904-(5/12)*F904</f>
        <v>256916.26198960398</v>
      </c>
      <c r="F909" s="36">
        <f t="shared" si="231"/>
        <v>2114.2665292682941</v>
      </c>
      <c r="G909" s="31">
        <f t="shared" si="196"/>
        <v>0.96047916666666666</v>
      </c>
      <c r="H909" s="32"/>
      <c r="I909" s="51" t="str">
        <f t="shared" si="202"/>
        <v/>
      </c>
      <c r="J909" s="51" t="str">
        <f t="shared" si="203"/>
        <v/>
      </c>
      <c r="K909" s="52" t="str">
        <f t="shared" si="220"/>
        <v/>
      </c>
      <c r="L909" s="53" t="str">
        <f t="shared" si="199"/>
        <v/>
      </c>
      <c r="M909" s="52" t="str">
        <f t="shared" si="204"/>
        <v/>
      </c>
      <c r="N909" s="58" t="str">
        <f t="shared" si="200"/>
        <v/>
      </c>
      <c r="Q909" s="51" t="str">
        <f t="shared" si="205"/>
        <v/>
      </c>
      <c r="R909" s="52" t="str">
        <f t="shared" si="206"/>
        <v/>
      </c>
      <c r="S909" s="58" t="str">
        <f t="shared" si="221"/>
        <v/>
      </c>
      <c r="T909" s="52" t="str">
        <f t="shared" si="201"/>
        <v/>
      </c>
    </row>
    <row r="910" spans="2:20" ht="15.75" customHeight="1" x14ac:dyDescent="0.25">
      <c r="B910" s="33">
        <f t="shared" si="230"/>
        <v>87.499999999999972</v>
      </c>
      <c r="C910" s="34"/>
      <c r="D910" s="35">
        <f>(6/12)*D904</f>
        <v>4.7424999999999995E-2</v>
      </c>
      <c r="E910" s="36">
        <f>E904-(6/12)*F904</f>
        <v>254801.99546033569</v>
      </c>
      <c r="F910" s="36">
        <f t="shared" si="231"/>
        <v>2114.2665292682941</v>
      </c>
      <c r="G910" s="31">
        <f t="shared" si="196"/>
        <v>0.95257499999999995</v>
      </c>
      <c r="H910" s="32"/>
      <c r="I910" s="51" t="str">
        <f t="shared" si="202"/>
        <v/>
      </c>
      <c r="J910" s="51" t="str">
        <f t="shared" si="203"/>
        <v/>
      </c>
      <c r="K910" s="52" t="str">
        <f t="shared" si="220"/>
        <v/>
      </c>
      <c r="L910" s="53" t="str">
        <f t="shared" si="199"/>
        <v/>
      </c>
      <c r="M910" s="52" t="str">
        <f t="shared" si="204"/>
        <v/>
      </c>
      <c r="N910" s="58" t="str">
        <f t="shared" si="200"/>
        <v/>
      </c>
      <c r="Q910" s="51" t="str">
        <f t="shared" si="205"/>
        <v/>
      </c>
      <c r="R910" s="52" t="str">
        <f t="shared" si="206"/>
        <v/>
      </c>
      <c r="S910" s="58" t="str">
        <f t="shared" si="221"/>
        <v/>
      </c>
      <c r="T910" s="52" t="str">
        <f t="shared" si="201"/>
        <v/>
      </c>
    </row>
    <row r="911" spans="2:20" ht="15.75" customHeight="1" x14ac:dyDescent="0.25">
      <c r="B911" s="33">
        <f t="shared" si="230"/>
        <v>87.5833333333333</v>
      </c>
      <c r="C911" s="34"/>
      <c r="D911" s="35">
        <f>(7/12)*D904</f>
        <v>5.5329166666666665E-2</v>
      </c>
      <c r="E911" s="36">
        <f>E904-(7/12)*F904</f>
        <v>252687.7289310674</v>
      </c>
      <c r="F911" s="36">
        <f t="shared" si="231"/>
        <v>2114.266529268265</v>
      </c>
      <c r="G911" s="31">
        <f t="shared" si="196"/>
        <v>0.94467083333333335</v>
      </c>
      <c r="H911" s="32"/>
      <c r="I911" s="51" t="str">
        <f t="shared" si="202"/>
        <v/>
      </c>
      <c r="J911" s="51" t="str">
        <f t="shared" si="203"/>
        <v/>
      </c>
      <c r="K911" s="52" t="str">
        <f t="shared" si="220"/>
        <v/>
      </c>
      <c r="L911" s="53" t="str">
        <f t="shared" si="199"/>
        <v/>
      </c>
      <c r="M911" s="52" t="str">
        <f t="shared" si="204"/>
        <v/>
      </c>
      <c r="N911" s="58" t="str">
        <f t="shared" si="200"/>
        <v/>
      </c>
      <c r="Q911" s="51" t="str">
        <f t="shared" si="205"/>
        <v/>
      </c>
      <c r="R911" s="52" t="str">
        <f t="shared" si="206"/>
        <v/>
      </c>
      <c r="S911" s="58" t="str">
        <f t="shared" si="221"/>
        <v/>
      </c>
      <c r="T911" s="52" t="str">
        <f t="shared" si="201"/>
        <v/>
      </c>
    </row>
    <row r="912" spans="2:20" ht="15.75" customHeight="1" x14ac:dyDescent="0.25">
      <c r="B912" s="33">
        <f t="shared" si="230"/>
        <v>87.666666666666629</v>
      </c>
      <c r="C912" s="34"/>
      <c r="D912" s="35">
        <f>(8/12)*D904</f>
        <v>6.3233333333333322E-2</v>
      </c>
      <c r="E912" s="36">
        <f>E904-(8/12)*F904</f>
        <v>250573.46240179913</v>
      </c>
      <c r="F912" s="36">
        <f t="shared" si="231"/>
        <v>2114.2665292682941</v>
      </c>
      <c r="G912" s="31">
        <f t="shared" si="196"/>
        <v>0.93676666666666664</v>
      </c>
      <c r="H912" s="32"/>
      <c r="I912" s="51" t="str">
        <f t="shared" si="202"/>
        <v/>
      </c>
      <c r="J912" s="51" t="str">
        <f t="shared" si="203"/>
        <v/>
      </c>
      <c r="K912" s="52" t="str">
        <f t="shared" si="220"/>
        <v/>
      </c>
      <c r="L912" s="53" t="str">
        <f t="shared" si="199"/>
        <v/>
      </c>
      <c r="M912" s="52" t="str">
        <f t="shared" si="204"/>
        <v/>
      </c>
      <c r="N912" s="58" t="str">
        <f t="shared" si="200"/>
        <v/>
      </c>
      <c r="Q912" s="51" t="str">
        <f t="shared" si="205"/>
        <v/>
      </c>
      <c r="R912" s="52" t="str">
        <f t="shared" si="206"/>
        <v/>
      </c>
      <c r="S912" s="58" t="str">
        <f t="shared" si="221"/>
        <v/>
      </c>
      <c r="T912" s="52" t="str">
        <f t="shared" si="201"/>
        <v/>
      </c>
    </row>
    <row r="913" spans="2:20" ht="15.75" customHeight="1" x14ac:dyDescent="0.25">
      <c r="B913" s="33">
        <f t="shared" si="230"/>
        <v>87.749999999999957</v>
      </c>
      <c r="C913" s="34"/>
      <c r="D913" s="35">
        <f>(9/12)*D904</f>
        <v>7.1137499999999992E-2</v>
      </c>
      <c r="E913" s="36">
        <f>E904-(9/12)*F904</f>
        <v>248459.19587253084</v>
      </c>
      <c r="F913" s="36">
        <f t="shared" si="231"/>
        <v>2114.2665292682941</v>
      </c>
      <c r="G913" s="31">
        <f t="shared" si="196"/>
        <v>0.92886250000000004</v>
      </c>
      <c r="H913" s="32"/>
      <c r="I913" s="51" t="str">
        <f t="shared" si="202"/>
        <v/>
      </c>
      <c r="J913" s="51" t="str">
        <f t="shared" si="203"/>
        <v/>
      </c>
      <c r="K913" s="52" t="str">
        <f t="shared" si="220"/>
        <v/>
      </c>
      <c r="L913" s="53" t="str">
        <f t="shared" si="199"/>
        <v/>
      </c>
      <c r="M913" s="52" t="str">
        <f t="shared" si="204"/>
        <v/>
      </c>
      <c r="N913" s="58" t="str">
        <f t="shared" si="200"/>
        <v/>
      </c>
      <c r="Q913" s="51" t="str">
        <f t="shared" si="205"/>
        <v/>
      </c>
      <c r="R913" s="52" t="str">
        <f t="shared" si="206"/>
        <v/>
      </c>
      <c r="S913" s="58" t="str">
        <f t="shared" si="221"/>
        <v/>
      </c>
      <c r="T913" s="52" t="str">
        <f t="shared" si="201"/>
        <v/>
      </c>
    </row>
    <row r="914" spans="2:20" ht="15.75" customHeight="1" x14ac:dyDescent="0.25">
      <c r="B914" s="33">
        <f t="shared" si="230"/>
        <v>87.833333333333286</v>
      </c>
      <c r="C914" s="34"/>
      <c r="D914" s="35">
        <f>(10/12)*D904</f>
        <v>7.9041666666666663E-2</v>
      </c>
      <c r="E914" s="36">
        <f>E904-(10/12)*F904</f>
        <v>246344.92934326254</v>
      </c>
      <c r="F914" s="36">
        <f t="shared" si="231"/>
        <v>2114.266529268265</v>
      </c>
      <c r="G914" s="31">
        <f t="shared" si="196"/>
        <v>0.92095833333333332</v>
      </c>
      <c r="H914" s="32"/>
      <c r="I914" s="51" t="str">
        <f t="shared" si="202"/>
        <v/>
      </c>
      <c r="J914" s="51" t="str">
        <f t="shared" si="203"/>
        <v/>
      </c>
      <c r="K914" s="52" t="str">
        <f t="shared" si="220"/>
        <v/>
      </c>
      <c r="L914" s="53" t="str">
        <f t="shared" si="199"/>
        <v/>
      </c>
      <c r="M914" s="52" t="str">
        <f t="shared" si="204"/>
        <v/>
      </c>
      <c r="N914" s="58" t="str">
        <f t="shared" si="200"/>
        <v/>
      </c>
      <c r="Q914" s="51" t="str">
        <f t="shared" si="205"/>
        <v/>
      </c>
      <c r="R914" s="52" t="str">
        <f t="shared" si="206"/>
        <v/>
      </c>
      <c r="S914" s="58" t="str">
        <f t="shared" ref="S914:S977" si="232">IF(Q914&lt;&gt;"",(1+$M$10)^-(12*Q914),"")</f>
        <v/>
      </c>
      <c r="T914" s="52" t="str">
        <f t="shared" si="201"/>
        <v/>
      </c>
    </row>
    <row r="915" spans="2:20" ht="15.75" customHeight="1" x14ac:dyDescent="0.25">
      <c r="B915" s="33">
        <f t="shared" si="230"/>
        <v>87.916666666666615</v>
      </c>
      <c r="C915" s="34"/>
      <c r="D915" s="35">
        <f>(11/12)*D904</f>
        <v>8.6945833333333319E-2</v>
      </c>
      <c r="E915" s="36">
        <f>E904-(11/12)*F904</f>
        <v>244230.66281399428</v>
      </c>
      <c r="F915" s="36">
        <f t="shared" si="231"/>
        <v>2114.2665292682941</v>
      </c>
      <c r="G915" s="31">
        <f t="shared" si="196"/>
        <v>0.91305416666666672</v>
      </c>
      <c r="H915" s="32"/>
      <c r="I915" s="51" t="str">
        <f t="shared" si="202"/>
        <v/>
      </c>
      <c r="J915" s="51" t="str">
        <f t="shared" si="203"/>
        <v/>
      </c>
      <c r="K915" s="52" t="str">
        <f t="shared" si="220"/>
        <v/>
      </c>
      <c r="L915" s="53" t="str">
        <f t="shared" si="199"/>
        <v/>
      </c>
      <c r="M915" s="52" t="str">
        <f t="shared" si="204"/>
        <v/>
      </c>
      <c r="N915" s="58" t="str">
        <f t="shared" si="200"/>
        <v/>
      </c>
      <c r="Q915" s="51" t="str">
        <f t="shared" si="205"/>
        <v/>
      </c>
      <c r="R915" s="52" t="str">
        <f t="shared" si="206"/>
        <v/>
      </c>
      <c r="S915" s="58" t="str">
        <f t="shared" si="232"/>
        <v/>
      </c>
      <c r="T915" s="52" t="str">
        <f t="shared" si="201"/>
        <v/>
      </c>
    </row>
    <row r="916" spans="2:20" ht="15.75" customHeight="1" x14ac:dyDescent="0.25">
      <c r="B916" s="27">
        <v>88</v>
      </c>
      <c r="C916" s="28">
        <v>101.43599999999999</v>
      </c>
      <c r="D916" s="29">
        <f>C916/1000</f>
        <v>0.101436</v>
      </c>
      <c r="E916" s="30">
        <f>E904-F904</f>
        <v>242116.39628472598</v>
      </c>
      <c r="F916" s="48">
        <f>D916*E916</f>
        <v>24559.318773537463</v>
      </c>
      <c r="G916" s="31">
        <f t="shared" si="196"/>
        <v>0.89856400000000003</v>
      </c>
      <c r="H916" s="49"/>
      <c r="I916" s="51" t="str">
        <f t="shared" si="202"/>
        <v/>
      </c>
      <c r="J916" s="51" t="str">
        <f t="shared" si="203"/>
        <v/>
      </c>
      <c r="K916" s="52" t="str">
        <f t="shared" si="220"/>
        <v/>
      </c>
      <c r="L916" s="53" t="str">
        <f t="shared" si="199"/>
        <v/>
      </c>
      <c r="M916" s="52" t="str">
        <f t="shared" si="204"/>
        <v/>
      </c>
      <c r="N916" s="58" t="str">
        <f t="shared" si="200"/>
        <v/>
      </c>
      <c r="Q916" s="51" t="str">
        <f t="shared" si="205"/>
        <v/>
      </c>
      <c r="R916" s="52" t="str">
        <f t="shared" si="206"/>
        <v/>
      </c>
      <c r="S916" s="58" t="str">
        <f t="shared" si="232"/>
        <v/>
      </c>
      <c r="T916" s="52" t="str">
        <f t="shared" si="201"/>
        <v/>
      </c>
    </row>
    <row r="917" spans="2:20" ht="15.75" customHeight="1" x14ac:dyDescent="0.25">
      <c r="B917" s="33">
        <f t="shared" ref="B917:B927" si="233">B916+1/12</f>
        <v>88.083333333333329</v>
      </c>
      <c r="C917" s="34"/>
      <c r="D917" s="35">
        <f>(1/12)*D916</f>
        <v>8.4529999999999987E-3</v>
      </c>
      <c r="E917" s="36">
        <f>E916-(1/12)*F916</f>
        <v>240069.7863869312</v>
      </c>
      <c r="F917" s="36">
        <f t="shared" ref="F917:F927" si="234">E917-E918</f>
        <v>2046.609897794784</v>
      </c>
      <c r="G917" s="31">
        <f t="shared" si="196"/>
        <v>0.99154699999999996</v>
      </c>
      <c r="H917" s="37"/>
      <c r="I917" s="51" t="str">
        <f t="shared" si="202"/>
        <v/>
      </c>
      <c r="J917" s="51" t="str">
        <f t="shared" si="203"/>
        <v/>
      </c>
      <c r="K917" s="52" t="str">
        <f t="shared" si="220"/>
        <v/>
      </c>
      <c r="L917" s="53" t="str">
        <f t="shared" si="199"/>
        <v/>
      </c>
      <c r="M917" s="52" t="str">
        <f t="shared" si="204"/>
        <v/>
      </c>
      <c r="N917" s="58" t="str">
        <f t="shared" si="200"/>
        <v/>
      </c>
      <c r="Q917" s="51" t="str">
        <f t="shared" si="205"/>
        <v/>
      </c>
      <c r="R917" s="52" t="str">
        <f t="shared" si="206"/>
        <v/>
      </c>
      <c r="S917" s="58" t="str">
        <f t="shared" si="232"/>
        <v/>
      </c>
      <c r="T917" s="52" t="str">
        <f t="shared" si="201"/>
        <v/>
      </c>
    </row>
    <row r="918" spans="2:20" ht="15.75" customHeight="1" x14ac:dyDescent="0.25">
      <c r="B918" s="33">
        <f t="shared" si="233"/>
        <v>88.166666666666657</v>
      </c>
      <c r="C918" s="34"/>
      <c r="D918" s="35">
        <f>(2/12)*D916</f>
        <v>1.6905999999999997E-2</v>
      </c>
      <c r="E918" s="36">
        <f>E916-(2/12)*F916</f>
        <v>238023.17648913641</v>
      </c>
      <c r="F918" s="36">
        <f t="shared" si="234"/>
        <v>2046.609897794784</v>
      </c>
      <c r="G918" s="31">
        <f t="shared" si="196"/>
        <v>0.98309400000000002</v>
      </c>
      <c r="H918" s="32"/>
      <c r="I918" s="51" t="str">
        <f t="shared" si="202"/>
        <v/>
      </c>
      <c r="J918" s="51" t="str">
        <f t="shared" si="203"/>
        <v/>
      </c>
      <c r="K918" s="52" t="str">
        <f t="shared" si="220"/>
        <v/>
      </c>
      <c r="L918" s="53" t="str">
        <f t="shared" si="199"/>
        <v/>
      </c>
      <c r="M918" s="52" t="str">
        <f t="shared" si="204"/>
        <v/>
      </c>
      <c r="N918" s="58" t="str">
        <f t="shared" si="200"/>
        <v/>
      </c>
      <c r="Q918" s="51" t="str">
        <f t="shared" si="205"/>
        <v/>
      </c>
      <c r="R918" s="52" t="str">
        <f t="shared" si="206"/>
        <v/>
      </c>
      <c r="S918" s="58" t="str">
        <f t="shared" si="232"/>
        <v/>
      </c>
      <c r="T918" s="52" t="str">
        <f t="shared" si="201"/>
        <v/>
      </c>
    </row>
    <row r="919" spans="2:20" ht="15.75" customHeight="1" x14ac:dyDescent="0.25">
      <c r="B919" s="33">
        <f t="shared" si="233"/>
        <v>88.249999999999986</v>
      </c>
      <c r="C919" s="34"/>
      <c r="D919" s="35">
        <f>(3/12)*D916</f>
        <v>2.5359E-2</v>
      </c>
      <c r="E919" s="36">
        <f>E916-(3/12)*F916</f>
        <v>235976.56659134163</v>
      </c>
      <c r="F919" s="36">
        <f t="shared" si="234"/>
        <v>2046.6098977948132</v>
      </c>
      <c r="G919" s="31">
        <f t="shared" si="196"/>
        <v>0.97464099999999998</v>
      </c>
      <c r="H919" s="32"/>
      <c r="I919" s="51" t="str">
        <f t="shared" si="202"/>
        <v/>
      </c>
      <c r="J919" s="51" t="str">
        <f t="shared" si="203"/>
        <v/>
      </c>
      <c r="K919" s="52" t="str">
        <f t="shared" si="220"/>
        <v/>
      </c>
      <c r="L919" s="53" t="str">
        <f t="shared" si="199"/>
        <v/>
      </c>
      <c r="M919" s="52" t="str">
        <f t="shared" si="204"/>
        <v/>
      </c>
      <c r="N919" s="58" t="str">
        <f t="shared" si="200"/>
        <v/>
      </c>
      <c r="Q919" s="51" t="str">
        <f t="shared" si="205"/>
        <v/>
      </c>
      <c r="R919" s="52" t="str">
        <f t="shared" si="206"/>
        <v/>
      </c>
      <c r="S919" s="58" t="str">
        <f t="shared" si="232"/>
        <v/>
      </c>
      <c r="T919" s="52" t="str">
        <f t="shared" si="201"/>
        <v/>
      </c>
    </row>
    <row r="920" spans="2:20" ht="15.75" customHeight="1" x14ac:dyDescent="0.25">
      <c r="B920" s="33">
        <f t="shared" si="233"/>
        <v>88.333333333333314</v>
      </c>
      <c r="C920" s="34"/>
      <c r="D920" s="35">
        <f>(4/12)*D916</f>
        <v>3.3811999999999995E-2</v>
      </c>
      <c r="E920" s="36">
        <f>E916-(4/12)*F916</f>
        <v>233929.95669354682</v>
      </c>
      <c r="F920" s="36">
        <f t="shared" si="234"/>
        <v>2046.609897794784</v>
      </c>
      <c r="G920" s="31">
        <f t="shared" si="196"/>
        <v>0.96618800000000005</v>
      </c>
      <c r="H920" s="32"/>
      <c r="I920" s="51" t="str">
        <f t="shared" si="202"/>
        <v/>
      </c>
      <c r="J920" s="51" t="str">
        <f t="shared" si="203"/>
        <v/>
      </c>
      <c r="K920" s="52" t="str">
        <f t="shared" si="220"/>
        <v/>
      </c>
      <c r="L920" s="53" t="str">
        <f t="shared" si="199"/>
        <v/>
      </c>
      <c r="M920" s="52" t="str">
        <f t="shared" si="204"/>
        <v/>
      </c>
      <c r="N920" s="58" t="str">
        <f t="shared" si="200"/>
        <v/>
      </c>
      <c r="Q920" s="51" t="str">
        <f t="shared" si="205"/>
        <v/>
      </c>
      <c r="R920" s="52" t="str">
        <f t="shared" si="206"/>
        <v/>
      </c>
      <c r="S920" s="58" t="str">
        <f t="shared" si="232"/>
        <v/>
      </c>
      <c r="T920" s="52" t="str">
        <f t="shared" si="201"/>
        <v/>
      </c>
    </row>
    <row r="921" spans="2:20" ht="15.75" customHeight="1" x14ac:dyDescent="0.25">
      <c r="B921" s="33">
        <f t="shared" si="233"/>
        <v>88.416666666666643</v>
      </c>
      <c r="C921" s="34"/>
      <c r="D921" s="35">
        <f>(5/12)*D916</f>
        <v>4.2265000000000004E-2</v>
      </c>
      <c r="E921" s="36">
        <f>E916-(5/12)*F916</f>
        <v>231883.34679575203</v>
      </c>
      <c r="F921" s="36">
        <f t="shared" si="234"/>
        <v>2046.609897794784</v>
      </c>
      <c r="G921" s="31">
        <f t="shared" si="196"/>
        <v>0.957735</v>
      </c>
      <c r="H921" s="32"/>
      <c r="I921" s="51" t="str">
        <f t="shared" si="202"/>
        <v/>
      </c>
      <c r="J921" s="51" t="str">
        <f t="shared" si="203"/>
        <v/>
      </c>
      <c r="K921" s="52" t="str">
        <f t="shared" si="220"/>
        <v/>
      </c>
      <c r="L921" s="53" t="str">
        <f t="shared" si="199"/>
        <v/>
      </c>
      <c r="M921" s="52" t="str">
        <f t="shared" si="204"/>
        <v/>
      </c>
      <c r="N921" s="58" t="str">
        <f t="shared" si="200"/>
        <v/>
      </c>
      <c r="Q921" s="51" t="str">
        <f t="shared" si="205"/>
        <v/>
      </c>
      <c r="R921" s="52" t="str">
        <f t="shared" si="206"/>
        <v/>
      </c>
      <c r="S921" s="58" t="str">
        <f t="shared" si="232"/>
        <v/>
      </c>
      <c r="T921" s="52" t="str">
        <f t="shared" si="201"/>
        <v/>
      </c>
    </row>
    <row r="922" spans="2:20" ht="15.75" customHeight="1" x14ac:dyDescent="0.25">
      <c r="B922" s="33">
        <f t="shared" si="233"/>
        <v>88.499999999999972</v>
      </c>
      <c r="C922" s="34"/>
      <c r="D922" s="35">
        <f>(6/12)*D916</f>
        <v>5.0717999999999999E-2</v>
      </c>
      <c r="E922" s="36">
        <f>E916-(6/12)*F916</f>
        <v>229836.73689795725</v>
      </c>
      <c r="F922" s="36">
        <f t="shared" si="234"/>
        <v>2046.609897794784</v>
      </c>
      <c r="G922" s="31">
        <f t="shared" si="196"/>
        <v>0.94928199999999996</v>
      </c>
      <c r="H922" s="32"/>
      <c r="I922" s="51" t="str">
        <f t="shared" si="202"/>
        <v/>
      </c>
      <c r="J922" s="51" t="str">
        <f t="shared" si="203"/>
        <v/>
      </c>
      <c r="K922" s="52" t="str">
        <f t="shared" si="220"/>
        <v/>
      </c>
      <c r="L922" s="53" t="str">
        <f t="shared" si="199"/>
        <v/>
      </c>
      <c r="M922" s="52" t="str">
        <f t="shared" si="204"/>
        <v/>
      </c>
      <c r="N922" s="58" t="str">
        <f t="shared" si="200"/>
        <v/>
      </c>
      <c r="Q922" s="51" t="str">
        <f t="shared" si="205"/>
        <v/>
      </c>
      <c r="R922" s="52" t="str">
        <f t="shared" si="206"/>
        <v/>
      </c>
      <c r="S922" s="58" t="str">
        <f t="shared" si="232"/>
        <v/>
      </c>
      <c r="T922" s="52" t="str">
        <f t="shared" si="201"/>
        <v/>
      </c>
    </row>
    <row r="923" spans="2:20" ht="15.75" customHeight="1" x14ac:dyDescent="0.25">
      <c r="B923" s="33">
        <f t="shared" si="233"/>
        <v>88.5833333333333</v>
      </c>
      <c r="C923" s="34"/>
      <c r="D923" s="35">
        <f>(7/12)*D916</f>
        <v>5.9171000000000001E-2</v>
      </c>
      <c r="E923" s="36">
        <f>E916-(7/12)*F916</f>
        <v>227790.12700016247</v>
      </c>
      <c r="F923" s="36">
        <f t="shared" si="234"/>
        <v>2046.609897794784</v>
      </c>
      <c r="G923" s="31">
        <f t="shared" si="196"/>
        <v>0.94082900000000003</v>
      </c>
      <c r="H923" s="32"/>
      <c r="I923" s="51" t="str">
        <f t="shared" si="202"/>
        <v/>
      </c>
      <c r="J923" s="51" t="str">
        <f t="shared" si="203"/>
        <v/>
      </c>
      <c r="K923" s="52" t="str">
        <f t="shared" si="220"/>
        <v/>
      </c>
      <c r="L923" s="53" t="str">
        <f t="shared" si="199"/>
        <v/>
      </c>
      <c r="M923" s="52" t="str">
        <f t="shared" si="204"/>
        <v/>
      </c>
      <c r="N923" s="58" t="str">
        <f t="shared" si="200"/>
        <v/>
      </c>
      <c r="Q923" s="51" t="str">
        <f t="shared" si="205"/>
        <v/>
      </c>
      <c r="R923" s="52" t="str">
        <f t="shared" si="206"/>
        <v/>
      </c>
      <c r="S923" s="58" t="str">
        <f t="shared" si="232"/>
        <v/>
      </c>
      <c r="T923" s="52" t="str">
        <f t="shared" si="201"/>
        <v/>
      </c>
    </row>
    <row r="924" spans="2:20" ht="15.75" customHeight="1" x14ac:dyDescent="0.25">
      <c r="B924" s="33">
        <f t="shared" si="233"/>
        <v>88.666666666666629</v>
      </c>
      <c r="C924" s="34"/>
      <c r="D924" s="35">
        <f>(8/12)*D916</f>
        <v>6.762399999999999E-2</v>
      </c>
      <c r="E924" s="36">
        <f>E916-(8/12)*F916</f>
        <v>225743.51710236768</v>
      </c>
      <c r="F924" s="36">
        <f t="shared" si="234"/>
        <v>2046.609897794784</v>
      </c>
      <c r="G924" s="31">
        <f t="shared" si="196"/>
        <v>0.93237599999999998</v>
      </c>
      <c r="H924" s="32"/>
      <c r="I924" s="51" t="str">
        <f t="shared" si="202"/>
        <v/>
      </c>
      <c r="J924" s="51" t="str">
        <f t="shared" si="203"/>
        <v/>
      </c>
      <c r="K924" s="52" t="str">
        <f t="shared" si="220"/>
        <v/>
      </c>
      <c r="L924" s="53" t="str">
        <f t="shared" si="199"/>
        <v/>
      </c>
      <c r="M924" s="52" t="str">
        <f t="shared" si="204"/>
        <v/>
      </c>
      <c r="N924" s="58" t="str">
        <f t="shared" si="200"/>
        <v/>
      </c>
      <c r="Q924" s="51" t="str">
        <f t="shared" si="205"/>
        <v/>
      </c>
      <c r="R924" s="52" t="str">
        <f t="shared" si="206"/>
        <v/>
      </c>
      <c r="S924" s="58" t="str">
        <f t="shared" si="232"/>
        <v/>
      </c>
      <c r="T924" s="52" t="str">
        <f t="shared" si="201"/>
        <v/>
      </c>
    </row>
    <row r="925" spans="2:20" ht="15.75" customHeight="1" x14ac:dyDescent="0.25">
      <c r="B925" s="33">
        <f t="shared" si="233"/>
        <v>88.749999999999957</v>
      </c>
      <c r="C925" s="34"/>
      <c r="D925" s="35">
        <f>(9/12)*D916</f>
        <v>7.6077000000000006E-2</v>
      </c>
      <c r="E925" s="36">
        <f>E916-(9/12)*F916</f>
        <v>223696.9072045729</v>
      </c>
      <c r="F925" s="36">
        <f t="shared" si="234"/>
        <v>2046.6098977948132</v>
      </c>
      <c r="G925" s="31">
        <f t="shared" si="196"/>
        <v>0.92392300000000005</v>
      </c>
      <c r="H925" s="32"/>
      <c r="I925" s="51" t="str">
        <f t="shared" si="202"/>
        <v/>
      </c>
      <c r="J925" s="51" t="str">
        <f t="shared" si="203"/>
        <v/>
      </c>
      <c r="K925" s="52" t="str">
        <f t="shared" si="220"/>
        <v/>
      </c>
      <c r="L925" s="53" t="str">
        <f t="shared" si="199"/>
        <v/>
      </c>
      <c r="M925" s="52" t="str">
        <f t="shared" si="204"/>
        <v/>
      </c>
      <c r="N925" s="58" t="str">
        <f t="shared" si="200"/>
        <v/>
      </c>
      <c r="Q925" s="51" t="str">
        <f t="shared" si="205"/>
        <v/>
      </c>
      <c r="R925" s="52" t="str">
        <f t="shared" si="206"/>
        <v/>
      </c>
      <c r="S925" s="58" t="str">
        <f t="shared" si="232"/>
        <v/>
      </c>
      <c r="T925" s="52" t="str">
        <f t="shared" si="201"/>
        <v/>
      </c>
    </row>
    <row r="926" spans="2:20" ht="15.75" customHeight="1" x14ac:dyDescent="0.25">
      <c r="B926" s="33">
        <f t="shared" si="233"/>
        <v>88.833333333333286</v>
      </c>
      <c r="C926" s="34"/>
      <c r="D926" s="35">
        <f>(10/12)*D916</f>
        <v>8.4530000000000008E-2</v>
      </c>
      <c r="E926" s="36">
        <f>E916-(10/12)*F916</f>
        <v>221650.29730677808</v>
      </c>
      <c r="F926" s="36">
        <f t="shared" si="234"/>
        <v>2046.609897794784</v>
      </c>
      <c r="G926" s="31">
        <f t="shared" si="196"/>
        <v>0.91547000000000001</v>
      </c>
      <c r="H926" s="32"/>
      <c r="I926" s="51" t="str">
        <f t="shared" si="202"/>
        <v/>
      </c>
      <c r="J926" s="51" t="str">
        <f t="shared" si="203"/>
        <v/>
      </c>
      <c r="K926" s="52" t="str">
        <f t="shared" si="220"/>
        <v/>
      </c>
      <c r="L926" s="53" t="str">
        <f t="shared" si="199"/>
        <v/>
      </c>
      <c r="M926" s="52" t="str">
        <f t="shared" si="204"/>
        <v/>
      </c>
      <c r="N926" s="58" t="str">
        <f t="shared" si="200"/>
        <v/>
      </c>
      <c r="Q926" s="51" t="str">
        <f t="shared" si="205"/>
        <v/>
      </c>
      <c r="R926" s="52" t="str">
        <f t="shared" si="206"/>
        <v/>
      </c>
      <c r="S926" s="58" t="str">
        <f t="shared" si="232"/>
        <v/>
      </c>
      <c r="T926" s="52" t="str">
        <f t="shared" si="201"/>
        <v/>
      </c>
    </row>
    <row r="927" spans="2:20" ht="15.75" customHeight="1" x14ac:dyDescent="0.25">
      <c r="B927" s="33">
        <f t="shared" si="233"/>
        <v>88.916666666666615</v>
      </c>
      <c r="C927" s="34"/>
      <c r="D927" s="35">
        <f>(11/12)*D916</f>
        <v>9.2982999999999996E-2</v>
      </c>
      <c r="E927" s="36">
        <f>E916-(11/12)*F916</f>
        <v>219603.6874089833</v>
      </c>
      <c r="F927" s="36">
        <f t="shared" si="234"/>
        <v>2046.609897794784</v>
      </c>
      <c r="G927" s="31">
        <f t="shared" si="196"/>
        <v>0.90701699999999996</v>
      </c>
      <c r="H927" s="32"/>
      <c r="I927" s="51" t="str">
        <f t="shared" si="202"/>
        <v/>
      </c>
      <c r="J927" s="51" t="str">
        <f t="shared" si="203"/>
        <v/>
      </c>
      <c r="K927" s="52" t="str">
        <f t="shared" si="220"/>
        <v/>
      </c>
      <c r="L927" s="53" t="str">
        <f t="shared" si="199"/>
        <v/>
      </c>
      <c r="M927" s="52" t="str">
        <f t="shared" si="204"/>
        <v/>
      </c>
      <c r="N927" s="58" t="str">
        <f t="shared" si="200"/>
        <v/>
      </c>
      <c r="Q927" s="51" t="str">
        <f t="shared" si="205"/>
        <v/>
      </c>
      <c r="R927" s="52" t="str">
        <f t="shared" si="206"/>
        <v/>
      </c>
      <c r="S927" s="58" t="str">
        <f t="shared" si="232"/>
        <v/>
      </c>
      <c r="T927" s="52" t="str">
        <f t="shared" si="201"/>
        <v/>
      </c>
    </row>
    <row r="928" spans="2:20" ht="15.75" customHeight="1" x14ac:dyDescent="0.25">
      <c r="B928" s="27">
        <v>89</v>
      </c>
      <c r="C928" s="28">
        <v>108.42400000000001</v>
      </c>
      <c r="D928" s="29">
        <f>C928/1000</f>
        <v>0.10842400000000001</v>
      </c>
      <c r="E928" s="30">
        <f>E916-F916</f>
        <v>217557.07751118852</v>
      </c>
      <c r="F928" s="48">
        <f>D928*E928</f>
        <v>23588.408572073105</v>
      </c>
      <c r="G928" s="31">
        <f t="shared" si="196"/>
        <v>0.89157600000000004</v>
      </c>
      <c r="H928" s="49"/>
      <c r="I928" s="51" t="str">
        <f t="shared" si="202"/>
        <v/>
      </c>
      <c r="J928" s="51" t="str">
        <f t="shared" si="203"/>
        <v/>
      </c>
      <c r="K928" s="52" t="str">
        <f t="shared" si="220"/>
        <v/>
      </c>
      <c r="L928" s="53" t="str">
        <f t="shared" si="199"/>
        <v/>
      </c>
      <c r="M928" s="52" t="str">
        <f t="shared" si="204"/>
        <v/>
      </c>
      <c r="N928" s="58" t="str">
        <f t="shared" si="200"/>
        <v/>
      </c>
      <c r="Q928" s="51" t="str">
        <f t="shared" si="205"/>
        <v/>
      </c>
      <c r="R928" s="52" t="str">
        <f t="shared" si="206"/>
        <v/>
      </c>
      <c r="S928" s="58" t="str">
        <f t="shared" si="232"/>
        <v/>
      </c>
      <c r="T928" s="52" t="str">
        <f t="shared" si="201"/>
        <v/>
      </c>
    </row>
    <row r="929" spans="2:20" ht="15.75" customHeight="1" x14ac:dyDescent="0.25">
      <c r="B929" s="33">
        <f t="shared" ref="B929:B939" si="235">B928+1/12</f>
        <v>89.083333333333329</v>
      </c>
      <c r="C929" s="34"/>
      <c r="D929" s="35">
        <f>(1/12)*D928</f>
        <v>9.0353333333333327E-3</v>
      </c>
      <c r="E929" s="36">
        <f>E928-(1/12)*F928</f>
        <v>215591.3767968491</v>
      </c>
      <c r="F929" s="36">
        <f t="shared" ref="F929:F939" si="236">E929-E930</f>
        <v>1965.7007143394439</v>
      </c>
      <c r="G929" s="31">
        <f t="shared" si="196"/>
        <v>0.99096466666666672</v>
      </c>
      <c r="H929" s="37"/>
      <c r="I929" s="51" t="str">
        <f t="shared" si="202"/>
        <v/>
      </c>
      <c r="J929" s="51" t="str">
        <f t="shared" si="203"/>
        <v/>
      </c>
      <c r="K929" s="52" t="str">
        <f t="shared" si="220"/>
        <v/>
      </c>
      <c r="L929" s="53" t="str">
        <f t="shared" si="199"/>
        <v/>
      </c>
      <c r="M929" s="52" t="str">
        <f t="shared" si="204"/>
        <v/>
      </c>
      <c r="N929" s="58" t="str">
        <f t="shared" si="200"/>
        <v/>
      </c>
      <c r="Q929" s="51" t="str">
        <f t="shared" si="205"/>
        <v/>
      </c>
      <c r="R929" s="52" t="str">
        <f t="shared" si="206"/>
        <v/>
      </c>
      <c r="S929" s="58" t="str">
        <f t="shared" si="232"/>
        <v/>
      </c>
      <c r="T929" s="52" t="str">
        <f t="shared" si="201"/>
        <v/>
      </c>
    </row>
    <row r="930" spans="2:20" ht="15.75" customHeight="1" x14ac:dyDescent="0.25">
      <c r="B930" s="33">
        <f t="shared" si="235"/>
        <v>89.166666666666657</v>
      </c>
      <c r="C930" s="34"/>
      <c r="D930" s="35">
        <f>(2/12)*D928</f>
        <v>1.8070666666666665E-2</v>
      </c>
      <c r="E930" s="36">
        <f>E928-(2/12)*F928</f>
        <v>213625.67608250966</v>
      </c>
      <c r="F930" s="36">
        <f t="shared" si="236"/>
        <v>1965.7007143394148</v>
      </c>
      <c r="G930" s="31">
        <f t="shared" si="196"/>
        <v>0.98192933333333332</v>
      </c>
      <c r="H930" s="32"/>
      <c r="I930" s="51" t="str">
        <f t="shared" si="202"/>
        <v/>
      </c>
      <c r="J930" s="51" t="str">
        <f t="shared" si="203"/>
        <v/>
      </c>
      <c r="K930" s="52" t="str">
        <f t="shared" si="220"/>
        <v/>
      </c>
      <c r="L930" s="53" t="str">
        <f t="shared" si="199"/>
        <v/>
      </c>
      <c r="M930" s="52" t="str">
        <f t="shared" si="204"/>
        <v/>
      </c>
      <c r="N930" s="58" t="str">
        <f t="shared" si="200"/>
        <v/>
      </c>
      <c r="Q930" s="51" t="str">
        <f t="shared" si="205"/>
        <v/>
      </c>
      <c r="R930" s="52" t="str">
        <f t="shared" si="206"/>
        <v/>
      </c>
      <c r="S930" s="58" t="str">
        <f t="shared" si="232"/>
        <v/>
      </c>
      <c r="T930" s="52" t="str">
        <f t="shared" si="201"/>
        <v/>
      </c>
    </row>
    <row r="931" spans="2:20" ht="15.75" customHeight="1" x14ac:dyDescent="0.25">
      <c r="B931" s="33">
        <f t="shared" si="235"/>
        <v>89.249999999999986</v>
      </c>
      <c r="C931" s="34"/>
      <c r="D931" s="35">
        <f>(3/12)*D928</f>
        <v>2.7106000000000002E-2</v>
      </c>
      <c r="E931" s="36">
        <f>E928-(3/12)*F928</f>
        <v>211659.97536817024</v>
      </c>
      <c r="F931" s="36">
        <f t="shared" si="236"/>
        <v>1965.7007143394148</v>
      </c>
      <c r="G931" s="31">
        <f t="shared" si="196"/>
        <v>0.97289400000000004</v>
      </c>
      <c r="H931" s="32"/>
      <c r="I931" s="51" t="str">
        <f t="shared" si="202"/>
        <v/>
      </c>
      <c r="J931" s="51" t="str">
        <f t="shared" si="203"/>
        <v/>
      </c>
      <c r="K931" s="52" t="str">
        <f t="shared" si="220"/>
        <v/>
      </c>
      <c r="L931" s="53" t="str">
        <f t="shared" si="199"/>
        <v/>
      </c>
      <c r="M931" s="52" t="str">
        <f t="shared" si="204"/>
        <v/>
      </c>
      <c r="N931" s="58" t="str">
        <f t="shared" si="200"/>
        <v/>
      </c>
      <c r="Q931" s="51" t="str">
        <f t="shared" si="205"/>
        <v/>
      </c>
      <c r="R931" s="52" t="str">
        <f t="shared" si="206"/>
        <v/>
      </c>
      <c r="S931" s="58" t="str">
        <f t="shared" si="232"/>
        <v/>
      </c>
      <c r="T931" s="52" t="str">
        <f t="shared" si="201"/>
        <v/>
      </c>
    </row>
    <row r="932" spans="2:20" ht="15.75" customHeight="1" x14ac:dyDescent="0.25">
      <c r="B932" s="33">
        <f t="shared" si="235"/>
        <v>89.333333333333314</v>
      </c>
      <c r="C932" s="34"/>
      <c r="D932" s="35">
        <f>(4/12)*D928</f>
        <v>3.6141333333333331E-2</v>
      </c>
      <c r="E932" s="36">
        <f>E928-(4/12)*F928</f>
        <v>209694.27465383083</v>
      </c>
      <c r="F932" s="36">
        <f t="shared" si="236"/>
        <v>1965.7007143394439</v>
      </c>
      <c r="G932" s="31">
        <f t="shared" si="196"/>
        <v>0.96385866666666664</v>
      </c>
      <c r="H932" s="32"/>
      <c r="I932" s="51" t="str">
        <f t="shared" si="202"/>
        <v/>
      </c>
      <c r="J932" s="51" t="str">
        <f t="shared" si="203"/>
        <v/>
      </c>
      <c r="K932" s="52" t="str">
        <f t="shared" si="220"/>
        <v/>
      </c>
      <c r="L932" s="53" t="str">
        <f t="shared" si="199"/>
        <v/>
      </c>
      <c r="M932" s="52" t="str">
        <f t="shared" si="204"/>
        <v/>
      </c>
      <c r="N932" s="58" t="str">
        <f t="shared" si="200"/>
        <v/>
      </c>
      <c r="Q932" s="51" t="str">
        <f t="shared" si="205"/>
        <v/>
      </c>
      <c r="R932" s="52" t="str">
        <f t="shared" si="206"/>
        <v/>
      </c>
      <c r="S932" s="58" t="str">
        <f t="shared" si="232"/>
        <v/>
      </c>
      <c r="T932" s="52" t="str">
        <f t="shared" si="201"/>
        <v/>
      </c>
    </row>
    <row r="933" spans="2:20" ht="15.75" customHeight="1" x14ac:dyDescent="0.25">
      <c r="B933" s="33">
        <f t="shared" si="235"/>
        <v>89.416666666666643</v>
      </c>
      <c r="C933" s="34"/>
      <c r="D933" s="35">
        <f>(5/12)*D928</f>
        <v>4.5176666666666671E-2</v>
      </c>
      <c r="E933" s="36">
        <f>E928-(5/12)*F928</f>
        <v>207728.57393949138</v>
      </c>
      <c r="F933" s="36">
        <f t="shared" si="236"/>
        <v>1965.7007143394148</v>
      </c>
      <c r="G933" s="31">
        <f t="shared" si="196"/>
        <v>0.95482333333333336</v>
      </c>
      <c r="H933" s="32"/>
      <c r="I933" s="51" t="str">
        <f t="shared" si="202"/>
        <v/>
      </c>
      <c r="J933" s="51" t="str">
        <f t="shared" si="203"/>
        <v/>
      </c>
      <c r="K933" s="52" t="str">
        <f t="shared" si="220"/>
        <v/>
      </c>
      <c r="L933" s="53" t="str">
        <f t="shared" si="199"/>
        <v/>
      </c>
      <c r="M933" s="52" t="str">
        <f t="shared" si="204"/>
        <v/>
      </c>
      <c r="N933" s="58" t="str">
        <f t="shared" si="200"/>
        <v/>
      </c>
      <c r="Q933" s="51" t="str">
        <f t="shared" si="205"/>
        <v/>
      </c>
      <c r="R933" s="52" t="str">
        <f t="shared" si="206"/>
        <v/>
      </c>
      <c r="S933" s="58" t="str">
        <f t="shared" si="232"/>
        <v/>
      </c>
      <c r="T933" s="52" t="str">
        <f t="shared" si="201"/>
        <v/>
      </c>
    </row>
    <row r="934" spans="2:20" ht="15.75" customHeight="1" x14ac:dyDescent="0.25">
      <c r="B934" s="33">
        <f t="shared" si="235"/>
        <v>89.499999999999972</v>
      </c>
      <c r="C934" s="34"/>
      <c r="D934" s="35">
        <f>(6/12)*D928</f>
        <v>5.4212000000000003E-2</v>
      </c>
      <c r="E934" s="36">
        <f>E928-(6/12)*F928</f>
        <v>205762.87322515197</v>
      </c>
      <c r="F934" s="36">
        <f t="shared" si="236"/>
        <v>1965.7007143394439</v>
      </c>
      <c r="G934" s="31">
        <f t="shared" si="196"/>
        <v>0.94578799999999996</v>
      </c>
      <c r="H934" s="32"/>
      <c r="I934" s="51" t="str">
        <f t="shared" si="202"/>
        <v/>
      </c>
      <c r="J934" s="51" t="str">
        <f t="shared" si="203"/>
        <v/>
      </c>
      <c r="K934" s="52" t="str">
        <f t="shared" si="220"/>
        <v/>
      </c>
      <c r="L934" s="53" t="str">
        <f t="shared" si="199"/>
        <v/>
      </c>
      <c r="M934" s="52" t="str">
        <f t="shared" si="204"/>
        <v/>
      </c>
      <c r="N934" s="58" t="str">
        <f t="shared" si="200"/>
        <v/>
      </c>
      <c r="Q934" s="51" t="str">
        <f t="shared" si="205"/>
        <v/>
      </c>
      <c r="R934" s="52" t="str">
        <f t="shared" si="206"/>
        <v/>
      </c>
      <c r="S934" s="58" t="str">
        <f t="shared" si="232"/>
        <v/>
      </c>
      <c r="T934" s="52" t="str">
        <f t="shared" si="201"/>
        <v/>
      </c>
    </row>
    <row r="935" spans="2:20" ht="15.75" customHeight="1" x14ac:dyDescent="0.25">
      <c r="B935" s="33">
        <f t="shared" si="235"/>
        <v>89.5833333333333</v>
      </c>
      <c r="C935" s="34"/>
      <c r="D935" s="35">
        <f>(7/12)*D928</f>
        <v>6.3247333333333336E-2</v>
      </c>
      <c r="E935" s="36">
        <f>E928-(7/12)*F928</f>
        <v>203797.17251081252</v>
      </c>
      <c r="F935" s="36">
        <f t="shared" si="236"/>
        <v>1965.7007143394148</v>
      </c>
      <c r="G935" s="31">
        <f t="shared" si="196"/>
        <v>0.93675266666666668</v>
      </c>
      <c r="H935" s="32"/>
      <c r="I935" s="51" t="str">
        <f t="shared" si="202"/>
        <v/>
      </c>
      <c r="J935" s="51" t="str">
        <f t="shared" si="203"/>
        <v/>
      </c>
      <c r="K935" s="52" t="str">
        <f t="shared" si="220"/>
        <v/>
      </c>
      <c r="L935" s="53" t="str">
        <f t="shared" si="199"/>
        <v/>
      </c>
      <c r="M935" s="52" t="str">
        <f t="shared" si="204"/>
        <v/>
      </c>
      <c r="N935" s="58" t="str">
        <f t="shared" si="200"/>
        <v/>
      </c>
      <c r="Q935" s="51" t="str">
        <f t="shared" si="205"/>
        <v/>
      </c>
      <c r="R935" s="52" t="str">
        <f t="shared" si="206"/>
        <v/>
      </c>
      <c r="S935" s="58" t="str">
        <f t="shared" si="232"/>
        <v/>
      </c>
      <c r="T935" s="52" t="str">
        <f t="shared" si="201"/>
        <v/>
      </c>
    </row>
    <row r="936" spans="2:20" ht="15.75" customHeight="1" x14ac:dyDescent="0.25">
      <c r="B936" s="33">
        <f t="shared" si="235"/>
        <v>89.666666666666629</v>
      </c>
      <c r="C936" s="34"/>
      <c r="D936" s="35">
        <f>(8/12)*D928</f>
        <v>7.2282666666666662E-2</v>
      </c>
      <c r="E936" s="36">
        <f>E928-(8/12)*F928</f>
        <v>201831.47179647311</v>
      </c>
      <c r="F936" s="36">
        <f t="shared" si="236"/>
        <v>1965.7007143394148</v>
      </c>
      <c r="G936" s="31">
        <f t="shared" si="196"/>
        <v>0.92771733333333328</v>
      </c>
      <c r="H936" s="32"/>
      <c r="I936" s="51" t="str">
        <f t="shared" si="202"/>
        <v/>
      </c>
      <c r="J936" s="51" t="str">
        <f t="shared" si="203"/>
        <v/>
      </c>
      <c r="K936" s="52" t="str">
        <f t="shared" si="220"/>
        <v/>
      </c>
      <c r="L936" s="53" t="str">
        <f t="shared" si="199"/>
        <v/>
      </c>
      <c r="M936" s="52" t="str">
        <f t="shared" si="204"/>
        <v/>
      </c>
      <c r="N936" s="58" t="str">
        <f t="shared" si="200"/>
        <v/>
      </c>
      <c r="Q936" s="51" t="str">
        <f t="shared" si="205"/>
        <v/>
      </c>
      <c r="R936" s="52" t="str">
        <f t="shared" si="206"/>
        <v/>
      </c>
      <c r="S936" s="58" t="str">
        <f t="shared" si="232"/>
        <v/>
      </c>
      <c r="T936" s="52" t="str">
        <f t="shared" si="201"/>
        <v/>
      </c>
    </row>
    <row r="937" spans="2:20" ht="15.75" customHeight="1" x14ac:dyDescent="0.25">
      <c r="B937" s="33">
        <f t="shared" si="235"/>
        <v>89.749999999999957</v>
      </c>
      <c r="C937" s="34"/>
      <c r="D937" s="35">
        <f>(9/12)*D928</f>
        <v>8.1318000000000001E-2</v>
      </c>
      <c r="E937" s="36">
        <f>E928-(9/12)*F928</f>
        <v>199865.7710821337</v>
      </c>
      <c r="F937" s="36">
        <f t="shared" si="236"/>
        <v>1965.7007143394439</v>
      </c>
      <c r="G937" s="31">
        <f t="shared" si="196"/>
        <v>0.918682</v>
      </c>
      <c r="H937" s="32"/>
      <c r="I937" s="51" t="str">
        <f t="shared" si="202"/>
        <v/>
      </c>
      <c r="J937" s="51" t="str">
        <f t="shared" si="203"/>
        <v/>
      </c>
      <c r="K937" s="52" t="str">
        <f t="shared" si="220"/>
        <v/>
      </c>
      <c r="L937" s="53" t="str">
        <f t="shared" si="199"/>
        <v/>
      </c>
      <c r="M937" s="52" t="str">
        <f t="shared" si="204"/>
        <v/>
      </c>
      <c r="N937" s="58" t="str">
        <f t="shared" si="200"/>
        <v/>
      </c>
      <c r="Q937" s="51" t="str">
        <f t="shared" si="205"/>
        <v/>
      </c>
      <c r="R937" s="52" t="str">
        <f t="shared" si="206"/>
        <v/>
      </c>
      <c r="S937" s="58" t="str">
        <f t="shared" si="232"/>
        <v/>
      </c>
      <c r="T937" s="52" t="str">
        <f t="shared" si="201"/>
        <v/>
      </c>
    </row>
    <row r="938" spans="2:20" ht="15.75" customHeight="1" x14ac:dyDescent="0.25">
      <c r="B938" s="33">
        <f t="shared" si="235"/>
        <v>89.833333333333286</v>
      </c>
      <c r="C938" s="34"/>
      <c r="D938" s="35">
        <f>(10/12)*D928</f>
        <v>9.0353333333333341E-2</v>
      </c>
      <c r="E938" s="36">
        <f>E928-(10/12)*F928</f>
        <v>197900.07036779425</v>
      </c>
      <c r="F938" s="36">
        <f t="shared" si="236"/>
        <v>1965.7007143394148</v>
      </c>
      <c r="G938" s="31">
        <f t="shared" si="196"/>
        <v>0.90964666666666671</v>
      </c>
      <c r="H938" s="32"/>
      <c r="I938" s="51" t="str">
        <f t="shared" si="202"/>
        <v/>
      </c>
      <c r="J938" s="51" t="str">
        <f t="shared" si="203"/>
        <v/>
      </c>
      <c r="K938" s="52" t="str">
        <f t="shared" si="220"/>
        <v/>
      </c>
      <c r="L938" s="53" t="str">
        <f t="shared" si="199"/>
        <v/>
      </c>
      <c r="M938" s="52" t="str">
        <f t="shared" si="204"/>
        <v/>
      </c>
      <c r="N938" s="58" t="str">
        <f t="shared" si="200"/>
        <v/>
      </c>
      <c r="Q938" s="51" t="str">
        <f t="shared" si="205"/>
        <v/>
      </c>
      <c r="R938" s="52" t="str">
        <f t="shared" si="206"/>
        <v/>
      </c>
      <c r="S938" s="58" t="str">
        <f t="shared" si="232"/>
        <v/>
      </c>
      <c r="T938" s="52" t="str">
        <f t="shared" si="201"/>
        <v/>
      </c>
    </row>
    <row r="939" spans="2:20" ht="15.75" customHeight="1" x14ac:dyDescent="0.25">
      <c r="B939" s="33">
        <f t="shared" si="235"/>
        <v>89.916666666666615</v>
      </c>
      <c r="C939" s="34"/>
      <c r="D939" s="35">
        <f>(11/12)*D928</f>
        <v>9.9388666666666667E-2</v>
      </c>
      <c r="E939" s="36">
        <f>E928-(11/12)*F928</f>
        <v>195934.36965345484</v>
      </c>
      <c r="F939" s="36">
        <f t="shared" si="236"/>
        <v>1965.7007143394148</v>
      </c>
      <c r="G939" s="31">
        <f t="shared" si="196"/>
        <v>0.90061133333333332</v>
      </c>
      <c r="H939" s="32"/>
      <c r="I939" s="51" t="str">
        <f t="shared" si="202"/>
        <v/>
      </c>
      <c r="J939" s="51" t="str">
        <f t="shared" si="203"/>
        <v/>
      </c>
      <c r="K939" s="52" t="str">
        <f t="shared" si="220"/>
        <v/>
      </c>
      <c r="L939" s="53" t="str">
        <f t="shared" si="199"/>
        <v/>
      </c>
      <c r="M939" s="52" t="str">
        <f t="shared" si="204"/>
        <v/>
      </c>
      <c r="N939" s="58" t="str">
        <f t="shared" si="200"/>
        <v/>
      </c>
      <c r="Q939" s="51" t="str">
        <f t="shared" si="205"/>
        <v/>
      </c>
      <c r="R939" s="52" t="str">
        <f t="shared" si="206"/>
        <v/>
      </c>
      <c r="S939" s="58" t="str">
        <f t="shared" si="232"/>
        <v/>
      </c>
      <c r="T939" s="52" t="str">
        <f t="shared" si="201"/>
        <v/>
      </c>
    </row>
    <row r="940" spans="2:20" ht="15.75" customHeight="1" x14ac:dyDescent="0.25">
      <c r="B940" s="27">
        <v>90</v>
      </c>
      <c r="C940" s="28">
        <v>115.83200000000001</v>
      </c>
      <c r="D940" s="29">
        <f>C940/1000</f>
        <v>0.115832</v>
      </c>
      <c r="E940" s="30">
        <f>E928-F928</f>
        <v>193968.66893911542</v>
      </c>
      <c r="F940" s="48">
        <f>D940*E940</f>
        <v>22467.77886055562</v>
      </c>
      <c r="G940" s="31">
        <f t="shared" si="196"/>
        <v>0.88416799999999995</v>
      </c>
      <c r="H940" s="49"/>
      <c r="I940" s="51" t="str">
        <f t="shared" si="202"/>
        <v/>
      </c>
      <c r="J940" s="51" t="str">
        <f t="shared" si="203"/>
        <v/>
      </c>
      <c r="K940" s="52" t="str">
        <f t="shared" si="220"/>
        <v/>
      </c>
      <c r="L940" s="53" t="str">
        <f t="shared" si="199"/>
        <v/>
      </c>
      <c r="M940" s="52" t="str">
        <f t="shared" si="204"/>
        <v/>
      </c>
      <c r="N940" s="58" t="str">
        <f t="shared" si="200"/>
        <v/>
      </c>
      <c r="Q940" s="51" t="str">
        <f t="shared" si="205"/>
        <v/>
      </c>
      <c r="R940" s="52" t="str">
        <f t="shared" si="206"/>
        <v/>
      </c>
      <c r="S940" s="58" t="str">
        <f t="shared" si="232"/>
        <v/>
      </c>
      <c r="T940" s="52" t="str">
        <f t="shared" si="201"/>
        <v/>
      </c>
    </row>
    <row r="941" spans="2:20" ht="15.75" customHeight="1" x14ac:dyDescent="0.25">
      <c r="B941" s="33">
        <f t="shared" ref="B941:B951" si="237">B940+1/12</f>
        <v>90.083333333333329</v>
      </c>
      <c r="C941" s="34"/>
      <c r="D941" s="35">
        <f>(1/12)*D940</f>
        <v>9.652666666666667E-3</v>
      </c>
      <c r="E941" s="36">
        <f>E940-(1/12)*F940</f>
        <v>192096.35403406911</v>
      </c>
      <c r="F941" s="36">
        <f t="shared" ref="F941:F951" si="238">E941-E942</f>
        <v>1872.3149050462816</v>
      </c>
      <c r="G941" s="31">
        <f t="shared" si="196"/>
        <v>0.99034733333333336</v>
      </c>
      <c r="H941" s="37"/>
      <c r="I941" s="51" t="str">
        <f t="shared" si="202"/>
        <v/>
      </c>
      <c r="J941" s="51" t="str">
        <f t="shared" si="203"/>
        <v/>
      </c>
      <c r="K941" s="52" t="str">
        <f t="shared" si="220"/>
        <v/>
      </c>
      <c r="L941" s="53" t="str">
        <f t="shared" si="199"/>
        <v/>
      </c>
      <c r="M941" s="52" t="str">
        <f t="shared" si="204"/>
        <v/>
      </c>
      <c r="N941" s="58" t="str">
        <f t="shared" si="200"/>
        <v/>
      </c>
      <c r="Q941" s="51" t="str">
        <f t="shared" si="205"/>
        <v/>
      </c>
      <c r="R941" s="52" t="str">
        <f t="shared" si="206"/>
        <v/>
      </c>
      <c r="S941" s="58" t="str">
        <f t="shared" si="232"/>
        <v/>
      </c>
      <c r="T941" s="52" t="str">
        <f t="shared" si="201"/>
        <v/>
      </c>
    </row>
    <row r="942" spans="2:20" ht="15.75" customHeight="1" x14ac:dyDescent="0.25">
      <c r="B942" s="33">
        <f t="shared" si="237"/>
        <v>90.166666666666657</v>
      </c>
      <c r="C942" s="34"/>
      <c r="D942" s="35">
        <f>(2/12)*D940</f>
        <v>1.9305333333333334E-2</v>
      </c>
      <c r="E942" s="36">
        <f>E940-(2/12)*F940</f>
        <v>190224.03912902283</v>
      </c>
      <c r="F942" s="36">
        <f t="shared" si="238"/>
        <v>1872.3149050463107</v>
      </c>
      <c r="G942" s="31">
        <f t="shared" si="196"/>
        <v>0.98069466666666671</v>
      </c>
      <c r="H942" s="32"/>
      <c r="I942" s="51" t="str">
        <f t="shared" si="202"/>
        <v/>
      </c>
      <c r="J942" s="51" t="str">
        <f t="shared" si="203"/>
        <v/>
      </c>
      <c r="K942" s="52" t="str">
        <f t="shared" si="220"/>
        <v/>
      </c>
      <c r="L942" s="53" t="str">
        <f t="shared" si="199"/>
        <v/>
      </c>
      <c r="M942" s="52" t="str">
        <f t="shared" si="204"/>
        <v/>
      </c>
      <c r="N942" s="58" t="str">
        <f t="shared" si="200"/>
        <v/>
      </c>
      <c r="Q942" s="51" t="str">
        <f t="shared" si="205"/>
        <v/>
      </c>
      <c r="R942" s="52" t="str">
        <f t="shared" si="206"/>
        <v/>
      </c>
      <c r="S942" s="58" t="str">
        <f t="shared" si="232"/>
        <v/>
      </c>
      <c r="T942" s="52" t="str">
        <f t="shared" si="201"/>
        <v/>
      </c>
    </row>
    <row r="943" spans="2:20" ht="15.75" customHeight="1" x14ac:dyDescent="0.25">
      <c r="B943" s="33">
        <f t="shared" si="237"/>
        <v>90.249999999999986</v>
      </c>
      <c r="C943" s="34"/>
      <c r="D943" s="35">
        <f>(3/12)*D940</f>
        <v>2.8958000000000001E-2</v>
      </c>
      <c r="E943" s="36">
        <f>E940-(3/12)*F940</f>
        <v>188351.72422397652</v>
      </c>
      <c r="F943" s="36">
        <f t="shared" si="238"/>
        <v>1872.3149050463107</v>
      </c>
      <c r="G943" s="31">
        <f t="shared" si="196"/>
        <v>0.97104199999999996</v>
      </c>
      <c r="H943" s="32"/>
      <c r="I943" s="51" t="str">
        <f t="shared" si="202"/>
        <v/>
      </c>
      <c r="J943" s="51" t="str">
        <f t="shared" si="203"/>
        <v/>
      </c>
      <c r="K943" s="52" t="str">
        <f t="shared" si="220"/>
        <v/>
      </c>
      <c r="L943" s="53" t="str">
        <f t="shared" si="199"/>
        <v/>
      </c>
      <c r="M943" s="52" t="str">
        <f t="shared" si="204"/>
        <v/>
      </c>
      <c r="N943" s="58" t="str">
        <f t="shared" si="200"/>
        <v/>
      </c>
      <c r="Q943" s="51" t="str">
        <f t="shared" si="205"/>
        <v/>
      </c>
      <c r="R943" s="52" t="str">
        <f t="shared" si="206"/>
        <v/>
      </c>
      <c r="S943" s="58" t="str">
        <f t="shared" si="232"/>
        <v/>
      </c>
      <c r="T943" s="52" t="str">
        <f t="shared" si="201"/>
        <v/>
      </c>
    </row>
    <row r="944" spans="2:20" ht="15.75" customHeight="1" x14ac:dyDescent="0.25">
      <c r="B944" s="33">
        <f t="shared" si="237"/>
        <v>90.333333333333314</v>
      </c>
      <c r="C944" s="34"/>
      <c r="D944" s="35">
        <f>(4/12)*D940</f>
        <v>3.8610666666666668E-2</v>
      </c>
      <c r="E944" s="36">
        <f>E940-(4/12)*F940</f>
        <v>186479.40931893021</v>
      </c>
      <c r="F944" s="36">
        <f t="shared" si="238"/>
        <v>1872.3149050462816</v>
      </c>
      <c r="G944" s="31">
        <f t="shared" si="196"/>
        <v>0.96138933333333332</v>
      </c>
      <c r="H944" s="32"/>
      <c r="I944" s="51" t="str">
        <f t="shared" si="202"/>
        <v/>
      </c>
      <c r="J944" s="51" t="str">
        <f t="shared" si="203"/>
        <v/>
      </c>
      <c r="K944" s="52" t="str">
        <f t="shared" si="220"/>
        <v/>
      </c>
      <c r="L944" s="53" t="str">
        <f t="shared" si="199"/>
        <v/>
      </c>
      <c r="M944" s="52" t="str">
        <f t="shared" si="204"/>
        <v/>
      </c>
      <c r="N944" s="58" t="str">
        <f t="shared" si="200"/>
        <v/>
      </c>
      <c r="Q944" s="51" t="str">
        <f t="shared" si="205"/>
        <v/>
      </c>
      <c r="R944" s="52" t="str">
        <f t="shared" si="206"/>
        <v/>
      </c>
      <c r="S944" s="58" t="str">
        <f t="shared" si="232"/>
        <v/>
      </c>
      <c r="T944" s="52" t="str">
        <f t="shared" si="201"/>
        <v/>
      </c>
    </row>
    <row r="945" spans="2:20" ht="15.75" customHeight="1" x14ac:dyDescent="0.25">
      <c r="B945" s="33">
        <f t="shared" si="237"/>
        <v>90.416666666666643</v>
      </c>
      <c r="C945" s="34"/>
      <c r="D945" s="35">
        <f>(5/12)*D940</f>
        <v>4.8263333333333339E-2</v>
      </c>
      <c r="E945" s="36">
        <f>E940-(5/12)*F940</f>
        <v>184607.09441388393</v>
      </c>
      <c r="F945" s="36">
        <f t="shared" si="238"/>
        <v>1872.3149050463107</v>
      </c>
      <c r="G945" s="31">
        <f t="shared" si="196"/>
        <v>0.95173666666666668</v>
      </c>
      <c r="H945" s="32"/>
      <c r="I945" s="51" t="str">
        <f t="shared" si="202"/>
        <v/>
      </c>
      <c r="J945" s="51" t="str">
        <f t="shared" si="203"/>
        <v/>
      </c>
      <c r="K945" s="52" t="str">
        <f t="shared" si="220"/>
        <v/>
      </c>
      <c r="L945" s="53" t="str">
        <f t="shared" si="199"/>
        <v/>
      </c>
      <c r="M945" s="52" t="str">
        <f t="shared" si="204"/>
        <v/>
      </c>
      <c r="N945" s="58" t="str">
        <f t="shared" si="200"/>
        <v/>
      </c>
      <c r="Q945" s="51" t="str">
        <f t="shared" si="205"/>
        <v/>
      </c>
      <c r="R945" s="52" t="str">
        <f t="shared" si="206"/>
        <v/>
      </c>
      <c r="S945" s="58" t="str">
        <f t="shared" si="232"/>
        <v/>
      </c>
      <c r="T945" s="52" t="str">
        <f t="shared" si="201"/>
        <v/>
      </c>
    </row>
    <row r="946" spans="2:20" ht="15.75" customHeight="1" x14ac:dyDescent="0.25">
      <c r="B946" s="33">
        <f t="shared" si="237"/>
        <v>90.499999999999972</v>
      </c>
      <c r="C946" s="34"/>
      <c r="D946" s="35">
        <f>(6/12)*D940</f>
        <v>5.7916000000000002E-2</v>
      </c>
      <c r="E946" s="36">
        <f>E940-(6/12)*F940</f>
        <v>182734.77950883762</v>
      </c>
      <c r="F946" s="36">
        <f t="shared" si="238"/>
        <v>1872.3149050463107</v>
      </c>
      <c r="G946" s="31">
        <f t="shared" si="196"/>
        <v>0.94208400000000003</v>
      </c>
      <c r="H946" s="32"/>
      <c r="I946" s="51" t="str">
        <f t="shared" si="202"/>
        <v/>
      </c>
      <c r="J946" s="51" t="str">
        <f t="shared" si="203"/>
        <v/>
      </c>
      <c r="K946" s="52" t="str">
        <f t="shared" si="220"/>
        <v/>
      </c>
      <c r="L946" s="53" t="str">
        <f t="shared" si="199"/>
        <v/>
      </c>
      <c r="M946" s="52" t="str">
        <f t="shared" si="204"/>
        <v/>
      </c>
      <c r="N946" s="58" t="str">
        <f t="shared" si="200"/>
        <v/>
      </c>
      <c r="Q946" s="51" t="str">
        <f t="shared" si="205"/>
        <v/>
      </c>
      <c r="R946" s="52" t="str">
        <f t="shared" si="206"/>
        <v/>
      </c>
      <c r="S946" s="58" t="str">
        <f t="shared" si="232"/>
        <v/>
      </c>
      <c r="T946" s="52" t="str">
        <f t="shared" si="201"/>
        <v/>
      </c>
    </row>
    <row r="947" spans="2:20" ht="15.75" customHeight="1" x14ac:dyDescent="0.25">
      <c r="B947" s="33">
        <f t="shared" si="237"/>
        <v>90.5833333333333</v>
      </c>
      <c r="C947" s="34"/>
      <c r="D947" s="35">
        <f>(7/12)*D940</f>
        <v>6.756866666666668E-2</v>
      </c>
      <c r="E947" s="36">
        <f>E940-(7/12)*F940</f>
        <v>180862.4646037913</v>
      </c>
      <c r="F947" s="36">
        <f t="shared" si="238"/>
        <v>1872.3149050463107</v>
      </c>
      <c r="G947" s="31">
        <f t="shared" si="196"/>
        <v>0.93243133333333328</v>
      </c>
      <c r="H947" s="32"/>
      <c r="I947" s="51" t="str">
        <f t="shared" si="202"/>
        <v/>
      </c>
      <c r="J947" s="51" t="str">
        <f t="shared" si="203"/>
        <v/>
      </c>
      <c r="K947" s="52" t="str">
        <f t="shared" si="220"/>
        <v/>
      </c>
      <c r="L947" s="53" t="str">
        <f t="shared" si="199"/>
        <v/>
      </c>
      <c r="M947" s="52" t="str">
        <f t="shared" si="204"/>
        <v/>
      </c>
      <c r="N947" s="58" t="str">
        <f t="shared" si="200"/>
        <v/>
      </c>
      <c r="Q947" s="51" t="str">
        <f t="shared" si="205"/>
        <v/>
      </c>
      <c r="R947" s="52" t="str">
        <f t="shared" si="206"/>
        <v/>
      </c>
      <c r="S947" s="58" t="str">
        <f t="shared" si="232"/>
        <v/>
      </c>
      <c r="T947" s="52" t="str">
        <f t="shared" si="201"/>
        <v/>
      </c>
    </row>
    <row r="948" spans="2:20" ht="15.75" customHeight="1" x14ac:dyDescent="0.25">
      <c r="B948" s="33">
        <f t="shared" si="237"/>
        <v>90.666666666666629</v>
      </c>
      <c r="C948" s="34"/>
      <c r="D948" s="35">
        <f>(8/12)*D940</f>
        <v>7.7221333333333336E-2</v>
      </c>
      <c r="E948" s="36">
        <f>E940-(8/12)*F940</f>
        <v>178990.14969874499</v>
      </c>
      <c r="F948" s="36">
        <f t="shared" si="238"/>
        <v>1872.3149050462816</v>
      </c>
      <c r="G948" s="31">
        <f t="shared" si="196"/>
        <v>0.92277866666666664</v>
      </c>
      <c r="H948" s="32"/>
      <c r="I948" s="51" t="str">
        <f t="shared" si="202"/>
        <v/>
      </c>
      <c r="J948" s="51" t="str">
        <f t="shared" si="203"/>
        <v/>
      </c>
      <c r="K948" s="52" t="str">
        <f t="shared" si="220"/>
        <v/>
      </c>
      <c r="L948" s="53" t="str">
        <f t="shared" si="199"/>
        <v/>
      </c>
      <c r="M948" s="52" t="str">
        <f t="shared" si="204"/>
        <v/>
      </c>
      <c r="N948" s="58" t="str">
        <f t="shared" si="200"/>
        <v/>
      </c>
      <c r="Q948" s="51" t="str">
        <f t="shared" si="205"/>
        <v/>
      </c>
      <c r="R948" s="52" t="str">
        <f t="shared" si="206"/>
        <v/>
      </c>
      <c r="S948" s="58" t="str">
        <f t="shared" si="232"/>
        <v/>
      </c>
      <c r="T948" s="52" t="str">
        <f t="shared" si="201"/>
        <v/>
      </c>
    </row>
    <row r="949" spans="2:20" ht="15.75" customHeight="1" x14ac:dyDescent="0.25">
      <c r="B949" s="33">
        <f t="shared" si="237"/>
        <v>90.749999999999957</v>
      </c>
      <c r="C949" s="34"/>
      <c r="D949" s="35">
        <f>(9/12)*D940</f>
        <v>8.6874000000000007E-2</v>
      </c>
      <c r="E949" s="36">
        <f>E940-(9/12)*F940</f>
        <v>177117.83479369871</v>
      </c>
      <c r="F949" s="36">
        <f t="shared" si="238"/>
        <v>1872.3149050463107</v>
      </c>
      <c r="G949" s="31">
        <f t="shared" si="196"/>
        <v>0.91312599999999999</v>
      </c>
      <c r="H949" s="32"/>
      <c r="I949" s="51" t="str">
        <f t="shared" si="202"/>
        <v/>
      </c>
      <c r="J949" s="51" t="str">
        <f t="shared" si="203"/>
        <v/>
      </c>
      <c r="K949" s="52" t="str">
        <f t="shared" si="220"/>
        <v/>
      </c>
      <c r="L949" s="53" t="str">
        <f t="shared" si="199"/>
        <v/>
      </c>
      <c r="M949" s="52" t="str">
        <f t="shared" si="204"/>
        <v/>
      </c>
      <c r="N949" s="58" t="str">
        <f t="shared" si="200"/>
        <v/>
      </c>
      <c r="Q949" s="51" t="str">
        <f t="shared" si="205"/>
        <v/>
      </c>
      <c r="R949" s="52" t="str">
        <f t="shared" si="206"/>
        <v/>
      </c>
      <c r="S949" s="58" t="str">
        <f t="shared" si="232"/>
        <v/>
      </c>
      <c r="T949" s="52" t="str">
        <f t="shared" si="201"/>
        <v/>
      </c>
    </row>
    <row r="950" spans="2:20" ht="15.75" customHeight="1" x14ac:dyDescent="0.25">
      <c r="B950" s="33">
        <f t="shared" si="237"/>
        <v>90.833333333333286</v>
      </c>
      <c r="C950" s="34"/>
      <c r="D950" s="35">
        <f>(10/12)*D940</f>
        <v>9.6526666666666677E-2</v>
      </c>
      <c r="E950" s="36">
        <f>E940-(10/12)*F940</f>
        <v>175245.5198886524</v>
      </c>
      <c r="F950" s="36">
        <f t="shared" si="238"/>
        <v>1872.3149050462816</v>
      </c>
      <c r="G950" s="31">
        <f t="shared" si="196"/>
        <v>0.90347333333333335</v>
      </c>
      <c r="H950" s="32"/>
      <c r="I950" s="51" t="str">
        <f t="shared" si="202"/>
        <v/>
      </c>
      <c r="J950" s="51" t="str">
        <f t="shared" si="203"/>
        <v/>
      </c>
      <c r="K950" s="52" t="str">
        <f t="shared" si="220"/>
        <v/>
      </c>
      <c r="L950" s="53" t="str">
        <f t="shared" si="199"/>
        <v/>
      </c>
      <c r="M950" s="52" t="str">
        <f t="shared" si="204"/>
        <v/>
      </c>
      <c r="N950" s="58" t="str">
        <f t="shared" si="200"/>
        <v/>
      </c>
      <c r="Q950" s="51" t="str">
        <f t="shared" si="205"/>
        <v/>
      </c>
      <c r="R950" s="52" t="str">
        <f t="shared" si="206"/>
        <v/>
      </c>
      <c r="S950" s="58" t="str">
        <f t="shared" si="232"/>
        <v/>
      </c>
      <c r="T950" s="52" t="str">
        <f t="shared" si="201"/>
        <v/>
      </c>
    </row>
    <row r="951" spans="2:20" ht="15.75" customHeight="1" x14ac:dyDescent="0.25">
      <c r="B951" s="33">
        <f t="shared" si="237"/>
        <v>90.916666666666615</v>
      </c>
      <c r="C951" s="34"/>
      <c r="D951" s="35">
        <f>(11/12)*D940</f>
        <v>0.10617933333333333</v>
      </c>
      <c r="E951" s="36">
        <f>E940-(11/12)*F940</f>
        <v>173373.20498360612</v>
      </c>
      <c r="F951" s="36">
        <f t="shared" si="238"/>
        <v>1872.3149050463107</v>
      </c>
      <c r="G951" s="31">
        <f t="shared" si="196"/>
        <v>0.89382066666666671</v>
      </c>
      <c r="H951" s="32"/>
      <c r="I951" s="51" t="str">
        <f t="shared" si="202"/>
        <v/>
      </c>
      <c r="J951" s="51" t="str">
        <f t="shared" si="203"/>
        <v/>
      </c>
      <c r="K951" s="52" t="str">
        <f t="shared" si="220"/>
        <v/>
      </c>
      <c r="L951" s="53" t="str">
        <f t="shared" si="199"/>
        <v/>
      </c>
      <c r="M951" s="52" t="str">
        <f t="shared" si="204"/>
        <v/>
      </c>
      <c r="N951" s="58" t="str">
        <f t="shared" si="200"/>
        <v/>
      </c>
      <c r="Q951" s="51" t="str">
        <f t="shared" si="205"/>
        <v/>
      </c>
      <c r="R951" s="52" t="str">
        <f t="shared" si="206"/>
        <v/>
      </c>
      <c r="S951" s="58" t="str">
        <f t="shared" si="232"/>
        <v/>
      </c>
      <c r="T951" s="52" t="str">
        <f t="shared" si="201"/>
        <v/>
      </c>
    </row>
    <row r="952" spans="2:20" ht="15.75" customHeight="1" x14ac:dyDescent="0.25">
      <c r="B952" s="27">
        <v>91</v>
      </c>
      <c r="C952" s="28">
        <v>123.67699999999999</v>
      </c>
      <c r="D952" s="29">
        <f>C952/1000</f>
        <v>0.123677</v>
      </c>
      <c r="E952" s="30">
        <f>E940-F940</f>
        <v>171500.89007855981</v>
      </c>
      <c r="F952" s="48">
        <f>D952*E952</f>
        <v>21210.715582246041</v>
      </c>
      <c r="G952" s="31">
        <f t="shared" si="196"/>
        <v>0.87632299999999996</v>
      </c>
      <c r="H952" s="49"/>
      <c r="I952" s="51" t="str">
        <f t="shared" si="202"/>
        <v/>
      </c>
      <c r="J952" s="51" t="str">
        <f t="shared" si="203"/>
        <v/>
      </c>
      <c r="K952" s="52" t="str">
        <f t="shared" si="220"/>
        <v/>
      </c>
      <c r="L952" s="53" t="str">
        <f t="shared" si="199"/>
        <v/>
      </c>
      <c r="M952" s="52" t="str">
        <f t="shared" si="204"/>
        <v/>
      </c>
      <c r="N952" s="58" t="str">
        <f t="shared" si="200"/>
        <v/>
      </c>
      <c r="Q952" s="51" t="str">
        <f t="shared" si="205"/>
        <v/>
      </c>
      <c r="R952" s="52" t="str">
        <f t="shared" si="206"/>
        <v/>
      </c>
      <c r="S952" s="58" t="str">
        <f t="shared" si="232"/>
        <v/>
      </c>
      <c r="T952" s="52" t="str">
        <f t="shared" si="201"/>
        <v/>
      </c>
    </row>
    <row r="953" spans="2:20" ht="15.75" customHeight="1" x14ac:dyDescent="0.25">
      <c r="B953" s="33">
        <f t="shared" ref="B953:B963" si="239">B952+1/12</f>
        <v>91.083333333333329</v>
      </c>
      <c r="C953" s="34"/>
      <c r="D953" s="35">
        <f>(1/12)*D952</f>
        <v>1.0306416666666665E-2</v>
      </c>
      <c r="E953" s="36">
        <f>E952-(1/12)*F952</f>
        <v>169733.33044670598</v>
      </c>
      <c r="F953" s="36">
        <f t="shared" ref="F953:F963" si="240">E953-E954</f>
        <v>1767.5596318538301</v>
      </c>
      <c r="G953" s="31">
        <f t="shared" si="196"/>
        <v>0.98969358333333335</v>
      </c>
      <c r="H953" s="37"/>
      <c r="I953" s="51" t="str">
        <f t="shared" si="202"/>
        <v/>
      </c>
      <c r="J953" s="51" t="str">
        <f t="shared" si="203"/>
        <v/>
      </c>
      <c r="K953" s="52" t="str">
        <f t="shared" si="220"/>
        <v/>
      </c>
      <c r="L953" s="53" t="str">
        <f t="shared" si="199"/>
        <v/>
      </c>
      <c r="M953" s="52" t="str">
        <f t="shared" si="204"/>
        <v/>
      </c>
      <c r="N953" s="58" t="str">
        <f t="shared" si="200"/>
        <v/>
      </c>
      <c r="Q953" s="51" t="str">
        <f t="shared" si="205"/>
        <v/>
      </c>
      <c r="R953" s="52" t="str">
        <f t="shared" si="206"/>
        <v/>
      </c>
      <c r="S953" s="58" t="str">
        <f t="shared" si="232"/>
        <v/>
      </c>
      <c r="T953" s="52" t="str">
        <f t="shared" si="201"/>
        <v/>
      </c>
    </row>
    <row r="954" spans="2:20" ht="15.75" customHeight="1" x14ac:dyDescent="0.25">
      <c r="B954" s="33">
        <f t="shared" si="239"/>
        <v>91.166666666666657</v>
      </c>
      <c r="C954" s="34"/>
      <c r="D954" s="35">
        <f>(2/12)*D952</f>
        <v>2.061283333333333E-2</v>
      </c>
      <c r="E954" s="36">
        <f>E952-(2/12)*F952</f>
        <v>167965.77081485215</v>
      </c>
      <c r="F954" s="36">
        <f t="shared" si="240"/>
        <v>1767.5596318538592</v>
      </c>
      <c r="G954" s="31">
        <f t="shared" si="196"/>
        <v>0.9793871666666667</v>
      </c>
      <c r="H954" s="32"/>
      <c r="I954" s="51" t="str">
        <f t="shared" si="202"/>
        <v/>
      </c>
      <c r="J954" s="51" t="str">
        <f t="shared" si="203"/>
        <v/>
      </c>
      <c r="K954" s="52" t="str">
        <f t="shared" si="220"/>
        <v/>
      </c>
      <c r="L954" s="53" t="str">
        <f t="shared" si="199"/>
        <v/>
      </c>
      <c r="M954" s="52" t="str">
        <f t="shared" si="204"/>
        <v/>
      </c>
      <c r="N954" s="58" t="str">
        <f t="shared" si="200"/>
        <v/>
      </c>
      <c r="Q954" s="51" t="str">
        <f t="shared" si="205"/>
        <v/>
      </c>
      <c r="R954" s="52" t="str">
        <f t="shared" si="206"/>
        <v/>
      </c>
      <c r="S954" s="58" t="str">
        <f t="shared" si="232"/>
        <v/>
      </c>
      <c r="T954" s="52" t="str">
        <f t="shared" si="201"/>
        <v/>
      </c>
    </row>
    <row r="955" spans="2:20" ht="15.75" customHeight="1" x14ac:dyDescent="0.25">
      <c r="B955" s="33">
        <f t="shared" si="239"/>
        <v>91.249999999999986</v>
      </c>
      <c r="C955" s="34"/>
      <c r="D955" s="35">
        <f>(3/12)*D952</f>
        <v>3.0919249999999999E-2</v>
      </c>
      <c r="E955" s="36">
        <f>E952-(3/12)*F952</f>
        <v>166198.21118299829</v>
      </c>
      <c r="F955" s="36">
        <f t="shared" si="240"/>
        <v>1767.5596318538301</v>
      </c>
      <c r="G955" s="31">
        <f t="shared" si="196"/>
        <v>0.96908075000000005</v>
      </c>
      <c r="H955" s="32"/>
      <c r="I955" s="51" t="str">
        <f t="shared" si="202"/>
        <v/>
      </c>
      <c r="J955" s="51" t="str">
        <f t="shared" si="203"/>
        <v/>
      </c>
      <c r="K955" s="52" t="str">
        <f t="shared" si="220"/>
        <v/>
      </c>
      <c r="L955" s="53" t="str">
        <f t="shared" si="199"/>
        <v/>
      </c>
      <c r="M955" s="52" t="str">
        <f t="shared" si="204"/>
        <v/>
      </c>
      <c r="N955" s="58" t="str">
        <f t="shared" si="200"/>
        <v/>
      </c>
      <c r="Q955" s="51" t="str">
        <f t="shared" si="205"/>
        <v/>
      </c>
      <c r="R955" s="52" t="str">
        <f t="shared" si="206"/>
        <v/>
      </c>
      <c r="S955" s="58" t="str">
        <f t="shared" si="232"/>
        <v/>
      </c>
      <c r="T955" s="52" t="str">
        <f t="shared" si="201"/>
        <v/>
      </c>
    </row>
    <row r="956" spans="2:20" ht="15.75" customHeight="1" x14ac:dyDescent="0.25">
      <c r="B956" s="33">
        <f t="shared" si="239"/>
        <v>91.333333333333314</v>
      </c>
      <c r="C956" s="34"/>
      <c r="D956" s="35">
        <f>(4/12)*D952</f>
        <v>4.122566666666666E-2</v>
      </c>
      <c r="E956" s="36">
        <f>E952-(4/12)*F952</f>
        <v>164430.65155114446</v>
      </c>
      <c r="F956" s="36">
        <f t="shared" si="240"/>
        <v>1767.5596318538301</v>
      </c>
      <c r="G956" s="31">
        <f t="shared" si="196"/>
        <v>0.9587743333333334</v>
      </c>
      <c r="H956" s="32"/>
      <c r="I956" s="51" t="str">
        <f t="shared" si="202"/>
        <v/>
      </c>
      <c r="J956" s="51" t="str">
        <f t="shared" si="203"/>
        <v/>
      </c>
      <c r="K956" s="52" t="str">
        <f t="shared" si="220"/>
        <v/>
      </c>
      <c r="L956" s="53" t="str">
        <f t="shared" si="199"/>
        <v/>
      </c>
      <c r="M956" s="52" t="str">
        <f t="shared" si="204"/>
        <v/>
      </c>
      <c r="N956" s="58" t="str">
        <f t="shared" si="200"/>
        <v/>
      </c>
      <c r="Q956" s="51" t="str">
        <f t="shared" si="205"/>
        <v/>
      </c>
      <c r="R956" s="52" t="str">
        <f t="shared" si="206"/>
        <v/>
      </c>
      <c r="S956" s="58" t="str">
        <f t="shared" si="232"/>
        <v/>
      </c>
      <c r="T956" s="52" t="str">
        <f t="shared" si="201"/>
        <v/>
      </c>
    </row>
    <row r="957" spans="2:20" ht="15.75" customHeight="1" x14ac:dyDescent="0.25">
      <c r="B957" s="33">
        <f t="shared" si="239"/>
        <v>91.416666666666643</v>
      </c>
      <c r="C957" s="34"/>
      <c r="D957" s="35">
        <f>(5/12)*D952</f>
        <v>5.1532083333333333E-2</v>
      </c>
      <c r="E957" s="36">
        <f>E952-(5/12)*F952</f>
        <v>162663.09191929063</v>
      </c>
      <c r="F957" s="36">
        <f t="shared" si="240"/>
        <v>1767.5596318538301</v>
      </c>
      <c r="G957" s="31">
        <f t="shared" si="196"/>
        <v>0.94846791666666663</v>
      </c>
      <c r="H957" s="32"/>
      <c r="I957" s="51" t="str">
        <f t="shared" si="202"/>
        <v/>
      </c>
      <c r="J957" s="51" t="str">
        <f t="shared" si="203"/>
        <v/>
      </c>
      <c r="K957" s="52" t="str">
        <f t="shared" si="220"/>
        <v/>
      </c>
      <c r="L957" s="53" t="str">
        <f t="shared" si="199"/>
        <v/>
      </c>
      <c r="M957" s="52" t="str">
        <f t="shared" si="204"/>
        <v/>
      </c>
      <c r="N957" s="58" t="str">
        <f t="shared" si="200"/>
        <v/>
      </c>
      <c r="Q957" s="51" t="str">
        <f t="shared" si="205"/>
        <v/>
      </c>
      <c r="R957" s="52" t="str">
        <f t="shared" si="206"/>
        <v/>
      </c>
      <c r="S957" s="58" t="str">
        <f t="shared" si="232"/>
        <v/>
      </c>
      <c r="T957" s="52" t="str">
        <f t="shared" si="201"/>
        <v/>
      </c>
    </row>
    <row r="958" spans="2:20" ht="15.75" customHeight="1" x14ac:dyDescent="0.25">
      <c r="B958" s="33">
        <f t="shared" si="239"/>
        <v>91.499999999999972</v>
      </c>
      <c r="C958" s="34"/>
      <c r="D958" s="35">
        <f>(6/12)*D952</f>
        <v>6.1838499999999998E-2</v>
      </c>
      <c r="E958" s="36">
        <f>E952-(6/12)*F952</f>
        <v>160895.5322874368</v>
      </c>
      <c r="F958" s="36">
        <f t="shared" si="240"/>
        <v>1767.5596318538592</v>
      </c>
      <c r="G958" s="31">
        <f t="shared" si="196"/>
        <v>0.93816149999999998</v>
      </c>
      <c r="H958" s="32"/>
      <c r="I958" s="51" t="str">
        <f t="shared" si="202"/>
        <v/>
      </c>
      <c r="J958" s="51" t="str">
        <f t="shared" si="203"/>
        <v/>
      </c>
      <c r="K958" s="52" t="str">
        <f t="shared" si="220"/>
        <v/>
      </c>
      <c r="L958" s="53" t="str">
        <f t="shared" si="199"/>
        <v/>
      </c>
      <c r="M958" s="52" t="str">
        <f t="shared" si="204"/>
        <v/>
      </c>
      <c r="N958" s="58" t="str">
        <f t="shared" si="200"/>
        <v/>
      </c>
      <c r="Q958" s="51" t="str">
        <f t="shared" si="205"/>
        <v/>
      </c>
      <c r="R958" s="52" t="str">
        <f t="shared" si="206"/>
        <v/>
      </c>
      <c r="S958" s="58" t="str">
        <f t="shared" si="232"/>
        <v/>
      </c>
      <c r="T958" s="52" t="str">
        <f t="shared" si="201"/>
        <v/>
      </c>
    </row>
    <row r="959" spans="2:20" ht="15.75" customHeight="1" x14ac:dyDescent="0.25">
      <c r="B959" s="33">
        <f t="shared" si="239"/>
        <v>91.5833333333333</v>
      </c>
      <c r="C959" s="34"/>
      <c r="D959" s="35">
        <f>(7/12)*D952</f>
        <v>7.214491666666667E-2</v>
      </c>
      <c r="E959" s="36">
        <f>E952-(7/12)*F952</f>
        <v>159127.97265558294</v>
      </c>
      <c r="F959" s="36">
        <f t="shared" si="240"/>
        <v>1767.5596318538301</v>
      </c>
      <c r="G959" s="31">
        <f t="shared" si="196"/>
        <v>0.92785508333333333</v>
      </c>
      <c r="H959" s="32"/>
      <c r="I959" s="51" t="str">
        <f t="shared" si="202"/>
        <v/>
      </c>
      <c r="J959" s="51" t="str">
        <f t="shared" si="203"/>
        <v/>
      </c>
      <c r="K959" s="52" t="str">
        <f t="shared" si="220"/>
        <v/>
      </c>
      <c r="L959" s="53" t="str">
        <f t="shared" si="199"/>
        <v/>
      </c>
      <c r="M959" s="52" t="str">
        <f t="shared" si="204"/>
        <v/>
      </c>
      <c r="N959" s="58" t="str">
        <f t="shared" si="200"/>
        <v/>
      </c>
      <c r="Q959" s="51" t="str">
        <f t="shared" si="205"/>
        <v/>
      </c>
      <c r="R959" s="52" t="str">
        <f t="shared" si="206"/>
        <v/>
      </c>
      <c r="S959" s="58" t="str">
        <f t="shared" si="232"/>
        <v/>
      </c>
      <c r="T959" s="52" t="str">
        <f t="shared" si="201"/>
        <v/>
      </c>
    </row>
    <row r="960" spans="2:20" ht="15.75" customHeight="1" x14ac:dyDescent="0.25">
      <c r="B960" s="33">
        <f t="shared" si="239"/>
        <v>91.666666666666629</v>
      </c>
      <c r="C960" s="34"/>
      <c r="D960" s="35">
        <f>(8/12)*D952</f>
        <v>8.2451333333333321E-2</v>
      </c>
      <c r="E960" s="36">
        <f>E952-(8/12)*F952</f>
        <v>157360.41302372911</v>
      </c>
      <c r="F960" s="36">
        <f t="shared" si="240"/>
        <v>1767.5596318538301</v>
      </c>
      <c r="G960" s="31">
        <f t="shared" si="196"/>
        <v>0.91754866666666668</v>
      </c>
      <c r="H960" s="32"/>
      <c r="I960" s="51" t="str">
        <f t="shared" si="202"/>
        <v/>
      </c>
      <c r="J960" s="51" t="str">
        <f t="shared" si="203"/>
        <v/>
      </c>
      <c r="K960" s="52" t="str">
        <f t="shared" si="220"/>
        <v/>
      </c>
      <c r="L960" s="53" t="str">
        <f t="shared" si="199"/>
        <v/>
      </c>
      <c r="M960" s="52" t="str">
        <f t="shared" si="204"/>
        <v/>
      </c>
      <c r="N960" s="58" t="str">
        <f t="shared" si="200"/>
        <v/>
      </c>
      <c r="Q960" s="51" t="str">
        <f t="shared" si="205"/>
        <v/>
      </c>
      <c r="R960" s="52" t="str">
        <f t="shared" si="206"/>
        <v/>
      </c>
      <c r="S960" s="58" t="str">
        <f t="shared" si="232"/>
        <v/>
      </c>
      <c r="T960" s="52" t="str">
        <f t="shared" si="201"/>
        <v/>
      </c>
    </row>
    <row r="961" spans="2:20" ht="15.75" customHeight="1" x14ac:dyDescent="0.25">
      <c r="B961" s="33">
        <f t="shared" si="239"/>
        <v>91.749999999999957</v>
      </c>
      <c r="C961" s="34"/>
      <c r="D961" s="35">
        <f>(9/12)*D952</f>
        <v>9.275775E-2</v>
      </c>
      <c r="E961" s="36">
        <f>E952-(9/12)*F952</f>
        <v>155592.85339187528</v>
      </c>
      <c r="F961" s="36">
        <f t="shared" si="240"/>
        <v>1767.5596318538301</v>
      </c>
      <c r="G961" s="31">
        <f t="shared" si="196"/>
        <v>0.90724225000000003</v>
      </c>
      <c r="H961" s="32"/>
      <c r="I961" s="51" t="str">
        <f t="shared" si="202"/>
        <v/>
      </c>
      <c r="J961" s="51" t="str">
        <f t="shared" si="203"/>
        <v/>
      </c>
      <c r="K961" s="52" t="str">
        <f t="shared" si="220"/>
        <v/>
      </c>
      <c r="L961" s="53" t="str">
        <f t="shared" si="199"/>
        <v/>
      </c>
      <c r="M961" s="52" t="str">
        <f t="shared" si="204"/>
        <v/>
      </c>
      <c r="N961" s="58" t="str">
        <f t="shared" si="200"/>
        <v/>
      </c>
      <c r="Q961" s="51" t="str">
        <f t="shared" si="205"/>
        <v/>
      </c>
      <c r="R961" s="52" t="str">
        <f t="shared" si="206"/>
        <v/>
      </c>
      <c r="S961" s="58" t="str">
        <f t="shared" si="232"/>
        <v/>
      </c>
      <c r="T961" s="52" t="str">
        <f t="shared" si="201"/>
        <v/>
      </c>
    </row>
    <row r="962" spans="2:20" ht="15.75" customHeight="1" x14ac:dyDescent="0.25">
      <c r="B962" s="33">
        <f t="shared" si="239"/>
        <v>91.833333333333286</v>
      </c>
      <c r="C962" s="34"/>
      <c r="D962" s="35">
        <f>(10/12)*D952</f>
        <v>0.10306416666666667</v>
      </c>
      <c r="E962" s="36">
        <f>E952-(10/12)*F952</f>
        <v>153825.29376002145</v>
      </c>
      <c r="F962" s="36">
        <f t="shared" si="240"/>
        <v>1767.5596318538301</v>
      </c>
      <c r="G962" s="31">
        <f t="shared" si="196"/>
        <v>0.89693583333333338</v>
      </c>
      <c r="H962" s="32"/>
      <c r="I962" s="51" t="str">
        <f t="shared" si="202"/>
        <v/>
      </c>
      <c r="J962" s="51" t="str">
        <f t="shared" si="203"/>
        <v/>
      </c>
      <c r="K962" s="52" t="str">
        <f t="shared" si="220"/>
        <v/>
      </c>
      <c r="L962" s="53" t="str">
        <f t="shared" si="199"/>
        <v/>
      </c>
      <c r="M962" s="52" t="str">
        <f t="shared" si="204"/>
        <v/>
      </c>
      <c r="N962" s="58" t="str">
        <f t="shared" si="200"/>
        <v/>
      </c>
      <c r="Q962" s="51" t="str">
        <f t="shared" si="205"/>
        <v/>
      </c>
      <c r="R962" s="52" t="str">
        <f t="shared" si="206"/>
        <v/>
      </c>
      <c r="S962" s="58" t="str">
        <f t="shared" si="232"/>
        <v/>
      </c>
      <c r="T962" s="52" t="str">
        <f t="shared" si="201"/>
        <v/>
      </c>
    </row>
    <row r="963" spans="2:20" ht="15.75" customHeight="1" x14ac:dyDescent="0.25">
      <c r="B963" s="33">
        <f t="shared" si="239"/>
        <v>91.916666666666615</v>
      </c>
      <c r="C963" s="34"/>
      <c r="D963" s="35">
        <f>(11/12)*D952</f>
        <v>0.11337058333333333</v>
      </c>
      <c r="E963" s="36">
        <f>E952-(11/12)*F952</f>
        <v>152057.73412816762</v>
      </c>
      <c r="F963" s="36">
        <f t="shared" si="240"/>
        <v>1767.5596318538592</v>
      </c>
      <c r="G963" s="31">
        <f t="shared" si="196"/>
        <v>0.88662941666666661</v>
      </c>
      <c r="H963" s="32"/>
      <c r="I963" s="51" t="str">
        <f t="shared" si="202"/>
        <v/>
      </c>
      <c r="J963" s="51" t="str">
        <f t="shared" si="203"/>
        <v/>
      </c>
      <c r="K963" s="52" t="str">
        <f t="shared" si="220"/>
        <v/>
      </c>
      <c r="L963" s="53" t="str">
        <f t="shared" si="199"/>
        <v/>
      </c>
      <c r="M963" s="52" t="str">
        <f t="shared" si="204"/>
        <v/>
      </c>
      <c r="N963" s="58" t="str">
        <f t="shared" si="200"/>
        <v/>
      </c>
      <c r="Q963" s="51" t="str">
        <f t="shared" si="205"/>
        <v/>
      </c>
      <c r="R963" s="52" t="str">
        <f t="shared" si="206"/>
        <v/>
      </c>
      <c r="S963" s="58" t="str">
        <f t="shared" si="232"/>
        <v/>
      </c>
      <c r="T963" s="52" t="str">
        <f t="shared" si="201"/>
        <v/>
      </c>
    </row>
    <row r="964" spans="2:20" ht="15.75" customHeight="1" x14ac:dyDescent="0.25">
      <c r="B964" s="27">
        <v>92</v>
      </c>
      <c r="C964" s="28">
        <v>131.97300000000001</v>
      </c>
      <c r="D964" s="29">
        <f>C964/1000</f>
        <v>0.13197300000000001</v>
      </c>
      <c r="E964" s="30">
        <f>E952-F952</f>
        <v>150290.17449631376</v>
      </c>
      <c r="F964" s="48">
        <f>D964*E964</f>
        <v>19834.245198802018</v>
      </c>
      <c r="G964" s="31">
        <f t="shared" si="196"/>
        <v>0.86802699999999999</v>
      </c>
      <c r="H964" s="49"/>
      <c r="I964" s="51" t="str">
        <f t="shared" si="202"/>
        <v/>
      </c>
      <c r="J964" s="51" t="str">
        <f t="shared" si="203"/>
        <v/>
      </c>
      <c r="K964" s="52" t="str">
        <f t="shared" si="220"/>
        <v/>
      </c>
      <c r="L964" s="53" t="str">
        <f t="shared" si="199"/>
        <v/>
      </c>
      <c r="M964" s="52" t="str">
        <f t="shared" si="204"/>
        <v/>
      </c>
      <c r="N964" s="58" t="str">
        <f t="shared" si="200"/>
        <v/>
      </c>
      <c r="Q964" s="51" t="str">
        <f t="shared" si="205"/>
        <v/>
      </c>
      <c r="R964" s="52" t="str">
        <f t="shared" si="206"/>
        <v/>
      </c>
      <c r="S964" s="58" t="str">
        <f t="shared" si="232"/>
        <v/>
      </c>
      <c r="T964" s="52" t="str">
        <f t="shared" si="201"/>
        <v/>
      </c>
    </row>
    <row r="965" spans="2:20" ht="15.75" customHeight="1" x14ac:dyDescent="0.25">
      <c r="B965" s="33">
        <f t="shared" ref="B965:B975" si="241">B964+1/12</f>
        <v>92.083333333333329</v>
      </c>
      <c r="C965" s="34"/>
      <c r="D965" s="35">
        <f>(1/12)*D964</f>
        <v>1.0997750000000001E-2</v>
      </c>
      <c r="E965" s="36">
        <f>E964-(1/12)*F964</f>
        <v>148637.32072974692</v>
      </c>
      <c r="F965" s="36">
        <f t="shared" ref="F965:F975" si="242">E965-E966</f>
        <v>1652.8537665668409</v>
      </c>
      <c r="G965" s="31">
        <f t="shared" si="196"/>
        <v>0.98900224999999997</v>
      </c>
      <c r="H965" s="37"/>
      <c r="I965" s="51" t="str">
        <f t="shared" si="202"/>
        <v/>
      </c>
      <c r="J965" s="51" t="str">
        <f t="shared" si="203"/>
        <v/>
      </c>
      <c r="K965" s="52" t="str">
        <f t="shared" si="220"/>
        <v/>
      </c>
      <c r="L965" s="53" t="str">
        <f t="shared" si="199"/>
        <v/>
      </c>
      <c r="M965" s="52" t="str">
        <f t="shared" si="204"/>
        <v/>
      </c>
      <c r="N965" s="58" t="str">
        <f t="shared" si="200"/>
        <v/>
      </c>
      <c r="Q965" s="51" t="str">
        <f t="shared" si="205"/>
        <v/>
      </c>
      <c r="R965" s="52" t="str">
        <f t="shared" si="206"/>
        <v/>
      </c>
      <c r="S965" s="58" t="str">
        <f t="shared" si="232"/>
        <v/>
      </c>
      <c r="T965" s="52" t="str">
        <f t="shared" si="201"/>
        <v/>
      </c>
    </row>
    <row r="966" spans="2:20" ht="15.75" customHeight="1" x14ac:dyDescent="0.25">
      <c r="B966" s="33">
        <f t="shared" si="241"/>
        <v>92.166666666666657</v>
      </c>
      <c r="C966" s="34"/>
      <c r="D966" s="35">
        <f>(2/12)*D964</f>
        <v>2.1995500000000001E-2</v>
      </c>
      <c r="E966" s="36">
        <f>E964-(2/12)*F964</f>
        <v>146984.46696318008</v>
      </c>
      <c r="F966" s="36">
        <f t="shared" si="242"/>
        <v>1652.8537665668118</v>
      </c>
      <c r="G966" s="31">
        <f t="shared" si="196"/>
        <v>0.97800449999999994</v>
      </c>
      <c r="H966" s="32"/>
      <c r="I966" s="51" t="str">
        <f t="shared" si="202"/>
        <v/>
      </c>
      <c r="J966" s="51" t="str">
        <f t="shared" si="203"/>
        <v/>
      </c>
      <c r="K966" s="52" t="str">
        <f t="shared" si="220"/>
        <v/>
      </c>
      <c r="L966" s="53" t="str">
        <f t="shared" si="199"/>
        <v/>
      </c>
      <c r="M966" s="52" t="str">
        <f t="shared" si="204"/>
        <v/>
      </c>
      <c r="N966" s="58" t="str">
        <f t="shared" si="200"/>
        <v/>
      </c>
      <c r="Q966" s="51" t="str">
        <f t="shared" si="205"/>
        <v/>
      </c>
      <c r="R966" s="52" t="str">
        <f t="shared" si="206"/>
        <v/>
      </c>
      <c r="S966" s="58" t="str">
        <f t="shared" si="232"/>
        <v/>
      </c>
      <c r="T966" s="52" t="str">
        <f t="shared" si="201"/>
        <v/>
      </c>
    </row>
    <row r="967" spans="2:20" ht="15.75" customHeight="1" x14ac:dyDescent="0.25">
      <c r="B967" s="33">
        <f t="shared" si="241"/>
        <v>92.249999999999986</v>
      </c>
      <c r="C967" s="34"/>
      <c r="D967" s="35">
        <f>(3/12)*D964</f>
        <v>3.2993250000000002E-2</v>
      </c>
      <c r="E967" s="36">
        <f>E964-(3/12)*F964</f>
        <v>145331.61319661327</v>
      </c>
      <c r="F967" s="36">
        <f t="shared" si="242"/>
        <v>1652.8537665668409</v>
      </c>
      <c r="G967" s="31">
        <f t="shared" si="196"/>
        <v>0.96700675000000003</v>
      </c>
      <c r="H967" s="32"/>
      <c r="I967" s="51" t="str">
        <f t="shared" si="202"/>
        <v/>
      </c>
      <c r="J967" s="51" t="str">
        <f t="shared" si="203"/>
        <v/>
      </c>
      <c r="K967" s="52" t="str">
        <f t="shared" si="220"/>
        <v/>
      </c>
      <c r="L967" s="53" t="str">
        <f t="shared" si="199"/>
        <v/>
      </c>
      <c r="M967" s="52" t="str">
        <f t="shared" si="204"/>
        <v/>
      </c>
      <c r="N967" s="58" t="str">
        <f t="shared" si="200"/>
        <v/>
      </c>
      <c r="Q967" s="51" t="str">
        <f t="shared" si="205"/>
        <v/>
      </c>
      <c r="R967" s="52" t="str">
        <f t="shared" si="206"/>
        <v/>
      </c>
      <c r="S967" s="58" t="str">
        <f t="shared" si="232"/>
        <v/>
      </c>
      <c r="T967" s="52" t="str">
        <f t="shared" si="201"/>
        <v/>
      </c>
    </row>
    <row r="968" spans="2:20" ht="15.75" customHeight="1" x14ac:dyDescent="0.25">
      <c r="B968" s="33">
        <f t="shared" si="241"/>
        <v>92.333333333333314</v>
      </c>
      <c r="C968" s="34"/>
      <c r="D968" s="35">
        <f>(4/12)*D964</f>
        <v>4.3991000000000002E-2</v>
      </c>
      <c r="E968" s="36">
        <f>E964-(4/12)*F964</f>
        <v>143678.75943004643</v>
      </c>
      <c r="F968" s="36">
        <f t="shared" si="242"/>
        <v>1652.8537665668409</v>
      </c>
      <c r="G968" s="31">
        <f t="shared" si="196"/>
        <v>0.956009</v>
      </c>
      <c r="H968" s="32"/>
      <c r="I968" s="51" t="str">
        <f t="shared" si="202"/>
        <v/>
      </c>
      <c r="J968" s="51" t="str">
        <f t="shared" si="203"/>
        <v/>
      </c>
      <c r="K968" s="52" t="str">
        <f t="shared" si="220"/>
        <v/>
      </c>
      <c r="L968" s="53" t="str">
        <f t="shared" si="199"/>
        <v/>
      </c>
      <c r="M968" s="52" t="str">
        <f t="shared" si="204"/>
        <v/>
      </c>
      <c r="N968" s="58" t="str">
        <f t="shared" si="200"/>
        <v/>
      </c>
      <c r="Q968" s="51" t="str">
        <f t="shared" si="205"/>
        <v/>
      </c>
      <c r="R968" s="52" t="str">
        <f t="shared" si="206"/>
        <v/>
      </c>
      <c r="S968" s="58" t="str">
        <f t="shared" si="232"/>
        <v/>
      </c>
      <c r="T968" s="52" t="str">
        <f t="shared" si="201"/>
        <v/>
      </c>
    </row>
    <row r="969" spans="2:20" ht="15.75" customHeight="1" x14ac:dyDescent="0.25">
      <c r="B969" s="33">
        <f t="shared" si="241"/>
        <v>92.416666666666643</v>
      </c>
      <c r="C969" s="34"/>
      <c r="D969" s="35">
        <f>(5/12)*D964</f>
        <v>5.4988750000000003E-2</v>
      </c>
      <c r="E969" s="36">
        <f>E964-(5/12)*F964</f>
        <v>142025.90566347959</v>
      </c>
      <c r="F969" s="36">
        <f t="shared" si="242"/>
        <v>1652.8537665668409</v>
      </c>
      <c r="G969" s="31">
        <f t="shared" si="196"/>
        <v>0.94501124999999997</v>
      </c>
      <c r="H969" s="32"/>
      <c r="I969" s="51" t="str">
        <f t="shared" si="202"/>
        <v/>
      </c>
      <c r="J969" s="51" t="str">
        <f t="shared" si="203"/>
        <v/>
      </c>
      <c r="K969" s="52" t="str">
        <f t="shared" si="220"/>
        <v/>
      </c>
      <c r="L969" s="53" t="str">
        <f t="shared" si="199"/>
        <v/>
      </c>
      <c r="M969" s="52" t="str">
        <f t="shared" si="204"/>
        <v/>
      </c>
      <c r="N969" s="58" t="str">
        <f t="shared" si="200"/>
        <v/>
      </c>
      <c r="Q969" s="51" t="str">
        <f t="shared" si="205"/>
        <v/>
      </c>
      <c r="R969" s="52" t="str">
        <f t="shared" si="206"/>
        <v/>
      </c>
      <c r="S969" s="58" t="str">
        <f t="shared" si="232"/>
        <v/>
      </c>
      <c r="T969" s="52" t="str">
        <f t="shared" si="201"/>
        <v/>
      </c>
    </row>
    <row r="970" spans="2:20" ht="15.75" customHeight="1" x14ac:dyDescent="0.25">
      <c r="B970" s="33">
        <f t="shared" si="241"/>
        <v>92.499999999999972</v>
      </c>
      <c r="C970" s="34"/>
      <c r="D970" s="35">
        <f>(6/12)*D964</f>
        <v>6.5986500000000003E-2</v>
      </c>
      <c r="E970" s="36">
        <f>E964-(6/12)*F964</f>
        <v>140373.05189691274</v>
      </c>
      <c r="F970" s="36">
        <f t="shared" si="242"/>
        <v>1652.8537665668409</v>
      </c>
      <c r="G970" s="31">
        <f t="shared" si="196"/>
        <v>0.93401350000000005</v>
      </c>
      <c r="H970" s="32"/>
      <c r="I970" s="51" t="str">
        <f t="shared" si="202"/>
        <v/>
      </c>
      <c r="J970" s="51" t="str">
        <f t="shared" si="203"/>
        <v/>
      </c>
      <c r="K970" s="52" t="str">
        <f t="shared" si="220"/>
        <v/>
      </c>
      <c r="L970" s="53" t="str">
        <f t="shared" si="199"/>
        <v/>
      </c>
      <c r="M970" s="52" t="str">
        <f t="shared" si="204"/>
        <v/>
      </c>
      <c r="N970" s="58" t="str">
        <f t="shared" si="200"/>
        <v/>
      </c>
      <c r="Q970" s="51" t="str">
        <f t="shared" si="205"/>
        <v/>
      </c>
      <c r="R970" s="52" t="str">
        <f t="shared" si="206"/>
        <v/>
      </c>
      <c r="S970" s="58" t="str">
        <f t="shared" si="232"/>
        <v/>
      </c>
      <c r="T970" s="52" t="str">
        <f t="shared" si="201"/>
        <v/>
      </c>
    </row>
    <row r="971" spans="2:20" ht="15.75" customHeight="1" x14ac:dyDescent="0.25">
      <c r="B971" s="33">
        <f t="shared" si="241"/>
        <v>92.5833333333333</v>
      </c>
      <c r="C971" s="34"/>
      <c r="D971" s="35">
        <f>(7/12)*D964</f>
        <v>7.6984250000000004E-2</v>
      </c>
      <c r="E971" s="36">
        <f>E964-(7/12)*F964</f>
        <v>138720.1981303459</v>
      </c>
      <c r="F971" s="36">
        <f t="shared" si="242"/>
        <v>1652.8537665668118</v>
      </c>
      <c r="G971" s="31">
        <f t="shared" si="196"/>
        <v>0.92301575000000002</v>
      </c>
      <c r="H971" s="32"/>
      <c r="I971" s="51" t="str">
        <f t="shared" si="202"/>
        <v/>
      </c>
      <c r="J971" s="51" t="str">
        <f t="shared" si="203"/>
        <v/>
      </c>
      <c r="K971" s="52" t="str">
        <f t="shared" si="220"/>
        <v/>
      </c>
      <c r="L971" s="53" t="str">
        <f t="shared" si="199"/>
        <v/>
      </c>
      <c r="M971" s="52" t="str">
        <f t="shared" si="204"/>
        <v/>
      </c>
      <c r="N971" s="58" t="str">
        <f t="shared" si="200"/>
        <v/>
      </c>
      <c r="Q971" s="51" t="str">
        <f t="shared" si="205"/>
        <v/>
      </c>
      <c r="R971" s="52" t="str">
        <f t="shared" si="206"/>
        <v/>
      </c>
      <c r="S971" s="58" t="str">
        <f t="shared" si="232"/>
        <v/>
      </c>
      <c r="T971" s="52" t="str">
        <f t="shared" si="201"/>
        <v/>
      </c>
    </row>
    <row r="972" spans="2:20" ht="15.75" customHeight="1" x14ac:dyDescent="0.25">
      <c r="B972" s="33">
        <f t="shared" si="241"/>
        <v>92.666666666666629</v>
      </c>
      <c r="C972" s="34"/>
      <c r="D972" s="35">
        <f>(8/12)*D964</f>
        <v>8.7982000000000005E-2</v>
      </c>
      <c r="E972" s="36">
        <f>E964-(8/12)*F964</f>
        <v>137067.34436377909</v>
      </c>
      <c r="F972" s="36">
        <f t="shared" si="242"/>
        <v>1652.8537665668409</v>
      </c>
      <c r="G972" s="31">
        <f t="shared" si="196"/>
        <v>0.912018</v>
      </c>
      <c r="H972" s="32"/>
      <c r="I972" s="51" t="str">
        <f t="shared" si="202"/>
        <v/>
      </c>
      <c r="J972" s="51" t="str">
        <f t="shared" si="203"/>
        <v/>
      </c>
      <c r="K972" s="52" t="str">
        <f t="shared" si="220"/>
        <v/>
      </c>
      <c r="L972" s="53" t="str">
        <f t="shared" si="199"/>
        <v/>
      </c>
      <c r="M972" s="52" t="str">
        <f t="shared" si="204"/>
        <v/>
      </c>
      <c r="N972" s="58" t="str">
        <f t="shared" si="200"/>
        <v/>
      </c>
      <c r="Q972" s="51" t="str">
        <f t="shared" si="205"/>
        <v/>
      </c>
      <c r="R972" s="52" t="str">
        <f t="shared" si="206"/>
        <v/>
      </c>
      <c r="S972" s="58" t="str">
        <f t="shared" si="232"/>
        <v/>
      </c>
      <c r="T972" s="52" t="str">
        <f t="shared" si="201"/>
        <v/>
      </c>
    </row>
    <row r="973" spans="2:20" ht="15.75" customHeight="1" x14ac:dyDescent="0.25">
      <c r="B973" s="33">
        <f t="shared" si="241"/>
        <v>92.749999999999957</v>
      </c>
      <c r="C973" s="34"/>
      <c r="D973" s="35">
        <f>(9/12)*D964</f>
        <v>9.8979750000000005E-2</v>
      </c>
      <c r="E973" s="36">
        <f>E964-(9/12)*F964</f>
        <v>135414.49059721225</v>
      </c>
      <c r="F973" s="36">
        <f t="shared" si="242"/>
        <v>1652.8537665668409</v>
      </c>
      <c r="G973" s="31">
        <f t="shared" si="196"/>
        <v>0.90102024999999997</v>
      </c>
      <c r="H973" s="32"/>
      <c r="I973" s="51" t="str">
        <f t="shared" si="202"/>
        <v/>
      </c>
      <c r="J973" s="51" t="str">
        <f t="shared" si="203"/>
        <v/>
      </c>
      <c r="K973" s="52" t="str">
        <f t="shared" si="220"/>
        <v/>
      </c>
      <c r="L973" s="53" t="str">
        <f t="shared" si="199"/>
        <v/>
      </c>
      <c r="M973" s="52" t="str">
        <f t="shared" si="204"/>
        <v/>
      </c>
      <c r="N973" s="58" t="str">
        <f t="shared" si="200"/>
        <v/>
      </c>
      <c r="Q973" s="51" t="str">
        <f t="shared" si="205"/>
        <v/>
      </c>
      <c r="R973" s="52" t="str">
        <f t="shared" si="206"/>
        <v/>
      </c>
      <c r="S973" s="58" t="str">
        <f t="shared" si="232"/>
        <v/>
      </c>
      <c r="T973" s="52" t="str">
        <f t="shared" si="201"/>
        <v/>
      </c>
    </row>
    <row r="974" spans="2:20" ht="15.75" customHeight="1" x14ac:dyDescent="0.25">
      <c r="B974" s="33">
        <f t="shared" si="241"/>
        <v>92.833333333333286</v>
      </c>
      <c r="C974" s="34"/>
      <c r="D974" s="35">
        <f>(10/12)*D964</f>
        <v>0.10997750000000001</v>
      </c>
      <c r="E974" s="36">
        <f>E964-(10/12)*F964</f>
        <v>133761.63683064541</v>
      </c>
      <c r="F974" s="36">
        <f t="shared" si="242"/>
        <v>1652.8537665668409</v>
      </c>
      <c r="G974" s="31">
        <f t="shared" si="196"/>
        <v>0.89002249999999994</v>
      </c>
      <c r="H974" s="32"/>
      <c r="I974" s="51" t="str">
        <f t="shared" si="202"/>
        <v/>
      </c>
      <c r="J974" s="51" t="str">
        <f t="shared" si="203"/>
        <v/>
      </c>
      <c r="K974" s="52" t="str">
        <f t="shared" si="220"/>
        <v/>
      </c>
      <c r="L974" s="53" t="str">
        <f t="shared" si="199"/>
        <v/>
      </c>
      <c r="M974" s="52" t="str">
        <f t="shared" si="204"/>
        <v/>
      </c>
      <c r="N974" s="58" t="str">
        <f t="shared" si="200"/>
        <v/>
      </c>
      <c r="Q974" s="51" t="str">
        <f t="shared" si="205"/>
        <v/>
      </c>
      <c r="R974" s="52" t="str">
        <f t="shared" si="206"/>
        <v/>
      </c>
      <c r="S974" s="58" t="str">
        <f t="shared" si="232"/>
        <v/>
      </c>
      <c r="T974" s="52" t="str">
        <f t="shared" si="201"/>
        <v/>
      </c>
    </row>
    <row r="975" spans="2:20" ht="15.75" customHeight="1" x14ac:dyDescent="0.25">
      <c r="B975" s="33">
        <f t="shared" si="241"/>
        <v>92.916666666666615</v>
      </c>
      <c r="C975" s="34"/>
      <c r="D975" s="35">
        <f>(11/12)*D964</f>
        <v>0.12097525000000001</v>
      </c>
      <c r="E975" s="36">
        <f>E964-(11/12)*F964</f>
        <v>132108.78306407857</v>
      </c>
      <c r="F975" s="36">
        <f t="shared" si="242"/>
        <v>1652.8537665668264</v>
      </c>
      <c r="G975" s="31">
        <f t="shared" si="196"/>
        <v>0.87902475000000002</v>
      </c>
      <c r="H975" s="32"/>
      <c r="I975" s="51" t="str">
        <f t="shared" si="202"/>
        <v/>
      </c>
      <c r="J975" s="51" t="str">
        <f t="shared" si="203"/>
        <v/>
      </c>
      <c r="K975" s="52" t="str">
        <f t="shared" si="220"/>
        <v/>
      </c>
      <c r="L975" s="53" t="str">
        <f t="shared" si="199"/>
        <v/>
      </c>
      <c r="M975" s="52" t="str">
        <f t="shared" si="204"/>
        <v/>
      </c>
      <c r="N975" s="58" t="str">
        <f t="shared" si="200"/>
        <v/>
      </c>
      <c r="Q975" s="51" t="str">
        <f t="shared" si="205"/>
        <v/>
      </c>
      <c r="R975" s="52" t="str">
        <f t="shared" si="206"/>
        <v/>
      </c>
      <c r="S975" s="58" t="str">
        <f t="shared" si="232"/>
        <v/>
      </c>
      <c r="T975" s="52" t="str">
        <f t="shared" si="201"/>
        <v/>
      </c>
    </row>
    <row r="976" spans="2:20" ht="15.75" customHeight="1" x14ac:dyDescent="0.25">
      <c r="B976" s="27">
        <v>93</v>
      </c>
      <c r="C976" s="28">
        <v>140.73699999999999</v>
      </c>
      <c r="D976" s="29">
        <f>C976/1000</f>
        <v>0.140737</v>
      </c>
      <c r="E976" s="30">
        <f>E964-F964</f>
        <v>130455.92929751174</v>
      </c>
      <c r="F976" s="48">
        <f>D976*E976</f>
        <v>18359.97612154391</v>
      </c>
      <c r="G976" s="31">
        <f t="shared" si="196"/>
        <v>0.859263</v>
      </c>
      <c r="H976" s="49"/>
      <c r="I976" s="51" t="str">
        <f t="shared" si="202"/>
        <v/>
      </c>
      <c r="J976" s="51" t="str">
        <f t="shared" si="203"/>
        <v/>
      </c>
      <c r="K976" s="52" t="str">
        <f t="shared" si="220"/>
        <v/>
      </c>
      <c r="L976" s="53" t="str">
        <f t="shared" si="199"/>
        <v/>
      </c>
      <c r="M976" s="52" t="str">
        <f t="shared" si="204"/>
        <v/>
      </c>
      <c r="N976" s="58" t="str">
        <f t="shared" si="200"/>
        <v/>
      </c>
      <c r="Q976" s="51" t="str">
        <f t="shared" si="205"/>
        <v/>
      </c>
      <c r="R976" s="52" t="str">
        <f t="shared" si="206"/>
        <v/>
      </c>
      <c r="S976" s="58" t="str">
        <f t="shared" si="232"/>
        <v/>
      </c>
      <c r="T976" s="52" t="str">
        <f t="shared" si="201"/>
        <v/>
      </c>
    </row>
    <row r="977" spans="2:20" ht="15.75" customHeight="1" x14ac:dyDescent="0.25">
      <c r="B977" s="33">
        <f t="shared" ref="B977:B987" si="243">B976+1/12</f>
        <v>93.083333333333329</v>
      </c>
      <c r="C977" s="34"/>
      <c r="D977" s="35">
        <f>(1/12)*D976</f>
        <v>1.1728083333333333E-2</v>
      </c>
      <c r="E977" s="36">
        <f>E976-(1/12)*F976</f>
        <v>128925.93128738308</v>
      </c>
      <c r="F977" s="36">
        <f t="shared" ref="F977:F987" si="244">E977-E978</f>
        <v>1529.9980101286492</v>
      </c>
      <c r="G977" s="31">
        <f t="shared" si="196"/>
        <v>0.98827191666666669</v>
      </c>
      <c r="H977" s="37"/>
      <c r="I977" s="51" t="str">
        <f t="shared" si="202"/>
        <v/>
      </c>
      <c r="J977" s="51" t="str">
        <f t="shared" si="203"/>
        <v/>
      </c>
      <c r="K977" s="52" t="str">
        <f t="shared" si="220"/>
        <v/>
      </c>
      <c r="L977" s="53" t="str">
        <f t="shared" si="199"/>
        <v/>
      </c>
      <c r="M977" s="52" t="str">
        <f t="shared" si="204"/>
        <v/>
      </c>
      <c r="N977" s="58" t="str">
        <f t="shared" si="200"/>
        <v/>
      </c>
      <c r="Q977" s="51" t="str">
        <f t="shared" si="205"/>
        <v/>
      </c>
      <c r="R977" s="52" t="str">
        <f t="shared" si="206"/>
        <v/>
      </c>
      <c r="S977" s="58" t="str">
        <f t="shared" si="232"/>
        <v/>
      </c>
      <c r="T977" s="52" t="str">
        <f t="shared" si="201"/>
        <v/>
      </c>
    </row>
    <row r="978" spans="2:20" ht="15.75" customHeight="1" x14ac:dyDescent="0.25">
      <c r="B978" s="33">
        <f t="shared" si="243"/>
        <v>93.166666666666657</v>
      </c>
      <c r="C978" s="34"/>
      <c r="D978" s="35">
        <f>(2/12)*D976</f>
        <v>2.3456166666666667E-2</v>
      </c>
      <c r="E978" s="36">
        <f>E976-(2/12)*F976</f>
        <v>127395.93327725443</v>
      </c>
      <c r="F978" s="36">
        <f t="shared" si="244"/>
        <v>1529.9980101286637</v>
      </c>
      <c r="G978" s="31">
        <f t="shared" si="196"/>
        <v>0.97654383333333339</v>
      </c>
      <c r="H978" s="32"/>
      <c r="I978" s="51" t="str">
        <f t="shared" si="202"/>
        <v/>
      </c>
      <c r="J978" s="51" t="str">
        <f t="shared" si="203"/>
        <v/>
      </c>
      <c r="K978" s="52" t="str">
        <f t="shared" si="220"/>
        <v/>
      </c>
      <c r="L978" s="53" t="str">
        <f t="shared" si="199"/>
        <v/>
      </c>
      <c r="M978" s="52" t="str">
        <f t="shared" si="204"/>
        <v/>
      </c>
      <c r="N978" s="58" t="str">
        <f t="shared" si="200"/>
        <v/>
      </c>
      <c r="Q978" s="51" t="str">
        <f t="shared" si="205"/>
        <v/>
      </c>
      <c r="R978" s="52" t="str">
        <f t="shared" si="206"/>
        <v/>
      </c>
      <c r="S978" s="58" t="str">
        <f t="shared" ref="S978:S1041" si="245">IF(Q978&lt;&gt;"",(1+$M$10)^-(12*Q978),"")</f>
        <v/>
      </c>
      <c r="T978" s="52" t="str">
        <f t="shared" si="201"/>
        <v/>
      </c>
    </row>
    <row r="979" spans="2:20" ht="15.75" customHeight="1" x14ac:dyDescent="0.25">
      <c r="B979" s="33">
        <f t="shared" si="243"/>
        <v>93.249999999999986</v>
      </c>
      <c r="C979" s="34"/>
      <c r="D979" s="35">
        <f>(3/12)*D976</f>
        <v>3.518425E-2</v>
      </c>
      <c r="E979" s="36">
        <f>E976-(3/12)*F976</f>
        <v>125865.93526712577</v>
      </c>
      <c r="F979" s="36">
        <f t="shared" si="244"/>
        <v>1529.9980101286637</v>
      </c>
      <c r="G979" s="31">
        <f t="shared" si="196"/>
        <v>0.96481574999999997</v>
      </c>
      <c r="H979" s="32"/>
      <c r="I979" s="51" t="str">
        <f t="shared" si="202"/>
        <v/>
      </c>
      <c r="J979" s="51" t="str">
        <f t="shared" si="203"/>
        <v/>
      </c>
      <c r="K979" s="52" t="str">
        <f t="shared" si="220"/>
        <v/>
      </c>
      <c r="L979" s="53" t="str">
        <f t="shared" si="199"/>
        <v/>
      </c>
      <c r="M979" s="52" t="str">
        <f t="shared" si="204"/>
        <v/>
      </c>
      <c r="N979" s="58" t="str">
        <f t="shared" si="200"/>
        <v/>
      </c>
      <c r="Q979" s="51" t="str">
        <f t="shared" si="205"/>
        <v/>
      </c>
      <c r="R979" s="52" t="str">
        <f t="shared" si="206"/>
        <v/>
      </c>
      <c r="S979" s="58" t="str">
        <f t="shared" si="245"/>
        <v/>
      </c>
      <c r="T979" s="52" t="str">
        <f t="shared" si="201"/>
        <v/>
      </c>
    </row>
    <row r="980" spans="2:20" ht="15.75" customHeight="1" x14ac:dyDescent="0.25">
      <c r="B980" s="33">
        <f t="shared" si="243"/>
        <v>93.333333333333314</v>
      </c>
      <c r="C980" s="34"/>
      <c r="D980" s="35">
        <f>(4/12)*D976</f>
        <v>4.6912333333333334E-2</v>
      </c>
      <c r="E980" s="36">
        <f>E976-(4/12)*F976</f>
        <v>124335.9372569971</v>
      </c>
      <c r="F980" s="36">
        <f t="shared" si="244"/>
        <v>1529.9980101286492</v>
      </c>
      <c r="G980" s="31">
        <f t="shared" si="196"/>
        <v>0.95308766666666667</v>
      </c>
      <c r="H980" s="32"/>
      <c r="I980" s="51" t="str">
        <f t="shared" si="202"/>
        <v/>
      </c>
      <c r="J980" s="51" t="str">
        <f t="shared" si="203"/>
        <v/>
      </c>
      <c r="K980" s="52" t="str">
        <f t="shared" si="220"/>
        <v/>
      </c>
      <c r="L980" s="53" t="str">
        <f t="shared" si="199"/>
        <v/>
      </c>
      <c r="M980" s="52" t="str">
        <f t="shared" si="204"/>
        <v/>
      </c>
      <c r="N980" s="58" t="str">
        <f t="shared" si="200"/>
        <v/>
      </c>
      <c r="Q980" s="51" t="str">
        <f t="shared" si="205"/>
        <v/>
      </c>
      <c r="R980" s="52" t="str">
        <f t="shared" si="206"/>
        <v/>
      </c>
      <c r="S980" s="58" t="str">
        <f t="shared" si="245"/>
        <v/>
      </c>
      <c r="T980" s="52" t="str">
        <f t="shared" si="201"/>
        <v/>
      </c>
    </row>
    <row r="981" spans="2:20" ht="15.75" customHeight="1" x14ac:dyDescent="0.25">
      <c r="B981" s="33">
        <f t="shared" si="243"/>
        <v>93.416666666666643</v>
      </c>
      <c r="C981" s="34"/>
      <c r="D981" s="35">
        <f>(5/12)*D976</f>
        <v>5.8640416666666667E-2</v>
      </c>
      <c r="E981" s="36">
        <f>E976-(5/12)*F976</f>
        <v>122805.93924686845</v>
      </c>
      <c r="F981" s="36">
        <f t="shared" si="244"/>
        <v>1529.9980101286637</v>
      </c>
      <c r="G981" s="31">
        <f t="shared" si="196"/>
        <v>0.94135958333333336</v>
      </c>
      <c r="H981" s="32"/>
      <c r="I981" s="51" t="str">
        <f t="shared" si="202"/>
        <v/>
      </c>
      <c r="J981" s="51" t="str">
        <f t="shared" si="203"/>
        <v/>
      </c>
      <c r="K981" s="52" t="str">
        <f t="shared" si="220"/>
        <v/>
      </c>
      <c r="L981" s="53" t="str">
        <f t="shared" si="199"/>
        <v/>
      </c>
      <c r="M981" s="52" t="str">
        <f t="shared" si="204"/>
        <v/>
      </c>
      <c r="N981" s="58" t="str">
        <f t="shared" si="200"/>
        <v/>
      </c>
      <c r="Q981" s="51" t="str">
        <f t="shared" si="205"/>
        <v/>
      </c>
      <c r="R981" s="52" t="str">
        <f t="shared" si="206"/>
        <v/>
      </c>
      <c r="S981" s="58" t="str">
        <f t="shared" si="245"/>
        <v/>
      </c>
      <c r="T981" s="52" t="str">
        <f t="shared" si="201"/>
        <v/>
      </c>
    </row>
    <row r="982" spans="2:20" ht="15.75" customHeight="1" x14ac:dyDescent="0.25">
      <c r="B982" s="33">
        <f t="shared" si="243"/>
        <v>93.499999999999972</v>
      </c>
      <c r="C982" s="34"/>
      <c r="D982" s="35">
        <f>(6/12)*D976</f>
        <v>7.03685E-2</v>
      </c>
      <c r="E982" s="36">
        <f>E976-(6/12)*F976</f>
        <v>121275.94123673979</v>
      </c>
      <c r="F982" s="36">
        <f t="shared" si="244"/>
        <v>1529.9980101286637</v>
      </c>
      <c r="G982" s="31">
        <f t="shared" si="196"/>
        <v>0.92963149999999994</v>
      </c>
      <c r="H982" s="32"/>
      <c r="I982" s="51" t="str">
        <f t="shared" si="202"/>
        <v/>
      </c>
      <c r="J982" s="51" t="str">
        <f t="shared" si="203"/>
        <v/>
      </c>
      <c r="K982" s="52" t="str">
        <f t="shared" si="220"/>
        <v/>
      </c>
      <c r="L982" s="53" t="str">
        <f t="shared" si="199"/>
        <v/>
      </c>
      <c r="M982" s="52" t="str">
        <f t="shared" si="204"/>
        <v/>
      </c>
      <c r="N982" s="58" t="str">
        <f t="shared" si="200"/>
        <v/>
      </c>
      <c r="Q982" s="51" t="str">
        <f t="shared" si="205"/>
        <v/>
      </c>
      <c r="R982" s="52" t="str">
        <f t="shared" si="206"/>
        <v/>
      </c>
      <c r="S982" s="58" t="str">
        <f t="shared" si="245"/>
        <v/>
      </c>
      <c r="T982" s="52" t="str">
        <f t="shared" si="201"/>
        <v/>
      </c>
    </row>
    <row r="983" spans="2:20" ht="15.75" customHeight="1" x14ac:dyDescent="0.25">
      <c r="B983" s="33">
        <f t="shared" si="243"/>
        <v>93.5833333333333</v>
      </c>
      <c r="C983" s="34"/>
      <c r="D983" s="35">
        <f>(7/12)*D976</f>
        <v>8.2096583333333334E-2</v>
      </c>
      <c r="E983" s="36">
        <f>E976-(7/12)*F976</f>
        <v>119745.94322661113</v>
      </c>
      <c r="F983" s="36">
        <f t="shared" si="244"/>
        <v>1529.9980101286492</v>
      </c>
      <c r="G983" s="31">
        <f t="shared" si="196"/>
        <v>0.91790341666666664</v>
      </c>
      <c r="H983" s="32"/>
      <c r="I983" s="51" t="str">
        <f t="shared" si="202"/>
        <v/>
      </c>
      <c r="J983" s="51" t="str">
        <f t="shared" si="203"/>
        <v/>
      </c>
      <c r="K983" s="52" t="str">
        <f t="shared" si="220"/>
        <v/>
      </c>
      <c r="L983" s="53" t="str">
        <f t="shared" si="199"/>
        <v/>
      </c>
      <c r="M983" s="52" t="str">
        <f t="shared" si="204"/>
        <v/>
      </c>
      <c r="N983" s="58" t="str">
        <f t="shared" si="200"/>
        <v/>
      </c>
      <c r="Q983" s="51" t="str">
        <f t="shared" si="205"/>
        <v/>
      </c>
      <c r="R983" s="52" t="str">
        <f t="shared" si="206"/>
        <v/>
      </c>
      <c r="S983" s="58" t="str">
        <f t="shared" si="245"/>
        <v/>
      </c>
      <c r="T983" s="52" t="str">
        <f t="shared" si="201"/>
        <v/>
      </c>
    </row>
    <row r="984" spans="2:20" ht="15.75" customHeight="1" x14ac:dyDescent="0.25">
      <c r="B984" s="33">
        <f t="shared" si="243"/>
        <v>93.666666666666629</v>
      </c>
      <c r="C984" s="34"/>
      <c r="D984" s="35">
        <f>(8/12)*D976</f>
        <v>9.3824666666666667E-2</v>
      </c>
      <c r="E984" s="36">
        <f>E976-(8/12)*F976</f>
        <v>118215.94521648248</v>
      </c>
      <c r="F984" s="36">
        <f t="shared" si="244"/>
        <v>1529.9980101286637</v>
      </c>
      <c r="G984" s="31">
        <f t="shared" si="196"/>
        <v>0.90617533333333333</v>
      </c>
      <c r="H984" s="32"/>
      <c r="I984" s="51" t="str">
        <f t="shared" si="202"/>
        <v/>
      </c>
      <c r="J984" s="51" t="str">
        <f t="shared" si="203"/>
        <v/>
      </c>
      <c r="K984" s="52" t="str">
        <f t="shared" si="220"/>
        <v/>
      </c>
      <c r="L984" s="53" t="str">
        <f t="shared" si="199"/>
        <v/>
      </c>
      <c r="M984" s="52" t="str">
        <f t="shared" si="204"/>
        <v/>
      </c>
      <c r="N984" s="58" t="str">
        <f t="shared" si="200"/>
        <v/>
      </c>
      <c r="Q984" s="51" t="str">
        <f t="shared" si="205"/>
        <v/>
      </c>
      <c r="R984" s="52" t="str">
        <f t="shared" si="206"/>
        <v/>
      </c>
      <c r="S984" s="58" t="str">
        <f t="shared" si="245"/>
        <v/>
      </c>
      <c r="T984" s="52" t="str">
        <f t="shared" si="201"/>
        <v/>
      </c>
    </row>
    <row r="985" spans="2:20" ht="15.75" customHeight="1" x14ac:dyDescent="0.25">
      <c r="B985" s="33">
        <f t="shared" si="243"/>
        <v>93.749999999999957</v>
      </c>
      <c r="C985" s="34"/>
      <c r="D985" s="35">
        <f>(9/12)*D976</f>
        <v>0.10555275</v>
      </c>
      <c r="E985" s="36">
        <f>E976-(9/12)*F976</f>
        <v>116685.94720635381</v>
      </c>
      <c r="F985" s="36">
        <f t="shared" si="244"/>
        <v>1529.9980101286637</v>
      </c>
      <c r="G985" s="31">
        <f t="shared" si="196"/>
        <v>0.89444725000000003</v>
      </c>
      <c r="H985" s="32"/>
      <c r="I985" s="51" t="str">
        <f t="shared" si="202"/>
        <v/>
      </c>
      <c r="J985" s="51" t="str">
        <f t="shared" si="203"/>
        <v/>
      </c>
      <c r="K985" s="52" t="str">
        <f t="shared" si="220"/>
        <v/>
      </c>
      <c r="L985" s="53" t="str">
        <f t="shared" si="199"/>
        <v/>
      </c>
      <c r="M985" s="52" t="str">
        <f t="shared" si="204"/>
        <v/>
      </c>
      <c r="N985" s="58" t="str">
        <f t="shared" si="200"/>
        <v/>
      </c>
      <c r="Q985" s="51" t="str">
        <f t="shared" si="205"/>
        <v/>
      </c>
      <c r="R985" s="52" t="str">
        <f t="shared" si="206"/>
        <v/>
      </c>
      <c r="S985" s="58" t="str">
        <f t="shared" si="245"/>
        <v/>
      </c>
      <c r="T985" s="52" t="str">
        <f t="shared" si="201"/>
        <v/>
      </c>
    </row>
    <row r="986" spans="2:20" ht="15.75" customHeight="1" x14ac:dyDescent="0.25">
      <c r="B986" s="33">
        <f t="shared" si="243"/>
        <v>93.833333333333286</v>
      </c>
      <c r="C986" s="34"/>
      <c r="D986" s="35">
        <f>(10/12)*D976</f>
        <v>0.11728083333333333</v>
      </c>
      <c r="E986" s="36">
        <f>E976-(10/12)*F976</f>
        <v>115155.94919622515</v>
      </c>
      <c r="F986" s="36">
        <f t="shared" si="244"/>
        <v>1529.9980101286492</v>
      </c>
      <c r="G986" s="31">
        <f t="shared" si="196"/>
        <v>0.88271916666666672</v>
      </c>
      <c r="H986" s="32"/>
      <c r="I986" s="51" t="str">
        <f t="shared" si="202"/>
        <v/>
      </c>
      <c r="J986" s="51" t="str">
        <f t="shared" si="203"/>
        <v/>
      </c>
      <c r="K986" s="52" t="str">
        <f t="shared" si="220"/>
        <v/>
      </c>
      <c r="L986" s="53" t="str">
        <f t="shared" si="199"/>
        <v/>
      </c>
      <c r="M986" s="52" t="str">
        <f t="shared" si="204"/>
        <v/>
      </c>
      <c r="N986" s="58" t="str">
        <f t="shared" si="200"/>
        <v/>
      </c>
      <c r="Q986" s="51" t="str">
        <f t="shared" si="205"/>
        <v/>
      </c>
      <c r="R986" s="52" t="str">
        <f t="shared" si="206"/>
        <v/>
      </c>
      <c r="S986" s="58" t="str">
        <f t="shared" si="245"/>
        <v/>
      </c>
      <c r="T986" s="52" t="str">
        <f t="shared" si="201"/>
        <v/>
      </c>
    </row>
    <row r="987" spans="2:20" ht="15.75" customHeight="1" x14ac:dyDescent="0.25">
      <c r="B987" s="33">
        <f t="shared" si="243"/>
        <v>93.916666666666615</v>
      </c>
      <c r="C987" s="34"/>
      <c r="D987" s="35">
        <f>(11/12)*D976</f>
        <v>0.12900891666666667</v>
      </c>
      <c r="E987" s="36">
        <f>E976-(11/12)*F976</f>
        <v>113625.9511860965</v>
      </c>
      <c r="F987" s="36">
        <f t="shared" si="244"/>
        <v>1529.9980101286637</v>
      </c>
      <c r="G987" s="31">
        <f t="shared" si="196"/>
        <v>0.8709910833333333</v>
      </c>
      <c r="H987" s="32"/>
      <c r="I987" s="51" t="str">
        <f t="shared" si="202"/>
        <v/>
      </c>
      <c r="J987" s="51" t="str">
        <f t="shared" si="203"/>
        <v/>
      </c>
      <c r="K987" s="52" t="str">
        <f t="shared" si="220"/>
        <v/>
      </c>
      <c r="L987" s="53" t="str">
        <f t="shared" si="199"/>
        <v/>
      </c>
      <c r="M987" s="52" t="str">
        <f t="shared" si="204"/>
        <v/>
      </c>
      <c r="N987" s="58" t="str">
        <f t="shared" si="200"/>
        <v/>
      </c>
      <c r="Q987" s="51" t="str">
        <f t="shared" si="205"/>
        <v/>
      </c>
      <c r="R987" s="52" t="str">
        <f t="shared" si="206"/>
        <v/>
      </c>
      <c r="S987" s="58" t="str">
        <f t="shared" si="245"/>
        <v/>
      </c>
      <c r="T987" s="52" t="str">
        <f t="shared" si="201"/>
        <v/>
      </c>
    </row>
    <row r="988" spans="2:20" ht="15.75" customHeight="1" x14ac:dyDescent="0.25">
      <c r="B988" s="27">
        <v>94</v>
      </c>
      <c r="C988" s="28">
        <v>149.983</v>
      </c>
      <c r="D988" s="29">
        <f>C988/1000</f>
        <v>0.14998300000000001</v>
      </c>
      <c r="E988" s="30">
        <f>E976-F976</f>
        <v>112095.95317596784</v>
      </c>
      <c r="F988" s="48">
        <f>D988*E988</f>
        <v>16812.487345191184</v>
      </c>
      <c r="G988" s="31">
        <f t="shared" si="196"/>
        <v>0.85001700000000002</v>
      </c>
      <c r="H988" s="49"/>
      <c r="I988" s="51" t="str">
        <f t="shared" si="202"/>
        <v/>
      </c>
      <c r="J988" s="51" t="str">
        <f t="shared" si="203"/>
        <v/>
      </c>
      <c r="K988" s="52" t="str">
        <f t="shared" si="220"/>
        <v/>
      </c>
      <c r="L988" s="53" t="str">
        <f t="shared" si="199"/>
        <v/>
      </c>
      <c r="M988" s="52" t="str">
        <f t="shared" si="204"/>
        <v/>
      </c>
      <c r="N988" s="58" t="str">
        <f t="shared" si="200"/>
        <v/>
      </c>
      <c r="Q988" s="51" t="str">
        <f t="shared" si="205"/>
        <v/>
      </c>
      <c r="R988" s="52" t="str">
        <f t="shared" si="206"/>
        <v/>
      </c>
      <c r="S988" s="58" t="str">
        <f t="shared" si="245"/>
        <v/>
      </c>
      <c r="T988" s="52" t="str">
        <f t="shared" si="201"/>
        <v/>
      </c>
    </row>
    <row r="989" spans="2:20" ht="15.75" customHeight="1" x14ac:dyDescent="0.25">
      <c r="B989" s="33">
        <f t="shared" ref="B989:B999" si="246">B988+1/12</f>
        <v>94.083333333333329</v>
      </c>
      <c r="C989" s="34"/>
      <c r="D989" s="35">
        <f>(1/12)*D988</f>
        <v>1.2498583333333334E-2</v>
      </c>
      <c r="E989" s="36">
        <f>E988-(1/12)*F988</f>
        <v>110694.91256386857</v>
      </c>
      <c r="F989" s="36">
        <f t="shared" ref="F989:F999" si="247">E989-E990</f>
        <v>1401.0406120992557</v>
      </c>
      <c r="G989" s="31">
        <f t="shared" si="196"/>
        <v>0.98750141666666669</v>
      </c>
      <c r="H989" s="37"/>
      <c r="I989" s="51" t="str">
        <f t="shared" si="202"/>
        <v/>
      </c>
      <c r="J989" s="51" t="str">
        <f t="shared" si="203"/>
        <v/>
      </c>
      <c r="K989" s="52" t="str">
        <f t="shared" si="220"/>
        <v/>
      </c>
      <c r="L989" s="53" t="str">
        <f t="shared" si="199"/>
        <v/>
      </c>
      <c r="M989" s="52" t="str">
        <f t="shared" si="204"/>
        <v/>
      </c>
      <c r="N989" s="58" t="str">
        <f t="shared" si="200"/>
        <v/>
      </c>
      <c r="Q989" s="51" t="str">
        <f t="shared" si="205"/>
        <v/>
      </c>
      <c r="R989" s="52" t="str">
        <f t="shared" si="206"/>
        <v/>
      </c>
      <c r="S989" s="58" t="str">
        <f t="shared" si="245"/>
        <v/>
      </c>
      <c r="T989" s="52" t="str">
        <f t="shared" si="201"/>
        <v/>
      </c>
    </row>
    <row r="990" spans="2:20" ht="15.75" customHeight="1" x14ac:dyDescent="0.25">
      <c r="B990" s="33">
        <f t="shared" si="246"/>
        <v>94.166666666666657</v>
      </c>
      <c r="C990" s="34"/>
      <c r="D990" s="35">
        <f>(2/12)*D988</f>
        <v>2.4997166666666668E-2</v>
      </c>
      <c r="E990" s="36">
        <f>E988-(2/12)*F988</f>
        <v>109293.87195176931</v>
      </c>
      <c r="F990" s="36">
        <f t="shared" si="247"/>
        <v>1401.0406120992702</v>
      </c>
      <c r="G990" s="31">
        <f t="shared" si="196"/>
        <v>0.97500283333333337</v>
      </c>
      <c r="H990" s="32"/>
      <c r="I990" s="51" t="str">
        <f t="shared" si="202"/>
        <v/>
      </c>
      <c r="J990" s="51" t="str">
        <f t="shared" si="203"/>
        <v/>
      </c>
      <c r="K990" s="52" t="str">
        <f t="shared" si="220"/>
        <v/>
      </c>
      <c r="L990" s="53" t="str">
        <f t="shared" si="199"/>
        <v/>
      </c>
      <c r="M990" s="52" t="str">
        <f t="shared" si="204"/>
        <v/>
      </c>
      <c r="N990" s="58" t="str">
        <f t="shared" si="200"/>
        <v/>
      </c>
      <c r="Q990" s="51" t="str">
        <f t="shared" si="205"/>
        <v/>
      </c>
      <c r="R990" s="52" t="str">
        <f t="shared" si="206"/>
        <v/>
      </c>
      <c r="S990" s="58" t="str">
        <f t="shared" si="245"/>
        <v/>
      </c>
      <c r="T990" s="52" t="str">
        <f t="shared" si="201"/>
        <v/>
      </c>
    </row>
    <row r="991" spans="2:20" ht="15.75" customHeight="1" x14ac:dyDescent="0.25">
      <c r="B991" s="33">
        <f t="shared" si="246"/>
        <v>94.249999999999986</v>
      </c>
      <c r="C991" s="34"/>
      <c r="D991" s="35">
        <f>(3/12)*D988</f>
        <v>3.7495750000000001E-2</v>
      </c>
      <c r="E991" s="36">
        <f>E988-(3/12)*F988</f>
        <v>107892.83133967004</v>
      </c>
      <c r="F991" s="36">
        <f t="shared" si="247"/>
        <v>1401.0406120992702</v>
      </c>
      <c r="G991" s="31">
        <f t="shared" si="196"/>
        <v>0.96250424999999995</v>
      </c>
      <c r="H991" s="32"/>
      <c r="I991" s="51" t="str">
        <f t="shared" si="202"/>
        <v/>
      </c>
      <c r="J991" s="51" t="str">
        <f t="shared" si="203"/>
        <v/>
      </c>
      <c r="K991" s="52" t="str">
        <f t="shared" si="220"/>
        <v/>
      </c>
      <c r="L991" s="53" t="str">
        <f t="shared" si="199"/>
        <v/>
      </c>
      <c r="M991" s="52" t="str">
        <f t="shared" si="204"/>
        <v/>
      </c>
      <c r="N991" s="58" t="str">
        <f t="shared" si="200"/>
        <v/>
      </c>
      <c r="Q991" s="51" t="str">
        <f t="shared" si="205"/>
        <v/>
      </c>
      <c r="R991" s="52" t="str">
        <f t="shared" si="206"/>
        <v/>
      </c>
      <c r="S991" s="58" t="str">
        <f t="shared" si="245"/>
        <v/>
      </c>
      <c r="T991" s="52" t="str">
        <f t="shared" si="201"/>
        <v/>
      </c>
    </row>
    <row r="992" spans="2:20" ht="15.75" customHeight="1" x14ac:dyDescent="0.25">
      <c r="B992" s="33">
        <f t="shared" si="246"/>
        <v>94.333333333333314</v>
      </c>
      <c r="C992" s="34"/>
      <c r="D992" s="35">
        <f>(4/12)*D988</f>
        <v>4.9994333333333335E-2</v>
      </c>
      <c r="E992" s="36">
        <f>E988-(4/12)*F988</f>
        <v>106491.79072757077</v>
      </c>
      <c r="F992" s="36">
        <f t="shared" si="247"/>
        <v>1401.0406120992557</v>
      </c>
      <c r="G992" s="31">
        <f t="shared" si="196"/>
        <v>0.95000566666666664</v>
      </c>
      <c r="H992" s="32"/>
      <c r="I992" s="51" t="str">
        <f t="shared" si="202"/>
        <v/>
      </c>
      <c r="J992" s="51" t="str">
        <f t="shared" si="203"/>
        <v/>
      </c>
      <c r="K992" s="52" t="str">
        <f t="shared" si="220"/>
        <v/>
      </c>
      <c r="L992" s="53" t="str">
        <f t="shared" si="199"/>
        <v/>
      </c>
      <c r="M992" s="52" t="str">
        <f t="shared" si="204"/>
        <v/>
      </c>
      <c r="N992" s="58" t="str">
        <f t="shared" si="200"/>
        <v/>
      </c>
      <c r="Q992" s="51" t="str">
        <f t="shared" si="205"/>
        <v/>
      </c>
      <c r="R992" s="52" t="str">
        <f t="shared" si="206"/>
        <v/>
      </c>
      <c r="S992" s="58" t="str">
        <f t="shared" si="245"/>
        <v/>
      </c>
      <c r="T992" s="52" t="str">
        <f t="shared" si="201"/>
        <v/>
      </c>
    </row>
    <row r="993" spans="2:22" ht="15.75" customHeight="1" x14ac:dyDescent="0.25">
      <c r="B993" s="33">
        <f t="shared" si="246"/>
        <v>94.416666666666643</v>
      </c>
      <c r="C993" s="34"/>
      <c r="D993" s="35">
        <f>(5/12)*D988</f>
        <v>6.2492916666666669E-2</v>
      </c>
      <c r="E993" s="36">
        <f>E988-(5/12)*F988</f>
        <v>105090.75011547151</v>
      </c>
      <c r="F993" s="36">
        <f t="shared" si="247"/>
        <v>1401.0406120992702</v>
      </c>
      <c r="G993" s="31">
        <f t="shared" si="196"/>
        <v>0.93750708333333332</v>
      </c>
      <c r="H993" s="32"/>
      <c r="I993" s="51" t="str">
        <f t="shared" si="202"/>
        <v/>
      </c>
      <c r="J993" s="51" t="str">
        <f t="shared" si="203"/>
        <v/>
      </c>
      <c r="K993" s="52" t="str">
        <f t="shared" si="220"/>
        <v/>
      </c>
      <c r="L993" s="53" t="str">
        <f t="shared" si="199"/>
        <v/>
      </c>
      <c r="M993" s="52" t="str">
        <f t="shared" si="204"/>
        <v/>
      </c>
      <c r="N993" s="58" t="str">
        <f t="shared" si="200"/>
        <v/>
      </c>
      <c r="Q993" s="51" t="str">
        <f t="shared" si="205"/>
        <v/>
      </c>
      <c r="R993" s="52" t="str">
        <f t="shared" si="206"/>
        <v/>
      </c>
      <c r="S993" s="58" t="str">
        <f t="shared" si="245"/>
        <v/>
      </c>
      <c r="T993" s="52" t="str">
        <f t="shared" si="201"/>
        <v/>
      </c>
    </row>
    <row r="994" spans="2:22" ht="15.75" customHeight="1" x14ac:dyDescent="0.25">
      <c r="B994" s="33">
        <f t="shared" si="246"/>
        <v>94.499999999999972</v>
      </c>
      <c r="C994" s="34"/>
      <c r="D994" s="35">
        <f>(6/12)*D988</f>
        <v>7.4991500000000003E-2</v>
      </c>
      <c r="E994" s="36">
        <f>E988-(6/12)*F988</f>
        <v>103689.70950337224</v>
      </c>
      <c r="F994" s="36">
        <f t="shared" si="247"/>
        <v>1401.0406120992702</v>
      </c>
      <c r="G994" s="31">
        <f t="shared" si="196"/>
        <v>0.92500850000000001</v>
      </c>
      <c r="H994" s="32"/>
      <c r="I994" s="51" t="str">
        <f t="shared" si="202"/>
        <v/>
      </c>
      <c r="J994" s="51" t="str">
        <f t="shared" si="203"/>
        <v/>
      </c>
      <c r="K994" s="52" t="str">
        <f t="shared" si="220"/>
        <v/>
      </c>
      <c r="L994" s="53" t="str">
        <f t="shared" si="199"/>
        <v/>
      </c>
      <c r="M994" s="52" t="str">
        <f t="shared" si="204"/>
        <v/>
      </c>
      <c r="N994" s="58" t="str">
        <f t="shared" si="200"/>
        <v/>
      </c>
      <c r="Q994" s="51" t="str">
        <f t="shared" si="205"/>
        <v/>
      </c>
      <c r="R994" s="52" t="str">
        <f t="shared" si="206"/>
        <v/>
      </c>
      <c r="S994" s="58" t="str">
        <f t="shared" si="245"/>
        <v/>
      </c>
      <c r="T994" s="52" t="str">
        <f t="shared" si="201"/>
        <v/>
      </c>
    </row>
    <row r="995" spans="2:22" ht="15.75" customHeight="1" x14ac:dyDescent="0.25">
      <c r="B995" s="33">
        <f t="shared" si="246"/>
        <v>94.5833333333333</v>
      </c>
      <c r="C995" s="34"/>
      <c r="D995" s="35">
        <f>(7/12)*D988</f>
        <v>8.7490083333333343E-2</v>
      </c>
      <c r="E995" s="36">
        <f>E988-(7/12)*F988</f>
        <v>102288.66889127297</v>
      </c>
      <c r="F995" s="36">
        <f t="shared" si="247"/>
        <v>1401.0406120992557</v>
      </c>
      <c r="G995" s="31">
        <f t="shared" si="196"/>
        <v>0.9125099166666667</v>
      </c>
      <c r="H995" s="32"/>
      <c r="I995" s="51" t="str">
        <f t="shared" si="202"/>
        <v/>
      </c>
      <c r="J995" s="51" t="str">
        <f t="shared" si="203"/>
        <v/>
      </c>
      <c r="K995" s="52" t="str">
        <f t="shared" si="220"/>
        <v/>
      </c>
      <c r="L995" s="53" t="str">
        <f t="shared" si="199"/>
        <v/>
      </c>
      <c r="M995" s="52" t="str">
        <f t="shared" si="204"/>
        <v/>
      </c>
      <c r="N995" s="58" t="str">
        <f t="shared" si="200"/>
        <v/>
      </c>
      <c r="Q995" s="51" t="str">
        <f t="shared" si="205"/>
        <v/>
      </c>
      <c r="R995" s="52" t="str">
        <f t="shared" si="206"/>
        <v/>
      </c>
      <c r="S995" s="58" t="str">
        <f t="shared" si="245"/>
        <v/>
      </c>
      <c r="T995" s="52" t="str">
        <f t="shared" si="201"/>
        <v/>
      </c>
    </row>
    <row r="996" spans="2:22" ht="15.75" customHeight="1" x14ac:dyDescent="0.25">
      <c r="B996" s="33">
        <f t="shared" si="246"/>
        <v>94.666666666666629</v>
      </c>
      <c r="C996" s="34"/>
      <c r="D996" s="35">
        <f>(8/12)*D988</f>
        <v>9.998866666666667E-2</v>
      </c>
      <c r="E996" s="36">
        <f>E988-(8/12)*F988</f>
        <v>100887.62827917372</v>
      </c>
      <c r="F996" s="36">
        <f t="shared" si="247"/>
        <v>1401.0406120992702</v>
      </c>
      <c r="G996" s="31">
        <f t="shared" si="196"/>
        <v>0.90001133333333327</v>
      </c>
      <c r="H996" s="32"/>
      <c r="I996" s="51" t="str">
        <f t="shared" si="202"/>
        <v/>
      </c>
      <c r="J996" s="51" t="str">
        <f t="shared" si="203"/>
        <v/>
      </c>
      <c r="K996" s="52" t="str">
        <f t="shared" si="220"/>
        <v/>
      </c>
      <c r="L996" s="53" t="str">
        <f t="shared" si="199"/>
        <v/>
      </c>
      <c r="M996" s="52" t="str">
        <f t="shared" si="204"/>
        <v/>
      </c>
      <c r="N996" s="58" t="str">
        <f t="shared" si="200"/>
        <v/>
      </c>
      <c r="Q996" s="51" t="str">
        <f t="shared" si="205"/>
        <v/>
      </c>
      <c r="R996" s="52" t="str">
        <f t="shared" si="206"/>
        <v/>
      </c>
      <c r="S996" s="58" t="str">
        <f t="shared" si="245"/>
        <v/>
      </c>
      <c r="T996" s="52" t="str">
        <f t="shared" si="201"/>
        <v/>
      </c>
    </row>
    <row r="997" spans="2:22" ht="15.75" customHeight="1" x14ac:dyDescent="0.25">
      <c r="B997" s="33">
        <f t="shared" si="246"/>
        <v>94.749999999999957</v>
      </c>
      <c r="C997" s="34"/>
      <c r="D997" s="35">
        <f>(9/12)*D988</f>
        <v>0.11248725000000001</v>
      </c>
      <c r="E997" s="36">
        <f>E988-(9/12)*F988</f>
        <v>99486.587667074447</v>
      </c>
      <c r="F997" s="36">
        <f t="shared" si="247"/>
        <v>1401.0406120992702</v>
      </c>
      <c r="G997" s="31">
        <f t="shared" si="196"/>
        <v>0.88751274999999996</v>
      </c>
      <c r="H997" s="32"/>
      <c r="I997" s="51" t="str">
        <f t="shared" si="202"/>
        <v/>
      </c>
      <c r="J997" s="51" t="str">
        <f t="shared" si="203"/>
        <v/>
      </c>
      <c r="K997" s="52" t="str">
        <f t="shared" si="220"/>
        <v/>
      </c>
      <c r="L997" s="53" t="str">
        <f t="shared" si="199"/>
        <v/>
      </c>
      <c r="M997" s="52" t="str">
        <f t="shared" si="204"/>
        <v/>
      </c>
      <c r="N997" s="58" t="str">
        <f t="shared" si="200"/>
        <v/>
      </c>
      <c r="Q997" s="51" t="str">
        <f t="shared" si="205"/>
        <v/>
      </c>
      <c r="R997" s="52" t="str">
        <f t="shared" si="206"/>
        <v/>
      </c>
      <c r="S997" s="58" t="str">
        <f t="shared" si="245"/>
        <v/>
      </c>
      <c r="T997" s="52" t="str">
        <f t="shared" si="201"/>
        <v/>
      </c>
      <c r="V997" s="61"/>
    </row>
    <row r="998" spans="2:22" ht="15.75" customHeight="1" x14ac:dyDescent="0.25">
      <c r="B998" s="33">
        <f t="shared" si="246"/>
        <v>94.833333333333286</v>
      </c>
      <c r="C998" s="34"/>
      <c r="D998" s="35">
        <f>(10/12)*D988</f>
        <v>0.12498583333333334</v>
      </c>
      <c r="E998" s="36">
        <f>E988-(10/12)*F988</f>
        <v>98085.547054975177</v>
      </c>
      <c r="F998" s="36">
        <f t="shared" si="247"/>
        <v>1401.0406120992557</v>
      </c>
      <c r="G998" s="31">
        <f t="shared" si="196"/>
        <v>0.87501416666666665</v>
      </c>
      <c r="H998" s="32"/>
      <c r="I998" s="51" t="str">
        <f t="shared" si="202"/>
        <v/>
      </c>
      <c r="J998" s="51" t="str">
        <f t="shared" si="203"/>
        <v/>
      </c>
      <c r="K998" s="52" t="str">
        <f t="shared" si="220"/>
        <v/>
      </c>
      <c r="L998" s="53" t="str">
        <f t="shared" si="199"/>
        <v/>
      </c>
      <c r="M998" s="52" t="str">
        <f t="shared" si="204"/>
        <v/>
      </c>
      <c r="N998" s="58" t="str">
        <f t="shared" si="200"/>
        <v/>
      </c>
      <c r="Q998" s="51" t="str">
        <f t="shared" si="205"/>
        <v/>
      </c>
      <c r="R998" s="52" t="str">
        <f t="shared" si="206"/>
        <v/>
      </c>
      <c r="S998" s="58" t="str">
        <f t="shared" si="245"/>
        <v/>
      </c>
      <c r="T998" s="52" t="str">
        <f t="shared" si="201"/>
        <v/>
      </c>
    </row>
    <row r="999" spans="2:22" ht="15.75" customHeight="1" x14ac:dyDescent="0.25">
      <c r="B999" s="33">
        <f t="shared" si="246"/>
        <v>94.916666666666615</v>
      </c>
      <c r="C999" s="34"/>
      <c r="D999" s="35">
        <f>(11/12)*D988</f>
        <v>0.13748441666666666</v>
      </c>
      <c r="E999" s="36">
        <f>E988-(11/12)*F988</f>
        <v>96684.506442875921</v>
      </c>
      <c r="F999" s="36">
        <f t="shared" si="247"/>
        <v>1401.0406120992702</v>
      </c>
      <c r="G999" s="31">
        <f t="shared" si="196"/>
        <v>0.86251558333333334</v>
      </c>
      <c r="H999" s="32"/>
      <c r="I999" s="51" t="str">
        <f t="shared" si="202"/>
        <v/>
      </c>
      <c r="J999" s="51" t="str">
        <f t="shared" si="203"/>
        <v/>
      </c>
      <c r="K999" s="52" t="str">
        <f t="shared" si="220"/>
        <v/>
      </c>
      <c r="L999" s="53" t="str">
        <f t="shared" si="199"/>
        <v/>
      </c>
      <c r="M999" s="52" t="str">
        <f t="shared" si="204"/>
        <v/>
      </c>
      <c r="N999" s="58" t="str">
        <f t="shared" si="200"/>
        <v/>
      </c>
      <c r="Q999" s="51" t="str">
        <f t="shared" si="205"/>
        <v/>
      </c>
      <c r="R999" s="52" t="str">
        <f t="shared" si="206"/>
        <v/>
      </c>
      <c r="S999" s="58" t="str">
        <f t="shared" si="245"/>
        <v/>
      </c>
      <c r="T999" s="52" t="str">
        <f t="shared" si="201"/>
        <v/>
      </c>
    </row>
    <row r="1000" spans="2:22" ht="15.75" customHeight="1" x14ac:dyDescent="0.25">
      <c r="B1000" s="27">
        <v>95</v>
      </c>
      <c r="C1000" s="28">
        <v>159.72300000000001</v>
      </c>
      <c r="D1000" s="29">
        <f>C1000/1000</f>
        <v>0.159723</v>
      </c>
      <c r="E1000" s="30">
        <f>E988-F988</f>
        <v>95283.465830776651</v>
      </c>
      <c r="F1000" s="48">
        <f>D1000*E1000</f>
        <v>15218.96101288914</v>
      </c>
      <c r="G1000" s="31">
        <f t="shared" si="196"/>
        <v>0.84027699999999994</v>
      </c>
      <c r="H1000" s="49"/>
      <c r="I1000" s="51" t="str">
        <f t="shared" si="202"/>
        <v/>
      </c>
      <c r="J1000" s="51" t="str">
        <f t="shared" si="203"/>
        <v/>
      </c>
      <c r="K1000" s="52" t="str">
        <f t="shared" si="220"/>
        <v/>
      </c>
      <c r="L1000" s="53" t="str">
        <f t="shared" si="199"/>
        <v/>
      </c>
      <c r="M1000" s="52" t="str">
        <f t="shared" si="204"/>
        <v/>
      </c>
      <c r="N1000" s="58" t="str">
        <f t="shared" si="200"/>
        <v/>
      </c>
      <c r="Q1000" s="51" t="str">
        <f t="shared" si="205"/>
        <v/>
      </c>
      <c r="R1000" s="52" t="str">
        <f t="shared" si="206"/>
        <v/>
      </c>
      <c r="S1000" s="58" t="str">
        <f t="shared" si="245"/>
        <v/>
      </c>
      <c r="T1000" s="52" t="str">
        <f t="shared" si="201"/>
        <v/>
      </c>
    </row>
    <row r="1001" spans="2:22" ht="15.75" customHeight="1" x14ac:dyDescent="0.25">
      <c r="B1001" s="33">
        <f t="shared" ref="B1001:B1011" si="248">B1000+1/12</f>
        <v>95.083333333333329</v>
      </c>
      <c r="C1001" s="34"/>
      <c r="D1001" s="35">
        <f>(1/12)*D1000</f>
        <v>1.3310249999999999E-2</v>
      </c>
      <c r="E1001" s="36">
        <f>E1000-(1/12)*F1000</f>
        <v>94015.219079702554</v>
      </c>
      <c r="F1001" s="36">
        <f t="shared" ref="F1001:F1011" si="249">E1001-E1002</f>
        <v>1268.2467510740971</v>
      </c>
      <c r="G1001" s="31">
        <f t="shared" si="196"/>
        <v>0.98668975000000003</v>
      </c>
      <c r="H1001" s="37"/>
      <c r="I1001" s="51" t="str">
        <f t="shared" si="202"/>
        <v/>
      </c>
      <c r="J1001" s="51" t="str">
        <f t="shared" si="203"/>
        <v/>
      </c>
      <c r="K1001" s="52" t="str">
        <f t="shared" si="220"/>
        <v/>
      </c>
      <c r="L1001" s="53" t="str">
        <f t="shared" si="199"/>
        <v/>
      </c>
      <c r="M1001" s="52" t="str">
        <f t="shared" si="204"/>
        <v/>
      </c>
      <c r="N1001" s="58" t="str">
        <f t="shared" si="200"/>
        <v/>
      </c>
      <c r="Q1001" s="51" t="str">
        <f t="shared" si="205"/>
        <v/>
      </c>
      <c r="R1001" s="52" t="str">
        <f t="shared" si="206"/>
        <v/>
      </c>
      <c r="S1001" s="58" t="str">
        <f t="shared" si="245"/>
        <v/>
      </c>
      <c r="T1001" s="52" t="str">
        <f t="shared" si="201"/>
        <v/>
      </c>
    </row>
    <row r="1002" spans="2:22" ht="15.75" customHeight="1" x14ac:dyDescent="0.25">
      <c r="B1002" s="33">
        <f t="shared" si="248"/>
        <v>95.166666666666657</v>
      </c>
      <c r="C1002" s="34"/>
      <c r="D1002" s="35">
        <f>(2/12)*D1000</f>
        <v>2.6620499999999998E-2</v>
      </c>
      <c r="E1002" s="36">
        <f>E1000-(2/12)*F1000</f>
        <v>92746.972328628457</v>
      </c>
      <c r="F1002" s="36">
        <f t="shared" si="249"/>
        <v>1268.2467510740971</v>
      </c>
      <c r="G1002" s="31">
        <f t="shared" si="196"/>
        <v>0.97337949999999995</v>
      </c>
      <c r="H1002" s="32"/>
      <c r="I1002" s="51" t="str">
        <f t="shared" si="202"/>
        <v/>
      </c>
      <c r="J1002" s="51" t="str">
        <f t="shared" si="203"/>
        <v/>
      </c>
      <c r="K1002" s="52" t="str">
        <f t="shared" si="220"/>
        <v/>
      </c>
      <c r="L1002" s="53" t="str">
        <f t="shared" si="199"/>
        <v/>
      </c>
      <c r="M1002" s="52" t="str">
        <f t="shared" si="204"/>
        <v/>
      </c>
      <c r="N1002" s="58" t="str">
        <f t="shared" si="200"/>
        <v/>
      </c>
      <c r="Q1002" s="51" t="str">
        <f t="shared" si="205"/>
        <v/>
      </c>
      <c r="R1002" s="52" t="str">
        <f t="shared" si="206"/>
        <v/>
      </c>
      <c r="S1002" s="58" t="str">
        <f t="shared" si="245"/>
        <v/>
      </c>
      <c r="T1002" s="52" t="str">
        <f t="shared" si="201"/>
        <v/>
      </c>
    </row>
    <row r="1003" spans="2:22" ht="15.75" customHeight="1" x14ac:dyDescent="0.25">
      <c r="B1003" s="33">
        <f t="shared" si="248"/>
        <v>95.249999999999986</v>
      </c>
      <c r="C1003" s="34"/>
      <c r="D1003" s="35">
        <f>(3/12)*D1000</f>
        <v>3.9930750000000001E-2</v>
      </c>
      <c r="E1003" s="36">
        <f>E1000-(3/12)*F1000</f>
        <v>91478.72557755436</v>
      </c>
      <c r="F1003" s="36">
        <f t="shared" si="249"/>
        <v>1268.2467510740826</v>
      </c>
      <c r="G1003" s="31">
        <f t="shared" si="196"/>
        <v>0.96006924999999999</v>
      </c>
      <c r="H1003" s="32"/>
      <c r="I1003" s="51" t="str">
        <f t="shared" si="202"/>
        <v/>
      </c>
      <c r="J1003" s="51" t="str">
        <f t="shared" si="203"/>
        <v/>
      </c>
      <c r="K1003" s="52" t="str">
        <f t="shared" si="220"/>
        <v/>
      </c>
      <c r="L1003" s="53" t="str">
        <f t="shared" si="199"/>
        <v/>
      </c>
      <c r="M1003" s="52" t="str">
        <f t="shared" si="204"/>
        <v/>
      </c>
      <c r="N1003" s="58" t="str">
        <f t="shared" si="200"/>
        <v/>
      </c>
      <c r="Q1003" s="51" t="str">
        <f t="shared" si="205"/>
        <v/>
      </c>
      <c r="R1003" s="52" t="str">
        <f t="shared" si="206"/>
        <v/>
      </c>
      <c r="S1003" s="58" t="str">
        <f t="shared" si="245"/>
        <v/>
      </c>
      <c r="T1003" s="52" t="str">
        <f t="shared" si="201"/>
        <v/>
      </c>
    </row>
    <row r="1004" spans="2:22" ht="15.75" customHeight="1" x14ac:dyDescent="0.25">
      <c r="B1004" s="33">
        <f t="shared" si="248"/>
        <v>95.333333333333314</v>
      </c>
      <c r="C1004" s="34"/>
      <c r="D1004" s="35">
        <f>(4/12)*D1000</f>
        <v>5.3240999999999997E-2</v>
      </c>
      <c r="E1004" s="36">
        <f>E1000-(4/12)*F1000</f>
        <v>90210.478826480277</v>
      </c>
      <c r="F1004" s="36">
        <f t="shared" si="249"/>
        <v>1268.2467510740971</v>
      </c>
      <c r="G1004" s="31">
        <f t="shared" si="196"/>
        <v>0.94675900000000002</v>
      </c>
      <c r="H1004" s="32"/>
      <c r="I1004" s="51" t="str">
        <f t="shared" si="202"/>
        <v/>
      </c>
      <c r="J1004" s="51" t="str">
        <f t="shared" si="203"/>
        <v/>
      </c>
      <c r="K1004" s="52" t="str">
        <f t="shared" si="220"/>
        <v/>
      </c>
      <c r="L1004" s="53" t="str">
        <f t="shared" si="199"/>
        <v/>
      </c>
      <c r="M1004" s="52" t="str">
        <f t="shared" si="204"/>
        <v/>
      </c>
      <c r="N1004" s="58" t="str">
        <f t="shared" si="200"/>
        <v/>
      </c>
      <c r="Q1004" s="51" t="str">
        <f t="shared" si="205"/>
        <v/>
      </c>
      <c r="R1004" s="52" t="str">
        <f t="shared" si="206"/>
        <v/>
      </c>
      <c r="S1004" s="58" t="str">
        <f t="shared" si="245"/>
        <v/>
      </c>
      <c r="T1004" s="52" t="str">
        <f t="shared" si="201"/>
        <v/>
      </c>
    </row>
    <row r="1005" spans="2:22" ht="15.75" customHeight="1" x14ac:dyDescent="0.25">
      <c r="B1005" s="33">
        <f t="shared" si="248"/>
        <v>95.416666666666643</v>
      </c>
      <c r="C1005" s="34"/>
      <c r="D1005" s="35">
        <f>(5/12)*D1000</f>
        <v>6.6551250000000006E-2</v>
      </c>
      <c r="E1005" s="36">
        <f>E1000-(5/12)*F1000</f>
        <v>88942.23207540618</v>
      </c>
      <c r="F1005" s="36">
        <f t="shared" si="249"/>
        <v>1268.2467510740971</v>
      </c>
      <c r="G1005" s="31">
        <f t="shared" si="196"/>
        <v>0.93344874999999994</v>
      </c>
      <c r="H1005" s="32"/>
      <c r="I1005" s="51" t="str">
        <f t="shared" si="202"/>
        <v/>
      </c>
      <c r="J1005" s="51" t="str">
        <f t="shared" si="203"/>
        <v/>
      </c>
      <c r="K1005" s="52" t="str">
        <f t="shared" si="220"/>
        <v/>
      </c>
      <c r="L1005" s="53" t="str">
        <f t="shared" si="199"/>
        <v/>
      </c>
      <c r="M1005" s="52" t="str">
        <f t="shared" si="204"/>
        <v/>
      </c>
      <c r="N1005" s="58" t="str">
        <f t="shared" si="200"/>
        <v/>
      </c>
      <c r="Q1005" s="51" t="str">
        <f t="shared" si="205"/>
        <v/>
      </c>
      <c r="R1005" s="52" t="str">
        <f t="shared" si="206"/>
        <v/>
      </c>
      <c r="S1005" s="58" t="str">
        <f t="shared" si="245"/>
        <v/>
      </c>
      <c r="T1005" s="52" t="str">
        <f t="shared" si="201"/>
        <v/>
      </c>
    </row>
    <row r="1006" spans="2:22" ht="15.75" customHeight="1" x14ac:dyDescent="0.25">
      <c r="B1006" s="33">
        <f t="shared" si="248"/>
        <v>95.499999999999972</v>
      </c>
      <c r="C1006" s="34"/>
      <c r="D1006" s="35">
        <f>(6/12)*D1000</f>
        <v>7.9861500000000002E-2</v>
      </c>
      <c r="E1006" s="36">
        <f>E1000-(6/12)*F1000</f>
        <v>87673.985324332083</v>
      </c>
      <c r="F1006" s="36">
        <f t="shared" si="249"/>
        <v>1268.2467510740971</v>
      </c>
      <c r="G1006" s="31">
        <f t="shared" si="196"/>
        <v>0.92013849999999997</v>
      </c>
      <c r="H1006" s="32"/>
      <c r="I1006" s="51" t="str">
        <f t="shared" si="202"/>
        <v/>
      </c>
      <c r="J1006" s="51" t="str">
        <f t="shared" si="203"/>
        <v/>
      </c>
      <c r="K1006" s="52" t="str">
        <f t="shared" si="220"/>
        <v/>
      </c>
      <c r="L1006" s="53" t="str">
        <f t="shared" si="199"/>
        <v/>
      </c>
      <c r="M1006" s="52" t="str">
        <f t="shared" si="204"/>
        <v/>
      </c>
      <c r="N1006" s="58" t="str">
        <f t="shared" si="200"/>
        <v/>
      </c>
      <c r="Q1006" s="51" t="str">
        <f t="shared" si="205"/>
        <v/>
      </c>
      <c r="R1006" s="52" t="str">
        <f t="shared" si="206"/>
        <v/>
      </c>
      <c r="S1006" s="58" t="str">
        <f t="shared" si="245"/>
        <v/>
      </c>
      <c r="T1006" s="52" t="str">
        <f t="shared" si="201"/>
        <v/>
      </c>
    </row>
    <row r="1007" spans="2:22" ht="15.75" customHeight="1" x14ac:dyDescent="0.25">
      <c r="B1007" s="33">
        <f t="shared" si="248"/>
        <v>95.5833333333333</v>
      </c>
      <c r="C1007" s="34"/>
      <c r="D1007" s="35">
        <f>(7/12)*D1000</f>
        <v>9.3171750000000012E-2</v>
      </c>
      <c r="E1007" s="36">
        <f>E1000-(7/12)*F1000</f>
        <v>86405.738573257986</v>
      </c>
      <c r="F1007" s="36">
        <f t="shared" si="249"/>
        <v>1268.2467510740971</v>
      </c>
      <c r="G1007" s="31">
        <f t="shared" si="196"/>
        <v>0.90682825</v>
      </c>
      <c r="H1007" s="32"/>
      <c r="I1007" s="51" t="str">
        <f t="shared" si="202"/>
        <v/>
      </c>
      <c r="J1007" s="51" t="str">
        <f t="shared" si="203"/>
        <v/>
      </c>
      <c r="K1007" s="52" t="str">
        <f t="shared" si="220"/>
        <v/>
      </c>
      <c r="L1007" s="53" t="str">
        <f t="shared" si="199"/>
        <v/>
      </c>
      <c r="M1007" s="52" t="str">
        <f t="shared" si="204"/>
        <v/>
      </c>
      <c r="N1007" s="58" t="str">
        <f t="shared" si="200"/>
        <v/>
      </c>
      <c r="Q1007" s="51" t="str">
        <f t="shared" si="205"/>
        <v/>
      </c>
      <c r="R1007" s="52" t="str">
        <f t="shared" si="206"/>
        <v/>
      </c>
      <c r="S1007" s="58" t="str">
        <f t="shared" si="245"/>
        <v/>
      </c>
      <c r="T1007" s="52" t="str">
        <f t="shared" si="201"/>
        <v/>
      </c>
    </row>
    <row r="1008" spans="2:22" ht="15.75" customHeight="1" x14ac:dyDescent="0.25">
      <c r="B1008" s="33">
        <f t="shared" si="248"/>
        <v>95.666666666666629</v>
      </c>
      <c r="C1008" s="34"/>
      <c r="D1008" s="35">
        <f>(8/12)*D1000</f>
        <v>0.10648199999999999</v>
      </c>
      <c r="E1008" s="36">
        <f>E1000-(8/12)*F1000</f>
        <v>85137.491822183889</v>
      </c>
      <c r="F1008" s="36">
        <f t="shared" si="249"/>
        <v>1268.2467510740971</v>
      </c>
      <c r="G1008" s="31">
        <f t="shared" si="196"/>
        <v>0.89351800000000003</v>
      </c>
      <c r="H1008" s="32"/>
      <c r="I1008" s="51" t="str">
        <f t="shared" si="202"/>
        <v/>
      </c>
      <c r="J1008" s="51" t="str">
        <f t="shared" si="203"/>
        <v/>
      </c>
      <c r="K1008" s="52" t="str">
        <f t="shared" si="220"/>
        <v/>
      </c>
      <c r="L1008" s="53" t="str">
        <f t="shared" si="199"/>
        <v/>
      </c>
      <c r="M1008" s="52" t="str">
        <f t="shared" si="204"/>
        <v/>
      </c>
      <c r="N1008" s="58" t="str">
        <f t="shared" si="200"/>
        <v/>
      </c>
      <c r="Q1008" s="51" t="str">
        <f t="shared" si="205"/>
        <v/>
      </c>
      <c r="R1008" s="52" t="str">
        <f t="shared" si="206"/>
        <v/>
      </c>
      <c r="S1008" s="58" t="str">
        <f t="shared" si="245"/>
        <v/>
      </c>
      <c r="T1008" s="52" t="str">
        <f t="shared" si="201"/>
        <v/>
      </c>
    </row>
    <row r="1009" spans="2:20" ht="15.75" customHeight="1" x14ac:dyDescent="0.25">
      <c r="B1009" s="33">
        <f t="shared" si="248"/>
        <v>95.749999999999957</v>
      </c>
      <c r="C1009" s="34"/>
      <c r="D1009" s="35">
        <f>(9/12)*D1000</f>
        <v>0.11979225</v>
      </c>
      <c r="E1009" s="36">
        <f>E1000-(9/12)*F1000</f>
        <v>83869.245071109792</v>
      </c>
      <c r="F1009" s="36">
        <f t="shared" si="249"/>
        <v>1268.2467510740971</v>
      </c>
      <c r="G1009" s="31">
        <f t="shared" si="196"/>
        <v>0.88020774999999996</v>
      </c>
      <c r="H1009" s="32"/>
      <c r="I1009" s="51" t="str">
        <f t="shared" si="202"/>
        <v/>
      </c>
      <c r="J1009" s="51" t="str">
        <f t="shared" si="203"/>
        <v/>
      </c>
      <c r="K1009" s="52" t="str">
        <f t="shared" si="220"/>
        <v/>
      </c>
      <c r="L1009" s="53" t="str">
        <f t="shared" si="199"/>
        <v/>
      </c>
      <c r="M1009" s="52" t="str">
        <f t="shared" si="204"/>
        <v/>
      </c>
      <c r="N1009" s="58" t="str">
        <f t="shared" si="200"/>
        <v/>
      </c>
      <c r="Q1009" s="51" t="str">
        <f t="shared" si="205"/>
        <v/>
      </c>
      <c r="R1009" s="52" t="str">
        <f t="shared" si="206"/>
        <v/>
      </c>
      <c r="S1009" s="58" t="str">
        <f t="shared" si="245"/>
        <v/>
      </c>
      <c r="T1009" s="52" t="str">
        <f t="shared" si="201"/>
        <v/>
      </c>
    </row>
    <row r="1010" spans="2:20" ht="15.75" customHeight="1" x14ac:dyDescent="0.25">
      <c r="B1010" s="33">
        <f t="shared" si="248"/>
        <v>95.833333333333286</v>
      </c>
      <c r="C1010" s="34"/>
      <c r="D1010" s="35">
        <f>(10/12)*D1000</f>
        <v>0.13310250000000001</v>
      </c>
      <c r="E1010" s="36">
        <f>E1000-(10/12)*F1000</f>
        <v>82600.998320035695</v>
      </c>
      <c r="F1010" s="36">
        <f t="shared" si="249"/>
        <v>1268.2467510740826</v>
      </c>
      <c r="G1010" s="31">
        <f t="shared" si="196"/>
        <v>0.86689749999999999</v>
      </c>
      <c r="H1010" s="32"/>
      <c r="I1010" s="51" t="str">
        <f t="shared" si="202"/>
        <v/>
      </c>
      <c r="J1010" s="51" t="str">
        <f t="shared" si="203"/>
        <v/>
      </c>
      <c r="K1010" s="52" t="str">
        <f t="shared" si="220"/>
        <v/>
      </c>
      <c r="L1010" s="53" t="str">
        <f t="shared" si="199"/>
        <v/>
      </c>
      <c r="M1010" s="52" t="str">
        <f t="shared" si="204"/>
        <v/>
      </c>
      <c r="N1010" s="58" t="str">
        <f t="shared" si="200"/>
        <v/>
      </c>
      <c r="Q1010" s="51" t="str">
        <f t="shared" si="205"/>
        <v/>
      </c>
      <c r="R1010" s="52" t="str">
        <f t="shared" si="206"/>
        <v/>
      </c>
      <c r="S1010" s="58" t="str">
        <f t="shared" si="245"/>
        <v/>
      </c>
      <c r="T1010" s="52" t="str">
        <f t="shared" si="201"/>
        <v/>
      </c>
    </row>
    <row r="1011" spans="2:20" ht="15.75" customHeight="1" x14ac:dyDescent="0.25">
      <c r="B1011" s="33">
        <f t="shared" si="248"/>
        <v>95.916666666666615</v>
      </c>
      <c r="C1011" s="34"/>
      <c r="D1011" s="35">
        <f>(11/12)*D1000</f>
        <v>0.14641275000000001</v>
      </c>
      <c r="E1011" s="36">
        <f>E1000-(11/12)*F1000</f>
        <v>81332.751568961612</v>
      </c>
      <c r="F1011" s="36">
        <f t="shared" si="249"/>
        <v>1268.2467510740971</v>
      </c>
      <c r="G1011" s="31">
        <f t="shared" si="196"/>
        <v>0.85358725000000002</v>
      </c>
      <c r="H1011" s="32"/>
      <c r="I1011" s="51" t="str">
        <f t="shared" si="202"/>
        <v/>
      </c>
      <c r="J1011" s="51" t="str">
        <f t="shared" si="203"/>
        <v/>
      </c>
      <c r="K1011" s="52" t="str">
        <f t="shared" si="220"/>
        <v/>
      </c>
      <c r="L1011" s="53" t="str">
        <f t="shared" si="199"/>
        <v/>
      </c>
      <c r="M1011" s="52" t="str">
        <f t="shared" si="204"/>
        <v/>
      </c>
      <c r="N1011" s="58" t="str">
        <f t="shared" si="200"/>
        <v/>
      </c>
      <c r="Q1011" s="51" t="str">
        <f t="shared" si="205"/>
        <v/>
      </c>
      <c r="R1011" s="52" t="str">
        <f t="shared" si="206"/>
        <v/>
      </c>
      <c r="S1011" s="58" t="str">
        <f t="shared" si="245"/>
        <v/>
      </c>
      <c r="T1011" s="52" t="str">
        <f t="shared" si="201"/>
        <v/>
      </c>
    </row>
    <row r="1012" spans="2:20" ht="15.75" customHeight="1" x14ac:dyDescent="0.25">
      <c r="B1012" s="27">
        <v>96</v>
      </c>
      <c r="C1012" s="28">
        <v>169.97</v>
      </c>
      <c r="D1012" s="29">
        <f>C1012/1000</f>
        <v>0.16997000000000001</v>
      </c>
      <c r="E1012" s="30">
        <f>E1000-F1000</f>
        <v>80064.504817887515</v>
      </c>
      <c r="F1012" s="48">
        <f>D1012*E1012</f>
        <v>13608.563883896342</v>
      </c>
      <c r="G1012" s="31">
        <f t="shared" si="196"/>
        <v>0.83003000000000005</v>
      </c>
      <c r="H1012" s="49"/>
      <c r="I1012" s="51" t="str">
        <f t="shared" si="202"/>
        <v/>
      </c>
      <c r="J1012" s="51" t="str">
        <f t="shared" si="203"/>
        <v/>
      </c>
      <c r="K1012" s="52" t="str">
        <f t="shared" si="220"/>
        <v/>
      </c>
      <c r="L1012" s="53" t="str">
        <f t="shared" si="199"/>
        <v/>
      </c>
      <c r="M1012" s="52" t="str">
        <f t="shared" si="204"/>
        <v/>
      </c>
      <c r="N1012" s="58" t="str">
        <f t="shared" si="200"/>
        <v/>
      </c>
      <c r="Q1012" s="51" t="str">
        <f t="shared" si="205"/>
        <v/>
      </c>
      <c r="R1012" s="52" t="str">
        <f t="shared" si="206"/>
        <v/>
      </c>
      <c r="S1012" s="58" t="str">
        <f t="shared" si="245"/>
        <v/>
      </c>
      <c r="T1012" s="52" t="str">
        <f t="shared" si="201"/>
        <v/>
      </c>
    </row>
    <row r="1013" spans="2:20" ht="15.75" customHeight="1" x14ac:dyDescent="0.25">
      <c r="B1013" s="33">
        <f t="shared" ref="B1013:B1023" si="250">B1012+1/12</f>
        <v>96.083333333333329</v>
      </c>
      <c r="C1013" s="34"/>
      <c r="D1013" s="35">
        <f>(1/12)*D1012</f>
        <v>1.4164166666666667E-2</v>
      </c>
      <c r="E1013" s="36">
        <f>E1012-(1/12)*F1012</f>
        <v>78930.457827562816</v>
      </c>
      <c r="F1013" s="36">
        <f t="shared" ref="F1013:F1023" si="251">E1013-E1014</f>
        <v>1134.0469903246849</v>
      </c>
      <c r="G1013" s="31">
        <f t="shared" si="196"/>
        <v>0.98583583333333336</v>
      </c>
      <c r="H1013" s="37"/>
      <c r="I1013" s="51" t="str">
        <f t="shared" si="202"/>
        <v/>
      </c>
      <c r="J1013" s="51" t="str">
        <f t="shared" si="203"/>
        <v/>
      </c>
      <c r="K1013" s="52" t="str">
        <f t="shared" si="220"/>
        <v/>
      </c>
      <c r="L1013" s="53" t="str">
        <f t="shared" si="199"/>
        <v/>
      </c>
      <c r="M1013" s="52" t="str">
        <f t="shared" si="204"/>
        <v/>
      </c>
      <c r="N1013" s="58" t="str">
        <f t="shared" si="200"/>
        <v/>
      </c>
      <c r="Q1013" s="51" t="str">
        <f t="shared" si="205"/>
        <v/>
      </c>
      <c r="R1013" s="52" t="str">
        <f t="shared" si="206"/>
        <v/>
      </c>
      <c r="S1013" s="58" t="str">
        <f t="shared" si="245"/>
        <v/>
      </c>
      <c r="T1013" s="52" t="str">
        <f t="shared" si="201"/>
        <v/>
      </c>
    </row>
    <row r="1014" spans="2:20" ht="15.75" customHeight="1" x14ac:dyDescent="0.25">
      <c r="B1014" s="33">
        <f t="shared" si="250"/>
        <v>96.166666666666657</v>
      </c>
      <c r="C1014" s="34"/>
      <c r="D1014" s="35">
        <f>(2/12)*D1012</f>
        <v>2.8328333333333334E-2</v>
      </c>
      <c r="E1014" s="36">
        <f>E1012-(2/12)*F1012</f>
        <v>77796.410837238131</v>
      </c>
      <c r="F1014" s="36">
        <f t="shared" si="251"/>
        <v>1134.0469903246994</v>
      </c>
      <c r="G1014" s="31">
        <f t="shared" si="196"/>
        <v>0.97167166666666671</v>
      </c>
      <c r="H1014" s="32"/>
      <c r="I1014" s="51" t="str">
        <f t="shared" si="202"/>
        <v/>
      </c>
      <c r="J1014" s="51" t="str">
        <f t="shared" si="203"/>
        <v/>
      </c>
      <c r="K1014" s="52" t="str">
        <f t="shared" si="220"/>
        <v/>
      </c>
      <c r="L1014" s="53" t="str">
        <f t="shared" si="199"/>
        <v/>
      </c>
      <c r="M1014" s="52" t="str">
        <f t="shared" si="204"/>
        <v/>
      </c>
      <c r="N1014" s="58" t="str">
        <f t="shared" si="200"/>
        <v/>
      </c>
      <c r="Q1014" s="51" t="str">
        <f t="shared" si="205"/>
        <v/>
      </c>
      <c r="R1014" s="52" t="str">
        <f t="shared" si="206"/>
        <v/>
      </c>
      <c r="S1014" s="58" t="str">
        <f t="shared" si="245"/>
        <v/>
      </c>
      <c r="T1014" s="52" t="str">
        <f t="shared" si="201"/>
        <v/>
      </c>
    </row>
    <row r="1015" spans="2:20" ht="15.75" customHeight="1" x14ac:dyDescent="0.25">
      <c r="B1015" s="33">
        <f t="shared" si="250"/>
        <v>96.249999999999986</v>
      </c>
      <c r="C1015" s="34"/>
      <c r="D1015" s="35">
        <f>(3/12)*D1012</f>
        <v>4.2492500000000002E-2</v>
      </c>
      <c r="E1015" s="36">
        <f>E1012-(3/12)*F1012</f>
        <v>76662.363846913431</v>
      </c>
      <c r="F1015" s="36">
        <f t="shared" si="251"/>
        <v>1134.0469903246994</v>
      </c>
      <c r="G1015" s="31">
        <f t="shared" si="196"/>
        <v>0.95750749999999996</v>
      </c>
      <c r="H1015" s="32"/>
      <c r="I1015" s="51" t="str">
        <f t="shared" si="202"/>
        <v/>
      </c>
      <c r="J1015" s="51" t="str">
        <f t="shared" si="203"/>
        <v/>
      </c>
      <c r="K1015" s="52" t="str">
        <f t="shared" si="220"/>
        <v/>
      </c>
      <c r="L1015" s="53" t="str">
        <f t="shared" si="199"/>
        <v/>
      </c>
      <c r="M1015" s="52" t="str">
        <f t="shared" si="204"/>
        <v/>
      </c>
      <c r="N1015" s="58" t="str">
        <f t="shared" si="200"/>
        <v/>
      </c>
      <c r="Q1015" s="51" t="str">
        <f t="shared" si="205"/>
        <v/>
      </c>
      <c r="R1015" s="52" t="str">
        <f t="shared" si="206"/>
        <v/>
      </c>
      <c r="S1015" s="58" t="str">
        <f t="shared" si="245"/>
        <v/>
      </c>
      <c r="T1015" s="52" t="str">
        <f t="shared" si="201"/>
        <v/>
      </c>
    </row>
    <row r="1016" spans="2:20" ht="15.75" customHeight="1" x14ac:dyDescent="0.25">
      <c r="B1016" s="33">
        <f t="shared" si="250"/>
        <v>96.333333333333314</v>
      </c>
      <c r="C1016" s="34"/>
      <c r="D1016" s="35">
        <f>(4/12)*D1012</f>
        <v>5.6656666666666668E-2</v>
      </c>
      <c r="E1016" s="36">
        <f>E1012-(4/12)*F1012</f>
        <v>75528.316856588732</v>
      </c>
      <c r="F1016" s="36">
        <f t="shared" si="251"/>
        <v>1134.0469903246994</v>
      </c>
      <c r="G1016" s="31">
        <f t="shared" si="196"/>
        <v>0.94334333333333331</v>
      </c>
      <c r="H1016" s="32"/>
      <c r="I1016" s="51" t="str">
        <f t="shared" si="202"/>
        <v/>
      </c>
      <c r="J1016" s="51" t="str">
        <f t="shared" si="203"/>
        <v/>
      </c>
      <c r="K1016" s="52" t="str">
        <f t="shared" si="220"/>
        <v/>
      </c>
      <c r="L1016" s="53" t="str">
        <f t="shared" si="199"/>
        <v/>
      </c>
      <c r="M1016" s="52" t="str">
        <f t="shared" si="204"/>
        <v/>
      </c>
      <c r="N1016" s="58" t="str">
        <f t="shared" si="200"/>
        <v/>
      </c>
      <c r="Q1016" s="51" t="str">
        <f t="shared" si="205"/>
        <v/>
      </c>
      <c r="R1016" s="52" t="str">
        <f t="shared" si="206"/>
        <v/>
      </c>
      <c r="S1016" s="58" t="str">
        <f t="shared" si="245"/>
        <v/>
      </c>
      <c r="T1016" s="52" t="str">
        <f t="shared" si="201"/>
        <v/>
      </c>
    </row>
    <row r="1017" spans="2:20" ht="15.75" customHeight="1" x14ac:dyDescent="0.25">
      <c r="B1017" s="33">
        <f t="shared" si="250"/>
        <v>96.416666666666643</v>
      </c>
      <c r="C1017" s="34"/>
      <c r="D1017" s="35">
        <f>(5/12)*D1012</f>
        <v>7.0820833333333347E-2</v>
      </c>
      <c r="E1017" s="36">
        <f>E1012-(5/12)*F1012</f>
        <v>74394.269866264032</v>
      </c>
      <c r="F1017" s="36">
        <f t="shared" si="251"/>
        <v>1134.0469903246849</v>
      </c>
      <c r="G1017" s="31">
        <f t="shared" si="196"/>
        <v>0.92917916666666667</v>
      </c>
      <c r="H1017" s="32"/>
      <c r="I1017" s="51" t="str">
        <f t="shared" si="202"/>
        <v/>
      </c>
      <c r="J1017" s="51" t="str">
        <f t="shared" si="203"/>
        <v/>
      </c>
      <c r="K1017" s="52" t="str">
        <f t="shared" si="220"/>
        <v/>
      </c>
      <c r="L1017" s="53" t="str">
        <f t="shared" si="199"/>
        <v/>
      </c>
      <c r="M1017" s="52" t="str">
        <f t="shared" si="204"/>
        <v/>
      </c>
      <c r="N1017" s="58" t="str">
        <f t="shared" si="200"/>
        <v/>
      </c>
      <c r="Q1017" s="51" t="str">
        <f t="shared" si="205"/>
        <v/>
      </c>
      <c r="R1017" s="52" t="str">
        <f t="shared" si="206"/>
        <v/>
      </c>
      <c r="S1017" s="58" t="str">
        <f t="shared" si="245"/>
        <v/>
      </c>
      <c r="T1017" s="52" t="str">
        <f t="shared" si="201"/>
        <v/>
      </c>
    </row>
    <row r="1018" spans="2:20" ht="15.75" customHeight="1" x14ac:dyDescent="0.25">
      <c r="B1018" s="33">
        <f t="shared" si="250"/>
        <v>96.499999999999972</v>
      </c>
      <c r="C1018" s="34"/>
      <c r="D1018" s="35">
        <f>(6/12)*D1012</f>
        <v>8.4985000000000005E-2</v>
      </c>
      <c r="E1018" s="36">
        <f>E1012-(6/12)*F1012</f>
        <v>73260.222875939347</v>
      </c>
      <c r="F1018" s="36">
        <f t="shared" si="251"/>
        <v>1134.0469903246994</v>
      </c>
      <c r="G1018" s="31">
        <f t="shared" si="196"/>
        <v>0.91501500000000002</v>
      </c>
      <c r="H1018" s="32"/>
      <c r="I1018" s="51" t="str">
        <f t="shared" si="202"/>
        <v/>
      </c>
      <c r="J1018" s="51" t="str">
        <f t="shared" si="203"/>
        <v/>
      </c>
      <c r="K1018" s="52" t="str">
        <f t="shared" si="220"/>
        <v/>
      </c>
      <c r="L1018" s="53" t="str">
        <f t="shared" si="199"/>
        <v/>
      </c>
      <c r="M1018" s="52" t="str">
        <f t="shared" si="204"/>
        <v/>
      </c>
      <c r="N1018" s="58" t="str">
        <f t="shared" si="200"/>
        <v/>
      </c>
      <c r="Q1018" s="51" t="str">
        <f t="shared" si="205"/>
        <v/>
      </c>
      <c r="R1018" s="52" t="str">
        <f t="shared" si="206"/>
        <v/>
      </c>
      <c r="S1018" s="58" t="str">
        <f t="shared" si="245"/>
        <v/>
      </c>
      <c r="T1018" s="52" t="str">
        <f t="shared" si="201"/>
        <v/>
      </c>
    </row>
    <row r="1019" spans="2:20" ht="15.75" customHeight="1" x14ac:dyDescent="0.25">
      <c r="B1019" s="33">
        <f t="shared" si="250"/>
        <v>96.5833333333333</v>
      </c>
      <c r="C1019" s="34"/>
      <c r="D1019" s="35">
        <f>(7/12)*D1012</f>
        <v>9.9149166666666677E-2</v>
      </c>
      <c r="E1019" s="36">
        <f>E1012-(7/12)*F1012</f>
        <v>72126.175885614648</v>
      </c>
      <c r="F1019" s="36">
        <f t="shared" si="251"/>
        <v>1134.0469903246994</v>
      </c>
      <c r="G1019" s="31">
        <f t="shared" si="196"/>
        <v>0.90085083333333338</v>
      </c>
      <c r="H1019" s="32"/>
      <c r="I1019" s="51" t="str">
        <f t="shared" si="202"/>
        <v/>
      </c>
      <c r="J1019" s="51" t="str">
        <f t="shared" si="203"/>
        <v/>
      </c>
      <c r="K1019" s="52" t="str">
        <f t="shared" si="220"/>
        <v/>
      </c>
      <c r="L1019" s="53" t="str">
        <f t="shared" si="199"/>
        <v/>
      </c>
      <c r="M1019" s="52" t="str">
        <f t="shared" si="204"/>
        <v/>
      </c>
      <c r="N1019" s="58" t="str">
        <f t="shared" si="200"/>
        <v/>
      </c>
      <c r="Q1019" s="51" t="str">
        <f t="shared" si="205"/>
        <v/>
      </c>
      <c r="R1019" s="52" t="str">
        <f t="shared" si="206"/>
        <v/>
      </c>
      <c r="S1019" s="58" t="str">
        <f t="shared" si="245"/>
        <v/>
      </c>
      <c r="T1019" s="52" t="str">
        <f t="shared" si="201"/>
        <v/>
      </c>
    </row>
    <row r="1020" spans="2:20" ht="15.75" customHeight="1" x14ac:dyDescent="0.25">
      <c r="B1020" s="33">
        <f t="shared" si="250"/>
        <v>96.666666666666629</v>
      </c>
      <c r="C1020" s="34"/>
      <c r="D1020" s="35">
        <f>(8/12)*D1012</f>
        <v>0.11331333333333334</v>
      </c>
      <c r="E1020" s="36">
        <f>E1012-(8/12)*F1012</f>
        <v>70992.128895289949</v>
      </c>
      <c r="F1020" s="36">
        <f t="shared" si="251"/>
        <v>1134.0469903246849</v>
      </c>
      <c r="G1020" s="31">
        <f t="shared" si="196"/>
        <v>0.88668666666666662</v>
      </c>
      <c r="H1020" s="32"/>
      <c r="I1020" s="51" t="str">
        <f t="shared" si="202"/>
        <v/>
      </c>
      <c r="J1020" s="51" t="str">
        <f t="shared" si="203"/>
        <v/>
      </c>
      <c r="K1020" s="52" t="str">
        <f t="shared" si="220"/>
        <v/>
      </c>
      <c r="L1020" s="53" t="str">
        <f t="shared" si="199"/>
        <v/>
      </c>
      <c r="M1020" s="52" t="str">
        <f t="shared" si="204"/>
        <v/>
      </c>
      <c r="N1020" s="58" t="str">
        <f t="shared" si="200"/>
        <v/>
      </c>
      <c r="Q1020" s="51" t="str">
        <f t="shared" si="205"/>
        <v/>
      </c>
      <c r="R1020" s="52" t="str">
        <f t="shared" si="206"/>
        <v/>
      </c>
      <c r="S1020" s="58" t="str">
        <f t="shared" si="245"/>
        <v/>
      </c>
      <c r="T1020" s="52" t="str">
        <f t="shared" si="201"/>
        <v/>
      </c>
    </row>
    <row r="1021" spans="2:20" ht="15.75" customHeight="1" x14ac:dyDescent="0.25">
      <c r="B1021" s="33">
        <f t="shared" si="250"/>
        <v>96.749999999999957</v>
      </c>
      <c r="C1021" s="34"/>
      <c r="D1021" s="35">
        <f>(9/12)*D1012</f>
        <v>0.12747750000000002</v>
      </c>
      <c r="E1021" s="36">
        <f>E1012-(9/12)*F1012</f>
        <v>69858.081904965264</v>
      </c>
      <c r="F1021" s="36">
        <f t="shared" si="251"/>
        <v>1134.0469903246994</v>
      </c>
      <c r="G1021" s="31">
        <f t="shared" si="196"/>
        <v>0.87252249999999998</v>
      </c>
      <c r="H1021" s="32"/>
      <c r="I1021" s="51" t="str">
        <f t="shared" si="202"/>
        <v/>
      </c>
      <c r="J1021" s="51" t="str">
        <f t="shared" si="203"/>
        <v/>
      </c>
      <c r="K1021" s="52" t="str">
        <f t="shared" si="220"/>
        <v/>
      </c>
      <c r="L1021" s="53" t="str">
        <f t="shared" si="199"/>
        <v/>
      </c>
      <c r="M1021" s="52" t="str">
        <f t="shared" si="204"/>
        <v/>
      </c>
      <c r="N1021" s="58" t="str">
        <f t="shared" si="200"/>
        <v/>
      </c>
      <c r="Q1021" s="51" t="str">
        <f t="shared" si="205"/>
        <v/>
      </c>
      <c r="R1021" s="52" t="str">
        <f t="shared" si="206"/>
        <v/>
      </c>
      <c r="S1021" s="58" t="str">
        <f t="shared" si="245"/>
        <v/>
      </c>
      <c r="T1021" s="52" t="str">
        <f t="shared" si="201"/>
        <v/>
      </c>
    </row>
    <row r="1022" spans="2:20" ht="15.75" customHeight="1" x14ac:dyDescent="0.25">
      <c r="B1022" s="33">
        <f t="shared" si="250"/>
        <v>96.833333333333286</v>
      </c>
      <c r="C1022" s="34"/>
      <c r="D1022" s="35">
        <f>(10/12)*D1012</f>
        <v>0.14164166666666669</v>
      </c>
      <c r="E1022" s="36">
        <f>E1012-(10/12)*F1012</f>
        <v>68724.034914640564</v>
      </c>
      <c r="F1022" s="36">
        <f t="shared" si="251"/>
        <v>1134.0469903246994</v>
      </c>
      <c r="G1022" s="31">
        <f t="shared" si="196"/>
        <v>0.85835833333333333</v>
      </c>
      <c r="H1022" s="32"/>
      <c r="I1022" s="51" t="str">
        <f t="shared" si="202"/>
        <v/>
      </c>
      <c r="J1022" s="51" t="str">
        <f t="shared" si="203"/>
        <v/>
      </c>
      <c r="K1022" s="52" t="str">
        <f t="shared" si="220"/>
        <v/>
      </c>
      <c r="L1022" s="53" t="str">
        <f t="shared" si="199"/>
        <v/>
      </c>
      <c r="M1022" s="52" t="str">
        <f t="shared" si="204"/>
        <v/>
      </c>
      <c r="N1022" s="58" t="str">
        <f t="shared" si="200"/>
        <v/>
      </c>
      <c r="Q1022" s="51" t="str">
        <f t="shared" si="205"/>
        <v/>
      </c>
      <c r="R1022" s="52" t="str">
        <f t="shared" si="206"/>
        <v/>
      </c>
      <c r="S1022" s="58" t="str">
        <f t="shared" si="245"/>
        <v/>
      </c>
      <c r="T1022" s="52" t="str">
        <f t="shared" si="201"/>
        <v/>
      </c>
    </row>
    <row r="1023" spans="2:20" ht="15.75" customHeight="1" x14ac:dyDescent="0.25">
      <c r="B1023" s="33">
        <f t="shared" si="250"/>
        <v>96.916666666666615</v>
      </c>
      <c r="C1023" s="34"/>
      <c r="D1023" s="35">
        <f>(11/12)*D1012</f>
        <v>0.15580583333333334</v>
      </c>
      <c r="E1023" s="36">
        <f>E1012-(11/12)*F1012</f>
        <v>67589.987924315865</v>
      </c>
      <c r="F1023" s="36">
        <f t="shared" si="251"/>
        <v>1134.0469903246994</v>
      </c>
      <c r="G1023" s="31">
        <f t="shared" si="196"/>
        <v>0.84419416666666669</v>
      </c>
      <c r="H1023" s="32"/>
      <c r="I1023" s="51" t="str">
        <f t="shared" si="202"/>
        <v/>
      </c>
      <c r="J1023" s="51" t="str">
        <f t="shared" si="203"/>
        <v/>
      </c>
      <c r="K1023" s="52" t="str">
        <f t="shared" si="220"/>
        <v/>
      </c>
      <c r="L1023" s="53" t="str">
        <f t="shared" si="199"/>
        <v/>
      </c>
      <c r="M1023" s="52" t="str">
        <f t="shared" si="204"/>
        <v/>
      </c>
      <c r="N1023" s="58" t="str">
        <f t="shared" si="200"/>
        <v/>
      </c>
      <c r="Q1023" s="51" t="str">
        <f t="shared" si="205"/>
        <v/>
      </c>
      <c r="R1023" s="52" t="str">
        <f t="shared" si="206"/>
        <v/>
      </c>
      <c r="S1023" s="58" t="str">
        <f t="shared" si="245"/>
        <v/>
      </c>
      <c r="T1023" s="52" t="str">
        <f t="shared" si="201"/>
        <v/>
      </c>
    </row>
    <row r="1024" spans="2:20" ht="15.75" customHeight="1" x14ac:dyDescent="0.25">
      <c r="B1024" s="27">
        <v>97</v>
      </c>
      <c r="C1024" s="28">
        <v>180.733</v>
      </c>
      <c r="D1024" s="29">
        <f>C1024/1000</f>
        <v>0.180733</v>
      </c>
      <c r="E1024" s="30">
        <f>E1012-F1012</f>
        <v>66455.940933991165</v>
      </c>
      <c r="F1024" s="48">
        <f>D1024*E1024</f>
        <v>12010.781572823025</v>
      </c>
      <c r="G1024" s="31">
        <f t="shared" ref="G1024:G1060" si="252">1-D1024</f>
        <v>0.81926699999999997</v>
      </c>
      <c r="H1024" s="49"/>
      <c r="I1024" s="51" t="str">
        <f t="shared" si="202"/>
        <v/>
      </c>
      <c r="J1024" s="51" t="str">
        <f t="shared" si="203"/>
        <v/>
      </c>
      <c r="K1024" s="52" t="str">
        <f t="shared" si="220"/>
        <v/>
      </c>
      <c r="L1024" s="53" t="str">
        <f t="shared" si="199"/>
        <v/>
      </c>
      <c r="M1024" s="52" t="str">
        <f t="shared" si="204"/>
        <v/>
      </c>
      <c r="N1024" s="58" t="str">
        <f t="shared" si="200"/>
        <v/>
      </c>
      <c r="Q1024" s="51" t="str">
        <f t="shared" si="205"/>
        <v/>
      </c>
      <c r="R1024" s="52" t="str">
        <f t="shared" si="206"/>
        <v/>
      </c>
      <c r="S1024" s="58" t="str">
        <f t="shared" si="245"/>
        <v/>
      </c>
      <c r="T1024" s="52" t="str">
        <f t="shared" si="201"/>
        <v/>
      </c>
    </row>
    <row r="1025" spans="2:20" ht="15.75" customHeight="1" x14ac:dyDescent="0.25">
      <c r="B1025" s="33">
        <f t="shared" ref="B1025:B1035" si="253">B1024+1/12</f>
        <v>97.083333333333329</v>
      </c>
      <c r="C1025" s="34"/>
      <c r="D1025" s="35">
        <f>(1/12)*D1024</f>
        <v>1.5061083333333333E-2</v>
      </c>
      <c r="E1025" s="36">
        <f>E1024-(1/12)*F1024</f>
        <v>65455.042469589243</v>
      </c>
      <c r="F1025" s="36">
        <f t="shared" ref="F1025:F1035" si="254">E1025-E1026</f>
        <v>1000.8984644019147</v>
      </c>
      <c r="G1025" s="31">
        <f t="shared" si="252"/>
        <v>0.98493891666666666</v>
      </c>
      <c r="H1025" s="37"/>
      <c r="I1025" s="51" t="str">
        <f t="shared" si="202"/>
        <v/>
      </c>
      <c r="J1025" s="51" t="str">
        <f t="shared" si="203"/>
        <v/>
      </c>
      <c r="K1025" s="52" t="str">
        <f t="shared" si="220"/>
        <v/>
      </c>
      <c r="L1025" s="53" t="str">
        <f t="shared" si="199"/>
        <v/>
      </c>
      <c r="M1025" s="52" t="str">
        <f t="shared" si="204"/>
        <v/>
      </c>
      <c r="N1025" s="58" t="str">
        <f t="shared" si="200"/>
        <v/>
      </c>
      <c r="Q1025" s="51" t="str">
        <f t="shared" si="205"/>
        <v/>
      </c>
      <c r="R1025" s="52" t="str">
        <f t="shared" si="206"/>
        <v/>
      </c>
      <c r="S1025" s="58" t="str">
        <f t="shared" si="245"/>
        <v/>
      </c>
      <c r="T1025" s="52" t="str">
        <f t="shared" si="201"/>
        <v/>
      </c>
    </row>
    <row r="1026" spans="2:20" ht="15.75" customHeight="1" x14ac:dyDescent="0.25">
      <c r="B1026" s="33">
        <f t="shared" si="253"/>
        <v>97.166666666666657</v>
      </c>
      <c r="C1026" s="34"/>
      <c r="D1026" s="35">
        <f>(2/12)*D1024</f>
        <v>3.0122166666666665E-2</v>
      </c>
      <c r="E1026" s="36">
        <f>E1024-(2/12)*F1024</f>
        <v>64454.144005187329</v>
      </c>
      <c r="F1026" s="36">
        <f t="shared" si="254"/>
        <v>1000.898464401922</v>
      </c>
      <c r="G1026" s="31">
        <f t="shared" si="252"/>
        <v>0.96987783333333333</v>
      </c>
      <c r="H1026" s="32"/>
      <c r="I1026" s="51" t="str">
        <f t="shared" si="202"/>
        <v/>
      </c>
      <c r="J1026" s="51" t="str">
        <f t="shared" si="203"/>
        <v/>
      </c>
      <c r="K1026" s="52" t="str">
        <f t="shared" si="220"/>
        <v/>
      </c>
      <c r="L1026" s="53" t="str">
        <f t="shared" si="199"/>
        <v/>
      </c>
      <c r="M1026" s="52" t="str">
        <f t="shared" si="204"/>
        <v/>
      </c>
      <c r="N1026" s="58" t="str">
        <f t="shared" si="200"/>
        <v/>
      </c>
      <c r="Q1026" s="51" t="str">
        <f t="shared" si="205"/>
        <v/>
      </c>
      <c r="R1026" s="52" t="str">
        <f t="shared" si="206"/>
        <v/>
      </c>
      <c r="S1026" s="58" t="str">
        <f t="shared" si="245"/>
        <v/>
      </c>
      <c r="T1026" s="52" t="str">
        <f t="shared" si="201"/>
        <v/>
      </c>
    </row>
    <row r="1027" spans="2:20" ht="15.75" customHeight="1" x14ac:dyDescent="0.25">
      <c r="B1027" s="33">
        <f t="shared" si="253"/>
        <v>97.249999999999986</v>
      </c>
      <c r="C1027" s="34"/>
      <c r="D1027" s="35">
        <f>(3/12)*D1024</f>
        <v>4.5183250000000001E-2</v>
      </c>
      <c r="E1027" s="36">
        <f>E1024-(3/12)*F1024</f>
        <v>63453.245540785407</v>
      </c>
      <c r="F1027" s="36">
        <f t="shared" si="254"/>
        <v>1000.8984644019147</v>
      </c>
      <c r="G1027" s="31">
        <f t="shared" si="252"/>
        <v>0.95481674999999999</v>
      </c>
      <c r="H1027" s="32"/>
      <c r="I1027" s="51" t="str">
        <f t="shared" si="202"/>
        <v/>
      </c>
      <c r="J1027" s="51" t="str">
        <f t="shared" si="203"/>
        <v/>
      </c>
      <c r="K1027" s="52" t="str">
        <f t="shared" si="220"/>
        <v/>
      </c>
      <c r="L1027" s="53" t="str">
        <f t="shared" si="199"/>
        <v/>
      </c>
      <c r="M1027" s="52" t="str">
        <f t="shared" si="204"/>
        <v/>
      </c>
      <c r="N1027" s="58" t="str">
        <f t="shared" si="200"/>
        <v/>
      </c>
      <c r="Q1027" s="51" t="str">
        <f t="shared" si="205"/>
        <v/>
      </c>
      <c r="R1027" s="52" t="str">
        <f t="shared" si="206"/>
        <v/>
      </c>
      <c r="S1027" s="58" t="str">
        <f t="shared" si="245"/>
        <v/>
      </c>
      <c r="T1027" s="52" t="str">
        <f t="shared" si="201"/>
        <v/>
      </c>
    </row>
    <row r="1028" spans="2:20" ht="15.75" customHeight="1" x14ac:dyDescent="0.25">
      <c r="B1028" s="33">
        <f t="shared" si="253"/>
        <v>97.333333333333314</v>
      </c>
      <c r="C1028" s="34"/>
      <c r="D1028" s="35">
        <f>(4/12)*D1024</f>
        <v>6.024433333333333E-2</v>
      </c>
      <c r="E1028" s="36">
        <f>E1024-(4/12)*F1024</f>
        <v>62452.347076383492</v>
      </c>
      <c r="F1028" s="36">
        <f t="shared" si="254"/>
        <v>1000.898464401922</v>
      </c>
      <c r="G1028" s="31">
        <f t="shared" si="252"/>
        <v>0.93975566666666666</v>
      </c>
      <c r="H1028" s="32"/>
      <c r="I1028" s="51" t="str">
        <f t="shared" si="202"/>
        <v/>
      </c>
      <c r="J1028" s="51" t="str">
        <f t="shared" si="203"/>
        <v/>
      </c>
      <c r="K1028" s="52" t="str">
        <f t="shared" si="220"/>
        <v/>
      </c>
      <c r="L1028" s="53" t="str">
        <f t="shared" si="199"/>
        <v/>
      </c>
      <c r="M1028" s="52" t="str">
        <f t="shared" si="204"/>
        <v/>
      </c>
      <c r="N1028" s="58" t="str">
        <f t="shared" si="200"/>
        <v/>
      </c>
      <c r="Q1028" s="51" t="str">
        <f t="shared" si="205"/>
        <v/>
      </c>
      <c r="R1028" s="52" t="str">
        <f t="shared" si="206"/>
        <v/>
      </c>
      <c r="S1028" s="58" t="str">
        <f t="shared" si="245"/>
        <v/>
      </c>
      <c r="T1028" s="52" t="str">
        <f t="shared" si="201"/>
        <v/>
      </c>
    </row>
    <row r="1029" spans="2:20" ht="15.75" customHeight="1" x14ac:dyDescent="0.25">
      <c r="B1029" s="33">
        <f t="shared" si="253"/>
        <v>97.416666666666643</v>
      </c>
      <c r="C1029" s="34"/>
      <c r="D1029" s="35">
        <f>(5/12)*D1024</f>
        <v>7.5305416666666666E-2</v>
      </c>
      <c r="E1029" s="36">
        <f>E1024-(5/12)*F1024</f>
        <v>61451.44861198157</v>
      </c>
      <c r="F1029" s="36">
        <f t="shared" si="254"/>
        <v>1000.8984644019147</v>
      </c>
      <c r="G1029" s="31">
        <f t="shared" si="252"/>
        <v>0.92469458333333332</v>
      </c>
      <c r="H1029" s="32"/>
      <c r="I1029" s="51" t="str">
        <f t="shared" si="202"/>
        <v/>
      </c>
      <c r="J1029" s="51" t="str">
        <f t="shared" si="203"/>
        <v/>
      </c>
      <c r="K1029" s="52" t="str">
        <f t="shared" si="220"/>
        <v/>
      </c>
      <c r="L1029" s="53" t="str">
        <f t="shared" si="199"/>
        <v/>
      </c>
      <c r="M1029" s="52" t="str">
        <f t="shared" si="204"/>
        <v/>
      </c>
      <c r="N1029" s="58" t="str">
        <f t="shared" si="200"/>
        <v/>
      </c>
      <c r="Q1029" s="51" t="str">
        <f t="shared" si="205"/>
        <v/>
      </c>
      <c r="R1029" s="52" t="str">
        <f t="shared" si="206"/>
        <v/>
      </c>
      <c r="S1029" s="58" t="str">
        <f t="shared" si="245"/>
        <v/>
      </c>
      <c r="T1029" s="52" t="str">
        <f t="shared" si="201"/>
        <v/>
      </c>
    </row>
    <row r="1030" spans="2:20" ht="15.75" customHeight="1" x14ac:dyDescent="0.25">
      <c r="B1030" s="33">
        <f t="shared" si="253"/>
        <v>97.499999999999972</v>
      </c>
      <c r="C1030" s="34"/>
      <c r="D1030" s="35">
        <f>(6/12)*D1024</f>
        <v>9.0366500000000002E-2</v>
      </c>
      <c r="E1030" s="36">
        <f>E1024-(6/12)*F1024</f>
        <v>60450.550147579655</v>
      </c>
      <c r="F1030" s="36">
        <f t="shared" si="254"/>
        <v>1000.898464401922</v>
      </c>
      <c r="G1030" s="31">
        <f t="shared" si="252"/>
        <v>0.90963349999999998</v>
      </c>
      <c r="H1030" s="32"/>
      <c r="I1030" s="51" t="str">
        <f t="shared" si="202"/>
        <v/>
      </c>
      <c r="J1030" s="51" t="str">
        <f t="shared" si="203"/>
        <v/>
      </c>
      <c r="K1030" s="52" t="str">
        <f t="shared" si="220"/>
        <v/>
      </c>
      <c r="L1030" s="53" t="str">
        <f t="shared" si="199"/>
        <v/>
      </c>
      <c r="M1030" s="52" t="str">
        <f t="shared" si="204"/>
        <v/>
      </c>
      <c r="N1030" s="58" t="str">
        <f t="shared" si="200"/>
        <v/>
      </c>
      <c r="Q1030" s="51" t="str">
        <f t="shared" si="205"/>
        <v/>
      </c>
      <c r="R1030" s="52" t="str">
        <f t="shared" si="206"/>
        <v/>
      </c>
      <c r="S1030" s="58" t="str">
        <f t="shared" si="245"/>
        <v/>
      </c>
      <c r="T1030" s="52" t="str">
        <f t="shared" si="201"/>
        <v/>
      </c>
    </row>
    <row r="1031" spans="2:20" ht="15.75" customHeight="1" x14ac:dyDescent="0.25">
      <c r="B1031" s="33">
        <f t="shared" si="253"/>
        <v>97.5833333333333</v>
      </c>
      <c r="C1031" s="34"/>
      <c r="D1031" s="35">
        <f>(7/12)*D1024</f>
        <v>0.10542758333333334</v>
      </c>
      <c r="E1031" s="36">
        <f>E1024-(7/12)*F1024</f>
        <v>59449.651683177734</v>
      </c>
      <c r="F1031" s="36">
        <f t="shared" si="254"/>
        <v>1000.8984644019147</v>
      </c>
      <c r="G1031" s="31">
        <f t="shared" si="252"/>
        <v>0.89457241666666665</v>
      </c>
      <c r="H1031" s="32"/>
      <c r="I1031" s="51" t="str">
        <f t="shared" si="202"/>
        <v/>
      </c>
      <c r="J1031" s="51" t="str">
        <f t="shared" si="203"/>
        <v/>
      </c>
      <c r="K1031" s="52" t="str">
        <f t="shared" si="220"/>
        <v/>
      </c>
      <c r="L1031" s="53" t="str">
        <f t="shared" si="199"/>
        <v/>
      </c>
      <c r="M1031" s="52" t="str">
        <f t="shared" si="204"/>
        <v/>
      </c>
      <c r="N1031" s="58" t="str">
        <f t="shared" si="200"/>
        <v/>
      </c>
      <c r="Q1031" s="51" t="str">
        <f t="shared" si="205"/>
        <v/>
      </c>
      <c r="R1031" s="52" t="str">
        <f t="shared" si="206"/>
        <v/>
      </c>
      <c r="S1031" s="58" t="str">
        <f t="shared" si="245"/>
        <v/>
      </c>
      <c r="T1031" s="52" t="str">
        <f t="shared" si="201"/>
        <v/>
      </c>
    </row>
    <row r="1032" spans="2:20" ht="15.75" customHeight="1" x14ac:dyDescent="0.25">
      <c r="B1032" s="33">
        <f t="shared" si="253"/>
        <v>97.666666666666629</v>
      </c>
      <c r="C1032" s="34"/>
      <c r="D1032" s="35">
        <f>(8/12)*D1024</f>
        <v>0.12048866666666666</v>
      </c>
      <c r="E1032" s="36">
        <f>E1024-(8/12)*F1024</f>
        <v>58448.753218775819</v>
      </c>
      <c r="F1032" s="36">
        <f t="shared" si="254"/>
        <v>1000.898464401922</v>
      </c>
      <c r="G1032" s="31">
        <f t="shared" si="252"/>
        <v>0.87951133333333331</v>
      </c>
      <c r="H1032" s="32"/>
      <c r="I1032" s="51" t="str">
        <f t="shared" si="202"/>
        <v/>
      </c>
      <c r="J1032" s="51" t="str">
        <f t="shared" si="203"/>
        <v/>
      </c>
      <c r="K1032" s="52" t="str">
        <f t="shared" si="220"/>
        <v/>
      </c>
      <c r="L1032" s="53" t="str">
        <f t="shared" si="199"/>
        <v/>
      </c>
      <c r="M1032" s="52" t="str">
        <f t="shared" si="204"/>
        <v/>
      </c>
      <c r="N1032" s="58" t="str">
        <f t="shared" si="200"/>
        <v/>
      </c>
      <c r="Q1032" s="51" t="str">
        <f t="shared" si="205"/>
        <v/>
      </c>
      <c r="R1032" s="52" t="str">
        <f t="shared" si="206"/>
        <v/>
      </c>
      <c r="S1032" s="58" t="str">
        <f t="shared" si="245"/>
        <v/>
      </c>
      <c r="T1032" s="52" t="str">
        <f t="shared" si="201"/>
        <v/>
      </c>
    </row>
    <row r="1033" spans="2:20" ht="15.75" customHeight="1" x14ac:dyDescent="0.25">
      <c r="B1033" s="33">
        <f t="shared" si="253"/>
        <v>97.749999999999957</v>
      </c>
      <c r="C1033" s="34"/>
      <c r="D1033" s="35">
        <f>(9/12)*D1024</f>
        <v>0.13554975</v>
      </c>
      <c r="E1033" s="36">
        <f>E1024-(9/12)*F1024</f>
        <v>57447.854754373897</v>
      </c>
      <c r="F1033" s="36">
        <f t="shared" si="254"/>
        <v>1000.898464401922</v>
      </c>
      <c r="G1033" s="31">
        <f t="shared" si="252"/>
        <v>0.86445024999999998</v>
      </c>
      <c r="H1033" s="32"/>
      <c r="I1033" s="51" t="str">
        <f t="shared" si="202"/>
        <v/>
      </c>
      <c r="J1033" s="51" t="str">
        <f t="shared" si="203"/>
        <v/>
      </c>
      <c r="K1033" s="52" t="str">
        <f t="shared" si="220"/>
        <v/>
      </c>
      <c r="L1033" s="53" t="str">
        <f t="shared" si="199"/>
        <v/>
      </c>
      <c r="M1033" s="52" t="str">
        <f t="shared" si="204"/>
        <v/>
      </c>
      <c r="N1033" s="58" t="str">
        <f t="shared" si="200"/>
        <v/>
      </c>
      <c r="Q1033" s="51" t="str">
        <f t="shared" si="205"/>
        <v/>
      </c>
      <c r="R1033" s="52" t="str">
        <f t="shared" si="206"/>
        <v/>
      </c>
      <c r="S1033" s="58" t="str">
        <f t="shared" si="245"/>
        <v/>
      </c>
      <c r="T1033" s="52" t="str">
        <f t="shared" si="201"/>
        <v/>
      </c>
    </row>
    <row r="1034" spans="2:20" ht="15.75" customHeight="1" x14ac:dyDescent="0.25">
      <c r="B1034" s="33">
        <f t="shared" si="253"/>
        <v>97.833333333333286</v>
      </c>
      <c r="C1034" s="34"/>
      <c r="D1034" s="35">
        <f>(10/12)*D1024</f>
        <v>0.15061083333333333</v>
      </c>
      <c r="E1034" s="36">
        <f>E1024-(10/12)*F1024</f>
        <v>56446.956289971975</v>
      </c>
      <c r="F1034" s="36">
        <f t="shared" si="254"/>
        <v>1000.8984644019147</v>
      </c>
      <c r="G1034" s="31">
        <f t="shared" si="252"/>
        <v>0.84938916666666664</v>
      </c>
      <c r="H1034" s="32"/>
      <c r="I1034" s="51" t="str">
        <f t="shared" si="202"/>
        <v/>
      </c>
      <c r="J1034" s="51" t="str">
        <f t="shared" si="203"/>
        <v/>
      </c>
      <c r="K1034" s="52" t="str">
        <f t="shared" si="220"/>
        <v/>
      </c>
      <c r="L1034" s="53" t="str">
        <f t="shared" si="199"/>
        <v/>
      </c>
      <c r="M1034" s="52" t="str">
        <f t="shared" si="204"/>
        <v/>
      </c>
      <c r="N1034" s="58" t="str">
        <f t="shared" si="200"/>
        <v/>
      </c>
      <c r="Q1034" s="51" t="str">
        <f t="shared" si="205"/>
        <v/>
      </c>
      <c r="R1034" s="52" t="str">
        <f t="shared" si="206"/>
        <v/>
      </c>
      <c r="S1034" s="58" t="str">
        <f t="shared" si="245"/>
        <v/>
      </c>
      <c r="T1034" s="52" t="str">
        <f t="shared" si="201"/>
        <v/>
      </c>
    </row>
    <row r="1035" spans="2:20" ht="15.75" customHeight="1" x14ac:dyDescent="0.25">
      <c r="B1035" s="33">
        <f t="shared" si="253"/>
        <v>97.916666666666615</v>
      </c>
      <c r="C1035" s="34"/>
      <c r="D1035" s="35">
        <f>(11/12)*D1024</f>
        <v>0.16567191666666667</v>
      </c>
      <c r="E1035" s="36">
        <f>E1024-(11/12)*F1024</f>
        <v>55446.05782557006</v>
      </c>
      <c r="F1035" s="36">
        <f t="shared" si="254"/>
        <v>1000.898464401922</v>
      </c>
      <c r="G1035" s="31">
        <f t="shared" si="252"/>
        <v>0.8343280833333333</v>
      </c>
      <c r="H1035" s="32"/>
      <c r="I1035" s="51" t="str">
        <f t="shared" si="202"/>
        <v/>
      </c>
      <c r="J1035" s="51" t="str">
        <f t="shared" si="203"/>
        <v/>
      </c>
      <c r="K1035" s="52" t="str">
        <f t="shared" si="220"/>
        <v/>
      </c>
      <c r="L1035" s="53" t="str">
        <f t="shared" si="199"/>
        <v/>
      </c>
      <c r="M1035" s="52" t="str">
        <f t="shared" si="204"/>
        <v/>
      </c>
      <c r="N1035" s="58" t="str">
        <f t="shared" si="200"/>
        <v/>
      </c>
      <c r="Q1035" s="51" t="str">
        <f t="shared" si="205"/>
        <v/>
      </c>
      <c r="R1035" s="52" t="str">
        <f t="shared" si="206"/>
        <v/>
      </c>
      <c r="S1035" s="58" t="str">
        <f t="shared" si="245"/>
        <v/>
      </c>
      <c r="T1035" s="52" t="str">
        <f t="shared" si="201"/>
        <v/>
      </c>
    </row>
    <row r="1036" spans="2:20" ht="15.75" customHeight="1" x14ac:dyDescent="0.25">
      <c r="B1036" s="27">
        <v>98</v>
      </c>
      <c r="C1036" s="28">
        <v>192.02</v>
      </c>
      <c r="D1036" s="29">
        <f>C1036/1000</f>
        <v>0.19202000000000002</v>
      </c>
      <c r="E1036" s="30">
        <f>E1024-F1024</f>
        <v>54445.159361168138</v>
      </c>
      <c r="F1036" s="48">
        <f>D1036*E1036</f>
        <v>10454.559500531508</v>
      </c>
      <c r="G1036" s="31">
        <f t="shared" si="252"/>
        <v>0.80797999999999992</v>
      </c>
      <c r="H1036" s="49"/>
      <c r="I1036" s="51" t="str">
        <f t="shared" si="202"/>
        <v/>
      </c>
      <c r="J1036" s="51" t="str">
        <f t="shared" si="203"/>
        <v/>
      </c>
      <c r="K1036" s="52" t="str">
        <f t="shared" si="220"/>
        <v/>
      </c>
      <c r="L1036" s="53" t="str">
        <f t="shared" ref="L1036:L1072" si="255">IF(I1036&lt;&gt;"",1-K1036,"")</f>
        <v/>
      </c>
      <c r="M1036" s="52" t="str">
        <f t="shared" si="204"/>
        <v/>
      </c>
      <c r="N1036" s="58" t="str">
        <f t="shared" ref="N1036:N1072" si="256">IF(I1036&lt;&gt;"",(1+$M$10)^-(1+I1036),"")</f>
        <v/>
      </c>
      <c r="Q1036" s="51" t="str">
        <f t="shared" si="205"/>
        <v/>
      </c>
      <c r="R1036" s="52" t="str">
        <f t="shared" si="206"/>
        <v/>
      </c>
      <c r="S1036" s="58" t="str">
        <f t="shared" si="245"/>
        <v/>
      </c>
      <c r="T1036" s="52" t="str">
        <f t="shared" ref="T1036:T1074" si="257">IFERROR(S1036*R1036,"")</f>
        <v/>
      </c>
    </row>
    <row r="1037" spans="2:20" ht="15.75" customHeight="1" x14ac:dyDescent="0.25">
      <c r="B1037" s="33">
        <f t="shared" ref="B1037:B1047" si="258">B1036+1/12</f>
        <v>98.083333333333329</v>
      </c>
      <c r="C1037" s="34"/>
      <c r="D1037" s="35">
        <f>(1/12)*D1036</f>
        <v>1.6001666666666668E-2</v>
      </c>
      <c r="E1037" s="36">
        <f>E1036-(1/12)*F1036</f>
        <v>53573.946069457183</v>
      </c>
      <c r="F1037" s="36">
        <f t="shared" ref="F1037:F1047" si="259">E1037-E1038</f>
        <v>871.21329171096295</v>
      </c>
      <c r="G1037" s="31">
        <f t="shared" si="252"/>
        <v>0.98399833333333331</v>
      </c>
      <c r="H1037" s="37"/>
      <c r="I1037" s="51" t="str">
        <f t="shared" ref="I1037:I1072" si="260">IFERROR(IF(I1036+1/12&lt;$J$8,I1036+1/12,""),"")</f>
        <v/>
      </c>
      <c r="J1037" s="51" t="str">
        <f t="shared" ref="J1037:J1072" si="261">IF(I1037&lt;&gt;"",J1036+1/12,"")</f>
        <v/>
      </c>
      <c r="K1037" s="52" t="str">
        <f t="shared" si="220"/>
        <v/>
      </c>
      <c r="L1037" s="53" t="str">
        <f t="shared" si="255"/>
        <v/>
      </c>
      <c r="M1037" s="52" t="str">
        <f t="shared" ref="M1037:M1072" si="262">IF(I1037&lt;&gt;"",M1036*L1036,"")</f>
        <v/>
      </c>
      <c r="N1037" s="58" t="str">
        <f t="shared" si="256"/>
        <v/>
      </c>
      <c r="Q1037" s="51" t="str">
        <f t="shared" ref="Q1037:Q1074" si="263">IFERROR(IF(Q1036+1/12&lt;$J$8,Q1036+1/12,""),"")</f>
        <v/>
      </c>
      <c r="R1037" s="52" t="str">
        <f t="shared" ref="R1037:R1074" si="264">IF(Q1037&lt;&gt;"",R1036*L1036,"")</f>
        <v/>
      </c>
      <c r="S1037" s="58" t="str">
        <f t="shared" si="245"/>
        <v/>
      </c>
      <c r="T1037" s="52" t="str">
        <f t="shared" si="257"/>
        <v/>
      </c>
    </row>
    <row r="1038" spans="2:20" ht="15.75" customHeight="1" x14ac:dyDescent="0.25">
      <c r="B1038" s="33">
        <f t="shared" si="258"/>
        <v>98.166666666666657</v>
      </c>
      <c r="C1038" s="34"/>
      <c r="D1038" s="35">
        <f>(2/12)*D1036</f>
        <v>3.2003333333333335E-2</v>
      </c>
      <c r="E1038" s="36">
        <f>E1036-(2/12)*F1036</f>
        <v>52702.73277774622</v>
      </c>
      <c r="F1038" s="36">
        <f t="shared" si="259"/>
        <v>871.21329171095567</v>
      </c>
      <c r="G1038" s="31">
        <f t="shared" si="252"/>
        <v>0.96799666666666662</v>
      </c>
      <c r="H1038" s="32"/>
      <c r="I1038" s="51" t="str">
        <f t="shared" si="260"/>
        <v/>
      </c>
      <c r="J1038" s="51" t="str">
        <f t="shared" si="261"/>
        <v/>
      </c>
      <c r="K1038" s="52" t="str">
        <f t="shared" si="220"/>
        <v/>
      </c>
      <c r="L1038" s="53" t="str">
        <f t="shared" si="255"/>
        <v/>
      </c>
      <c r="M1038" s="52" t="str">
        <f t="shared" si="262"/>
        <v/>
      </c>
      <c r="N1038" s="58" t="str">
        <f t="shared" si="256"/>
        <v/>
      </c>
      <c r="Q1038" s="51" t="str">
        <f t="shared" si="263"/>
        <v/>
      </c>
      <c r="R1038" s="52" t="str">
        <f t="shared" si="264"/>
        <v/>
      </c>
      <c r="S1038" s="58" t="str">
        <f t="shared" si="245"/>
        <v/>
      </c>
      <c r="T1038" s="52" t="str">
        <f t="shared" si="257"/>
        <v/>
      </c>
    </row>
    <row r="1039" spans="2:20" ht="15.75" customHeight="1" x14ac:dyDescent="0.25">
      <c r="B1039" s="33">
        <f t="shared" si="258"/>
        <v>98.249999999999986</v>
      </c>
      <c r="C1039" s="34"/>
      <c r="D1039" s="35">
        <f>(3/12)*D1036</f>
        <v>4.8005000000000006E-2</v>
      </c>
      <c r="E1039" s="36">
        <f>E1036-(3/12)*F1036</f>
        <v>51831.519486035264</v>
      </c>
      <c r="F1039" s="36">
        <f t="shared" si="259"/>
        <v>871.21329171096295</v>
      </c>
      <c r="G1039" s="31">
        <f t="shared" si="252"/>
        <v>0.95199500000000004</v>
      </c>
      <c r="H1039" s="32"/>
      <c r="I1039" s="51" t="str">
        <f t="shared" si="260"/>
        <v/>
      </c>
      <c r="J1039" s="51" t="str">
        <f t="shared" si="261"/>
        <v/>
      </c>
      <c r="K1039" s="52" t="str">
        <f t="shared" si="220"/>
        <v/>
      </c>
      <c r="L1039" s="53" t="str">
        <f t="shared" si="255"/>
        <v/>
      </c>
      <c r="M1039" s="52" t="str">
        <f t="shared" si="262"/>
        <v/>
      </c>
      <c r="N1039" s="58" t="str">
        <f t="shared" si="256"/>
        <v/>
      </c>
      <c r="Q1039" s="51" t="str">
        <f t="shared" si="263"/>
        <v/>
      </c>
      <c r="R1039" s="52" t="str">
        <f t="shared" si="264"/>
        <v/>
      </c>
      <c r="S1039" s="58" t="str">
        <f t="shared" si="245"/>
        <v/>
      </c>
      <c r="T1039" s="52" t="str">
        <f t="shared" si="257"/>
        <v/>
      </c>
    </row>
    <row r="1040" spans="2:20" ht="15.75" customHeight="1" x14ac:dyDescent="0.25">
      <c r="B1040" s="33">
        <f t="shared" si="258"/>
        <v>98.333333333333314</v>
      </c>
      <c r="C1040" s="34"/>
      <c r="D1040" s="35">
        <f>(4/12)*D1036</f>
        <v>6.400666666666667E-2</v>
      </c>
      <c r="E1040" s="36">
        <f>E1036-(4/12)*F1036</f>
        <v>50960.306194324301</v>
      </c>
      <c r="F1040" s="36">
        <f t="shared" si="259"/>
        <v>871.21329171095567</v>
      </c>
      <c r="G1040" s="31">
        <f t="shared" si="252"/>
        <v>0.93599333333333334</v>
      </c>
      <c r="H1040" s="32"/>
      <c r="I1040" s="51" t="str">
        <f t="shared" si="260"/>
        <v/>
      </c>
      <c r="J1040" s="51" t="str">
        <f t="shared" si="261"/>
        <v/>
      </c>
      <c r="K1040" s="52" t="str">
        <f t="shared" si="220"/>
        <v/>
      </c>
      <c r="L1040" s="53" t="str">
        <f t="shared" si="255"/>
        <v/>
      </c>
      <c r="M1040" s="52" t="str">
        <f t="shared" si="262"/>
        <v/>
      </c>
      <c r="N1040" s="58" t="str">
        <f t="shared" si="256"/>
        <v/>
      </c>
      <c r="Q1040" s="51" t="str">
        <f t="shared" si="263"/>
        <v/>
      </c>
      <c r="R1040" s="52" t="str">
        <f t="shared" si="264"/>
        <v/>
      </c>
      <c r="S1040" s="58" t="str">
        <f t="shared" si="245"/>
        <v/>
      </c>
      <c r="T1040" s="52" t="str">
        <f t="shared" si="257"/>
        <v/>
      </c>
    </row>
    <row r="1041" spans="2:20" ht="15.75" customHeight="1" x14ac:dyDescent="0.25">
      <c r="B1041" s="33">
        <f t="shared" si="258"/>
        <v>98.416666666666643</v>
      </c>
      <c r="C1041" s="34"/>
      <c r="D1041" s="35">
        <f>(5/12)*D1036</f>
        <v>8.0008333333333348E-2</v>
      </c>
      <c r="E1041" s="36">
        <f>E1036-(5/12)*F1036</f>
        <v>50089.092902613345</v>
      </c>
      <c r="F1041" s="36">
        <f t="shared" si="259"/>
        <v>871.21329171096295</v>
      </c>
      <c r="G1041" s="31">
        <f t="shared" si="252"/>
        <v>0.91999166666666665</v>
      </c>
      <c r="H1041" s="32"/>
      <c r="I1041" s="51" t="str">
        <f t="shared" si="260"/>
        <v/>
      </c>
      <c r="J1041" s="51" t="str">
        <f t="shared" si="261"/>
        <v/>
      </c>
      <c r="K1041" s="52" t="str">
        <f t="shared" si="220"/>
        <v/>
      </c>
      <c r="L1041" s="53" t="str">
        <f t="shared" si="255"/>
        <v/>
      </c>
      <c r="M1041" s="52" t="str">
        <f t="shared" si="262"/>
        <v/>
      </c>
      <c r="N1041" s="58" t="str">
        <f t="shared" si="256"/>
        <v/>
      </c>
      <c r="Q1041" s="51" t="str">
        <f t="shared" si="263"/>
        <v/>
      </c>
      <c r="R1041" s="52" t="str">
        <f t="shared" si="264"/>
        <v/>
      </c>
      <c r="S1041" s="58" t="str">
        <f t="shared" si="245"/>
        <v/>
      </c>
      <c r="T1041" s="52" t="str">
        <f t="shared" si="257"/>
        <v/>
      </c>
    </row>
    <row r="1042" spans="2:20" ht="15.75" customHeight="1" x14ac:dyDescent="0.25">
      <c r="B1042" s="33">
        <f t="shared" si="258"/>
        <v>98.499999999999972</v>
      </c>
      <c r="C1042" s="34"/>
      <c r="D1042" s="35">
        <f>(6/12)*D1036</f>
        <v>9.6010000000000012E-2</v>
      </c>
      <c r="E1042" s="36">
        <f>E1036-(6/12)*F1036</f>
        <v>49217.879610902382</v>
      </c>
      <c r="F1042" s="36">
        <f t="shared" si="259"/>
        <v>871.21329171095567</v>
      </c>
      <c r="G1042" s="31">
        <f t="shared" si="252"/>
        <v>0.90398999999999996</v>
      </c>
      <c r="H1042" s="32"/>
      <c r="I1042" s="51" t="str">
        <f t="shared" si="260"/>
        <v/>
      </c>
      <c r="J1042" s="51" t="str">
        <f t="shared" si="261"/>
        <v/>
      </c>
      <c r="K1042" s="52" t="str">
        <f t="shared" si="220"/>
        <v/>
      </c>
      <c r="L1042" s="53" t="str">
        <f t="shared" si="255"/>
        <v/>
      </c>
      <c r="M1042" s="52" t="str">
        <f t="shared" si="262"/>
        <v/>
      </c>
      <c r="N1042" s="58" t="str">
        <f t="shared" si="256"/>
        <v/>
      </c>
      <c r="Q1042" s="51" t="str">
        <f t="shared" si="263"/>
        <v/>
      </c>
      <c r="R1042" s="52" t="str">
        <f t="shared" si="264"/>
        <v/>
      </c>
      <c r="S1042" s="58" t="str">
        <f t="shared" ref="S1042:S1074" si="265">IF(Q1042&lt;&gt;"",(1+$M$10)^-(12*Q1042),"")</f>
        <v/>
      </c>
      <c r="T1042" s="52" t="str">
        <f t="shared" si="257"/>
        <v/>
      </c>
    </row>
    <row r="1043" spans="2:20" ht="15.75" customHeight="1" x14ac:dyDescent="0.25">
      <c r="B1043" s="33">
        <f t="shared" si="258"/>
        <v>98.5833333333333</v>
      </c>
      <c r="C1043" s="34"/>
      <c r="D1043" s="35">
        <f>(7/12)*D1036</f>
        <v>0.11201166666666669</v>
      </c>
      <c r="E1043" s="36">
        <f>E1036-(7/12)*F1036</f>
        <v>48346.666319191427</v>
      </c>
      <c r="F1043" s="36">
        <f t="shared" si="259"/>
        <v>871.21329171096295</v>
      </c>
      <c r="G1043" s="31">
        <f t="shared" si="252"/>
        <v>0.88798833333333327</v>
      </c>
      <c r="H1043" s="32"/>
      <c r="I1043" s="51" t="str">
        <f t="shared" si="260"/>
        <v/>
      </c>
      <c r="J1043" s="51" t="str">
        <f t="shared" si="261"/>
        <v/>
      </c>
      <c r="K1043" s="52" t="str">
        <f t="shared" si="220"/>
        <v/>
      </c>
      <c r="L1043" s="53" t="str">
        <f t="shared" si="255"/>
        <v/>
      </c>
      <c r="M1043" s="52" t="str">
        <f t="shared" si="262"/>
        <v/>
      </c>
      <c r="N1043" s="58" t="str">
        <f t="shared" si="256"/>
        <v/>
      </c>
      <c r="Q1043" s="51" t="str">
        <f t="shared" si="263"/>
        <v/>
      </c>
      <c r="R1043" s="52" t="str">
        <f t="shared" si="264"/>
        <v/>
      </c>
      <c r="S1043" s="58" t="str">
        <f t="shared" si="265"/>
        <v/>
      </c>
      <c r="T1043" s="52" t="str">
        <f t="shared" si="257"/>
        <v/>
      </c>
    </row>
    <row r="1044" spans="2:20" ht="15.75" customHeight="1" x14ac:dyDescent="0.25">
      <c r="B1044" s="33">
        <f t="shared" si="258"/>
        <v>98.666666666666629</v>
      </c>
      <c r="C1044" s="34"/>
      <c r="D1044" s="35">
        <f>(8/12)*D1036</f>
        <v>0.12801333333333334</v>
      </c>
      <c r="E1044" s="36">
        <f>E1036-(8/12)*F1036</f>
        <v>47475.453027480464</v>
      </c>
      <c r="F1044" s="36">
        <f t="shared" si="259"/>
        <v>871.21329171095567</v>
      </c>
      <c r="G1044" s="31">
        <f t="shared" si="252"/>
        <v>0.87198666666666669</v>
      </c>
      <c r="H1044" s="32"/>
      <c r="I1044" s="51" t="str">
        <f t="shared" si="260"/>
        <v/>
      </c>
      <c r="J1044" s="51" t="str">
        <f t="shared" si="261"/>
        <v/>
      </c>
      <c r="K1044" s="52" t="str">
        <f t="shared" si="220"/>
        <v/>
      </c>
      <c r="L1044" s="53" t="str">
        <f t="shared" si="255"/>
        <v/>
      </c>
      <c r="M1044" s="52" t="str">
        <f t="shared" si="262"/>
        <v/>
      </c>
      <c r="N1044" s="58" t="str">
        <f t="shared" si="256"/>
        <v/>
      </c>
      <c r="Q1044" s="51" t="str">
        <f t="shared" si="263"/>
        <v/>
      </c>
      <c r="R1044" s="52" t="str">
        <f t="shared" si="264"/>
        <v/>
      </c>
      <c r="S1044" s="58" t="str">
        <f t="shared" si="265"/>
        <v/>
      </c>
      <c r="T1044" s="52" t="str">
        <f t="shared" si="257"/>
        <v/>
      </c>
    </row>
    <row r="1045" spans="2:20" ht="15.75" customHeight="1" x14ac:dyDescent="0.25">
      <c r="B1045" s="33">
        <f t="shared" si="258"/>
        <v>98.749999999999957</v>
      </c>
      <c r="C1045" s="34"/>
      <c r="D1045" s="35">
        <f>(9/12)*D1036</f>
        <v>0.144015</v>
      </c>
      <c r="E1045" s="36">
        <f>E1036-(9/12)*F1036</f>
        <v>46604.239735769508</v>
      </c>
      <c r="F1045" s="36">
        <f t="shared" si="259"/>
        <v>871.21329171096295</v>
      </c>
      <c r="G1045" s="31">
        <f t="shared" si="252"/>
        <v>0.855985</v>
      </c>
      <c r="H1045" s="32"/>
      <c r="I1045" s="51" t="str">
        <f t="shared" si="260"/>
        <v/>
      </c>
      <c r="J1045" s="51" t="str">
        <f t="shared" si="261"/>
        <v/>
      </c>
      <c r="K1045" s="52" t="str">
        <f t="shared" si="220"/>
        <v/>
      </c>
      <c r="L1045" s="53" t="str">
        <f t="shared" si="255"/>
        <v/>
      </c>
      <c r="M1045" s="52" t="str">
        <f t="shared" si="262"/>
        <v/>
      </c>
      <c r="N1045" s="58" t="str">
        <f t="shared" si="256"/>
        <v/>
      </c>
      <c r="Q1045" s="51" t="str">
        <f t="shared" si="263"/>
        <v/>
      </c>
      <c r="R1045" s="52" t="str">
        <f t="shared" si="264"/>
        <v/>
      </c>
      <c r="S1045" s="58" t="str">
        <f t="shared" si="265"/>
        <v/>
      </c>
      <c r="T1045" s="52" t="str">
        <f t="shared" si="257"/>
        <v/>
      </c>
    </row>
    <row r="1046" spans="2:20" ht="15.75" customHeight="1" x14ac:dyDescent="0.25">
      <c r="B1046" s="33">
        <f t="shared" si="258"/>
        <v>98.833333333333286</v>
      </c>
      <c r="C1046" s="34"/>
      <c r="D1046" s="35">
        <f>(10/12)*D1036</f>
        <v>0.1600166666666667</v>
      </c>
      <c r="E1046" s="36">
        <f>E1036-(10/12)*F1036</f>
        <v>45733.026444058545</v>
      </c>
      <c r="F1046" s="36">
        <f t="shared" si="259"/>
        <v>871.21329171095567</v>
      </c>
      <c r="G1046" s="31">
        <f t="shared" si="252"/>
        <v>0.8399833333333333</v>
      </c>
      <c r="H1046" s="32"/>
      <c r="I1046" s="51" t="str">
        <f t="shared" si="260"/>
        <v/>
      </c>
      <c r="J1046" s="51" t="str">
        <f t="shared" si="261"/>
        <v/>
      </c>
      <c r="K1046" s="52" t="str">
        <f t="shared" si="220"/>
        <v/>
      </c>
      <c r="L1046" s="53" t="str">
        <f t="shared" si="255"/>
        <v/>
      </c>
      <c r="M1046" s="52" t="str">
        <f t="shared" si="262"/>
        <v/>
      </c>
      <c r="N1046" s="58" t="str">
        <f t="shared" si="256"/>
        <v/>
      </c>
      <c r="Q1046" s="51" t="str">
        <f t="shared" si="263"/>
        <v/>
      </c>
      <c r="R1046" s="52" t="str">
        <f t="shared" si="264"/>
        <v/>
      </c>
      <c r="S1046" s="58" t="str">
        <f t="shared" si="265"/>
        <v/>
      </c>
      <c r="T1046" s="52" t="str">
        <f t="shared" si="257"/>
        <v/>
      </c>
    </row>
    <row r="1047" spans="2:20" ht="15.75" customHeight="1" x14ac:dyDescent="0.25">
      <c r="B1047" s="33">
        <f t="shared" si="258"/>
        <v>98.916666666666615</v>
      </c>
      <c r="C1047" s="34"/>
      <c r="D1047" s="35">
        <f>(11/12)*D1036</f>
        <v>0.17601833333333336</v>
      </c>
      <c r="E1047" s="36">
        <f>E1036-(11/12)*F1036</f>
        <v>44861.813152347589</v>
      </c>
      <c r="F1047" s="36">
        <f t="shared" si="259"/>
        <v>871.21329171095567</v>
      </c>
      <c r="G1047" s="31">
        <f t="shared" si="252"/>
        <v>0.82398166666666661</v>
      </c>
      <c r="H1047" s="32"/>
      <c r="I1047" s="51" t="str">
        <f t="shared" si="260"/>
        <v/>
      </c>
      <c r="J1047" s="51" t="str">
        <f t="shared" si="261"/>
        <v/>
      </c>
      <c r="K1047" s="52" t="str">
        <f t="shared" si="220"/>
        <v/>
      </c>
      <c r="L1047" s="53" t="str">
        <f t="shared" si="255"/>
        <v/>
      </c>
      <c r="M1047" s="52" t="str">
        <f t="shared" si="262"/>
        <v/>
      </c>
      <c r="N1047" s="58" t="str">
        <f t="shared" si="256"/>
        <v/>
      </c>
      <c r="Q1047" s="51" t="str">
        <f t="shared" si="263"/>
        <v/>
      </c>
      <c r="R1047" s="52" t="str">
        <f t="shared" si="264"/>
        <v/>
      </c>
      <c r="S1047" s="58" t="str">
        <f t="shared" si="265"/>
        <v/>
      </c>
      <c r="T1047" s="52" t="str">
        <f t="shared" si="257"/>
        <v/>
      </c>
    </row>
    <row r="1048" spans="2:20" ht="15.75" customHeight="1" x14ac:dyDescent="0.25">
      <c r="B1048" s="27">
        <v>99</v>
      </c>
      <c r="C1048" s="28">
        <v>203.83699999999999</v>
      </c>
      <c r="D1048" s="29">
        <f>C1048/1000</f>
        <v>0.20383699999999999</v>
      </c>
      <c r="E1048" s="30">
        <f>E1036-F1036</f>
        <v>43990.599860636634</v>
      </c>
      <c r="F1048" s="48">
        <f>D1048*E1048</f>
        <v>8966.9119037925884</v>
      </c>
      <c r="G1048" s="31">
        <f t="shared" si="252"/>
        <v>0.79616299999999995</v>
      </c>
      <c r="H1048" s="49"/>
      <c r="I1048" s="51" t="str">
        <f t="shared" si="260"/>
        <v/>
      </c>
      <c r="J1048" s="51" t="str">
        <f t="shared" si="261"/>
        <v/>
      </c>
      <c r="K1048" s="52" t="str">
        <f t="shared" si="220"/>
        <v/>
      </c>
      <c r="L1048" s="53" t="str">
        <f t="shared" si="255"/>
        <v/>
      </c>
      <c r="M1048" s="52" t="str">
        <f t="shared" si="262"/>
        <v/>
      </c>
      <c r="N1048" s="58" t="str">
        <f t="shared" si="256"/>
        <v/>
      </c>
      <c r="Q1048" s="51" t="str">
        <f t="shared" si="263"/>
        <v/>
      </c>
      <c r="R1048" s="52" t="str">
        <f t="shared" si="264"/>
        <v/>
      </c>
      <c r="S1048" s="58" t="str">
        <f t="shared" si="265"/>
        <v/>
      </c>
      <c r="T1048" s="52" t="str">
        <f t="shared" si="257"/>
        <v/>
      </c>
    </row>
    <row r="1049" spans="2:20" ht="15.75" customHeight="1" x14ac:dyDescent="0.25">
      <c r="B1049" s="33">
        <f t="shared" ref="B1049:B1059" si="266">B1048+1/12</f>
        <v>99.083333333333329</v>
      </c>
      <c r="C1049" s="34"/>
      <c r="D1049" s="35">
        <f>(1/12)*D1048</f>
        <v>1.6986416666666664E-2</v>
      </c>
      <c r="E1049" s="36">
        <f>E1048-(1/12)*F1048</f>
        <v>43243.357201987252</v>
      </c>
      <c r="F1049" s="36">
        <f t="shared" ref="F1049:F1059" si="267">E1049-E1050</f>
        <v>747.24265864938207</v>
      </c>
      <c r="G1049" s="31">
        <f t="shared" si="252"/>
        <v>0.98301358333333333</v>
      </c>
      <c r="H1049" s="37"/>
      <c r="I1049" s="51" t="str">
        <f t="shared" si="260"/>
        <v/>
      </c>
      <c r="J1049" s="51" t="str">
        <f t="shared" si="261"/>
        <v/>
      </c>
      <c r="K1049" s="52" t="str">
        <f t="shared" si="220"/>
        <v/>
      </c>
      <c r="L1049" s="53" t="str">
        <f t="shared" si="255"/>
        <v/>
      </c>
      <c r="M1049" s="52" t="str">
        <f t="shared" si="262"/>
        <v/>
      </c>
      <c r="N1049" s="58" t="str">
        <f t="shared" si="256"/>
        <v/>
      </c>
      <c r="Q1049" s="51" t="str">
        <f t="shared" si="263"/>
        <v/>
      </c>
      <c r="R1049" s="52" t="str">
        <f t="shared" si="264"/>
        <v/>
      </c>
      <c r="S1049" s="58" t="str">
        <f t="shared" si="265"/>
        <v/>
      </c>
      <c r="T1049" s="52" t="str">
        <f t="shared" si="257"/>
        <v/>
      </c>
    </row>
    <row r="1050" spans="2:20" ht="15.75" customHeight="1" x14ac:dyDescent="0.25">
      <c r="B1050" s="33">
        <f t="shared" si="266"/>
        <v>99.166666666666657</v>
      </c>
      <c r="C1050" s="34"/>
      <c r="D1050" s="35">
        <f>(2/12)*D1048</f>
        <v>3.3972833333333327E-2</v>
      </c>
      <c r="E1050" s="36">
        <f>E1048-(2/12)*F1048</f>
        <v>42496.11454333787</v>
      </c>
      <c r="F1050" s="36">
        <f t="shared" si="267"/>
        <v>747.24265864938207</v>
      </c>
      <c r="G1050" s="31">
        <f t="shared" si="252"/>
        <v>0.96602716666666666</v>
      </c>
      <c r="H1050" s="32"/>
      <c r="I1050" s="51" t="str">
        <f t="shared" si="260"/>
        <v/>
      </c>
      <c r="J1050" s="51" t="str">
        <f t="shared" si="261"/>
        <v/>
      </c>
      <c r="K1050" s="52" t="str">
        <f t="shared" si="220"/>
        <v/>
      </c>
      <c r="L1050" s="53" t="str">
        <f t="shared" si="255"/>
        <v/>
      </c>
      <c r="M1050" s="52" t="str">
        <f t="shared" si="262"/>
        <v/>
      </c>
      <c r="N1050" s="58" t="str">
        <f t="shared" si="256"/>
        <v/>
      </c>
      <c r="Q1050" s="51" t="str">
        <f t="shared" si="263"/>
        <v/>
      </c>
      <c r="R1050" s="52" t="str">
        <f t="shared" si="264"/>
        <v/>
      </c>
      <c r="S1050" s="58" t="str">
        <f t="shared" si="265"/>
        <v/>
      </c>
      <c r="T1050" s="52" t="str">
        <f t="shared" si="257"/>
        <v/>
      </c>
    </row>
    <row r="1051" spans="2:20" ht="15.75" customHeight="1" x14ac:dyDescent="0.25">
      <c r="B1051" s="33">
        <f t="shared" si="266"/>
        <v>99.249999999999986</v>
      </c>
      <c r="C1051" s="34"/>
      <c r="D1051" s="35">
        <f>(3/12)*D1048</f>
        <v>5.0959249999999998E-2</v>
      </c>
      <c r="E1051" s="36">
        <f>E1048-(3/12)*F1048</f>
        <v>41748.871884688488</v>
      </c>
      <c r="F1051" s="36">
        <f t="shared" si="267"/>
        <v>747.24265864938207</v>
      </c>
      <c r="G1051" s="31">
        <f t="shared" si="252"/>
        <v>0.94904074999999999</v>
      </c>
      <c r="H1051" s="32"/>
      <c r="I1051" s="51" t="str">
        <f t="shared" si="260"/>
        <v/>
      </c>
      <c r="J1051" s="51" t="str">
        <f t="shared" si="261"/>
        <v/>
      </c>
      <c r="K1051" s="52" t="str">
        <f t="shared" si="220"/>
        <v/>
      </c>
      <c r="L1051" s="53" t="str">
        <f t="shared" si="255"/>
        <v/>
      </c>
      <c r="M1051" s="52" t="str">
        <f t="shared" si="262"/>
        <v/>
      </c>
      <c r="N1051" s="58" t="str">
        <f t="shared" si="256"/>
        <v/>
      </c>
      <c r="Q1051" s="51" t="str">
        <f t="shared" si="263"/>
        <v/>
      </c>
      <c r="R1051" s="52" t="str">
        <f t="shared" si="264"/>
        <v/>
      </c>
      <c r="S1051" s="58" t="str">
        <f t="shared" si="265"/>
        <v/>
      </c>
      <c r="T1051" s="52" t="str">
        <f t="shared" si="257"/>
        <v/>
      </c>
    </row>
    <row r="1052" spans="2:20" ht="15.75" customHeight="1" x14ac:dyDescent="0.25">
      <c r="B1052" s="33">
        <f t="shared" si="266"/>
        <v>99.333333333333314</v>
      </c>
      <c r="C1052" s="34"/>
      <c r="D1052" s="35">
        <f>(4/12)*D1048</f>
        <v>6.7945666666666654E-2</v>
      </c>
      <c r="E1052" s="36">
        <f>E1048-(4/12)*F1048</f>
        <v>41001.629226039106</v>
      </c>
      <c r="F1052" s="36">
        <f t="shared" si="267"/>
        <v>747.24265864938207</v>
      </c>
      <c r="G1052" s="31">
        <f t="shared" si="252"/>
        <v>0.93205433333333332</v>
      </c>
      <c r="H1052" s="32"/>
      <c r="I1052" s="51" t="str">
        <f t="shared" si="260"/>
        <v/>
      </c>
      <c r="J1052" s="51" t="str">
        <f t="shared" si="261"/>
        <v/>
      </c>
      <c r="K1052" s="52" t="str">
        <f t="shared" si="220"/>
        <v/>
      </c>
      <c r="L1052" s="53" t="str">
        <f t="shared" si="255"/>
        <v/>
      </c>
      <c r="M1052" s="52" t="str">
        <f t="shared" si="262"/>
        <v/>
      </c>
      <c r="N1052" s="58" t="str">
        <f t="shared" si="256"/>
        <v/>
      </c>
      <c r="Q1052" s="51" t="str">
        <f t="shared" si="263"/>
        <v/>
      </c>
      <c r="R1052" s="52" t="str">
        <f t="shared" si="264"/>
        <v/>
      </c>
      <c r="S1052" s="58" t="str">
        <f t="shared" si="265"/>
        <v/>
      </c>
      <c r="T1052" s="52" t="str">
        <f t="shared" si="257"/>
        <v/>
      </c>
    </row>
    <row r="1053" spans="2:20" ht="15.75" customHeight="1" x14ac:dyDescent="0.25">
      <c r="B1053" s="33">
        <f t="shared" si="266"/>
        <v>99.416666666666643</v>
      </c>
      <c r="C1053" s="34"/>
      <c r="D1053" s="35">
        <f>(5/12)*D1048</f>
        <v>8.4932083333333339E-2</v>
      </c>
      <c r="E1053" s="36">
        <f>E1048-(5/12)*F1048</f>
        <v>40254.386567389723</v>
      </c>
      <c r="F1053" s="36">
        <f t="shared" si="267"/>
        <v>747.24265864938207</v>
      </c>
      <c r="G1053" s="31">
        <f t="shared" si="252"/>
        <v>0.91506791666666665</v>
      </c>
      <c r="H1053" s="32"/>
      <c r="I1053" s="51" t="str">
        <f t="shared" si="260"/>
        <v/>
      </c>
      <c r="J1053" s="51" t="str">
        <f t="shared" si="261"/>
        <v/>
      </c>
      <c r="K1053" s="52" t="str">
        <f t="shared" si="220"/>
        <v/>
      </c>
      <c r="L1053" s="53" t="str">
        <f t="shared" si="255"/>
        <v/>
      </c>
      <c r="M1053" s="52" t="str">
        <f t="shared" si="262"/>
        <v/>
      </c>
      <c r="N1053" s="58" t="str">
        <f t="shared" si="256"/>
        <v/>
      </c>
      <c r="Q1053" s="51" t="str">
        <f t="shared" si="263"/>
        <v/>
      </c>
      <c r="R1053" s="52" t="str">
        <f t="shared" si="264"/>
        <v/>
      </c>
      <c r="S1053" s="58" t="str">
        <f t="shared" si="265"/>
        <v/>
      </c>
      <c r="T1053" s="52" t="str">
        <f t="shared" si="257"/>
        <v/>
      </c>
    </row>
    <row r="1054" spans="2:20" ht="15.75" customHeight="1" x14ac:dyDescent="0.25">
      <c r="B1054" s="33">
        <f t="shared" si="266"/>
        <v>99.499999999999972</v>
      </c>
      <c r="C1054" s="34"/>
      <c r="D1054" s="35">
        <f>(6/12)*D1048</f>
        <v>0.1019185</v>
      </c>
      <c r="E1054" s="36">
        <f>E1048-(6/12)*F1048</f>
        <v>39507.143908740341</v>
      </c>
      <c r="F1054" s="36">
        <f t="shared" si="267"/>
        <v>747.24265864938207</v>
      </c>
      <c r="G1054" s="31">
        <f t="shared" si="252"/>
        <v>0.89808149999999998</v>
      </c>
      <c r="H1054" s="32"/>
      <c r="I1054" s="51" t="str">
        <f t="shared" si="260"/>
        <v/>
      </c>
      <c r="J1054" s="51" t="str">
        <f t="shared" si="261"/>
        <v/>
      </c>
      <c r="K1054" s="52" t="str">
        <f t="shared" si="220"/>
        <v/>
      </c>
      <c r="L1054" s="53" t="str">
        <f t="shared" si="255"/>
        <v/>
      </c>
      <c r="M1054" s="52" t="str">
        <f t="shared" si="262"/>
        <v/>
      </c>
      <c r="N1054" s="58" t="str">
        <f t="shared" si="256"/>
        <v/>
      </c>
      <c r="Q1054" s="51" t="str">
        <f t="shared" si="263"/>
        <v/>
      </c>
      <c r="R1054" s="52" t="str">
        <f t="shared" si="264"/>
        <v/>
      </c>
      <c r="S1054" s="58" t="str">
        <f t="shared" si="265"/>
        <v/>
      </c>
      <c r="T1054" s="52" t="str">
        <f t="shared" si="257"/>
        <v/>
      </c>
    </row>
    <row r="1055" spans="2:20" ht="15.75" customHeight="1" x14ac:dyDescent="0.25">
      <c r="B1055" s="33">
        <f t="shared" si="266"/>
        <v>99.5833333333333</v>
      </c>
      <c r="C1055" s="34"/>
      <c r="D1055" s="35">
        <f>(7/12)*D1048</f>
        <v>0.11890491666666667</v>
      </c>
      <c r="E1055" s="36">
        <f>E1048-(7/12)*F1048</f>
        <v>38759.901250090959</v>
      </c>
      <c r="F1055" s="36">
        <f t="shared" si="267"/>
        <v>747.24265864938207</v>
      </c>
      <c r="G1055" s="31">
        <f t="shared" si="252"/>
        <v>0.88109508333333331</v>
      </c>
      <c r="H1055" s="32"/>
      <c r="I1055" s="51" t="str">
        <f t="shared" si="260"/>
        <v/>
      </c>
      <c r="J1055" s="51" t="str">
        <f t="shared" si="261"/>
        <v/>
      </c>
      <c r="K1055" s="52" t="str">
        <f t="shared" si="220"/>
        <v/>
      </c>
      <c r="L1055" s="53" t="str">
        <f t="shared" si="255"/>
        <v/>
      </c>
      <c r="M1055" s="52" t="str">
        <f t="shared" si="262"/>
        <v/>
      </c>
      <c r="N1055" s="58" t="str">
        <f t="shared" si="256"/>
        <v/>
      </c>
      <c r="Q1055" s="51" t="str">
        <f t="shared" si="263"/>
        <v/>
      </c>
      <c r="R1055" s="52" t="str">
        <f t="shared" si="264"/>
        <v/>
      </c>
      <c r="S1055" s="58" t="str">
        <f t="shared" si="265"/>
        <v/>
      </c>
      <c r="T1055" s="52" t="str">
        <f t="shared" si="257"/>
        <v/>
      </c>
    </row>
    <row r="1056" spans="2:20" ht="15.75" customHeight="1" x14ac:dyDescent="0.25">
      <c r="B1056" s="33">
        <f t="shared" si="266"/>
        <v>99.666666666666629</v>
      </c>
      <c r="C1056" s="34"/>
      <c r="D1056" s="35">
        <f>(8/12)*D1048</f>
        <v>0.13589133333333331</v>
      </c>
      <c r="E1056" s="36">
        <f>E1048-(8/12)*F1048</f>
        <v>38012.658591441577</v>
      </c>
      <c r="F1056" s="36">
        <f t="shared" si="267"/>
        <v>747.24265864938207</v>
      </c>
      <c r="G1056" s="31">
        <f t="shared" si="252"/>
        <v>0.86410866666666664</v>
      </c>
      <c r="H1056" s="32"/>
      <c r="I1056" s="51" t="str">
        <f t="shared" si="260"/>
        <v/>
      </c>
      <c r="J1056" s="51" t="str">
        <f t="shared" si="261"/>
        <v/>
      </c>
      <c r="K1056" s="52" t="str">
        <f t="shared" si="220"/>
        <v/>
      </c>
      <c r="L1056" s="53" t="str">
        <f t="shared" si="255"/>
        <v/>
      </c>
      <c r="M1056" s="52" t="str">
        <f t="shared" si="262"/>
        <v/>
      </c>
      <c r="N1056" s="58" t="str">
        <f t="shared" si="256"/>
        <v/>
      </c>
      <c r="Q1056" s="51" t="str">
        <f t="shared" si="263"/>
        <v/>
      </c>
      <c r="R1056" s="52" t="str">
        <f t="shared" si="264"/>
        <v/>
      </c>
      <c r="S1056" s="58" t="str">
        <f t="shared" si="265"/>
        <v/>
      </c>
      <c r="T1056" s="52" t="str">
        <f t="shared" si="257"/>
        <v/>
      </c>
    </row>
    <row r="1057" spans="2:20" ht="15.75" customHeight="1" x14ac:dyDescent="0.25">
      <c r="B1057" s="33">
        <f t="shared" si="266"/>
        <v>99.749999999999957</v>
      </c>
      <c r="C1057" s="34"/>
      <c r="D1057" s="35">
        <f>(9/12)*D1048</f>
        <v>0.15287774999999998</v>
      </c>
      <c r="E1057" s="36">
        <f>E1048-(9/12)*F1048</f>
        <v>37265.415932792195</v>
      </c>
      <c r="F1057" s="36">
        <f t="shared" si="267"/>
        <v>747.24265864938207</v>
      </c>
      <c r="G1057" s="31">
        <f t="shared" si="252"/>
        <v>0.84712224999999997</v>
      </c>
      <c r="H1057" s="32"/>
      <c r="I1057" s="51" t="str">
        <f t="shared" si="260"/>
        <v/>
      </c>
      <c r="J1057" s="51" t="str">
        <f t="shared" si="261"/>
        <v/>
      </c>
      <c r="K1057" s="52" t="str">
        <f t="shared" si="220"/>
        <v/>
      </c>
      <c r="L1057" s="53" t="str">
        <f t="shared" si="255"/>
        <v/>
      </c>
      <c r="M1057" s="52" t="str">
        <f t="shared" si="262"/>
        <v/>
      </c>
      <c r="N1057" s="58" t="str">
        <f t="shared" si="256"/>
        <v/>
      </c>
      <c r="Q1057" s="51" t="str">
        <f t="shared" si="263"/>
        <v/>
      </c>
      <c r="R1057" s="52" t="str">
        <f t="shared" si="264"/>
        <v/>
      </c>
      <c r="S1057" s="58" t="str">
        <f t="shared" si="265"/>
        <v/>
      </c>
      <c r="T1057" s="52" t="str">
        <f t="shared" si="257"/>
        <v/>
      </c>
    </row>
    <row r="1058" spans="2:20" ht="15.75" customHeight="1" x14ac:dyDescent="0.25">
      <c r="B1058" s="33">
        <f t="shared" si="266"/>
        <v>99.833333333333286</v>
      </c>
      <c r="C1058" s="34"/>
      <c r="D1058" s="35">
        <f>(10/12)*D1048</f>
        <v>0.16986416666666668</v>
      </c>
      <c r="E1058" s="36">
        <f>E1048-(10/12)*F1048</f>
        <v>36518.173274142813</v>
      </c>
      <c r="F1058" s="36">
        <f t="shared" si="267"/>
        <v>747.24265864938207</v>
      </c>
      <c r="G1058" s="31">
        <f t="shared" si="252"/>
        <v>0.8301358333333333</v>
      </c>
      <c r="H1058" s="32"/>
      <c r="I1058" s="51" t="str">
        <f t="shared" si="260"/>
        <v/>
      </c>
      <c r="J1058" s="51" t="str">
        <f t="shared" si="261"/>
        <v/>
      </c>
      <c r="K1058" s="52" t="str">
        <f t="shared" si="220"/>
        <v/>
      </c>
      <c r="L1058" s="53" t="str">
        <f t="shared" si="255"/>
        <v/>
      </c>
      <c r="M1058" s="52" t="str">
        <f t="shared" si="262"/>
        <v/>
      </c>
      <c r="N1058" s="58" t="str">
        <f t="shared" si="256"/>
        <v/>
      </c>
      <c r="Q1058" s="51" t="str">
        <f t="shared" si="263"/>
        <v/>
      </c>
      <c r="R1058" s="52" t="str">
        <f t="shared" si="264"/>
        <v/>
      </c>
      <c r="S1058" s="58" t="str">
        <f t="shared" si="265"/>
        <v/>
      </c>
      <c r="T1058" s="52" t="str">
        <f t="shared" si="257"/>
        <v/>
      </c>
    </row>
    <row r="1059" spans="2:20" ht="15.75" customHeight="1" x14ac:dyDescent="0.25">
      <c r="B1059" s="33">
        <f t="shared" si="266"/>
        <v>99.916666666666615</v>
      </c>
      <c r="C1059" s="34"/>
      <c r="D1059" s="35">
        <f>(11/12)*D1048</f>
        <v>0.18685058333333332</v>
      </c>
      <c r="E1059" s="36">
        <f>E1048-(11/12)*F1048</f>
        <v>35770.930615493431</v>
      </c>
      <c r="F1059" s="36">
        <f t="shared" si="267"/>
        <v>747.24265864938207</v>
      </c>
      <c r="G1059" s="31">
        <f t="shared" si="252"/>
        <v>0.81314941666666662</v>
      </c>
      <c r="H1059" s="32"/>
      <c r="I1059" s="51" t="str">
        <f t="shared" si="260"/>
        <v/>
      </c>
      <c r="J1059" s="51" t="str">
        <f t="shared" si="261"/>
        <v/>
      </c>
      <c r="K1059" s="52" t="str">
        <f t="shared" si="220"/>
        <v/>
      </c>
      <c r="L1059" s="53" t="str">
        <f t="shared" si="255"/>
        <v/>
      </c>
      <c r="M1059" s="52" t="str">
        <f t="shared" si="262"/>
        <v/>
      </c>
      <c r="N1059" s="58" t="str">
        <f t="shared" si="256"/>
        <v/>
      </c>
      <c r="Q1059" s="51" t="str">
        <f t="shared" si="263"/>
        <v/>
      </c>
      <c r="R1059" s="52" t="str">
        <f t="shared" si="264"/>
        <v/>
      </c>
      <c r="S1059" s="58" t="str">
        <f t="shared" si="265"/>
        <v/>
      </c>
      <c r="T1059" s="52" t="str">
        <f t="shared" si="257"/>
        <v/>
      </c>
    </row>
    <row r="1060" spans="2:20" ht="15.75" customHeight="1" x14ac:dyDescent="0.25">
      <c r="B1060" s="27">
        <v>100</v>
      </c>
      <c r="C1060" s="28">
        <v>1000</v>
      </c>
      <c r="D1060" s="29">
        <f>C1060/1000</f>
        <v>1</v>
      </c>
      <c r="E1060" s="30">
        <f>E1048-F1048</f>
        <v>35023.687956844049</v>
      </c>
      <c r="F1060" s="48">
        <f>D1060*E1060</f>
        <v>35023.687956844049</v>
      </c>
      <c r="G1060" s="31">
        <f t="shared" si="252"/>
        <v>0</v>
      </c>
      <c r="H1060" s="49"/>
      <c r="I1060" s="51" t="str">
        <f t="shared" si="260"/>
        <v/>
      </c>
      <c r="J1060" s="51" t="str">
        <f t="shared" si="261"/>
        <v/>
      </c>
      <c r="K1060" s="52" t="str">
        <f t="shared" si="220"/>
        <v/>
      </c>
      <c r="L1060" s="53" t="str">
        <f t="shared" si="255"/>
        <v/>
      </c>
      <c r="M1060" s="52" t="str">
        <f t="shared" si="262"/>
        <v/>
      </c>
      <c r="N1060" s="58" t="str">
        <f t="shared" si="256"/>
        <v/>
      </c>
      <c r="Q1060" s="51" t="str">
        <f t="shared" si="263"/>
        <v/>
      </c>
      <c r="R1060" s="52" t="str">
        <f t="shared" si="264"/>
        <v/>
      </c>
      <c r="S1060" s="58" t="str">
        <f t="shared" si="265"/>
        <v/>
      </c>
      <c r="T1060" s="52" t="str">
        <f t="shared" si="257"/>
        <v/>
      </c>
    </row>
    <row r="1061" spans="2:20" ht="15.75" customHeight="1" x14ac:dyDescent="0.25">
      <c r="B1061" s="20"/>
      <c r="D1061" s="21"/>
      <c r="I1061" s="51" t="str">
        <f t="shared" si="260"/>
        <v/>
      </c>
      <c r="J1061" s="51" t="str">
        <f t="shared" si="261"/>
        <v/>
      </c>
      <c r="K1061" s="52" t="str">
        <f t="shared" si="220"/>
        <v/>
      </c>
      <c r="L1061" s="53" t="str">
        <f t="shared" si="255"/>
        <v/>
      </c>
      <c r="M1061" s="52" t="str">
        <f t="shared" si="262"/>
        <v/>
      </c>
      <c r="N1061" s="58" t="str">
        <f t="shared" si="256"/>
        <v/>
      </c>
      <c r="Q1061" s="51" t="str">
        <f t="shared" si="263"/>
        <v/>
      </c>
      <c r="R1061" s="52" t="str">
        <f t="shared" si="264"/>
        <v/>
      </c>
      <c r="S1061" s="58" t="str">
        <f t="shared" si="265"/>
        <v/>
      </c>
      <c r="T1061" s="52" t="str">
        <f t="shared" si="257"/>
        <v/>
      </c>
    </row>
    <row r="1062" spans="2:20" ht="15.75" customHeight="1" x14ac:dyDescent="0.25">
      <c r="B1062" s="20"/>
      <c r="D1062" s="21"/>
      <c r="I1062" s="51" t="str">
        <f t="shared" si="260"/>
        <v/>
      </c>
      <c r="J1062" s="51" t="str">
        <f t="shared" si="261"/>
        <v/>
      </c>
      <c r="K1062" s="52" t="str">
        <f t="shared" si="220"/>
        <v/>
      </c>
      <c r="L1062" s="53" t="str">
        <f t="shared" si="255"/>
        <v/>
      </c>
      <c r="M1062" s="52" t="str">
        <f t="shared" si="262"/>
        <v/>
      </c>
      <c r="N1062" s="58" t="str">
        <f t="shared" si="256"/>
        <v/>
      </c>
      <c r="Q1062" s="51" t="str">
        <f t="shared" si="263"/>
        <v/>
      </c>
      <c r="R1062" s="52" t="str">
        <f t="shared" si="264"/>
        <v/>
      </c>
      <c r="S1062" s="58" t="str">
        <f t="shared" si="265"/>
        <v/>
      </c>
      <c r="T1062" s="52" t="str">
        <f t="shared" si="257"/>
        <v/>
      </c>
    </row>
    <row r="1063" spans="2:20" ht="15.75" customHeight="1" x14ac:dyDescent="0.25">
      <c r="B1063" s="20"/>
      <c r="D1063" s="21"/>
      <c r="I1063" s="51" t="str">
        <f t="shared" si="260"/>
        <v/>
      </c>
      <c r="J1063" s="51" t="str">
        <f t="shared" si="261"/>
        <v/>
      </c>
      <c r="K1063" s="52" t="str">
        <f t="shared" si="220"/>
        <v/>
      </c>
      <c r="L1063" s="53" t="str">
        <f t="shared" si="255"/>
        <v/>
      </c>
      <c r="M1063" s="52" t="str">
        <f t="shared" si="262"/>
        <v/>
      </c>
      <c r="N1063" s="58" t="str">
        <f t="shared" si="256"/>
        <v/>
      </c>
      <c r="Q1063" s="51" t="str">
        <f t="shared" si="263"/>
        <v/>
      </c>
      <c r="R1063" s="52" t="str">
        <f t="shared" si="264"/>
        <v/>
      </c>
      <c r="S1063" s="58" t="str">
        <f t="shared" si="265"/>
        <v/>
      </c>
      <c r="T1063" s="52" t="str">
        <f t="shared" si="257"/>
        <v/>
      </c>
    </row>
    <row r="1064" spans="2:20" ht="15.75" customHeight="1" x14ac:dyDescent="0.25">
      <c r="B1064" s="20"/>
      <c r="D1064" s="21"/>
      <c r="I1064" s="51" t="str">
        <f t="shared" si="260"/>
        <v/>
      </c>
      <c r="J1064" s="51" t="str">
        <f t="shared" si="261"/>
        <v/>
      </c>
      <c r="K1064" s="52" t="str">
        <f t="shared" si="220"/>
        <v/>
      </c>
      <c r="L1064" s="53" t="str">
        <f t="shared" si="255"/>
        <v/>
      </c>
      <c r="M1064" s="52" t="str">
        <f t="shared" si="262"/>
        <v/>
      </c>
      <c r="N1064" s="58" t="str">
        <f t="shared" si="256"/>
        <v/>
      </c>
      <c r="Q1064" s="51" t="str">
        <f t="shared" si="263"/>
        <v/>
      </c>
      <c r="R1064" s="52" t="str">
        <f t="shared" si="264"/>
        <v/>
      </c>
      <c r="S1064" s="58" t="str">
        <f t="shared" si="265"/>
        <v/>
      </c>
      <c r="T1064" s="52" t="str">
        <f t="shared" si="257"/>
        <v/>
      </c>
    </row>
    <row r="1065" spans="2:20" ht="15.75" customHeight="1" x14ac:dyDescent="0.25">
      <c r="B1065" s="20"/>
      <c r="D1065" s="21"/>
      <c r="I1065" s="51" t="str">
        <f t="shared" si="260"/>
        <v/>
      </c>
      <c r="J1065" s="51" t="str">
        <f t="shared" si="261"/>
        <v/>
      </c>
      <c r="K1065" s="52" t="str">
        <f t="shared" si="220"/>
        <v/>
      </c>
      <c r="L1065" s="53" t="str">
        <f t="shared" si="255"/>
        <v/>
      </c>
      <c r="M1065" s="52" t="str">
        <f t="shared" si="262"/>
        <v/>
      </c>
      <c r="N1065" s="58" t="str">
        <f t="shared" si="256"/>
        <v/>
      </c>
      <c r="Q1065" s="51" t="str">
        <f t="shared" si="263"/>
        <v/>
      </c>
      <c r="R1065" s="52" t="str">
        <f t="shared" si="264"/>
        <v/>
      </c>
      <c r="S1065" s="58" t="str">
        <f t="shared" si="265"/>
        <v/>
      </c>
      <c r="T1065" s="52" t="str">
        <f t="shared" si="257"/>
        <v/>
      </c>
    </row>
    <row r="1066" spans="2:20" ht="15.75" customHeight="1" x14ac:dyDescent="0.25">
      <c r="B1066" s="20"/>
      <c r="D1066" s="21"/>
      <c r="I1066" s="51" t="str">
        <f t="shared" si="260"/>
        <v/>
      </c>
      <c r="J1066" s="51" t="str">
        <f t="shared" si="261"/>
        <v/>
      </c>
      <c r="K1066" s="52" t="str">
        <f t="shared" si="220"/>
        <v/>
      </c>
      <c r="L1066" s="53" t="str">
        <f t="shared" si="255"/>
        <v/>
      </c>
      <c r="M1066" s="52" t="str">
        <f t="shared" si="262"/>
        <v/>
      </c>
      <c r="N1066" s="58" t="str">
        <f t="shared" si="256"/>
        <v/>
      </c>
      <c r="Q1066" s="51" t="str">
        <f t="shared" si="263"/>
        <v/>
      </c>
      <c r="R1066" s="52" t="str">
        <f t="shared" si="264"/>
        <v/>
      </c>
      <c r="S1066" s="58" t="str">
        <f t="shared" si="265"/>
        <v/>
      </c>
      <c r="T1066" s="52" t="str">
        <f t="shared" si="257"/>
        <v/>
      </c>
    </row>
    <row r="1067" spans="2:20" ht="15.75" customHeight="1" x14ac:dyDescent="0.25">
      <c r="B1067" s="20"/>
      <c r="D1067" s="21"/>
      <c r="I1067" s="51" t="str">
        <f t="shared" si="260"/>
        <v/>
      </c>
      <c r="J1067" s="51" t="str">
        <f t="shared" si="261"/>
        <v/>
      </c>
      <c r="K1067" s="52" t="str">
        <f t="shared" si="220"/>
        <v/>
      </c>
      <c r="L1067" s="53" t="str">
        <f t="shared" si="255"/>
        <v/>
      </c>
      <c r="M1067" s="52" t="str">
        <f t="shared" si="262"/>
        <v/>
      </c>
      <c r="N1067" s="58" t="str">
        <f t="shared" si="256"/>
        <v/>
      </c>
      <c r="Q1067" s="51" t="str">
        <f t="shared" si="263"/>
        <v/>
      </c>
      <c r="R1067" s="52" t="str">
        <f t="shared" si="264"/>
        <v/>
      </c>
      <c r="S1067" s="58" t="str">
        <f t="shared" si="265"/>
        <v/>
      </c>
      <c r="T1067" s="52" t="str">
        <f t="shared" si="257"/>
        <v/>
      </c>
    </row>
    <row r="1068" spans="2:20" ht="15.75" customHeight="1" x14ac:dyDescent="0.25">
      <c r="B1068" s="20"/>
      <c r="D1068" s="21"/>
      <c r="I1068" s="51" t="str">
        <f t="shared" si="260"/>
        <v/>
      </c>
      <c r="J1068" s="51" t="str">
        <f t="shared" si="261"/>
        <v/>
      </c>
      <c r="K1068" s="52" t="str">
        <f t="shared" si="220"/>
        <v/>
      </c>
      <c r="L1068" s="53" t="str">
        <f t="shared" si="255"/>
        <v/>
      </c>
      <c r="M1068" s="52" t="str">
        <f t="shared" si="262"/>
        <v/>
      </c>
      <c r="N1068" s="58" t="str">
        <f t="shared" si="256"/>
        <v/>
      </c>
      <c r="Q1068" s="51" t="str">
        <f t="shared" si="263"/>
        <v/>
      </c>
      <c r="R1068" s="52" t="str">
        <f t="shared" si="264"/>
        <v/>
      </c>
      <c r="S1068" s="58" t="str">
        <f t="shared" si="265"/>
        <v/>
      </c>
      <c r="T1068" s="52" t="str">
        <f t="shared" si="257"/>
        <v/>
      </c>
    </row>
    <row r="1069" spans="2:20" ht="15.75" customHeight="1" x14ac:dyDescent="0.25">
      <c r="B1069" s="20"/>
      <c r="D1069" s="21"/>
      <c r="I1069" s="51" t="str">
        <f t="shared" si="260"/>
        <v/>
      </c>
      <c r="J1069" s="51" t="str">
        <f t="shared" si="261"/>
        <v/>
      </c>
      <c r="K1069" s="52" t="str">
        <f t="shared" si="220"/>
        <v/>
      </c>
      <c r="L1069" s="53" t="str">
        <f t="shared" si="255"/>
        <v/>
      </c>
      <c r="M1069" s="52" t="str">
        <f t="shared" si="262"/>
        <v/>
      </c>
      <c r="N1069" s="58" t="str">
        <f t="shared" si="256"/>
        <v/>
      </c>
      <c r="Q1069" s="51" t="str">
        <f t="shared" si="263"/>
        <v/>
      </c>
      <c r="R1069" s="52" t="str">
        <f t="shared" si="264"/>
        <v/>
      </c>
      <c r="S1069" s="58" t="str">
        <f t="shared" si="265"/>
        <v/>
      </c>
      <c r="T1069" s="52" t="str">
        <f t="shared" si="257"/>
        <v/>
      </c>
    </row>
    <row r="1070" spans="2:20" ht="15.75" customHeight="1" x14ac:dyDescent="0.25">
      <c r="B1070" s="20"/>
      <c r="D1070" s="21"/>
      <c r="I1070" s="51" t="str">
        <f t="shared" si="260"/>
        <v/>
      </c>
      <c r="J1070" s="51" t="str">
        <f t="shared" si="261"/>
        <v/>
      </c>
      <c r="K1070" s="52" t="str">
        <f t="shared" si="220"/>
        <v/>
      </c>
      <c r="L1070" s="53" t="str">
        <f t="shared" si="255"/>
        <v/>
      </c>
      <c r="M1070" s="52" t="str">
        <f t="shared" si="262"/>
        <v/>
      </c>
      <c r="N1070" s="58" t="str">
        <f t="shared" si="256"/>
        <v/>
      </c>
      <c r="Q1070" s="51" t="str">
        <f t="shared" si="263"/>
        <v/>
      </c>
      <c r="R1070" s="52" t="str">
        <f t="shared" si="264"/>
        <v/>
      </c>
      <c r="S1070" s="58" t="str">
        <f t="shared" si="265"/>
        <v/>
      </c>
      <c r="T1070" s="52" t="str">
        <f t="shared" si="257"/>
        <v/>
      </c>
    </row>
    <row r="1071" spans="2:20" ht="15.75" customHeight="1" x14ac:dyDescent="0.25">
      <c r="B1071" s="20"/>
      <c r="D1071" s="21"/>
      <c r="I1071" s="51" t="str">
        <f t="shared" si="260"/>
        <v/>
      </c>
      <c r="J1071" s="51" t="str">
        <f t="shared" si="261"/>
        <v/>
      </c>
      <c r="K1071" s="52" t="str">
        <f t="shared" si="220"/>
        <v/>
      </c>
      <c r="L1071" s="53" t="str">
        <f t="shared" si="255"/>
        <v/>
      </c>
      <c r="M1071" s="52" t="str">
        <f t="shared" si="262"/>
        <v/>
      </c>
      <c r="N1071" s="58" t="str">
        <f t="shared" si="256"/>
        <v/>
      </c>
      <c r="Q1071" s="51" t="str">
        <f t="shared" si="263"/>
        <v/>
      </c>
      <c r="R1071" s="52" t="str">
        <f t="shared" si="264"/>
        <v/>
      </c>
      <c r="S1071" s="58" t="str">
        <f t="shared" si="265"/>
        <v/>
      </c>
      <c r="T1071" s="52" t="str">
        <f t="shared" si="257"/>
        <v/>
      </c>
    </row>
    <row r="1072" spans="2:20" ht="15.75" customHeight="1" x14ac:dyDescent="0.25">
      <c r="B1072" s="20"/>
      <c r="D1072" s="21"/>
      <c r="I1072" s="51" t="str">
        <f t="shared" si="260"/>
        <v/>
      </c>
      <c r="J1072" s="51" t="str">
        <f t="shared" si="261"/>
        <v/>
      </c>
      <c r="K1072" s="52" t="str">
        <f t="shared" si="220"/>
        <v/>
      </c>
      <c r="L1072" s="53" t="str">
        <f t="shared" si="255"/>
        <v/>
      </c>
      <c r="M1072" s="52" t="str">
        <f t="shared" si="262"/>
        <v/>
      </c>
      <c r="N1072" s="58" t="str">
        <f t="shared" si="256"/>
        <v/>
      </c>
      <c r="Q1072" s="51" t="str">
        <f t="shared" si="263"/>
        <v/>
      </c>
      <c r="R1072" s="52" t="str">
        <f t="shared" si="264"/>
        <v/>
      </c>
      <c r="S1072" s="58" t="str">
        <f t="shared" si="265"/>
        <v/>
      </c>
      <c r="T1072" s="52" t="str">
        <f t="shared" si="257"/>
        <v/>
      </c>
    </row>
    <row r="1073" spans="2:20" ht="15.75" customHeight="1" x14ac:dyDescent="0.25">
      <c r="B1073" s="20"/>
      <c r="D1073" s="21"/>
      <c r="I1073" s="62"/>
      <c r="J1073" s="51"/>
      <c r="K1073" s="63"/>
      <c r="L1073" s="64"/>
      <c r="M1073" s="65"/>
      <c r="N1073" s="66"/>
      <c r="Q1073" s="51" t="str">
        <f t="shared" si="263"/>
        <v/>
      </c>
      <c r="R1073" s="52" t="str">
        <f t="shared" si="264"/>
        <v/>
      </c>
      <c r="S1073" s="58" t="str">
        <f t="shared" si="265"/>
        <v/>
      </c>
      <c r="T1073" s="52" t="str">
        <f t="shared" si="257"/>
        <v/>
      </c>
    </row>
    <row r="1074" spans="2:20" ht="15.75" customHeight="1" x14ac:dyDescent="0.25">
      <c r="B1074" s="20"/>
      <c r="D1074" s="21"/>
      <c r="I1074" s="62"/>
      <c r="J1074" s="51"/>
      <c r="K1074" s="63"/>
      <c r="L1074" s="64"/>
      <c r="M1074" s="65"/>
      <c r="N1074" s="66"/>
      <c r="Q1074" s="51" t="str">
        <f t="shared" si="263"/>
        <v/>
      </c>
      <c r="R1074" s="52" t="str">
        <f t="shared" si="264"/>
        <v/>
      </c>
      <c r="S1074" s="58" t="str">
        <f t="shared" si="265"/>
        <v/>
      </c>
      <c r="T1074" s="52" t="str">
        <f t="shared" si="257"/>
        <v/>
      </c>
    </row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000"/>
  <sheetViews>
    <sheetView showGridLines="0" zoomScaleNormal="100" workbookViewId="0">
      <selection activeCell="T8" sqref="T8"/>
    </sheetView>
  </sheetViews>
  <sheetFormatPr baseColWidth="10" defaultColWidth="12.5703125" defaultRowHeight="15" customHeight="1" x14ac:dyDescent="0.25"/>
  <cols>
    <col min="1" max="1" width="1.5703125" customWidth="1"/>
    <col min="2" max="2" width="4.28515625" customWidth="1"/>
    <col min="3" max="3" width="13.28515625" customWidth="1"/>
    <col min="4" max="4" width="10.42578125" bestFit="1" customWidth="1"/>
    <col min="5" max="5" width="1.28515625" customWidth="1"/>
    <col min="6" max="6" width="3.28515625" customWidth="1"/>
    <col min="7" max="7" width="11.7109375" customWidth="1"/>
    <col min="8" max="8" width="9.42578125" customWidth="1"/>
    <col min="9" max="9" width="9" customWidth="1"/>
    <col min="10" max="10" width="11.42578125" customWidth="1"/>
    <col min="11" max="11" width="9.28515625" customWidth="1"/>
    <col min="12" max="12" width="13" customWidth="1"/>
    <col min="13" max="14" width="14.140625" customWidth="1"/>
    <col min="15" max="15" width="12.7109375" customWidth="1"/>
    <col min="16" max="16" width="17.42578125" customWidth="1"/>
    <col min="17" max="17" width="14.140625" customWidth="1"/>
    <col min="18" max="18" width="2" customWidth="1"/>
    <col min="19" max="19" width="3.140625" customWidth="1"/>
    <col min="20" max="20" width="2.85546875" customWidth="1"/>
    <col min="21" max="21" width="10.5703125" customWidth="1"/>
    <col min="22" max="22" width="12.5703125" customWidth="1"/>
    <col min="23" max="26" width="10.5703125" customWidth="1"/>
  </cols>
  <sheetData>
    <row r="1" spans="2:20" ht="24" x14ac:dyDescent="0.4">
      <c r="F1" s="67"/>
      <c r="K1" s="1" t="s">
        <v>0</v>
      </c>
      <c r="N1" s="112" t="s">
        <v>48</v>
      </c>
      <c r="S1" s="7"/>
      <c r="T1" s="7"/>
    </row>
    <row r="2" spans="2:20" x14ac:dyDescent="0.25">
      <c r="F2" s="68"/>
      <c r="G2" s="17" t="s">
        <v>1</v>
      </c>
      <c r="H2" s="69" t="s">
        <v>2</v>
      </c>
      <c r="S2" s="7"/>
      <c r="T2" s="7"/>
    </row>
    <row r="3" spans="2:20" ht="12" customHeight="1" x14ac:dyDescent="0.25">
      <c r="B3" s="102" t="s">
        <v>16</v>
      </c>
      <c r="C3" s="103" t="s">
        <v>17</v>
      </c>
      <c r="D3" s="104" t="s">
        <v>18</v>
      </c>
      <c r="J3" s="70"/>
      <c r="S3" s="7"/>
      <c r="T3" s="7"/>
    </row>
    <row r="4" spans="2:20" ht="22.5" x14ac:dyDescent="0.25">
      <c r="B4" s="105">
        <v>12</v>
      </c>
      <c r="C4" s="106">
        <v>0.39599999999999996</v>
      </c>
      <c r="D4" s="107">
        <f t="shared" ref="D4:D92" si="0">C4/1000</f>
        <v>3.9599999999999998E-4</v>
      </c>
      <c r="E4" s="71"/>
      <c r="G4" s="72" t="s">
        <v>5</v>
      </c>
      <c r="H4" s="38">
        <f>'Prima Riesgo'!C6</f>
        <v>65</v>
      </c>
      <c r="J4" s="72" t="s">
        <v>6</v>
      </c>
      <c r="K4" s="39">
        <f>Q12</f>
        <v>8.3988895787653437</v>
      </c>
      <c r="M4" s="17" t="s">
        <v>7</v>
      </c>
      <c r="N4" s="12">
        <f>'Prima Riesgo'!I6</f>
        <v>1000000</v>
      </c>
      <c r="O4" s="73"/>
      <c r="P4" s="17" t="s">
        <v>12</v>
      </c>
      <c r="Q4" s="12">
        <f>'Prima Riesgo'!L8</f>
        <v>7500</v>
      </c>
    </row>
    <row r="5" spans="2:20" x14ac:dyDescent="0.25">
      <c r="B5" s="108">
        <v>13</v>
      </c>
      <c r="C5" s="109">
        <v>0.42700000000000005</v>
      </c>
      <c r="D5" s="110">
        <f t="shared" si="0"/>
        <v>4.2700000000000002E-4</v>
      </c>
      <c r="E5" s="71"/>
      <c r="N5" s="94"/>
    </row>
    <row r="6" spans="2:20" ht="22.5" x14ac:dyDescent="0.25">
      <c r="B6" s="105">
        <v>14</v>
      </c>
      <c r="C6" s="106">
        <v>0.46</v>
      </c>
      <c r="D6" s="107">
        <f t="shared" si="0"/>
        <v>4.6000000000000001E-4</v>
      </c>
      <c r="E6" s="71"/>
      <c r="G6" s="72" t="s">
        <v>9</v>
      </c>
      <c r="H6" s="14">
        <f>B92-H4</f>
        <v>35</v>
      </c>
      <c r="J6" s="17" t="s">
        <v>10</v>
      </c>
      <c r="K6" s="16">
        <f>'Prima Riesgo'!F8</f>
        <v>9.4700000000000006E-2</v>
      </c>
      <c r="M6" s="17" t="s">
        <v>22</v>
      </c>
      <c r="N6" s="12">
        <f>N4/Q12</f>
        <v>119063.35839064601</v>
      </c>
      <c r="O6" s="73"/>
      <c r="P6" s="17" t="s">
        <v>15</v>
      </c>
      <c r="Q6" s="12">
        <f>Q4*Q12</f>
        <v>62991.671840740077</v>
      </c>
    </row>
    <row r="7" spans="2:20" x14ac:dyDescent="0.25">
      <c r="B7" s="105">
        <v>15</v>
      </c>
      <c r="C7" s="106">
        <v>0.495</v>
      </c>
      <c r="D7" s="107">
        <f t="shared" si="0"/>
        <v>4.95E-4</v>
      </c>
      <c r="E7" s="71"/>
      <c r="S7" s="7"/>
      <c r="T7" s="7"/>
    </row>
    <row r="8" spans="2:20" x14ac:dyDescent="0.25">
      <c r="B8" s="105">
        <v>16</v>
      </c>
      <c r="C8" s="106">
        <v>0.53300000000000003</v>
      </c>
      <c r="D8" s="107">
        <f t="shared" si="0"/>
        <v>5.3300000000000005E-4</v>
      </c>
      <c r="E8" s="71"/>
      <c r="G8" s="74"/>
      <c r="H8" s="75"/>
      <c r="J8" s="74"/>
      <c r="K8" s="75"/>
      <c r="L8" s="76"/>
      <c r="M8" s="76"/>
      <c r="N8" s="77"/>
      <c r="S8" s="7"/>
      <c r="T8" s="7"/>
    </row>
    <row r="9" spans="2:20" x14ac:dyDescent="0.25">
      <c r="B9" s="105">
        <v>17</v>
      </c>
      <c r="C9" s="106">
        <v>0.57499999999999996</v>
      </c>
      <c r="D9" s="107">
        <f t="shared" si="0"/>
        <v>5.7499999999999999E-4</v>
      </c>
      <c r="E9" s="71"/>
      <c r="J9" s="78" t="str">
        <f>IF(K8&gt;K4,"El plazo de pago de primas es incorrecto","")</f>
        <v/>
      </c>
      <c r="S9" s="7"/>
      <c r="T9" s="7"/>
    </row>
    <row r="10" spans="2:20" x14ac:dyDescent="0.25">
      <c r="B10" s="105">
        <v>18</v>
      </c>
      <c r="C10" s="106">
        <v>0.61899999999999999</v>
      </c>
      <c r="D10" s="107">
        <f t="shared" si="0"/>
        <v>6.1899999999999998E-4</v>
      </c>
      <c r="E10" s="71"/>
      <c r="S10" s="7"/>
      <c r="T10" s="7"/>
    </row>
    <row r="11" spans="2:20" x14ac:dyDescent="0.25">
      <c r="B11" s="105">
        <v>19</v>
      </c>
      <c r="C11" s="106">
        <v>0.66699999999999993</v>
      </c>
      <c r="D11" s="107">
        <f t="shared" si="0"/>
        <v>6.6699999999999995E-4</v>
      </c>
      <c r="E11" s="71"/>
      <c r="S11" s="7"/>
      <c r="T11" s="7"/>
    </row>
    <row r="12" spans="2:20" x14ac:dyDescent="0.25">
      <c r="B12" s="105">
        <v>20</v>
      </c>
      <c r="C12" s="106">
        <v>0.71799999999999997</v>
      </c>
      <c r="D12" s="107">
        <f t="shared" si="0"/>
        <v>7.18E-4</v>
      </c>
      <c r="E12" s="79"/>
      <c r="J12" s="80"/>
      <c r="L12" s="81"/>
      <c r="M12" s="81"/>
      <c r="O12" s="80"/>
      <c r="P12" t="s">
        <v>34</v>
      </c>
      <c r="Q12" s="21">
        <f>SUM(Q14:Q104)</f>
        <v>8.3988895787653437</v>
      </c>
      <c r="S12" s="7"/>
      <c r="T12" s="7"/>
    </row>
    <row r="13" spans="2:20" ht="25.5" customHeight="1" x14ac:dyDescent="0.25">
      <c r="B13" s="105">
        <v>21</v>
      </c>
      <c r="C13" s="106">
        <v>0.77300000000000002</v>
      </c>
      <c r="D13" s="107">
        <f t="shared" si="0"/>
        <v>7.7300000000000003E-4</v>
      </c>
      <c r="E13" s="79"/>
      <c r="F13" s="90" t="s">
        <v>24</v>
      </c>
      <c r="G13" s="90" t="s">
        <v>25</v>
      </c>
      <c r="H13" s="90" t="s">
        <v>35</v>
      </c>
      <c r="I13" s="90" t="s">
        <v>36</v>
      </c>
      <c r="J13" s="90" t="s">
        <v>37</v>
      </c>
      <c r="K13" s="92" t="s">
        <v>29</v>
      </c>
      <c r="L13" s="82"/>
      <c r="M13" s="44"/>
      <c r="N13" s="101" t="s">
        <v>30</v>
      </c>
      <c r="O13" s="98" t="s">
        <v>38</v>
      </c>
      <c r="P13" s="99" t="s">
        <v>32</v>
      </c>
      <c r="Q13" s="100" t="s">
        <v>33</v>
      </c>
      <c r="S13" s="7"/>
      <c r="T13" s="7"/>
    </row>
    <row r="14" spans="2:20" x14ac:dyDescent="0.25">
      <c r="B14" s="105">
        <v>22</v>
      </c>
      <c r="C14" s="106">
        <v>0.83299999999999996</v>
      </c>
      <c r="D14" s="107">
        <f t="shared" si="0"/>
        <v>8.3299999999999997E-4</v>
      </c>
      <c r="E14" s="79"/>
      <c r="F14" s="65">
        <v>0</v>
      </c>
      <c r="G14" s="51">
        <f>H4</f>
        <v>65</v>
      </c>
      <c r="H14" s="63">
        <f t="shared" ref="H14:H104" si="1">IFERROR(VLOOKUP(G14,$B$3:$D$92,3,FALSE),"")</f>
        <v>1.9980000000000001E-2</v>
      </c>
      <c r="I14" s="63">
        <f t="shared" ref="I14:I104" si="2">IF(F14&lt;&gt;"",1-H14,"")</f>
        <v>0.98002</v>
      </c>
      <c r="J14" s="83">
        <f>IF(F14&lt;&gt;"",1,"")</f>
        <v>1</v>
      </c>
      <c r="K14" s="84">
        <f t="shared" ref="K14:K104" si="3">IF(F14&lt;&gt;"",(1+$K$6)^-(1+F14),"")</f>
        <v>0.91349228099022561</v>
      </c>
      <c r="L14" s="85"/>
      <c r="M14" s="57"/>
      <c r="N14" s="65">
        <v>0</v>
      </c>
      <c r="O14" s="63">
        <f>IF(N14&lt;&gt;"",1,"")</f>
        <v>1</v>
      </c>
      <c r="P14" s="66">
        <f t="shared" ref="P14:P104" si="4">IF(N14&lt;&gt;"",(1+$K$6)^-(N14),"")</f>
        <v>1</v>
      </c>
      <c r="Q14" s="63">
        <f t="shared" ref="Q14:Q104" si="5">IFERROR(P14*O14,"")</f>
        <v>1</v>
      </c>
      <c r="S14" s="7"/>
      <c r="T14" s="7"/>
    </row>
    <row r="15" spans="2:20" x14ac:dyDescent="0.25">
      <c r="B15" s="105">
        <v>23</v>
      </c>
      <c r="C15" s="106">
        <v>0.89700000000000002</v>
      </c>
      <c r="D15" s="107">
        <f t="shared" si="0"/>
        <v>8.9700000000000001E-4</v>
      </c>
      <c r="E15" s="79"/>
      <c r="F15" s="65">
        <f t="shared" ref="F15:F104" si="6">IFERROR(IF(F14+1&lt;$H$6,F14+1,""),"")</f>
        <v>1</v>
      </c>
      <c r="G15" s="86">
        <f t="shared" ref="G15:G104" si="7">IF(F15&lt;&gt;"",G14+1,"")</f>
        <v>66</v>
      </c>
      <c r="H15" s="63">
        <f t="shared" si="1"/>
        <v>2.1489999999999999E-2</v>
      </c>
      <c r="I15" s="65">
        <f t="shared" si="2"/>
        <v>0.97850999999999999</v>
      </c>
      <c r="J15" s="65">
        <f t="shared" ref="J15:J104" si="8">IF(F15&lt;&gt;"",J14*I14,"")</f>
        <v>0.98002</v>
      </c>
      <c r="K15" s="66">
        <f t="shared" si="3"/>
        <v>0.83446814742872533</v>
      </c>
      <c r="L15" s="60"/>
      <c r="M15" s="60"/>
      <c r="N15" s="65">
        <f t="shared" ref="N15:N104" si="9">IFERROR(IF(N14+1&lt;$H$6,N14+1,""),"")</f>
        <v>1</v>
      </c>
      <c r="O15" s="63">
        <f t="shared" ref="O15:O104" si="10">IF(N15&lt;&gt;"",O14*I14,"")</f>
        <v>0.98002</v>
      </c>
      <c r="P15" s="66">
        <f t="shared" si="4"/>
        <v>0.91349228099022561</v>
      </c>
      <c r="Q15" s="63">
        <f t="shared" si="5"/>
        <v>0.89524070521604093</v>
      </c>
      <c r="S15" s="7"/>
      <c r="T15" s="7"/>
    </row>
    <row r="16" spans="2:20" x14ac:dyDescent="0.25">
      <c r="B16" s="105">
        <v>24</v>
      </c>
      <c r="C16" s="106">
        <v>0.96599999999999997</v>
      </c>
      <c r="D16" s="107">
        <f t="shared" si="0"/>
        <v>9.6599999999999995E-4</v>
      </c>
      <c r="E16" s="79"/>
      <c r="F16" s="65">
        <f t="shared" si="6"/>
        <v>2</v>
      </c>
      <c r="G16" s="86">
        <f t="shared" si="7"/>
        <v>67</v>
      </c>
      <c r="H16" s="63">
        <f t="shared" si="1"/>
        <v>2.3111E-2</v>
      </c>
      <c r="I16" s="65">
        <f t="shared" si="2"/>
        <v>0.97688900000000001</v>
      </c>
      <c r="J16" s="65">
        <f t="shared" si="8"/>
        <v>0.95895937019999999</v>
      </c>
      <c r="K16" s="66">
        <f t="shared" si="3"/>
        <v>0.76228021140835422</v>
      </c>
      <c r="L16" s="60"/>
      <c r="M16" s="60"/>
      <c r="N16" s="65">
        <f t="shared" si="9"/>
        <v>2</v>
      </c>
      <c r="O16" s="63">
        <f t="shared" si="10"/>
        <v>0.95895937019999999</v>
      </c>
      <c r="P16" s="66">
        <f t="shared" si="4"/>
        <v>0.83446814742872533</v>
      </c>
      <c r="Q16" s="63">
        <f t="shared" si="5"/>
        <v>0.80022104911021119</v>
      </c>
      <c r="S16" s="7"/>
      <c r="T16" s="7"/>
    </row>
    <row r="17" spans="2:23" x14ac:dyDescent="0.25">
      <c r="B17" s="105">
        <v>25</v>
      </c>
      <c r="C17" s="106">
        <v>1.0410000000000001</v>
      </c>
      <c r="D17" s="107">
        <f t="shared" si="0"/>
        <v>1.041E-3</v>
      </c>
      <c r="E17" s="79"/>
      <c r="F17" s="65">
        <f t="shared" si="6"/>
        <v>3</v>
      </c>
      <c r="G17" s="86">
        <f t="shared" si="7"/>
        <v>68</v>
      </c>
      <c r="H17" s="63">
        <f t="shared" si="1"/>
        <v>2.4851000000000002E-2</v>
      </c>
      <c r="I17" s="65">
        <f t="shared" si="2"/>
        <v>0.97514900000000004</v>
      </c>
      <c r="J17" s="65">
        <f t="shared" si="8"/>
        <v>0.93679686019530783</v>
      </c>
      <c r="K17" s="66">
        <f t="shared" si="3"/>
        <v>0.69633708907312886</v>
      </c>
      <c r="L17" s="60"/>
      <c r="M17" s="60"/>
      <c r="N17" s="65">
        <f t="shared" si="9"/>
        <v>3</v>
      </c>
      <c r="O17" s="63">
        <f t="shared" si="10"/>
        <v>0.93679686019530783</v>
      </c>
      <c r="P17" s="66">
        <f t="shared" si="4"/>
        <v>0.76228021140835422</v>
      </c>
      <c r="Q17" s="63">
        <f t="shared" si="5"/>
        <v>0.71410170863636169</v>
      </c>
      <c r="S17" s="7"/>
      <c r="T17" s="7"/>
    </row>
    <row r="18" spans="2:23" x14ac:dyDescent="0.25">
      <c r="B18" s="105">
        <v>26</v>
      </c>
      <c r="C18" s="106">
        <v>1.121</v>
      </c>
      <c r="D18" s="107">
        <f t="shared" si="0"/>
        <v>1.121E-3</v>
      </c>
      <c r="E18" s="79"/>
      <c r="F18" s="65">
        <f t="shared" si="6"/>
        <v>4</v>
      </c>
      <c r="G18" s="86">
        <f t="shared" si="7"/>
        <v>69</v>
      </c>
      <c r="H18" s="63">
        <f t="shared" si="1"/>
        <v>2.6719999999999997E-2</v>
      </c>
      <c r="I18" s="65">
        <f t="shared" si="2"/>
        <v>0.97328000000000003</v>
      </c>
      <c r="J18" s="65">
        <f t="shared" si="8"/>
        <v>0.91351652142259432</v>
      </c>
      <c r="K18" s="66">
        <f t="shared" si="3"/>
        <v>0.63609855583550645</v>
      </c>
      <c r="L18" s="60"/>
      <c r="M18" s="60"/>
      <c r="N18" s="65">
        <f t="shared" si="9"/>
        <v>4</v>
      </c>
      <c r="O18" s="63">
        <f t="shared" si="10"/>
        <v>0.91351652142259432</v>
      </c>
      <c r="P18" s="66">
        <f t="shared" si="4"/>
        <v>0.69633708907312886</v>
      </c>
      <c r="Q18" s="63">
        <f t="shared" si="5"/>
        <v>0.63611543534761994</v>
      </c>
      <c r="S18" s="7"/>
      <c r="T18" s="7"/>
    </row>
    <row r="19" spans="2:23" x14ac:dyDescent="0.25">
      <c r="B19" s="105">
        <v>27</v>
      </c>
      <c r="C19" s="106">
        <v>1.2069999999999999</v>
      </c>
      <c r="D19" s="107">
        <f t="shared" si="0"/>
        <v>1.207E-3</v>
      </c>
      <c r="E19" s="79"/>
      <c r="F19" s="65">
        <f t="shared" si="6"/>
        <v>5</v>
      </c>
      <c r="G19" s="86">
        <f t="shared" si="7"/>
        <v>70</v>
      </c>
      <c r="H19" s="63">
        <f t="shared" si="1"/>
        <v>2.8724E-2</v>
      </c>
      <c r="I19" s="65">
        <f t="shared" si="2"/>
        <v>0.97127600000000003</v>
      </c>
      <c r="J19" s="65">
        <f t="shared" si="8"/>
        <v>0.88910735997018264</v>
      </c>
      <c r="K19" s="66">
        <f t="shared" si="3"/>
        <v>0.58107112070476519</v>
      </c>
      <c r="L19" s="60"/>
      <c r="M19" s="60"/>
      <c r="N19" s="65">
        <f t="shared" si="9"/>
        <v>5</v>
      </c>
      <c r="O19" s="63">
        <f t="shared" si="10"/>
        <v>0.88910735997018264</v>
      </c>
      <c r="P19" s="66">
        <f t="shared" si="4"/>
        <v>0.63609855583550645</v>
      </c>
      <c r="Q19" s="63">
        <f t="shared" si="5"/>
        <v>0.56555990765975295</v>
      </c>
      <c r="S19" s="7"/>
      <c r="T19" s="7"/>
      <c r="W19" s="73"/>
    </row>
    <row r="20" spans="2:23" x14ac:dyDescent="0.25">
      <c r="B20" s="105">
        <v>28</v>
      </c>
      <c r="C20" s="106">
        <v>1.3</v>
      </c>
      <c r="D20" s="107">
        <f t="shared" si="0"/>
        <v>1.2999999999999999E-3</v>
      </c>
      <c r="E20" s="79"/>
      <c r="F20" s="65">
        <f t="shared" si="6"/>
        <v>6</v>
      </c>
      <c r="G20" s="86">
        <f t="shared" si="7"/>
        <v>71</v>
      </c>
      <c r="H20" s="63">
        <f t="shared" si="1"/>
        <v>3.0873999999999999E-2</v>
      </c>
      <c r="I20" s="65">
        <f t="shared" si="2"/>
        <v>0.96912600000000004</v>
      </c>
      <c r="J20" s="65">
        <f t="shared" si="8"/>
        <v>0.86356864016239909</v>
      </c>
      <c r="K20" s="66">
        <f t="shared" si="3"/>
        <v>0.53080398347014268</v>
      </c>
      <c r="L20" s="60"/>
      <c r="M20" s="60"/>
      <c r="N20" s="65">
        <f t="shared" si="9"/>
        <v>6</v>
      </c>
      <c r="O20" s="63">
        <f t="shared" si="10"/>
        <v>0.86356864016239909</v>
      </c>
      <c r="P20" s="66">
        <f t="shared" si="4"/>
        <v>0.58107112070476519</v>
      </c>
      <c r="Q20" s="63">
        <f t="shared" si="5"/>
        <v>0.50179479754465539</v>
      </c>
      <c r="S20" s="7"/>
      <c r="T20" s="7"/>
    </row>
    <row r="21" spans="2:23" ht="15.75" customHeight="1" x14ac:dyDescent="0.25">
      <c r="B21" s="105">
        <v>29</v>
      </c>
      <c r="C21" s="106">
        <v>1.4</v>
      </c>
      <c r="D21" s="107">
        <f t="shared" si="0"/>
        <v>1.4E-3</v>
      </c>
      <c r="E21" s="79"/>
      <c r="F21" s="65">
        <f t="shared" si="6"/>
        <v>7</v>
      </c>
      <c r="G21" s="86">
        <f t="shared" si="7"/>
        <v>72</v>
      </c>
      <c r="H21" s="63">
        <f t="shared" si="1"/>
        <v>3.3180000000000001E-2</v>
      </c>
      <c r="I21" s="65">
        <f t="shared" si="2"/>
        <v>0.96682000000000001</v>
      </c>
      <c r="J21" s="65">
        <f t="shared" si="8"/>
        <v>0.83690682196602517</v>
      </c>
      <c r="K21" s="66">
        <f t="shared" si="3"/>
        <v>0.48488534161883862</v>
      </c>
      <c r="L21" s="60"/>
      <c r="M21" s="60"/>
      <c r="N21" s="65">
        <f t="shared" si="9"/>
        <v>7</v>
      </c>
      <c r="O21" s="63">
        <f t="shared" si="10"/>
        <v>0.83690682196602517</v>
      </c>
      <c r="P21" s="66">
        <f t="shared" si="4"/>
        <v>0.53080398347014268</v>
      </c>
      <c r="Q21" s="63">
        <f t="shared" si="5"/>
        <v>0.44423347489290366</v>
      </c>
      <c r="S21" s="7"/>
      <c r="T21" s="7"/>
    </row>
    <row r="22" spans="2:23" ht="15.75" customHeight="1" x14ac:dyDescent="0.25">
      <c r="B22" s="105">
        <v>30</v>
      </c>
      <c r="C22" s="106">
        <v>1.508</v>
      </c>
      <c r="D22" s="107">
        <f t="shared" si="0"/>
        <v>1.508E-3</v>
      </c>
      <c r="E22" s="79"/>
      <c r="F22" s="65">
        <f t="shared" si="6"/>
        <v>8</v>
      </c>
      <c r="G22" s="86">
        <f t="shared" si="7"/>
        <v>73</v>
      </c>
      <c r="H22" s="63">
        <f t="shared" si="1"/>
        <v>3.5651000000000002E-2</v>
      </c>
      <c r="I22" s="65">
        <f t="shared" si="2"/>
        <v>0.96434900000000001</v>
      </c>
      <c r="J22" s="65">
        <f t="shared" si="8"/>
        <v>0.80913825361319247</v>
      </c>
      <c r="K22" s="66">
        <f t="shared" si="3"/>
        <v>0.44293901673411773</v>
      </c>
      <c r="L22" s="60"/>
      <c r="M22" s="60"/>
      <c r="N22" s="65">
        <f t="shared" si="9"/>
        <v>8</v>
      </c>
      <c r="O22" s="63">
        <f t="shared" si="10"/>
        <v>0.80913825361319247</v>
      </c>
      <c r="P22" s="66">
        <f t="shared" si="4"/>
        <v>0.48488534161883862</v>
      </c>
      <c r="Q22" s="63">
        <f t="shared" si="5"/>
        <v>0.39233927852010331</v>
      </c>
      <c r="S22" s="7"/>
      <c r="T22" s="7"/>
      <c r="W22" s="87"/>
    </row>
    <row r="23" spans="2:23" ht="15.75" customHeight="1" x14ac:dyDescent="0.25">
      <c r="B23" s="105">
        <v>31</v>
      </c>
      <c r="C23" s="106">
        <v>1.6240000000000001</v>
      </c>
      <c r="D23" s="107">
        <f t="shared" si="0"/>
        <v>1.624E-3</v>
      </c>
      <c r="E23" s="79"/>
      <c r="F23" s="65">
        <f t="shared" si="6"/>
        <v>9</v>
      </c>
      <c r="G23" s="86">
        <f t="shared" si="7"/>
        <v>74</v>
      </c>
      <c r="H23" s="63">
        <f t="shared" si="1"/>
        <v>3.8299999999999994E-2</v>
      </c>
      <c r="I23" s="65">
        <f t="shared" si="2"/>
        <v>0.9617</v>
      </c>
      <c r="J23" s="65">
        <f t="shared" si="8"/>
        <v>0.78029166573362851</v>
      </c>
      <c r="K23" s="66">
        <f t="shared" si="3"/>
        <v>0.40462137273601689</v>
      </c>
      <c r="L23" s="60"/>
      <c r="M23" s="60"/>
      <c r="N23" s="65">
        <f t="shared" si="9"/>
        <v>9</v>
      </c>
      <c r="O23" s="63">
        <f t="shared" si="10"/>
        <v>0.78029166573362851</v>
      </c>
      <c r="P23" s="66">
        <f t="shared" si="4"/>
        <v>0.44293901673411773</v>
      </c>
      <c r="Q23" s="63">
        <f t="shared" si="5"/>
        <v>0.3456216231858803</v>
      </c>
      <c r="S23" s="7"/>
      <c r="T23" s="7"/>
    </row>
    <row r="24" spans="2:23" ht="15.75" customHeight="1" x14ac:dyDescent="0.25">
      <c r="B24" s="105">
        <v>32</v>
      </c>
      <c r="C24" s="106">
        <v>1.7489999999999999</v>
      </c>
      <c r="D24" s="107">
        <f t="shared" si="0"/>
        <v>1.7489999999999999E-3</v>
      </c>
      <c r="E24" s="79"/>
      <c r="F24" s="65">
        <f t="shared" si="6"/>
        <v>10</v>
      </c>
      <c r="G24" s="86">
        <f t="shared" si="7"/>
        <v>75</v>
      </c>
      <c r="H24" s="65">
        <f t="shared" si="1"/>
        <v>4.1135999999999999E-2</v>
      </c>
      <c r="I24" s="65">
        <f t="shared" si="2"/>
        <v>0.95886400000000005</v>
      </c>
      <c r="J24" s="65">
        <f t="shared" si="8"/>
        <v>0.75040649493603051</v>
      </c>
      <c r="K24" s="66">
        <f t="shared" si="3"/>
        <v>0.36961850071802038</v>
      </c>
      <c r="L24" s="60"/>
      <c r="M24" s="60"/>
      <c r="N24" s="65">
        <f t="shared" si="9"/>
        <v>10</v>
      </c>
      <c r="O24" s="63">
        <f t="shared" si="10"/>
        <v>0.75040649493603051</v>
      </c>
      <c r="P24" s="66">
        <f t="shared" si="4"/>
        <v>0.40462137273601689</v>
      </c>
      <c r="Q24" s="63">
        <f t="shared" si="5"/>
        <v>0.30363050609103959</v>
      </c>
      <c r="S24" s="7"/>
      <c r="T24" s="7"/>
    </row>
    <row r="25" spans="2:23" ht="15.75" customHeight="1" x14ac:dyDescent="0.25">
      <c r="B25" s="105">
        <v>33</v>
      </c>
      <c r="C25" s="106">
        <v>1.8840000000000001</v>
      </c>
      <c r="D25" s="107">
        <f t="shared" si="0"/>
        <v>1.884E-3</v>
      </c>
      <c r="E25" s="79"/>
      <c r="F25" s="65">
        <f t="shared" si="6"/>
        <v>11</v>
      </c>
      <c r="G25" s="86">
        <f t="shared" si="7"/>
        <v>76</v>
      </c>
      <c r="H25" s="65">
        <f t="shared" si="1"/>
        <v>4.4173999999999998E-2</v>
      </c>
      <c r="I25" s="65">
        <f t="shared" si="2"/>
        <v>0.95582599999999995</v>
      </c>
      <c r="J25" s="65">
        <f t="shared" si="8"/>
        <v>0.71953777336034197</v>
      </c>
      <c r="K25" s="66">
        <f t="shared" si="3"/>
        <v>0.33764364731709179</v>
      </c>
      <c r="L25" s="60"/>
      <c r="M25" s="60"/>
      <c r="N25" s="65">
        <f t="shared" si="9"/>
        <v>11</v>
      </c>
      <c r="O25" s="63">
        <f t="shared" si="10"/>
        <v>0.71953777336034197</v>
      </c>
      <c r="P25" s="66">
        <f t="shared" si="4"/>
        <v>0.36961850071802038</v>
      </c>
      <c r="Q25" s="63">
        <f t="shared" si="5"/>
        <v>0.26595447299943237</v>
      </c>
      <c r="S25" s="7"/>
      <c r="T25" s="7"/>
    </row>
    <row r="26" spans="2:23" ht="15.75" customHeight="1" x14ac:dyDescent="0.25">
      <c r="B26" s="105">
        <v>34</v>
      </c>
      <c r="C26" s="106">
        <v>2.0289999999999999</v>
      </c>
      <c r="D26" s="107">
        <f t="shared" si="0"/>
        <v>2.029E-3</v>
      </c>
      <c r="E26" s="79"/>
      <c r="F26" s="65">
        <f t="shared" si="6"/>
        <v>12</v>
      </c>
      <c r="G26" s="86">
        <f t="shared" si="7"/>
        <v>77</v>
      </c>
      <c r="H26" s="65">
        <f t="shared" si="1"/>
        <v>4.7424000000000001E-2</v>
      </c>
      <c r="I26" s="65">
        <f t="shared" si="2"/>
        <v>0.95257599999999998</v>
      </c>
      <c r="J26" s="65">
        <f t="shared" si="8"/>
        <v>0.68775291175992215</v>
      </c>
      <c r="K26" s="66">
        <f t="shared" si="3"/>
        <v>0.30843486554954941</v>
      </c>
      <c r="L26" s="60"/>
      <c r="M26" s="60"/>
      <c r="N26" s="65">
        <f t="shared" si="9"/>
        <v>12</v>
      </c>
      <c r="O26" s="63">
        <f t="shared" si="10"/>
        <v>0.68775291175992215</v>
      </c>
      <c r="P26" s="66">
        <f t="shared" si="4"/>
        <v>0.33764364731709179</v>
      </c>
      <c r="Q26" s="63">
        <f t="shared" si="5"/>
        <v>0.2322154015795701</v>
      </c>
      <c r="S26" s="7"/>
      <c r="T26" s="7"/>
    </row>
    <row r="27" spans="2:23" ht="15.75" customHeight="1" x14ac:dyDescent="0.25">
      <c r="B27" s="105">
        <v>35</v>
      </c>
      <c r="C27" s="106">
        <v>2.1859999999999999</v>
      </c>
      <c r="D27" s="107">
        <f t="shared" si="0"/>
        <v>2.186E-3</v>
      </c>
      <c r="E27" s="79"/>
      <c r="F27" s="65">
        <f t="shared" si="6"/>
        <v>13</v>
      </c>
      <c r="G27" s="86">
        <f t="shared" si="7"/>
        <v>78</v>
      </c>
      <c r="H27" s="65">
        <f t="shared" si="1"/>
        <v>5.0902000000000003E-2</v>
      </c>
      <c r="I27" s="65">
        <f t="shared" si="2"/>
        <v>0.949098</v>
      </c>
      <c r="J27" s="65">
        <f t="shared" si="8"/>
        <v>0.65513691767261961</v>
      </c>
      <c r="K27" s="66">
        <f t="shared" si="3"/>
        <v>0.28175286886777151</v>
      </c>
      <c r="L27" s="60"/>
      <c r="M27" s="60"/>
      <c r="N27" s="65">
        <f t="shared" si="9"/>
        <v>13</v>
      </c>
      <c r="O27" s="63">
        <f t="shared" si="10"/>
        <v>0.65513691767261961</v>
      </c>
      <c r="P27" s="66">
        <f t="shared" si="4"/>
        <v>0.30843486554954941</v>
      </c>
      <c r="Q27" s="63">
        <f t="shared" si="5"/>
        <v>0.20206706711890066</v>
      </c>
      <c r="S27" s="7"/>
      <c r="T27" s="7"/>
    </row>
    <row r="28" spans="2:23" ht="15.75" customHeight="1" x14ac:dyDescent="0.25">
      <c r="B28" s="105">
        <v>36</v>
      </c>
      <c r="C28" s="106">
        <v>2.3540000000000001</v>
      </c>
      <c r="D28" s="107">
        <f t="shared" si="0"/>
        <v>2.3540000000000002E-3</v>
      </c>
      <c r="E28" s="79"/>
      <c r="F28" s="65">
        <f t="shared" si="6"/>
        <v>14</v>
      </c>
      <c r="G28" s="86">
        <f t="shared" si="7"/>
        <v>79</v>
      </c>
      <c r="H28" s="65">
        <f t="shared" si="1"/>
        <v>5.4619000000000001E-2</v>
      </c>
      <c r="I28" s="65">
        <f t="shared" si="2"/>
        <v>0.94538100000000003</v>
      </c>
      <c r="J28" s="65">
        <f t="shared" si="8"/>
        <v>0.62178913828924798</v>
      </c>
      <c r="K28" s="66">
        <f t="shared" si="3"/>
        <v>0.25737907085756051</v>
      </c>
      <c r="L28" s="60"/>
      <c r="M28" s="60"/>
      <c r="N28" s="65">
        <f t="shared" si="9"/>
        <v>14</v>
      </c>
      <c r="O28" s="63">
        <f t="shared" si="10"/>
        <v>0.62178913828924798</v>
      </c>
      <c r="P28" s="66">
        <f t="shared" si="4"/>
        <v>0.28175286886777151</v>
      </c>
      <c r="Q28" s="63">
        <f t="shared" si="5"/>
        <v>0.17519087354381513</v>
      </c>
      <c r="S28" s="7"/>
      <c r="T28" s="7"/>
    </row>
    <row r="29" spans="2:23" ht="15.75" customHeight="1" x14ac:dyDescent="0.25">
      <c r="B29" s="105">
        <v>37</v>
      </c>
      <c r="C29" s="106">
        <v>2.5350000000000001</v>
      </c>
      <c r="D29" s="107">
        <f t="shared" si="0"/>
        <v>2.5349999999999999E-3</v>
      </c>
      <c r="E29" s="79"/>
      <c r="F29" s="65">
        <f t="shared" si="6"/>
        <v>15</v>
      </c>
      <c r="G29" s="86">
        <f t="shared" si="7"/>
        <v>80</v>
      </c>
      <c r="H29" s="65">
        <f t="shared" si="1"/>
        <v>5.8591999999999998E-2</v>
      </c>
      <c r="I29" s="65">
        <f t="shared" si="2"/>
        <v>0.94140800000000002</v>
      </c>
      <c r="J29" s="65">
        <f t="shared" si="8"/>
        <v>0.58782763734502752</v>
      </c>
      <c r="K29" s="66">
        <f t="shared" si="3"/>
        <v>0.23511379451681785</v>
      </c>
      <c r="L29" s="60"/>
      <c r="M29" s="60"/>
      <c r="N29" s="65">
        <f t="shared" si="9"/>
        <v>15</v>
      </c>
      <c r="O29" s="63">
        <f t="shared" si="10"/>
        <v>0.58782763734502752</v>
      </c>
      <c r="P29" s="66">
        <f t="shared" si="4"/>
        <v>0.25737907085756051</v>
      </c>
      <c r="Q29" s="63">
        <f t="shared" si="5"/>
        <v>0.15129453112425822</v>
      </c>
      <c r="S29" s="7"/>
      <c r="T29" s="7"/>
    </row>
    <row r="30" spans="2:23" ht="15.75" customHeight="1" x14ac:dyDescent="0.25">
      <c r="B30" s="105">
        <v>38</v>
      </c>
      <c r="C30" s="106">
        <v>2.73</v>
      </c>
      <c r="D30" s="107">
        <f t="shared" si="0"/>
        <v>2.7299999999999998E-3</v>
      </c>
      <c r="E30" s="79"/>
      <c r="F30" s="65">
        <f t="shared" si="6"/>
        <v>16</v>
      </c>
      <c r="G30" s="86">
        <f t="shared" si="7"/>
        <v>81</v>
      </c>
      <c r="H30" s="65">
        <f t="shared" si="1"/>
        <v>6.2834000000000001E-2</v>
      </c>
      <c r="I30" s="65">
        <f t="shared" si="2"/>
        <v>0.93716599999999994</v>
      </c>
      <c r="J30" s="65">
        <f t="shared" si="8"/>
        <v>0.55338564041770766</v>
      </c>
      <c r="K30" s="66">
        <f t="shared" si="3"/>
        <v>0.21477463644543515</v>
      </c>
      <c r="L30" s="60"/>
      <c r="M30" s="60"/>
      <c r="N30" s="65">
        <f t="shared" si="9"/>
        <v>16</v>
      </c>
      <c r="O30" s="63">
        <f t="shared" si="10"/>
        <v>0.55338564041770766</v>
      </c>
      <c r="P30" s="66">
        <f t="shared" si="4"/>
        <v>0.23511379451681785</v>
      </c>
      <c r="Q30" s="63">
        <f t="shared" si="5"/>
        <v>0.13010859774972658</v>
      </c>
      <c r="S30" s="7"/>
      <c r="T30" s="7"/>
    </row>
    <row r="31" spans="2:23" ht="15.75" customHeight="1" x14ac:dyDescent="0.25">
      <c r="B31" s="105">
        <v>39</v>
      </c>
      <c r="C31" s="106">
        <v>2.94</v>
      </c>
      <c r="D31" s="107">
        <f t="shared" si="0"/>
        <v>2.9399999999999999E-3</v>
      </c>
      <c r="E31" s="79"/>
      <c r="F31" s="65">
        <f t="shared" si="6"/>
        <v>17</v>
      </c>
      <c r="G31" s="86">
        <f t="shared" si="7"/>
        <v>82</v>
      </c>
      <c r="H31" s="65">
        <f t="shared" si="1"/>
        <v>6.7362000000000005E-2</v>
      </c>
      <c r="I31" s="65">
        <f t="shared" si="2"/>
        <v>0.93263799999999997</v>
      </c>
      <c r="J31" s="65">
        <f t="shared" si="8"/>
        <v>0.51861420708770134</v>
      </c>
      <c r="K31" s="66">
        <f t="shared" si="3"/>
        <v>0.19619497254538698</v>
      </c>
      <c r="L31" s="60"/>
      <c r="M31" s="60"/>
      <c r="N31" s="65">
        <f t="shared" si="9"/>
        <v>17</v>
      </c>
      <c r="O31" s="63">
        <f t="shared" si="10"/>
        <v>0.51861420708770134</v>
      </c>
      <c r="P31" s="66">
        <f t="shared" si="4"/>
        <v>0.21477463644543515</v>
      </c>
      <c r="Q31" s="63">
        <f t="shared" si="5"/>
        <v>0.11138517778269867</v>
      </c>
      <c r="S31" s="7"/>
      <c r="T31" s="7"/>
    </row>
    <row r="32" spans="2:23" ht="15.75" customHeight="1" x14ac:dyDescent="0.25">
      <c r="B32" s="105">
        <v>40</v>
      </c>
      <c r="C32" s="106">
        <v>3.1659999999999999</v>
      </c>
      <c r="D32" s="107">
        <f t="shared" si="0"/>
        <v>3.166E-3</v>
      </c>
      <c r="E32" s="79"/>
      <c r="F32" s="65">
        <f t="shared" si="6"/>
        <v>18</v>
      </c>
      <c r="G32" s="86">
        <f t="shared" si="7"/>
        <v>83</v>
      </c>
      <c r="H32" s="65">
        <f t="shared" si="1"/>
        <v>7.2190000000000004E-2</v>
      </c>
      <c r="I32" s="65">
        <f t="shared" si="2"/>
        <v>0.92781000000000002</v>
      </c>
      <c r="J32" s="65">
        <f t="shared" si="8"/>
        <v>0.4836793168698596</v>
      </c>
      <c r="K32" s="66">
        <f t="shared" si="3"/>
        <v>0.17922259298930027</v>
      </c>
      <c r="L32" s="60"/>
      <c r="M32" s="60"/>
      <c r="N32" s="65">
        <f t="shared" si="9"/>
        <v>18</v>
      </c>
      <c r="O32" s="63">
        <f t="shared" si="10"/>
        <v>0.4836793168698596</v>
      </c>
      <c r="P32" s="66">
        <f t="shared" si="4"/>
        <v>0.19619497254538698</v>
      </c>
      <c r="Q32" s="63">
        <f t="shared" si="5"/>
        <v>9.4895450294053635E-2</v>
      </c>
      <c r="S32" s="7"/>
      <c r="T32" s="7"/>
    </row>
    <row r="33" spans="2:20" ht="15.75" customHeight="1" x14ac:dyDescent="0.25">
      <c r="B33" s="105">
        <v>41</v>
      </c>
      <c r="C33" s="106">
        <v>3.41</v>
      </c>
      <c r="D33" s="107">
        <f t="shared" si="0"/>
        <v>3.4100000000000003E-3</v>
      </c>
      <c r="E33" s="79"/>
      <c r="F33" s="65">
        <f t="shared" si="6"/>
        <v>19</v>
      </c>
      <c r="G33" s="86">
        <f t="shared" si="7"/>
        <v>84</v>
      </c>
      <c r="H33" s="65">
        <f t="shared" si="1"/>
        <v>7.7337000000000003E-2</v>
      </c>
      <c r="I33" s="65">
        <f t="shared" si="2"/>
        <v>0.92266300000000001</v>
      </c>
      <c r="J33" s="65">
        <f t="shared" si="8"/>
        <v>0.44876250698502446</v>
      </c>
      <c r="K33" s="66">
        <f t="shared" si="3"/>
        <v>0.16371845527477871</v>
      </c>
      <c r="L33" s="60"/>
      <c r="M33" s="60"/>
      <c r="N33" s="65">
        <f t="shared" si="9"/>
        <v>19</v>
      </c>
      <c r="O33" s="63">
        <f t="shared" si="10"/>
        <v>0.44876250698502446</v>
      </c>
      <c r="P33" s="66">
        <f t="shared" si="4"/>
        <v>0.17922259298930027</v>
      </c>
      <c r="Q33" s="63">
        <f t="shared" si="5"/>
        <v>8.0428380138235056E-2</v>
      </c>
      <c r="S33" s="7"/>
      <c r="T33" s="7"/>
    </row>
    <row r="34" spans="2:20" ht="15.75" customHeight="1" x14ac:dyDescent="0.25">
      <c r="B34" s="105">
        <v>42</v>
      </c>
      <c r="C34" s="106">
        <v>3.6719999999999997</v>
      </c>
      <c r="D34" s="107">
        <f t="shared" si="0"/>
        <v>3.6719999999999999E-3</v>
      </c>
      <c r="E34" s="79"/>
      <c r="F34" s="65">
        <f t="shared" si="6"/>
        <v>20</v>
      </c>
      <c r="G34" s="86">
        <f t="shared" si="7"/>
        <v>85</v>
      </c>
      <c r="H34" s="65">
        <f t="shared" si="1"/>
        <v>8.2817000000000002E-2</v>
      </c>
      <c r="I34" s="65">
        <f t="shared" si="2"/>
        <v>0.91718299999999997</v>
      </c>
      <c r="J34" s="65">
        <f t="shared" si="8"/>
        <v>0.41405656098232363</v>
      </c>
      <c r="K34" s="66">
        <f t="shared" si="3"/>
        <v>0.14955554514915384</v>
      </c>
      <c r="L34" s="60"/>
      <c r="M34" s="60"/>
      <c r="N34" s="65">
        <f t="shared" si="9"/>
        <v>20</v>
      </c>
      <c r="O34" s="63">
        <f t="shared" si="10"/>
        <v>0.41405656098232363</v>
      </c>
      <c r="P34" s="66">
        <f t="shared" si="4"/>
        <v>0.16371845527477871</v>
      </c>
      <c r="Q34" s="63">
        <f t="shared" si="5"/>
        <v>6.7788700560413237E-2</v>
      </c>
      <c r="S34" s="7"/>
      <c r="T34" s="7"/>
    </row>
    <row r="35" spans="2:20" ht="15.75" customHeight="1" x14ac:dyDescent="0.25">
      <c r="B35" s="105">
        <v>43</v>
      </c>
      <c r="C35" s="106">
        <v>3.9540000000000002</v>
      </c>
      <c r="D35" s="107">
        <f t="shared" si="0"/>
        <v>3.954E-3</v>
      </c>
      <c r="E35" s="79"/>
      <c r="F35" s="65">
        <f t="shared" si="6"/>
        <v>21</v>
      </c>
      <c r="G35" s="86">
        <f t="shared" si="7"/>
        <v>86</v>
      </c>
      <c r="H35" s="65">
        <f t="shared" si="1"/>
        <v>8.8649000000000006E-2</v>
      </c>
      <c r="I35" s="65">
        <f t="shared" si="2"/>
        <v>0.91135100000000002</v>
      </c>
      <c r="J35" s="65">
        <f t="shared" si="8"/>
        <v>0.37976563877145053</v>
      </c>
      <c r="K35" s="66">
        <f t="shared" si="3"/>
        <v>0.13661783607303724</v>
      </c>
      <c r="L35" s="60"/>
      <c r="M35" s="60"/>
      <c r="N35" s="65">
        <f t="shared" si="9"/>
        <v>21</v>
      </c>
      <c r="O35" s="63">
        <f t="shared" si="10"/>
        <v>0.37976563877145053</v>
      </c>
      <c r="P35" s="66">
        <f t="shared" si="4"/>
        <v>0.14955554514915384</v>
      </c>
      <c r="Q35" s="63">
        <f t="shared" si="5"/>
        <v>5.6796057135380919E-2</v>
      </c>
      <c r="S35" s="7"/>
      <c r="T35" s="7"/>
    </row>
    <row r="36" spans="2:20" ht="15.75" customHeight="1" x14ac:dyDescent="0.25">
      <c r="B36" s="105">
        <v>44</v>
      </c>
      <c r="C36" s="106">
        <v>4.258</v>
      </c>
      <c r="D36" s="107">
        <f t="shared" si="0"/>
        <v>4.2579999999999996E-3</v>
      </c>
      <c r="E36" s="79"/>
      <c r="F36" s="65">
        <f t="shared" si="6"/>
        <v>22</v>
      </c>
      <c r="G36" s="86">
        <f t="shared" si="7"/>
        <v>87</v>
      </c>
      <c r="H36" s="65">
        <f t="shared" si="1"/>
        <v>9.484999999999999E-2</v>
      </c>
      <c r="I36" s="65">
        <f t="shared" si="2"/>
        <v>0.90515000000000001</v>
      </c>
      <c r="J36" s="65">
        <f t="shared" si="8"/>
        <v>0.34609979466000024</v>
      </c>
      <c r="K36" s="66">
        <f t="shared" si="3"/>
        <v>0.1247993386983075</v>
      </c>
      <c r="L36" s="60"/>
      <c r="M36" s="60"/>
      <c r="N36" s="65">
        <f t="shared" si="9"/>
        <v>22</v>
      </c>
      <c r="O36" s="63">
        <f t="shared" si="10"/>
        <v>0.34609979466000024</v>
      </c>
      <c r="P36" s="66">
        <f t="shared" si="4"/>
        <v>0.13661783607303724</v>
      </c>
      <c r="Q36" s="63">
        <f t="shared" si="5"/>
        <v>4.7283405011771758E-2</v>
      </c>
      <c r="S36" s="7"/>
      <c r="T36" s="7"/>
    </row>
    <row r="37" spans="2:20" ht="15.75" customHeight="1" x14ac:dyDescent="0.25">
      <c r="B37" s="105">
        <v>45</v>
      </c>
      <c r="C37" s="106">
        <v>4.585</v>
      </c>
      <c r="D37" s="107">
        <f t="shared" si="0"/>
        <v>4.5849999999999997E-3</v>
      </c>
      <c r="E37" s="79"/>
      <c r="F37" s="65">
        <f t="shared" si="6"/>
        <v>23</v>
      </c>
      <c r="G37" s="86">
        <f t="shared" si="7"/>
        <v>88</v>
      </c>
      <c r="H37" s="65">
        <f t="shared" si="1"/>
        <v>0.101436</v>
      </c>
      <c r="I37" s="65">
        <f t="shared" si="2"/>
        <v>0.89856400000000003</v>
      </c>
      <c r="J37" s="65">
        <f t="shared" si="8"/>
        <v>0.31327222913649921</v>
      </c>
      <c r="K37" s="66">
        <f t="shared" si="3"/>
        <v>0.11400323257358867</v>
      </c>
      <c r="L37" s="60"/>
      <c r="M37" s="60"/>
      <c r="N37" s="65">
        <f t="shared" si="9"/>
        <v>23</v>
      </c>
      <c r="O37" s="63">
        <f t="shared" si="10"/>
        <v>0.31327222913649921</v>
      </c>
      <c r="P37" s="66">
        <f t="shared" si="4"/>
        <v>0.1247993386983075</v>
      </c>
      <c r="Q37" s="63">
        <f t="shared" si="5"/>
        <v>3.9096167028779764E-2</v>
      </c>
      <c r="S37" s="7"/>
      <c r="T37" s="7"/>
    </row>
    <row r="38" spans="2:20" ht="15.75" customHeight="1" x14ac:dyDescent="0.25">
      <c r="B38" s="105">
        <v>46</v>
      </c>
      <c r="C38" s="106">
        <v>4.9379999999999997</v>
      </c>
      <c r="D38" s="107">
        <f t="shared" si="0"/>
        <v>4.9379999999999997E-3</v>
      </c>
      <c r="E38" s="79"/>
      <c r="F38" s="65">
        <f t="shared" si="6"/>
        <v>24</v>
      </c>
      <c r="G38" s="86">
        <f t="shared" si="7"/>
        <v>89</v>
      </c>
      <c r="H38" s="65">
        <f t="shared" si="1"/>
        <v>0.10842400000000001</v>
      </c>
      <c r="I38" s="65">
        <f t="shared" si="2"/>
        <v>0.89157600000000004</v>
      </c>
      <c r="J38" s="65">
        <f t="shared" si="8"/>
        <v>0.2814951473018093</v>
      </c>
      <c r="K38" s="66">
        <f t="shared" si="3"/>
        <v>0.10414107296390671</v>
      </c>
      <c r="L38" s="60"/>
      <c r="M38" s="60"/>
      <c r="N38" s="65">
        <f t="shared" si="9"/>
        <v>24</v>
      </c>
      <c r="O38" s="63">
        <f t="shared" si="10"/>
        <v>0.2814951473018093</v>
      </c>
      <c r="P38" s="66">
        <f t="shared" si="4"/>
        <v>0.11400323257358867</v>
      </c>
      <c r="Q38" s="63">
        <f t="shared" si="5"/>
        <v>3.2091356746184768E-2</v>
      </c>
      <c r="S38" s="7"/>
      <c r="T38" s="7"/>
    </row>
    <row r="39" spans="2:20" ht="15.75" customHeight="1" x14ac:dyDescent="0.25">
      <c r="B39" s="105">
        <v>47</v>
      </c>
      <c r="C39" s="106">
        <v>5.3169999999999993</v>
      </c>
      <c r="D39" s="107">
        <f t="shared" si="0"/>
        <v>5.3169999999999997E-3</v>
      </c>
      <c r="E39" s="79"/>
      <c r="F39" s="65">
        <f t="shared" si="6"/>
        <v>25</v>
      </c>
      <c r="G39" s="86">
        <f t="shared" si="7"/>
        <v>90</v>
      </c>
      <c r="H39" s="65">
        <f t="shared" si="1"/>
        <v>0.115832</v>
      </c>
      <c r="I39" s="65">
        <f t="shared" si="2"/>
        <v>0.88416799999999995</v>
      </c>
      <c r="J39" s="65">
        <f t="shared" si="8"/>
        <v>0.25097431745075793</v>
      </c>
      <c r="K39" s="66">
        <f t="shared" si="3"/>
        <v>9.5132066286568631E-2</v>
      </c>
      <c r="L39" s="60"/>
      <c r="M39" s="60"/>
      <c r="N39" s="65">
        <f t="shared" si="9"/>
        <v>25</v>
      </c>
      <c r="O39" s="63">
        <f t="shared" si="10"/>
        <v>0.25097431745075793</v>
      </c>
      <c r="P39" s="66">
        <f t="shared" si="4"/>
        <v>0.10414107296390671</v>
      </c>
      <c r="Q39" s="63">
        <f t="shared" si="5"/>
        <v>2.6136734705706065E-2</v>
      </c>
      <c r="S39" s="7"/>
      <c r="T39" s="7"/>
    </row>
    <row r="40" spans="2:20" ht="15.75" customHeight="1" x14ac:dyDescent="0.25">
      <c r="B40" s="105">
        <v>48</v>
      </c>
      <c r="C40" s="106">
        <v>5.7249999999999996</v>
      </c>
      <c r="D40" s="107">
        <f t="shared" si="0"/>
        <v>5.7250000000000001E-3</v>
      </c>
      <c r="E40" s="79"/>
      <c r="F40" s="65">
        <f t="shared" si="6"/>
        <v>26</v>
      </c>
      <c r="G40" s="86">
        <f t="shared" si="7"/>
        <v>91</v>
      </c>
      <c r="H40" s="65">
        <f t="shared" si="1"/>
        <v>0.123677</v>
      </c>
      <c r="I40" s="65">
        <f t="shared" si="2"/>
        <v>0.87632299999999996</v>
      </c>
      <c r="J40" s="65">
        <f t="shared" si="8"/>
        <v>0.22190346031180172</v>
      </c>
      <c r="K40" s="66">
        <f t="shared" si="3"/>
        <v>8.6902408227430936E-2</v>
      </c>
      <c r="L40" s="60"/>
      <c r="M40" s="60"/>
      <c r="N40" s="65">
        <f t="shared" si="9"/>
        <v>26</v>
      </c>
      <c r="O40" s="63">
        <f t="shared" si="10"/>
        <v>0.22190346031180172</v>
      </c>
      <c r="P40" s="66">
        <f t="shared" si="4"/>
        <v>9.5132066286568631E-2</v>
      </c>
      <c r="Q40" s="63">
        <f t="shared" si="5"/>
        <v>2.1110134695601274E-2</v>
      </c>
      <c r="S40" s="7"/>
      <c r="T40" s="7"/>
    </row>
    <row r="41" spans="2:20" ht="15.75" customHeight="1" x14ac:dyDescent="0.25">
      <c r="B41" s="105">
        <v>49</v>
      </c>
      <c r="C41" s="106">
        <v>6.1640000000000006</v>
      </c>
      <c r="D41" s="107">
        <f t="shared" si="0"/>
        <v>6.1640000000000002E-3</v>
      </c>
      <c r="E41" s="79"/>
      <c r="F41" s="65">
        <f t="shared" si="6"/>
        <v>27</v>
      </c>
      <c r="G41" s="86">
        <f t="shared" si="7"/>
        <v>92</v>
      </c>
      <c r="H41" s="65">
        <f t="shared" si="1"/>
        <v>0.13197300000000001</v>
      </c>
      <c r="I41" s="65">
        <f t="shared" si="2"/>
        <v>0.86802699999999999</v>
      </c>
      <c r="J41" s="65">
        <f t="shared" si="8"/>
        <v>0.19445910605081901</v>
      </c>
      <c r="K41" s="66">
        <f t="shared" si="3"/>
        <v>7.9384679115219639E-2</v>
      </c>
      <c r="L41" s="60"/>
      <c r="M41" s="60"/>
      <c r="N41" s="65">
        <f t="shared" si="9"/>
        <v>27</v>
      </c>
      <c r="O41" s="63">
        <f t="shared" si="10"/>
        <v>0.19445910605081901</v>
      </c>
      <c r="P41" s="66">
        <f t="shared" si="4"/>
        <v>8.6902408227430936E-2</v>
      </c>
      <c r="Q41" s="63">
        <f t="shared" si="5"/>
        <v>1.6898964617569557E-2</v>
      </c>
      <c r="S41" s="7"/>
      <c r="T41" s="7"/>
    </row>
    <row r="42" spans="2:20" ht="15.75" customHeight="1" x14ac:dyDescent="0.25">
      <c r="B42" s="105">
        <v>50</v>
      </c>
      <c r="C42" s="106">
        <v>6.6369999999999996</v>
      </c>
      <c r="D42" s="107">
        <f t="shared" si="0"/>
        <v>6.6369999999999997E-3</v>
      </c>
      <c r="E42" s="79"/>
      <c r="F42" s="65">
        <f t="shared" si="6"/>
        <v>28</v>
      </c>
      <c r="G42" s="86">
        <f t="shared" si="7"/>
        <v>93</v>
      </c>
      <c r="H42" s="65">
        <f t="shared" si="1"/>
        <v>0.140737</v>
      </c>
      <c r="I42" s="65">
        <f t="shared" si="2"/>
        <v>0.859263</v>
      </c>
      <c r="J42" s="65">
        <f t="shared" si="8"/>
        <v>0.16879575444797426</v>
      </c>
      <c r="K42" s="66">
        <f t="shared" si="3"/>
        <v>7.2517291600639106E-2</v>
      </c>
      <c r="L42" s="60"/>
      <c r="M42" s="60"/>
      <c r="N42" s="65">
        <f t="shared" si="9"/>
        <v>28</v>
      </c>
      <c r="O42" s="63">
        <f t="shared" si="10"/>
        <v>0.16879575444797426</v>
      </c>
      <c r="P42" s="66">
        <f t="shared" si="4"/>
        <v>7.9384679115219639E-2</v>
      </c>
      <c r="Q42" s="63">
        <f t="shared" si="5"/>
        <v>1.3399796802863845E-2</v>
      </c>
      <c r="S42" s="7"/>
      <c r="T42" s="7"/>
    </row>
    <row r="43" spans="2:20" ht="15.75" customHeight="1" x14ac:dyDescent="0.25">
      <c r="B43" s="105">
        <v>51</v>
      </c>
      <c r="C43" s="106">
        <v>7.1449999999999996</v>
      </c>
      <c r="D43" s="107">
        <f t="shared" si="0"/>
        <v>7.1449999999999994E-3</v>
      </c>
      <c r="E43" s="79"/>
      <c r="F43" s="65">
        <f t="shared" si="6"/>
        <v>29</v>
      </c>
      <c r="G43" s="86">
        <f t="shared" si="7"/>
        <v>94</v>
      </c>
      <c r="H43" s="65">
        <f t="shared" si="1"/>
        <v>0.14998300000000001</v>
      </c>
      <c r="I43" s="65">
        <f t="shared" si="2"/>
        <v>0.85001700000000002</v>
      </c>
      <c r="J43" s="65">
        <f t="shared" si="8"/>
        <v>0.1450399463542297</v>
      </c>
      <c r="K43" s="66">
        <f t="shared" si="3"/>
        <v>6.6243986115501155E-2</v>
      </c>
      <c r="L43" s="60"/>
      <c r="M43" s="60"/>
      <c r="N43" s="65">
        <f t="shared" si="9"/>
        <v>29</v>
      </c>
      <c r="O43" s="63">
        <f t="shared" si="10"/>
        <v>0.1450399463542297</v>
      </c>
      <c r="P43" s="66">
        <f t="shared" si="4"/>
        <v>7.2517291600639106E-2</v>
      </c>
      <c r="Q43" s="63">
        <f t="shared" si="5"/>
        <v>1.0517904083510728E-2</v>
      </c>
      <c r="S43" s="7"/>
      <c r="T43" s="7"/>
    </row>
    <row r="44" spans="2:20" ht="15.75" customHeight="1" x14ac:dyDescent="0.25">
      <c r="B44" s="105">
        <v>52</v>
      </c>
      <c r="C44" s="106">
        <v>7.6930000000000005</v>
      </c>
      <c r="D44" s="107">
        <f t="shared" si="0"/>
        <v>7.6930000000000002E-3</v>
      </c>
      <c r="E44" s="79"/>
      <c r="F44" s="65">
        <f t="shared" si="6"/>
        <v>30</v>
      </c>
      <c r="G44" s="86">
        <f t="shared" si="7"/>
        <v>95</v>
      </c>
      <c r="H44" s="65">
        <f t="shared" si="1"/>
        <v>0.159723</v>
      </c>
      <c r="I44" s="65">
        <f t="shared" si="2"/>
        <v>0.84027699999999994</v>
      </c>
      <c r="J44" s="65">
        <f t="shared" si="8"/>
        <v>0.12328642008018327</v>
      </c>
      <c r="K44" s="66">
        <f t="shared" si="3"/>
        <v>6.051336997853398E-2</v>
      </c>
      <c r="L44" s="60"/>
      <c r="M44" s="60"/>
      <c r="N44" s="65">
        <f t="shared" si="9"/>
        <v>30</v>
      </c>
      <c r="O44" s="63">
        <f t="shared" si="10"/>
        <v>0.12328642008018327</v>
      </c>
      <c r="P44" s="66">
        <f t="shared" si="4"/>
        <v>6.6243986115501155E-2</v>
      </c>
      <c r="Q44" s="63">
        <f t="shared" si="5"/>
        <v>8.1669839000215027E-3</v>
      </c>
      <c r="S44" s="7"/>
      <c r="T44" s="7"/>
    </row>
    <row r="45" spans="2:20" ht="15.75" customHeight="1" x14ac:dyDescent="0.25">
      <c r="B45" s="105">
        <v>53</v>
      </c>
      <c r="C45" s="106">
        <v>8.282</v>
      </c>
      <c r="D45" s="107">
        <f t="shared" si="0"/>
        <v>8.2819999999999994E-3</v>
      </c>
      <c r="E45" s="79"/>
      <c r="F45" s="65">
        <f t="shared" si="6"/>
        <v>31</v>
      </c>
      <c r="G45" s="86">
        <f t="shared" si="7"/>
        <v>96</v>
      </c>
      <c r="H45" s="65">
        <f t="shared" si="1"/>
        <v>0.16997000000000001</v>
      </c>
      <c r="I45" s="65">
        <f t="shared" si="2"/>
        <v>0.83003000000000005</v>
      </c>
      <c r="J45" s="65">
        <f t="shared" si="8"/>
        <v>0.10359474320571616</v>
      </c>
      <c r="K45" s="66">
        <f t="shared" si="3"/>
        <v>5.5278496372096454E-2</v>
      </c>
      <c r="L45" s="60"/>
      <c r="M45" s="60"/>
      <c r="N45" s="65">
        <f t="shared" si="9"/>
        <v>31</v>
      </c>
      <c r="O45" s="63">
        <f t="shared" si="10"/>
        <v>0.10359474320571616</v>
      </c>
      <c r="P45" s="66">
        <f t="shared" si="4"/>
        <v>6.051336997853398E-2</v>
      </c>
      <c r="Q45" s="63">
        <f t="shared" si="5"/>
        <v>6.2688670234387215E-3</v>
      </c>
      <c r="S45" s="7"/>
      <c r="T45" s="7"/>
    </row>
    <row r="46" spans="2:20" ht="15.75" customHeight="1" x14ac:dyDescent="0.25">
      <c r="B46" s="105">
        <v>54</v>
      </c>
      <c r="C46" s="106">
        <v>8.9149999999999991</v>
      </c>
      <c r="D46" s="107">
        <f t="shared" si="0"/>
        <v>8.9149999999999993E-3</v>
      </c>
      <c r="E46" s="79"/>
      <c r="F46" s="65">
        <f t="shared" si="6"/>
        <v>32</v>
      </c>
      <c r="G46" s="86">
        <f t="shared" si="7"/>
        <v>97</v>
      </c>
      <c r="H46" s="65">
        <f t="shared" si="1"/>
        <v>0.180733</v>
      </c>
      <c r="I46" s="65">
        <f t="shared" si="2"/>
        <v>0.81926699999999997</v>
      </c>
      <c r="J46" s="65">
        <f t="shared" si="8"/>
        <v>8.5986744703040588E-2</v>
      </c>
      <c r="K46" s="66">
        <f t="shared" si="3"/>
        <v>5.0496479740656304E-2</v>
      </c>
      <c r="L46" s="60"/>
      <c r="M46" s="60"/>
      <c r="N46" s="65">
        <f t="shared" si="9"/>
        <v>32</v>
      </c>
      <c r="O46" s="63">
        <f t="shared" si="10"/>
        <v>8.5986744703040588E-2</v>
      </c>
      <c r="P46" s="66">
        <f t="shared" si="4"/>
        <v>5.5278496372096454E-2</v>
      </c>
      <c r="Q46" s="63">
        <f t="shared" si="5"/>
        <v>4.7532179551154135E-3</v>
      </c>
      <c r="S46" s="7"/>
      <c r="T46" s="7"/>
    </row>
    <row r="47" spans="2:20" ht="15.75" customHeight="1" x14ac:dyDescent="0.25">
      <c r="B47" s="105">
        <v>55</v>
      </c>
      <c r="C47" s="106">
        <v>9.5969999999999995</v>
      </c>
      <c r="D47" s="107">
        <f t="shared" si="0"/>
        <v>9.5969999999999996E-3</v>
      </c>
      <c r="E47" s="79"/>
      <c r="F47" s="65">
        <f t="shared" si="6"/>
        <v>33</v>
      </c>
      <c r="G47" s="86">
        <f t="shared" si="7"/>
        <v>98</v>
      </c>
      <c r="H47" s="65">
        <f t="shared" si="1"/>
        <v>0.19202000000000002</v>
      </c>
      <c r="I47" s="65">
        <f t="shared" si="2"/>
        <v>0.80797999999999992</v>
      </c>
      <c r="J47" s="65">
        <f t="shared" si="8"/>
        <v>7.0446102372625954E-2</v>
      </c>
      <c r="K47" s="66">
        <f t="shared" si="3"/>
        <v>4.612814446026884E-2</v>
      </c>
      <c r="L47" s="60"/>
      <c r="M47" s="60"/>
      <c r="N47" s="65">
        <f t="shared" si="9"/>
        <v>33</v>
      </c>
      <c r="O47" s="63">
        <f t="shared" si="10"/>
        <v>7.0446102372625954E-2</v>
      </c>
      <c r="P47" s="66">
        <f t="shared" si="4"/>
        <v>5.0496479740656304E-2</v>
      </c>
      <c r="Q47" s="63">
        <f t="shared" si="5"/>
        <v>3.5572801812675066E-3</v>
      </c>
      <c r="S47" s="7"/>
      <c r="T47" s="7"/>
    </row>
    <row r="48" spans="2:20" ht="15.75" customHeight="1" x14ac:dyDescent="0.25">
      <c r="B48" s="105">
        <v>56</v>
      </c>
      <c r="C48" s="106">
        <v>10.33</v>
      </c>
      <c r="D48" s="107">
        <f t="shared" si="0"/>
        <v>1.0330000000000001E-2</v>
      </c>
      <c r="E48" s="79"/>
      <c r="F48" s="65">
        <f t="shared" si="6"/>
        <v>34</v>
      </c>
      <c r="G48" s="86">
        <f t="shared" si="7"/>
        <v>99</v>
      </c>
      <c r="H48" s="65">
        <f t="shared" si="1"/>
        <v>0.20383699999999999</v>
      </c>
      <c r="I48" s="65">
        <f t="shared" si="2"/>
        <v>0.79616299999999995</v>
      </c>
      <c r="J48" s="65">
        <f t="shared" si="8"/>
        <v>5.6919041795034313E-2</v>
      </c>
      <c r="K48" s="66">
        <f t="shared" si="3"/>
        <v>4.2137703900857623E-2</v>
      </c>
      <c r="L48" s="60"/>
      <c r="M48" s="60"/>
      <c r="N48" s="65">
        <f t="shared" si="9"/>
        <v>34</v>
      </c>
      <c r="O48" s="63">
        <f t="shared" si="10"/>
        <v>5.6919041795034313E-2</v>
      </c>
      <c r="P48" s="66">
        <f t="shared" si="4"/>
        <v>4.612814446026884E-2</v>
      </c>
      <c r="Q48" s="63">
        <f t="shared" si="5"/>
        <v>2.6255697824614224E-3</v>
      </c>
      <c r="S48" s="7"/>
      <c r="T48" s="7"/>
    </row>
    <row r="49" spans="2:20" ht="15.75" customHeight="1" x14ac:dyDescent="0.25">
      <c r="B49" s="105">
        <v>57</v>
      </c>
      <c r="C49" s="106">
        <v>11.119</v>
      </c>
      <c r="D49" s="107">
        <f t="shared" si="0"/>
        <v>1.1119E-2</v>
      </c>
      <c r="E49" s="79"/>
      <c r="F49" s="65" t="str">
        <f t="shared" si="6"/>
        <v/>
      </c>
      <c r="G49" s="86" t="str">
        <f t="shared" si="7"/>
        <v/>
      </c>
      <c r="H49" s="65" t="str">
        <f t="shared" si="1"/>
        <v/>
      </c>
      <c r="I49" s="65" t="str">
        <f t="shared" si="2"/>
        <v/>
      </c>
      <c r="J49" s="65" t="str">
        <f t="shared" si="8"/>
        <v/>
      </c>
      <c r="K49" s="66" t="str">
        <f t="shared" si="3"/>
        <v/>
      </c>
      <c r="L49" s="60"/>
      <c r="M49" s="60"/>
      <c r="N49" s="65" t="str">
        <f t="shared" si="9"/>
        <v/>
      </c>
      <c r="O49" s="63" t="str">
        <f t="shared" si="10"/>
        <v/>
      </c>
      <c r="P49" s="66" t="str">
        <f t="shared" si="4"/>
        <v/>
      </c>
      <c r="Q49" s="63" t="str">
        <f t="shared" si="5"/>
        <v/>
      </c>
      <c r="S49" s="7"/>
      <c r="T49" s="7"/>
    </row>
    <row r="50" spans="2:20" ht="15.75" customHeight="1" x14ac:dyDescent="0.25">
      <c r="B50" s="105">
        <v>58</v>
      </c>
      <c r="C50" s="106">
        <v>11.967000000000001</v>
      </c>
      <c r="D50" s="107">
        <f t="shared" si="0"/>
        <v>1.1967E-2</v>
      </c>
      <c r="E50" s="79"/>
      <c r="F50" s="65" t="str">
        <f t="shared" si="6"/>
        <v/>
      </c>
      <c r="G50" s="86" t="str">
        <f t="shared" si="7"/>
        <v/>
      </c>
      <c r="H50" s="65" t="str">
        <f t="shared" si="1"/>
        <v/>
      </c>
      <c r="I50" s="65" t="str">
        <f t="shared" si="2"/>
        <v/>
      </c>
      <c r="J50" s="65" t="str">
        <f t="shared" si="8"/>
        <v/>
      </c>
      <c r="K50" s="66" t="str">
        <f t="shared" si="3"/>
        <v/>
      </c>
      <c r="L50" s="60"/>
      <c r="M50" s="60"/>
      <c r="N50" s="65" t="str">
        <f t="shared" si="9"/>
        <v/>
      </c>
      <c r="O50" s="63" t="str">
        <f t="shared" si="10"/>
        <v/>
      </c>
      <c r="P50" s="66" t="str">
        <f t="shared" si="4"/>
        <v/>
      </c>
      <c r="Q50" s="63" t="str">
        <f t="shared" si="5"/>
        <v/>
      </c>
      <c r="S50" s="7"/>
      <c r="T50" s="7"/>
    </row>
    <row r="51" spans="2:20" ht="15.75" customHeight="1" x14ac:dyDescent="0.25">
      <c r="B51" s="105">
        <v>59</v>
      </c>
      <c r="C51" s="106">
        <v>12.879</v>
      </c>
      <c r="D51" s="107">
        <f t="shared" si="0"/>
        <v>1.2879E-2</v>
      </c>
      <c r="E51" s="79"/>
      <c r="F51" s="65" t="str">
        <f t="shared" si="6"/>
        <v/>
      </c>
      <c r="G51" s="86" t="str">
        <f t="shared" si="7"/>
        <v/>
      </c>
      <c r="H51" s="65" t="str">
        <f t="shared" si="1"/>
        <v/>
      </c>
      <c r="I51" s="65" t="str">
        <f t="shared" si="2"/>
        <v/>
      </c>
      <c r="J51" s="65" t="str">
        <f t="shared" si="8"/>
        <v/>
      </c>
      <c r="K51" s="66" t="str">
        <f t="shared" si="3"/>
        <v/>
      </c>
      <c r="L51" s="60"/>
      <c r="M51" s="60"/>
      <c r="N51" s="65" t="str">
        <f t="shared" si="9"/>
        <v/>
      </c>
      <c r="O51" s="63" t="str">
        <f t="shared" si="10"/>
        <v/>
      </c>
      <c r="P51" s="66" t="str">
        <f t="shared" si="4"/>
        <v/>
      </c>
      <c r="Q51" s="63" t="str">
        <f t="shared" si="5"/>
        <v/>
      </c>
      <c r="S51" s="7"/>
      <c r="T51" s="7"/>
    </row>
    <row r="52" spans="2:20" ht="15.75" customHeight="1" x14ac:dyDescent="0.25">
      <c r="B52" s="105">
        <v>60</v>
      </c>
      <c r="C52" s="106">
        <v>13.86</v>
      </c>
      <c r="D52" s="107">
        <f t="shared" si="0"/>
        <v>1.3859999999999999E-2</v>
      </c>
      <c r="E52" s="79"/>
      <c r="F52" s="65" t="str">
        <f t="shared" si="6"/>
        <v/>
      </c>
      <c r="G52" s="86" t="str">
        <f t="shared" si="7"/>
        <v/>
      </c>
      <c r="H52" s="65" t="str">
        <f t="shared" si="1"/>
        <v/>
      </c>
      <c r="I52" s="65" t="str">
        <f t="shared" si="2"/>
        <v/>
      </c>
      <c r="J52" s="65" t="str">
        <f t="shared" si="8"/>
        <v/>
      </c>
      <c r="K52" s="66" t="str">
        <f t="shared" si="3"/>
        <v/>
      </c>
      <c r="L52" s="60"/>
      <c r="M52" s="60"/>
      <c r="N52" s="65" t="str">
        <f t="shared" si="9"/>
        <v/>
      </c>
      <c r="O52" s="63" t="str">
        <f t="shared" si="10"/>
        <v/>
      </c>
      <c r="P52" s="66" t="str">
        <f t="shared" si="4"/>
        <v/>
      </c>
      <c r="Q52" s="63" t="str">
        <f t="shared" si="5"/>
        <v/>
      </c>
      <c r="S52" s="7"/>
      <c r="T52" s="7"/>
    </row>
    <row r="53" spans="2:20" ht="15.75" customHeight="1" x14ac:dyDescent="0.25">
      <c r="B53" s="105">
        <v>61</v>
      </c>
      <c r="C53" s="106">
        <v>14.914</v>
      </c>
      <c r="D53" s="107">
        <f t="shared" si="0"/>
        <v>1.4914E-2</v>
      </c>
      <c r="E53" s="79"/>
      <c r="F53" s="65" t="str">
        <f t="shared" si="6"/>
        <v/>
      </c>
      <c r="G53" s="86" t="str">
        <f t="shared" si="7"/>
        <v/>
      </c>
      <c r="H53" s="65" t="str">
        <f t="shared" si="1"/>
        <v/>
      </c>
      <c r="I53" s="65" t="str">
        <f t="shared" si="2"/>
        <v/>
      </c>
      <c r="J53" s="65" t="str">
        <f t="shared" si="8"/>
        <v/>
      </c>
      <c r="K53" s="66" t="str">
        <f t="shared" si="3"/>
        <v/>
      </c>
      <c r="L53" s="60"/>
      <c r="M53" s="60"/>
      <c r="N53" s="65" t="str">
        <f t="shared" si="9"/>
        <v/>
      </c>
      <c r="O53" s="63" t="str">
        <f t="shared" si="10"/>
        <v/>
      </c>
      <c r="P53" s="66" t="str">
        <f t="shared" si="4"/>
        <v/>
      </c>
      <c r="Q53" s="63" t="str">
        <f t="shared" si="5"/>
        <v/>
      </c>
      <c r="S53" s="7"/>
      <c r="T53" s="7"/>
    </row>
    <row r="54" spans="2:20" ht="15.75" customHeight="1" x14ac:dyDescent="0.25">
      <c r="B54" s="105">
        <v>62</v>
      </c>
      <c r="C54" s="106">
        <v>16.047999999999998</v>
      </c>
      <c r="D54" s="107">
        <f t="shared" si="0"/>
        <v>1.6048E-2</v>
      </c>
      <c r="E54" s="79"/>
      <c r="F54" s="65" t="str">
        <f t="shared" si="6"/>
        <v/>
      </c>
      <c r="G54" s="86" t="str">
        <f t="shared" si="7"/>
        <v/>
      </c>
      <c r="H54" s="65" t="str">
        <f t="shared" si="1"/>
        <v/>
      </c>
      <c r="I54" s="65" t="str">
        <f t="shared" si="2"/>
        <v/>
      </c>
      <c r="J54" s="65" t="str">
        <f t="shared" si="8"/>
        <v/>
      </c>
      <c r="K54" s="66" t="str">
        <f t="shared" si="3"/>
        <v/>
      </c>
      <c r="L54" s="60"/>
      <c r="M54" s="60"/>
      <c r="N54" s="65" t="str">
        <f t="shared" si="9"/>
        <v/>
      </c>
      <c r="O54" s="63" t="str">
        <f t="shared" si="10"/>
        <v/>
      </c>
      <c r="P54" s="66" t="str">
        <f t="shared" si="4"/>
        <v/>
      </c>
      <c r="Q54" s="63" t="str">
        <f t="shared" si="5"/>
        <v/>
      </c>
      <c r="S54" s="7"/>
      <c r="T54" s="7"/>
    </row>
    <row r="55" spans="2:20" ht="15.75" customHeight="1" x14ac:dyDescent="0.25">
      <c r="B55" s="105">
        <v>63</v>
      </c>
      <c r="C55" s="106">
        <v>17.265000000000001</v>
      </c>
      <c r="D55" s="107">
        <f t="shared" si="0"/>
        <v>1.7264999999999999E-2</v>
      </c>
      <c r="E55" s="79"/>
      <c r="F55" s="65" t="str">
        <f t="shared" si="6"/>
        <v/>
      </c>
      <c r="G55" s="86" t="str">
        <f t="shared" si="7"/>
        <v/>
      </c>
      <c r="H55" s="65" t="str">
        <f t="shared" si="1"/>
        <v/>
      </c>
      <c r="I55" s="65" t="str">
        <f t="shared" si="2"/>
        <v/>
      </c>
      <c r="J55" s="65" t="str">
        <f t="shared" si="8"/>
        <v/>
      </c>
      <c r="K55" s="66" t="str">
        <f t="shared" si="3"/>
        <v/>
      </c>
      <c r="L55" s="60"/>
      <c r="M55" s="60"/>
      <c r="N55" s="65" t="str">
        <f t="shared" si="9"/>
        <v/>
      </c>
      <c r="O55" s="63" t="str">
        <f t="shared" si="10"/>
        <v/>
      </c>
      <c r="P55" s="66" t="str">
        <f t="shared" si="4"/>
        <v/>
      </c>
      <c r="Q55" s="63" t="str">
        <f t="shared" si="5"/>
        <v/>
      </c>
      <c r="S55" s="7"/>
      <c r="T55" s="7"/>
    </row>
    <row r="56" spans="2:20" ht="15.75" customHeight="1" x14ac:dyDescent="0.25">
      <c r="B56" s="105">
        <v>64</v>
      </c>
      <c r="C56" s="106">
        <v>18.574000000000002</v>
      </c>
      <c r="D56" s="107">
        <f t="shared" si="0"/>
        <v>1.8574E-2</v>
      </c>
      <c r="E56" s="79"/>
      <c r="F56" s="65" t="str">
        <f t="shared" si="6"/>
        <v/>
      </c>
      <c r="G56" s="86" t="str">
        <f t="shared" si="7"/>
        <v/>
      </c>
      <c r="H56" s="65" t="str">
        <f t="shared" si="1"/>
        <v/>
      </c>
      <c r="I56" s="65" t="str">
        <f t="shared" si="2"/>
        <v/>
      </c>
      <c r="J56" s="65" t="str">
        <f t="shared" si="8"/>
        <v/>
      </c>
      <c r="K56" s="66" t="str">
        <f t="shared" si="3"/>
        <v/>
      </c>
      <c r="L56" s="60"/>
      <c r="M56" s="60"/>
      <c r="N56" s="65" t="str">
        <f t="shared" si="9"/>
        <v/>
      </c>
      <c r="O56" s="63" t="str">
        <f t="shared" si="10"/>
        <v/>
      </c>
      <c r="P56" s="66" t="str">
        <f t="shared" si="4"/>
        <v/>
      </c>
      <c r="Q56" s="63" t="str">
        <f t="shared" si="5"/>
        <v/>
      </c>
      <c r="S56" s="7"/>
      <c r="T56" s="7"/>
    </row>
    <row r="57" spans="2:20" ht="15.75" customHeight="1" x14ac:dyDescent="0.25">
      <c r="B57" s="105">
        <v>65</v>
      </c>
      <c r="C57" s="106">
        <v>19.98</v>
      </c>
      <c r="D57" s="107">
        <f t="shared" si="0"/>
        <v>1.9980000000000001E-2</v>
      </c>
      <c r="E57" s="79"/>
      <c r="F57" s="65" t="str">
        <f t="shared" si="6"/>
        <v/>
      </c>
      <c r="G57" s="86" t="str">
        <f t="shared" si="7"/>
        <v/>
      </c>
      <c r="H57" s="65" t="str">
        <f t="shared" si="1"/>
        <v/>
      </c>
      <c r="I57" s="65" t="str">
        <f t="shared" si="2"/>
        <v/>
      </c>
      <c r="J57" s="65" t="str">
        <f t="shared" si="8"/>
        <v/>
      </c>
      <c r="K57" s="66" t="str">
        <f t="shared" si="3"/>
        <v/>
      </c>
      <c r="L57" s="60"/>
      <c r="M57" s="60"/>
      <c r="N57" s="65" t="str">
        <f t="shared" si="9"/>
        <v/>
      </c>
      <c r="O57" s="63" t="str">
        <f t="shared" si="10"/>
        <v/>
      </c>
      <c r="P57" s="66" t="str">
        <f t="shared" si="4"/>
        <v/>
      </c>
      <c r="Q57" s="63" t="str">
        <f t="shared" si="5"/>
        <v/>
      </c>
      <c r="S57" s="7"/>
      <c r="T57" s="7"/>
    </row>
    <row r="58" spans="2:20" ht="15.75" customHeight="1" x14ac:dyDescent="0.25">
      <c r="B58" s="105">
        <v>66</v>
      </c>
      <c r="C58" s="106">
        <v>21.49</v>
      </c>
      <c r="D58" s="107">
        <f t="shared" si="0"/>
        <v>2.1489999999999999E-2</v>
      </c>
      <c r="E58" s="79"/>
      <c r="F58" s="65" t="str">
        <f t="shared" si="6"/>
        <v/>
      </c>
      <c r="G58" s="86" t="str">
        <f t="shared" si="7"/>
        <v/>
      </c>
      <c r="H58" s="65" t="str">
        <f t="shared" si="1"/>
        <v/>
      </c>
      <c r="I58" s="65" t="str">
        <f t="shared" si="2"/>
        <v/>
      </c>
      <c r="J58" s="65" t="str">
        <f t="shared" si="8"/>
        <v/>
      </c>
      <c r="K58" s="66" t="str">
        <f t="shared" si="3"/>
        <v/>
      </c>
      <c r="L58" s="60"/>
      <c r="M58" s="60"/>
      <c r="N58" s="65" t="str">
        <f t="shared" si="9"/>
        <v/>
      </c>
      <c r="O58" s="63" t="str">
        <f t="shared" si="10"/>
        <v/>
      </c>
      <c r="P58" s="66" t="str">
        <f t="shared" si="4"/>
        <v/>
      </c>
      <c r="Q58" s="63" t="str">
        <f t="shared" si="5"/>
        <v/>
      </c>
      <c r="S58" s="7"/>
      <c r="T58" s="7"/>
    </row>
    <row r="59" spans="2:20" ht="15.75" customHeight="1" x14ac:dyDescent="0.25">
      <c r="B59" s="105">
        <v>67</v>
      </c>
      <c r="C59" s="106">
        <v>23.111000000000001</v>
      </c>
      <c r="D59" s="107">
        <f t="shared" si="0"/>
        <v>2.3111E-2</v>
      </c>
      <c r="E59" s="79"/>
      <c r="F59" s="65" t="str">
        <f t="shared" si="6"/>
        <v/>
      </c>
      <c r="G59" s="86" t="str">
        <f t="shared" si="7"/>
        <v/>
      </c>
      <c r="H59" s="65" t="str">
        <f t="shared" si="1"/>
        <v/>
      </c>
      <c r="I59" s="65" t="str">
        <f t="shared" si="2"/>
        <v/>
      </c>
      <c r="J59" s="65" t="str">
        <f t="shared" si="8"/>
        <v/>
      </c>
      <c r="K59" s="66" t="str">
        <f t="shared" si="3"/>
        <v/>
      </c>
      <c r="L59" s="60"/>
      <c r="M59" s="60"/>
      <c r="N59" s="65" t="str">
        <f t="shared" si="9"/>
        <v/>
      </c>
      <c r="O59" s="63" t="str">
        <f t="shared" si="10"/>
        <v/>
      </c>
      <c r="P59" s="66" t="str">
        <f t="shared" si="4"/>
        <v/>
      </c>
      <c r="Q59" s="63" t="str">
        <f t="shared" si="5"/>
        <v/>
      </c>
      <c r="S59" s="7"/>
      <c r="T59" s="7"/>
    </row>
    <row r="60" spans="2:20" ht="15.75" customHeight="1" x14ac:dyDescent="0.25">
      <c r="B60" s="105">
        <v>68</v>
      </c>
      <c r="C60" s="106">
        <v>24.851000000000003</v>
      </c>
      <c r="D60" s="107">
        <f t="shared" si="0"/>
        <v>2.4851000000000002E-2</v>
      </c>
      <c r="E60" s="79"/>
      <c r="F60" s="65" t="str">
        <f t="shared" si="6"/>
        <v/>
      </c>
      <c r="G60" s="86" t="str">
        <f t="shared" si="7"/>
        <v/>
      </c>
      <c r="H60" s="65" t="str">
        <f t="shared" si="1"/>
        <v/>
      </c>
      <c r="I60" s="65" t="str">
        <f t="shared" si="2"/>
        <v/>
      </c>
      <c r="J60" s="65" t="str">
        <f t="shared" si="8"/>
        <v/>
      </c>
      <c r="K60" s="66" t="str">
        <f t="shared" si="3"/>
        <v/>
      </c>
      <c r="L60" s="60"/>
      <c r="M60" s="60"/>
      <c r="N60" s="65" t="str">
        <f t="shared" si="9"/>
        <v/>
      </c>
      <c r="O60" s="63" t="str">
        <f t="shared" si="10"/>
        <v/>
      </c>
      <c r="P60" s="66" t="str">
        <f t="shared" si="4"/>
        <v/>
      </c>
      <c r="Q60" s="63" t="str">
        <f t="shared" si="5"/>
        <v/>
      </c>
      <c r="S60" s="7"/>
      <c r="T60" s="7"/>
    </row>
    <row r="61" spans="2:20" ht="15.75" customHeight="1" x14ac:dyDescent="0.25">
      <c r="B61" s="105">
        <v>69</v>
      </c>
      <c r="C61" s="106">
        <v>26.72</v>
      </c>
      <c r="D61" s="107">
        <f t="shared" si="0"/>
        <v>2.6719999999999997E-2</v>
      </c>
      <c r="E61" s="79"/>
      <c r="F61" s="65" t="str">
        <f t="shared" si="6"/>
        <v/>
      </c>
      <c r="G61" s="86" t="str">
        <f t="shared" si="7"/>
        <v/>
      </c>
      <c r="H61" s="65" t="str">
        <f t="shared" si="1"/>
        <v/>
      </c>
      <c r="I61" s="65" t="str">
        <f t="shared" si="2"/>
        <v/>
      </c>
      <c r="J61" s="65" t="str">
        <f t="shared" si="8"/>
        <v/>
      </c>
      <c r="K61" s="66" t="str">
        <f t="shared" si="3"/>
        <v/>
      </c>
      <c r="L61" s="60"/>
      <c r="M61" s="60"/>
      <c r="N61" s="65" t="str">
        <f t="shared" si="9"/>
        <v/>
      </c>
      <c r="O61" s="63" t="str">
        <f t="shared" si="10"/>
        <v/>
      </c>
      <c r="P61" s="66" t="str">
        <f t="shared" si="4"/>
        <v/>
      </c>
      <c r="Q61" s="63" t="str">
        <f t="shared" si="5"/>
        <v/>
      </c>
      <c r="S61" s="7"/>
      <c r="T61" s="7"/>
    </row>
    <row r="62" spans="2:20" ht="15.75" customHeight="1" x14ac:dyDescent="0.25">
      <c r="B62" s="105">
        <v>70</v>
      </c>
      <c r="C62" s="106">
        <v>28.724</v>
      </c>
      <c r="D62" s="107">
        <f t="shared" si="0"/>
        <v>2.8724E-2</v>
      </c>
      <c r="E62" s="79"/>
      <c r="F62" s="65" t="str">
        <f t="shared" si="6"/>
        <v/>
      </c>
      <c r="G62" s="86" t="str">
        <f t="shared" si="7"/>
        <v/>
      </c>
      <c r="H62" s="65" t="str">
        <f t="shared" si="1"/>
        <v/>
      </c>
      <c r="I62" s="65" t="str">
        <f t="shared" si="2"/>
        <v/>
      </c>
      <c r="J62" s="65" t="str">
        <f t="shared" si="8"/>
        <v/>
      </c>
      <c r="K62" s="66" t="str">
        <f t="shared" si="3"/>
        <v/>
      </c>
      <c r="L62" s="60"/>
      <c r="M62" s="60"/>
      <c r="N62" s="65" t="str">
        <f t="shared" si="9"/>
        <v/>
      </c>
      <c r="O62" s="63" t="str">
        <f t="shared" si="10"/>
        <v/>
      </c>
      <c r="P62" s="66" t="str">
        <f t="shared" si="4"/>
        <v/>
      </c>
      <c r="Q62" s="63" t="str">
        <f t="shared" si="5"/>
        <v/>
      </c>
      <c r="S62" s="7"/>
      <c r="T62" s="7"/>
    </row>
    <row r="63" spans="2:20" ht="15.75" customHeight="1" x14ac:dyDescent="0.25">
      <c r="B63" s="105">
        <v>71</v>
      </c>
      <c r="C63" s="106">
        <v>30.873999999999999</v>
      </c>
      <c r="D63" s="107">
        <f t="shared" si="0"/>
        <v>3.0873999999999999E-2</v>
      </c>
      <c r="E63" s="79"/>
      <c r="F63" s="65" t="str">
        <f t="shared" si="6"/>
        <v/>
      </c>
      <c r="G63" s="86" t="str">
        <f t="shared" si="7"/>
        <v/>
      </c>
      <c r="H63" s="65" t="str">
        <f t="shared" si="1"/>
        <v/>
      </c>
      <c r="I63" s="65" t="str">
        <f t="shared" si="2"/>
        <v/>
      </c>
      <c r="J63" s="65" t="str">
        <f t="shared" si="8"/>
        <v/>
      </c>
      <c r="K63" s="66" t="str">
        <f t="shared" si="3"/>
        <v/>
      </c>
      <c r="L63" s="60"/>
      <c r="M63" s="60"/>
      <c r="N63" s="65" t="str">
        <f t="shared" si="9"/>
        <v/>
      </c>
      <c r="O63" s="63" t="str">
        <f t="shared" si="10"/>
        <v/>
      </c>
      <c r="P63" s="66" t="str">
        <f t="shared" si="4"/>
        <v/>
      </c>
      <c r="Q63" s="63" t="str">
        <f t="shared" si="5"/>
        <v/>
      </c>
      <c r="S63" s="7"/>
      <c r="T63" s="7"/>
    </row>
    <row r="64" spans="2:20" ht="15.75" customHeight="1" x14ac:dyDescent="0.25">
      <c r="B64" s="105">
        <v>72</v>
      </c>
      <c r="C64" s="106">
        <v>33.18</v>
      </c>
      <c r="D64" s="107">
        <f t="shared" si="0"/>
        <v>3.3180000000000001E-2</v>
      </c>
      <c r="E64" s="79"/>
      <c r="F64" s="65" t="str">
        <f t="shared" si="6"/>
        <v/>
      </c>
      <c r="G64" s="86" t="str">
        <f t="shared" si="7"/>
        <v/>
      </c>
      <c r="H64" s="65" t="str">
        <f t="shared" si="1"/>
        <v/>
      </c>
      <c r="I64" s="65" t="str">
        <f t="shared" si="2"/>
        <v/>
      </c>
      <c r="J64" s="65" t="str">
        <f t="shared" si="8"/>
        <v/>
      </c>
      <c r="K64" s="66" t="str">
        <f t="shared" si="3"/>
        <v/>
      </c>
      <c r="L64" s="60"/>
      <c r="M64" s="60"/>
      <c r="N64" s="65" t="str">
        <f t="shared" si="9"/>
        <v/>
      </c>
      <c r="O64" s="63" t="str">
        <f t="shared" si="10"/>
        <v/>
      </c>
      <c r="P64" s="66" t="str">
        <f t="shared" si="4"/>
        <v/>
      </c>
      <c r="Q64" s="63" t="str">
        <f t="shared" si="5"/>
        <v/>
      </c>
      <c r="S64" s="7"/>
      <c r="T64" s="7"/>
    </row>
    <row r="65" spans="2:20" ht="15.75" customHeight="1" x14ac:dyDescent="0.25">
      <c r="B65" s="105">
        <v>73</v>
      </c>
      <c r="C65" s="106">
        <v>35.651000000000003</v>
      </c>
      <c r="D65" s="107">
        <f t="shared" si="0"/>
        <v>3.5651000000000002E-2</v>
      </c>
      <c r="E65" s="79"/>
      <c r="F65" s="65" t="str">
        <f t="shared" si="6"/>
        <v/>
      </c>
      <c r="G65" s="86" t="str">
        <f t="shared" si="7"/>
        <v/>
      </c>
      <c r="H65" s="65" t="str">
        <f t="shared" si="1"/>
        <v/>
      </c>
      <c r="I65" s="65" t="str">
        <f t="shared" si="2"/>
        <v/>
      </c>
      <c r="J65" s="65" t="str">
        <f t="shared" si="8"/>
        <v/>
      </c>
      <c r="K65" s="66" t="str">
        <f t="shared" si="3"/>
        <v/>
      </c>
      <c r="L65" s="60"/>
      <c r="M65" s="60"/>
      <c r="N65" s="65" t="str">
        <f t="shared" si="9"/>
        <v/>
      </c>
      <c r="O65" s="63" t="str">
        <f t="shared" si="10"/>
        <v/>
      </c>
      <c r="P65" s="66" t="str">
        <f t="shared" si="4"/>
        <v/>
      </c>
      <c r="Q65" s="63" t="str">
        <f t="shared" si="5"/>
        <v/>
      </c>
      <c r="S65" s="7"/>
      <c r="T65" s="7"/>
    </row>
    <row r="66" spans="2:20" ht="15.75" customHeight="1" x14ac:dyDescent="0.25">
      <c r="B66" s="105">
        <v>74</v>
      </c>
      <c r="C66" s="106">
        <v>38.299999999999997</v>
      </c>
      <c r="D66" s="107">
        <f t="shared" si="0"/>
        <v>3.8299999999999994E-2</v>
      </c>
      <c r="E66" s="79"/>
      <c r="F66" s="65" t="str">
        <f t="shared" si="6"/>
        <v/>
      </c>
      <c r="G66" s="86" t="str">
        <f t="shared" si="7"/>
        <v/>
      </c>
      <c r="H66" s="65" t="str">
        <f t="shared" si="1"/>
        <v/>
      </c>
      <c r="I66" s="65" t="str">
        <f t="shared" si="2"/>
        <v/>
      </c>
      <c r="J66" s="65" t="str">
        <f t="shared" si="8"/>
        <v/>
      </c>
      <c r="K66" s="66" t="str">
        <f t="shared" si="3"/>
        <v/>
      </c>
      <c r="L66" s="60"/>
      <c r="M66" s="60"/>
      <c r="N66" s="65" t="str">
        <f t="shared" si="9"/>
        <v/>
      </c>
      <c r="O66" s="63" t="str">
        <f t="shared" si="10"/>
        <v/>
      </c>
      <c r="P66" s="66" t="str">
        <f t="shared" si="4"/>
        <v/>
      </c>
      <c r="Q66" s="63" t="str">
        <f t="shared" si="5"/>
        <v/>
      </c>
      <c r="S66" s="7"/>
      <c r="T66" s="7"/>
    </row>
    <row r="67" spans="2:20" ht="15.75" customHeight="1" x14ac:dyDescent="0.25">
      <c r="B67" s="105">
        <v>75</v>
      </c>
      <c r="C67" s="106">
        <v>41.135999999999996</v>
      </c>
      <c r="D67" s="107">
        <f t="shared" si="0"/>
        <v>4.1135999999999999E-2</v>
      </c>
      <c r="E67" s="79"/>
      <c r="F67" s="65" t="str">
        <f t="shared" si="6"/>
        <v/>
      </c>
      <c r="G67" s="86" t="str">
        <f t="shared" si="7"/>
        <v/>
      </c>
      <c r="H67" s="65" t="str">
        <f t="shared" si="1"/>
        <v/>
      </c>
      <c r="I67" s="65" t="str">
        <f t="shared" si="2"/>
        <v/>
      </c>
      <c r="J67" s="65" t="str">
        <f t="shared" si="8"/>
        <v/>
      </c>
      <c r="K67" s="66" t="str">
        <f t="shared" si="3"/>
        <v/>
      </c>
      <c r="L67" s="60"/>
      <c r="M67" s="60"/>
      <c r="N67" s="65" t="str">
        <f t="shared" si="9"/>
        <v/>
      </c>
      <c r="O67" s="63" t="str">
        <f t="shared" si="10"/>
        <v/>
      </c>
      <c r="P67" s="66" t="str">
        <f t="shared" si="4"/>
        <v/>
      </c>
      <c r="Q67" s="63" t="str">
        <f t="shared" si="5"/>
        <v/>
      </c>
      <c r="S67" s="7"/>
      <c r="T67" s="7"/>
    </row>
    <row r="68" spans="2:20" ht="15.75" customHeight="1" x14ac:dyDescent="0.25">
      <c r="B68" s="105">
        <v>76</v>
      </c>
      <c r="C68" s="106">
        <v>44.173999999999999</v>
      </c>
      <c r="D68" s="107">
        <f t="shared" si="0"/>
        <v>4.4173999999999998E-2</v>
      </c>
      <c r="E68" s="79"/>
      <c r="F68" s="65" t="str">
        <f t="shared" si="6"/>
        <v/>
      </c>
      <c r="G68" s="86" t="str">
        <f t="shared" si="7"/>
        <v/>
      </c>
      <c r="H68" s="65" t="str">
        <f t="shared" si="1"/>
        <v/>
      </c>
      <c r="I68" s="65" t="str">
        <f t="shared" si="2"/>
        <v/>
      </c>
      <c r="J68" s="65" t="str">
        <f t="shared" si="8"/>
        <v/>
      </c>
      <c r="K68" s="66" t="str">
        <f t="shared" si="3"/>
        <v/>
      </c>
      <c r="L68" s="60"/>
      <c r="M68" s="60"/>
      <c r="N68" s="65" t="str">
        <f t="shared" si="9"/>
        <v/>
      </c>
      <c r="O68" s="63" t="str">
        <f t="shared" si="10"/>
        <v/>
      </c>
      <c r="P68" s="66" t="str">
        <f t="shared" si="4"/>
        <v/>
      </c>
      <c r="Q68" s="63" t="str">
        <f t="shared" si="5"/>
        <v/>
      </c>
      <c r="S68" s="7"/>
      <c r="T68" s="7"/>
    </row>
    <row r="69" spans="2:20" ht="15.75" customHeight="1" x14ac:dyDescent="0.25">
      <c r="B69" s="105">
        <v>77</v>
      </c>
      <c r="C69" s="106">
        <v>47.423999999999999</v>
      </c>
      <c r="D69" s="107">
        <f t="shared" si="0"/>
        <v>4.7424000000000001E-2</v>
      </c>
      <c r="E69" s="79"/>
      <c r="F69" s="65" t="str">
        <f t="shared" si="6"/>
        <v/>
      </c>
      <c r="G69" s="86" t="str">
        <f t="shared" si="7"/>
        <v/>
      </c>
      <c r="H69" s="65" t="str">
        <f t="shared" si="1"/>
        <v/>
      </c>
      <c r="I69" s="65" t="str">
        <f t="shared" si="2"/>
        <v/>
      </c>
      <c r="J69" s="65" t="str">
        <f t="shared" si="8"/>
        <v/>
      </c>
      <c r="K69" s="66" t="str">
        <f t="shared" si="3"/>
        <v/>
      </c>
      <c r="L69" s="60"/>
      <c r="M69" s="60"/>
      <c r="N69" s="65" t="str">
        <f t="shared" si="9"/>
        <v/>
      </c>
      <c r="O69" s="63" t="str">
        <f t="shared" si="10"/>
        <v/>
      </c>
      <c r="P69" s="66" t="str">
        <f t="shared" si="4"/>
        <v/>
      </c>
      <c r="Q69" s="63" t="str">
        <f t="shared" si="5"/>
        <v/>
      </c>
      <c r="S69" s="7"/>
      <c r="T69" s="7"/>
    </row>
    <row r="70" spans="2:20" ht="15.75" customHeight="1" x14ac:dyDescent="0.25">
      <c r="B70" s="105">
        <v>78</v>
      </c>
      <c r="C70" s="106">
        <v>50.902000000000001</v>
      </c>
      <c r="D70" s="107">
        <f t="shared" si="0"/>
        <v>5.0902000000000003E-2</v>
      </c>
      <c r="E70" s="79"/>
      <c r="F70" s="65" t="str">
        <f t="shared" si="6"/>
        <v/>
      </c>
      <c r="G70" s="86" t="str">
        <f t="shared" si="7"/>
        <v/>
      </c>
      <c r="H70" s="65" t="str">
        <f t="shared" si="1"/>
        <v/>
      </c>
      <c r="I70" s="65" t="str">
        <f t="shared" si="2"/>
        <v/>
      </c>
      <c r="J70" s="65" t="str">
        <f t="shared" si="8"/>
        <v/>
      </c>
      <c r="K70" s="66" t="str">
        <f t="shared" si="3"/>
        <v/>
      </c>
      <c r="L70" s="60"/>
      <c r="M70" s="60"/>
      <c r="N70" s="65" t="str">
        <f t="shared" si="9"/>
        <v/>
      </c>
      <c r="O70" s="63" t="str">
        <f t="shared" si="10"/>
        <v/>
      </c>
      <c r="P70" s="66" t="str">
        <f t="shared" si="4"/>
        <v/>
      </c>
      <c r="Q70" s="63" t="str">
        <f t="shared" si="5"/>
        <v/>
      </c>
      <c r="S70" s="7"/>
      <c r="T70" s="7"/>
    </row>
    <row r="71" spans="2:20" ht="15.75" customHeight="1" x14ac:dyDescent="0.25">
      <c r="B71" s="105">
        <v>79</v>
      </c>
      <c r="C71" s="106">
        <v>54.619</v>
      </c>
      <c r="D71" s="107">
        <f t="shared" si="0"/>
        <v>5.4619000000000001E-2</v>
      </c>
      <c r="E71" s="79"/>
      <c r="F71" s="65" t="str">
        <f t="shared" si="6"/>
        <v/>
      </c>
      <c r="G71" s="86" t="str">
        <f t="shared" si="7"/>
        <v/>
      </c>
      <c r="H71" s="65" t="str">
        <f t="shared" si="1"/>
        <v/>
      </c>
      <c r="I71" s="65" t="str">
        <f t="shared" si="2"/>
        <v/>
      </c>
      <c r="J71" s="65" t="str">
        <f t="shared" si="8"/>
        <v/>
      </c>
      <c r="K71" s="66" t="str">
        <f t="shared" si="3"/>
        <v/>
      </c>
      <c r="L71" s="60"/>
      <c r="M71" s="60"/>
      <c r="N71" s="65" t="str">
        <f t="shared" si="9"/>
        <v/>
      </c>
      <c r="O71" s="63" t="str">
        <f t="shared" si="10"/>
        <v/>
      </c>
      <c r="P71" s="66" t="str">
        <f t="shared" si="4"/>
        <v/>
      </c>
      <c r="Q71" s="63" t="str">
        <f t="shared" si="5"/>
        <v/>
      </c>
      <c r="S71" s="7"/>
      <c r="T71" s="7"/>
    </row>
    <row r="72" spans="2:20" ht="15.75" customHeight="1" x14ac:dyDescent="0.25">
      <c r="B72" s="105">
        <v>80</v>
      </c>
      <c r="C72" s="106">
        <v>58.591999999999999</v>
      </c>
      <c r="D72" s="107">
        <f t="shared" si="0"/>
        <v>5.8591999999999998E-2</v>
      </c>
      <c r="E72" s="79"/>
      <c r="F72" s="65" t="str">
        <f t="shared" si="6"/>
        <v/>
      </c>
      <c r="G72" s="86" t="str">
        <f t="shared" si="7"/>
        <v/>
      </c>
      <c r="H72" s="65" t="str">
        <f t="shared" si="1"/>
        <v/>
      </c>
      <c r="I72" s="65" t="str">
        <f t="shared" si="2"/>
        <v/>
      </c>
      <c r="J72" s="65" t="str">
        <f t="shared" si="8"/>
        <v/>
      </c>
      <c r="K72" s="66" t="str">
        <f t="shared" si="3"/>
        <v/>
      </c>
      <c r="L72" s="60"/>
      <c r="M72" s="60"/>
      <c r="N72" s="65" t="str">
        <f t="shared" si="9"/>
        <v/>
      </c>
      <c r="O72" s="63" t="str">
        <f t="shared" si="10"/>
        <v/>
      </c>
      <c r="P72" s="66" t="str">
        <f t="shared" si="4"/>
        <v/>
      </c>
      <c r="Q72" s="63" t="str">
        <f t="shared" si="5"/>
        <v/>
      </c>
      <c r="S72" s="7"/>
      <c r="T72" s="7"/>
    </row>
    <row r="73" spans="2:20" ht="15.75" customHeight="1" x14ac:dyDescent="0.25">
      <c r="B73" s="105">
        <v>81</v>
      </c>
      <c r="C73" s="106">
        <v>62.834000000000003</v>
      </c>
      <c r="D73" s="107">
        <f t="shared" si="0"/>
        <v>6.2834000000000001E-2</v>
      </c>
      <c r="E73" s="79"/>
      <c r="F73" s="65" t="str">
        <f t="shared" si="6"/>
        <v/>
      </c>
      <c r="G73" s="86" t="str">
        <f t="shared" si="7"/>
        <v/>
      </c>
      <c r="H73" s="65" t="str">
        <f t="shared" si="1"/>
        <v/>
      </c>
      <c r="I73" s="65" t="str">
        <f t="shared" si="2"/>
        <v/>
      </c>
      <c r="J73" s="65" t="str">
        <f t="shared" si="8"/>
        <v/>
      </c>
      <c r="K73" s="66" t="str">
        <f t="shared" si="3"/>
        <v/>
      </c>
      <c r="L73" s="60"/>
      <c r="M73" s="60"/>
      <c r="N73" s="65" t="str">
        <f t="shared" si="9"/>
        <v/>
      </c>
      <c r="O73" s="63" t="str">
        <f t="shared" si="10"/>
        <v/>
      </c>
      <c r="P73" s="66" t="str">
        <f t="shared" si="4"/>
        <v/>
      </c>
      <c r="Q73" s="63" t="str">
        <f t="shared" si="5"/>
        <v/>
      </c>
      <c r="S73" s="7"/>
      <c r="T73" s="7"/>
    </row>
    <row r="74" spans="2:20" ht="15.75" customHeight="1" x14ac:dyDescent="0.25">
      <c r="B74" s="105">
        <v>82</v>
      </c>
      <c r="C74" s="106">
        <v>67.362000000000009</v>
      </c>
      <c r="D74" s="107">
        <f t="shared" si="0"/>
        <v>6.7362000000000005E-2</v>
      </c>
      <c r="E74" s="79"/>
      <c r="F74" s="65" t="str">
        <f t="shared" si="6"/>
        <v/>
      </c>
      <c r="G74" s="86" t="str">
        <f t="shared" si="7"/>
        <v/>
      </c>
      <c r="H74" s="65" t="str">
        <f t="shared" si="1"/>
        <v/>
      </c>
      <c r="I74" s="65" t="str">
        <f t="shared" si="2"/>
        <v/>
      </c>
      <c r="J74" s="65" t="str">
        <f t="shared" si="8"/>
        <v/>
      </c>
      <c r="K74" s="66" t="str">
        <f t="shared" si="3"/>
        <v/>
      </c>
      <c r="L74" s="60"/>
      <c r="M74" s="60"/>
      <c r="N74" s="65" t="str">
        <f t="shared" si="9"/>
        <v/>
      </c>
      <c r="O74" s="63" t="str">
        <f t="shared" si="10"/>
        <v/>
      </c>
      <c r="P74" s="66" t="str">
        <f t="shared" si="4"/>
        <v/>
      </c>
      <c r="Q74" s="63" t="str">
        <f t="shared" si="5"/>
        <v/>
      </c>
      <c r="S74" s="7"/>
      <c r="T74" s="7"/>
    </row>
    <row r="75" spans="2:20" ht="15.75" customHeight="1" x14ac:dyDescent="0.25">
      <c r="B75" s="105">
        <v>83</v>
      </c>
      <c r="C75" s="106">
        <v>72.19</v>
      </c>
      <c r="D75" s="107">
        <f t="shared" si="0"/>
        <v>7.2190000000000004E-2</v>
      </c>
      <c r="E75" s="79"/>
      <c r="F75" s="65" t="str">
        <f t="shared" si="6"/>
        <v/>
      </c>
      <c r="G75" s="86" t="str">
        <f t="shared" si="7"/>
        <v/>
      </c>
      <c r="H75" s="65" t="str">
        <f t="shared" si="1"/>
        <v/>
      </c>
      <c r="I75" s="65" t="str">
        <f t="shared" si="2"/>
        <v/>
      </c>
      <c r="J75" s="65" t="str">
        <f t="shared" si="8"/>
        <v/>
      </c>
      <c r="K75" s="66" t="str">
        <f t="shared" si="3"/>
        <v/>
      </c>
      <c r="L75" s="60"/>
      <c r="M75" s="60"/>
      <c r="N75" s="65" t="str">
        <f t="shared" si="9"/>
        <v/>
      </c>
      <c r="O75" s="63" t="str">
        <f t="shared" si="10"/>
        <v/>
      </c>
      <c r="P75" s="66" t="str">
        <f t="shared" si="4"/>
        <v/>
      </c>
      <c r="Q75" s="63" t="str">
        <f t="shared" si="5"/>
        <v/>
      </c>
      <c r="S75" s="7"/>
      <c r="T75" s="7"/>
    </row>
    <row r="76" spans="2:20" ht="15.75" customHeight="1" x14ac:dyDescent="0.25">
      <c r="B76" s="105">
        <v>84</v>
      </c>
      <c r="C76" s="106">
        <v>77.337000000000003</v>
      </c>
      <c r="D76" s="107">
        <f t="shared" si="0"/>
        <v>7.7337000000000003E-2</v>
      </c>
      <c r="E76" s="79"/>
      <c r="F76" s="65" t="str">
        <f t="shared" si="6"/>
        <v/>
      </c>
      <c r="G76" s="86" t="str">
        <f t="shared" si="7"/>
        <v/>
      </c>
      <c r="H76" s="65" t="str">
        <f t="shared" si="1"/>
        <v/>
      </c>
      <c r="I76" s="65" t="str">
        <f t="shared" si="2"/>
        <v/>
      </c>
      <c r="J76" s="65" t="str">
        <f t="shared" si="8"/>
        <v/>
      </c>
      <c r="K76" s="66" t="str">
        <f t="shared" si="3"/>
        <v/>
      </c>
      <c r="L76" s="60"/>
      <c r="M76" s="60"/>
      <c r="N76" s="65" t="str">
        <f t="shared" si="9"/>
        <v/>
      </c>
      <c r="O76" s="63" t="str">
        <f t="shared" si="10"/>
        <v/>
      </c>
      <c r="P76" s="66" t="str">
        <f t="shared" si="4"/>
        <v/>
      </c>
      <c r="Q76" s="63" t="str">
        <f t="shared" si="5"/>
        <v/>
      </c>
      <c r="S76" s="7"/>
      <c r="T76" s="7"/>
    </row>
    <row r="77" spans="2:20" ht="15.75" customHeight="1" x14ac:dyDescent="0.25">
      <c r="B77" s="105">
        <v>85</v>
      </c>
      <c r="C77" s="106">
        <v>82.817000000000007</v>
      </c>
      <c r="D77" s="107">
        <f t="shared" si="0"/>
        <v>8.2817000000000002E-2</v>
      </c>
      <c r="E77" s="79"/>
      <c r="F77" s="65" t="str">
        <f t="shared" si="6"/>
        <v/>
      </c>
      <c r="G77" s="86" t="str">
        <f t="shared" si="7"/>
        <v/>
      </c>
      <c r="H77" s="65" t="str">
        <f t="shared" si="1"/>
        <v/>
      </c>
      <c r="I77" s="65" t="str">
        <f t="shared" si="2"/>
        <v/>
      </c>
      <c r="J77" s="65" t="str">
        <f t="shared" si="8"/>
        <v/>
      </c>
      <c r="K77" s="66" t="str">
        <f t="shared" si="3"/>
        <v/>
      </c>
      <c r="L77" s="60"/>
      <c r="M77" s="60"/>
      <c r="N77" s="65" t="str">
        <f t="shared" si="9"/>
        <v/>
      </c>
      <c r="O77" s="63" t="str">
        <f t="shared" si="10"/>
        <v/>
      </c>
      <c r="P77" s="66" t="str">
        <f t="shared" si="4"/>
        <v/>
      </c>
      <c r="Q77" s="63" t="str">
        <f t="shared" si="5"/>
        <v/>
      </c>
      <c r="S77" s="7"/>
      <c r="T77" s="7"/>
    </row>
    <row r="78" spans="2:20" ht="15.75" customHeight="1" x14ac:dyDescent="0.25">
      <c r="B78" s="105">
        <v>86</v>
      </c>
      <c r="C78" s="106">
        <v>88.649000000000001</v>
      </c>
      <c r="D78" s="107">
        <f t="shared" si="0"/>
        <v>8.8649000000000006E-2</v>
      </c>
      <c r="E78" s="79"/>
      <c r="F78" s="65" t="str">
        <f t="shared" si="6"/>
        <v/>
      </c>
      <c r="G78" s="86" t="str">
        <f t="shared" si="7"/>
        <v/>
      </c>
      <c r="H78" s="65" t="str">
        <f t="shared" si="1"/>
        <v/>
      </c>
      <c r="I78" s="65" t="str">
        <f t="shared" si="2"/>
        <v/>
      </c>
      <c r="J78" s="65" t="str">
        <f t="shared" si="8"/>
        <v/>
      </c>
      <c r="K78" s="66" t="str">
        <f t="shared" si="3"/>
        <v/>
      </c>
      <c r="L78" s="60"/>
      <c r="M78" s="60"/>
      <c r="N78" s="65" t="str">
        <f t="shared" si="9"/>
        <v/>
      </c>
      <c r="O78" s="63" t="str">
        <f t="shared" si="10"/>
        <v/>
      </c>
      <c r="P78" s="66" t="str">
        <f t="shared" si="4"/>
        <v/>
      </c>
      <c r="Q78" s="63" t="str">
        <f t="shared" si="5"/>
        <v/>
      </c>
      <c r="S78" s="7"/>
      <c r="T78" s="7"/>
    </row>
    <row r="79" spans="2:20" ht="15.75" customHeight="1" x14ac:dyDescent="0.25">
      <c r="B79" s="105">
        <v>87</v>
      </c>
      <c r="C79" s="106">
        <v>94.85</v>
      </c>
      <c r="D79" s="107">
        <f t="shared" si="0"/>
        <v>9.484999999999999E-2</v>
      </c>
      <c r="E79" s="79"/>
      <c r="F79" s="65" t="str">
        <f t="shared" si="6"/>
        <v/>
      </c>
      <c r="G79" s="86" t="str">
        <f t="shared" si="7"/>
        <v/>
      </c>
      <c r="H79" s="65" t="str">
        <f t="shared" si="1"/>
        <v/>
      </c>
      <c r="I79" s="65" t="str">
        <f t="shared" si="2"/>
        <v/>
      </c>
      <c r="J79" s="65" t="str">
        <f t="shared" si="8"/>
        <v/>
      </c>
      <c r="K79" s="66" t="str">
        <f t="shared" si="3"/>
        <v/>
      </c>
      <c r="L79" s="60"/>
      <c r="M79" s="60"/>
      <c r="N79" s="65" t="str">
        <f t="shared" si="9"/>
        <v/>
      </c>
      <c r="O79" s="63" t="str">
        <f t="shared" si="10"/>
        <v/>
      </c>
      <c r="P79" s="66" t="str">
        <f t="shared" si="4"/>
        <v/>
      </c>
      <c r="Q79" s="63" t="str">
        <f t="shared" si="5"/>
        <v/>
      </c>
      <c r="S79" s="7"/>
      <c r="T79" s="7"/>
    </row>
    <row r="80" spans="2:20" ht="15.75" customHeight="1" x14ac:dyDescent="0.25">
      <c r="B80" s="105">
        <v>88</v>
      </c>
      <c r="C80" s="106">
        <v>101.43599999999999</v>
      </c>
      <c r="D80" s="107">
        <f t="shared" si="0"/>
        <v>0.101436</v>
      </c>
      <c r="E80" s="79"/>
      <c r="F80" s="65" t="str">
        <f t="shared" si="6"/>
        <v/>
      </c>
      <c r="G80" s="86" t="str">
        <f t="shared" si="7"/>
        <v/>
      </c>
      <c r="H80" s="65" t="str">
        <f t="shared" si="1"/>
        <v/>
      </c>
      <c r="I80" s="65" t="str">
        <f t="shared" si="2"/>
        <v/>
      </c>
      <c r="J80" s="65" t="str">
        <f t="shared" si="8"/>
        <v/>
      </c>
      <c r="K80" s="66" t="str">
        <f t="shared" si="3"/>
        <v/>
      </c>
      <c r="L80" s="60"/>
      <c r="M80" s="60"/>
      <c r="N80" s="65" t="str">
        <f t="shared" si="9"/>
        <v/>
      </c>
      <c r="O80" s="63" t="str">
        <f t="shared" si="10"/>
        <v/>
      </c>
      <c r="P80" s="66" t="str">
        <f t="shared" si="4"/>
        <v/>
      </c>
      <c r="Q80" s="63" t="str">
        <f t="shared" si="5"/>
        <v/>
      </c>
      <c r="S80" s="7"/>
      <c r="T80" s="7"/>
    </row>
    <row r="81" spans="2:20" ht="15.75" customHeight="1" x14ac:dyDescent="0.25">
      <c r="B81" s="105">
        <v>89</v>
      </c>
      <c r="C81" s="106">
        <v>108.42400000000001</v>
      </c>
      <c r="D81" s="107">
        <f t="shared" si="0"/>
        <v>0.10842400000000001</v>
      </c>
      <c r="E81" s="79"/>
      <c r="F81" s="65" t="str">
        <f t="shared" si="6"/>
        <v/>
      </c>
      <c r="G81" s="86" t="str">
        <f t="shared" si="7"/>
        <v/>
      </c>
      <c r="H81" s="65" t="str">
        <f t="shared" si="1"/>
        <v/>
      </c>
      <c r="I81" s="65" t="str">
        <f t="shared" si="2"/>
        <v/>
      </c>
      <c r="J81" s="65" t="str">
        <f t="shared" si="8"/>
        <v/>
      </c>
      <c r="K81" s="66" t="str">
        <f t="shared" si="3"/>
        <v/>
      </c>
      <c r="L81" s="60"/>
      <c r="M81" s="60"/>
      <c r="N81" s="65" t="str">
        <f t="shared" si="9"/>
        <v/>
      </c>
      <c r="O81" s="63" t="str">
        <f t="shared" si="10"/>
        <v/>
      </c>
      <c r="P81" s="66" t="str">
        <f t="shared" si="4"/>
        <v/>
      </c>
      <c r="Q81" s="63" t="str">
        <f t="shared" si="5"/>
        <v/>
      </c>
      <c r="S81" s="7"/>
      <c r="T81" s="7"/>
    </row>
    <row r="82" spans="2:20" ht="15.75" customHeight="1" x14ac:dyDescent="0.25">
      <c r="B82" s="105">
        <v>90</v>
      </c>
      <c r="C82" s="106">
        <v>115.83200000000001</v>
      </c>
      <c r="D82" s="107">
        <f t="shared" si="0"/>
        <v>0.115832</v>
      </c>
      <c r="E82" s="79"/>
      <c r="F82" s="65" t="str">
        <f t="shared" si="6"/>
        <v/>
      </c>
      <c r="G82" s="86" t="str">
        <f t="shared" si="7"/>
        <v/>
      </c>
      <c r="H82" s="65" t="str">
        <f t="shared" si="1"/>
        <v/>
      </c>
      <c r="I82" s="65" t="str">
        <f t="shared" si="2"/>
        <v/>
      </c>
      <c r="J82" s="65" t="str">
        <f t="shared" si="8"/>
        <v/>
      </c>
      <c r="K82" s="66" t="str">
        <f t="shared" si="3"/>
        <v/>
      </c>
      <c r="L82" s="60"/>
      <c r="M82" s="60"/>
      <c r="N82" s="65" t="str">
        <f t="shared" si="9"/>
        <v/>
      </c>
      <c r="O82" s="63" t="str">
        <f t="shared" si="10"/>
        <v/>
      </c>
      <c r="P82" s="66" t="str">
        <f t="shared" si="4"/>
        <v/>
      </c>
      <c r="Q82" s="63" t="str">
        <f t="shared" si="5"/>
        <v/>
      </c>
      <c r="S82" s="7"/>
      <c r="T82" s="7"/>
    </row>
    <row r="83" spans="2:20" ht="15.75" customHeight="1" x14ac:dyDescent="0.25">
      <c r="B83" s="105">
        <v>91</v>
      </c>
      <c r="C83" s="106">
        <v>123.67699999999999</v>
      </c>
      <c r="D83" s="107">
        <f t="shared" si="0"/>
        <v>0.123677</v>
      </c>
      <c r="E83" s="79"/>
      <c r="F83" s="65" t="str">
        <f t="shared" si="6"/>
        <v/>
      </c>
      <c r="G83" s="86" t="str">
        <f t="shared" si="7"/>
        <v/>
      </c>
      <c r="H83" s="65" t="str">
        <f t="shared" si="1"/>
        <v/>
      </c>
      <c r="I83" s="65" t="str">
        <f t="shared" si="2"/>
        <v/>
      </c>
      <c r="J83" s="65" t="str">
        <f t="shared" si="8"/>
        <v/>
      </c>
      <c r="K83" s="66" t="str">
        <f t="shared" si="3"/>
        <v/>
      </c>
      <c r="L83" s="60"/>
      <c r="M83" s="60"/>
      <c r="N83" s="65" t="str">
        <f t="shared" si="9"/>
        <v/>
      </c>
      <c r="O83" s="63" t="str">
        <f t="shared" si="10"/>
        <v/>
      </c>
      <c r="P83" s="66" t="str">
        <f t="shared" si="4"/>
        <v/>
      </c>
      <c r="Q83" s="63" t="str">
        <f t="shared" si="5"/>
        <v/>
      </c>
      <c r="S83" s="7"/>
      <c r="T83" s="7"/>
    </row>
    <row r="84" spans="2:20" ht="15.75" customHeight="1" x14ac:dyDescent="0.25">
      <c r="B84" s="105">
        <v>92</v>
      </c>
      <c r="C84" s="106">
        <v>131.97300000000001</v>
      </c>
      <c r="D84" s="107">
        <f t="shared" si="0"/>
        <v>0.13197300000000001</v>
      </c>
      <c r="E84" s="79"/>
      <c r="F84" s="65" t="str">
        <f t="shared" si="6"/>
        <v/>
      </c>
      <c r="G84" s="86" t="str">
        <f t="shared" si="7"/>
        <v/>
      </c>
      <c r="H84" s="65" t="str">
        <f t="shared" si="1"/>
        <v/>
      </c>
      <c r="I84" s="65" t="str">
        <f t="shared" si="2"/>
        <v/>
      </c>
      <c r="J84" s="65" t="str">
        <f t="shared" si="8"/>
        <v/>
      </c>
      <c r="K84" s="66" t="str">
        <f t="shared" si="3"/>
        <v/>
      </c>
      <c r="L84" s="60"/>
      <c r="M84" s="60"/>
      <c r="N84" s="65" t="str">
        <f t="shared" si="9"/>
        <v/>
      </c>
      <c r="O84" s="63" t="str">
        <f t="shared" si="10"/>
        <v/>
      </c>
      <c r="P84" s="66" t="str">
        <f t="shared" si="4"/>
        <v/>
      </c>
      <c r="Q84" s="63" t="str">
        <f t="shared" si="5"/>
        <v/>
      </c>
      <c r="S84" s="7"/>
      <c r="T84" s="7"/>
    </row>
    <row r="85" spans="2:20" ht="15.75" customHeight="1" x14ac:dyDescent="0.25">
      <c r="B85" s="105">
        <v>93</v>
      </c>
      <c r="C85" s="106">
        <v>140.73699999999999</v>
      </c>
      <c r="D85" s="107">
        <f t="shared" si="0"/>
        <v>0.140737</v>
      </c>
      <c r="E85" s="79"/>
      <c r="F85" s="65" t="str">
        <f t="shared" si="6"/>
        <v/>
      </c>
      <c r="G85" s="86" t="str">
        <f t="shared" si="7"/>
        <v/>
      </c>
      <c r="H85" s="65" t="str">
        <f t="shared" si="1"/>
        <v/>
      </c>
      <c r="I85" s="65" t="str">
        <f t="shared" si="2"/>
        <v/>
      </c>
      <c r="J85" s="65" t="str">
        <f t="shared" si="8"/>
        <v/>
      </c>
      <c r="K85" s="66" t="str">
        <f t="shared" si="3"/>
        <v/>
      </c>
      <c r="L85" s="60"/>
      <c r="M85" s="60"/>
      <c r="N85" s="65" t="str">
        <f t="shared" si="9"/>
        <v/>
      </c>
      <c r="O85" s="63" t="str">
        <f t="shared" si="10"/>
        <v/>
      </c>
      <c r="P85" s="66" t="str">
        <f t="shared" si="4"/>
        <v/>
      </c>
      <c r="Q85" s="63" t="str">
        <f t="shared" si="5"/>
        <v/>
      </c>
      <c r="S85" s="7"/>
      <c r="T85" s="7"/>
    </row>
    <row r="86" spans="2:20" ht="15.75" customHeight="1" x14ac:dyDescent="0.25">
      <c r="B86" s="105">
        <v>94</v>
      </c>
      <c r="C86" s="106">
        <v>149.983</v>
      </c>
      <c r="D86" s="107">
        <f t="shared" si="0"/>
        <v>0.14998300000000001</v>
      </c>
      <c r="E86" s="79"/>
      <c r="F86" s="65" t="str">
        <f t="shared" si="6"/>
        <v/>
      </c>
      <c r="G86" s="86" t="str">
        <f t="shared" si="7"/>
        <v/>
      </c>
      <c r="H86" s="65" t="str">
        <f t="shared" si="1"/>
        <v/>
      </c>
      <c r="I86" s="65" t="str">
        <f t="shared" si="2"/>
        <v/>
      </c>
      <c r="J86" s="65" t="str">
        <f t="shared" si="8"/>
        <v/>
      </c>
      <c r="K86" s="66" t="str">
        <f t="shared" si="3"/>
        <v/>
      </c>
      <c r="L86" s="60"/>
      <c r="M86" s="60"/>
      <c r="N86" s="65" t="str">
        <f t="shared" si="9"/>
        <v/>
      </c>
      <c r="O86" s="63" t="str">
        <f t="shared" si="10"/>
        <v/>
      </c>
      <c r="P86" s="66" t="str">
        <f t="shared" si="4"/>
        <v/>
      </c>
      <c r="Q86" s="63" t="str">
        <f t="shared" si="5"/>
        <v/>
      </c>
      <c r="S86" s="7"/>
      <c r="T86" s="7"/>
    </row>
    <row r="87" spans="2:20" ht="15.75" customHeight="1" x14ac:dyDescent="0.25">
      <c r="B87" s="105">
        <v>95</v>
      </c>
      <c r="C87" s="106">
        <v>159.72300000000001</v>
      </c>
      <c r="D87" s="107">
        <f t="shared" si="0"/>
        <v>0.159723</v>
      </c>
      <c r="E87" s="79"/>
      <c r="F87" s="65" t="str">
        <f t="shared" si="6"/>
        <v/>
      </c>
      <c r="G87" s="86" t="str">
        <f t="shared" si="7"/>
        <v/>
      </c>
      <c r="H87" s="65" t="str">
        <f t="shared" si="1"/>
        <v/>
      </c>
      <c r="I87" s="65" t="str">
        <f t="shared" si="2"/>
        <v/>
      </c>
      <c r="J87" s="65" t="str">
        <f t="shared" si="8"/>
        <v/>
      </c>
      <c r="K87" s="66" t="str">
        <f t="shared" si="3"/>
        <v/>
      </c>
      <c r="L87" s="60"/>
      <c r="M87" s="60"/>
      <c r="N87" s="65" t="str">
        <f t="shared" si="9"/>
        <v/>
      </c>
      <c r="O87" s="63" t="str">
        <f t="shared" si="10"/>
        <v/>
      </c>
      <c r="P87" s="66" t="str">
        <f t="shared" si="4"/>
        <v/>
      </c>
      <c r="Q87" s="63" t="str">
        <f t="shared" si="5"/>
        <v/>
      </c>
      <c r="S87" s="7"/>
      <c r="T87" s="7"/>
    </row>
    <row r="88" spans="2:20" ht="15.75" customHeight="1" x14ac:dyDescent="0.25">
      <c r="B88" s="105">
        <v>96</v>
      </c>
      <c r="C88" s="106">
        <v>169.97</v>
      </c>
      <c r="D88" s="107">
        <f t="shared" si="0"/>
        <v>0.16997000000000001</v>
      </c>
      <c r="E88" s="79"/>
      <c r="F88" s="65" t="str">
        <f t="shared" si="6"/>
        <v/>
      </c>
      <c r="G88" s="86" t="str">
        <f t="shared" si="7"/>
        <v/>
      </c>
      <c r="H88" s="65" t="str">
        <f t="shared" si="1"/>
        <v/>
      </c>
      <c r="I88" s="65" t="str">
        <f t="shared" si="2"/>
        <v/>
      </c>
      <c r="J88" s="65" t="str">
        <f t="shared" si="8"/>
        <v/>
      </c>
      <c r="K88" s="66" t="str">
        <f t="shared" si="3"/>
        <v/>
      </c>
      <c r="L88" s="60"/>
      <c r="M88" s="60"/>
      <c r="N88" s="65" t="str">
        <f t="shared" si="9"/>
        <v/>
      </c>
      <c r="O88" s="63" t="str">
        <f t="shared" si="10"/>
        <v/>
      </c>
      <c r="P88" s="66" t="str">
        <f t="shared" si="4"/>
        <v/>
      </c>
      <c r="Q88" s="63" t="str">
        <f t="shared" si="5"/>
        <v/>
      </c>
      <c r="S88" s="7"/>
      <c r="T88" s="7"/>
    </row>
    <row r="89" spans="2:20" ht="15.75" customHeight="1" x14ac:dyDescent="0.25">
      <c r="B89" s="105">
        <v>97</v>
      </c>
      <c r="C89" s="106">
        <v>180.733</v>
      </c>
      <c r="D89" s="107">
        <f t="shared" si="0"/>
        <v>0.180733</v>
      </c>
      <c r="E89" s="79"/>
      <c r="F89" s="65" t="str">
        <f t="shared" si="6"/>
        <v/>
      </c>
      <c r="G89" s="86" t="str">
        <f t="shared" si="7"/>
        <v/>
      </c>
      <c r="H89" s="65" t="str">
        <f t="shared" si="1"/>
        <v/>
      </c>
      <c r="I89" s="65" t="str">
        <f t="shared" si="2"/>
        <v/>
      </c>
      <c r="J89" s="65" t="str">
        <f t="shared" si="8"/>
        <v/>
      </c>
      <c r="K89" s="66" t="str">
        <f t="shared" si="3"/>
        <v/>
      </c>
      <c r="L89" s="60"/>
      <c r="M89" s="60"/>
      <c r="N89" s="65" t="str">
        <f t="shared" si="9"/>
        <v/>
      </c>
      <c r="O89" s="63" t="str">
        <f t="shared" si="10"/>
        <v/>
      </c>
      <c r="P89" s="66" t="str">
        <f t="shared" si="4"/>
        <v/>
      </c>
      <c r="Q89" s="63" t="str">
        <f t="shared" si="5"/>
        <v/>
      </c>
      <c r="S89" s="7"/>
      <c r="T89" s="7"/>
    </row>
    <row r="90" spans="2:20" ht="15.75" customHeight="1" x14ac:dyDescent="0.25">
      <c r="B90" s="105">
        <v>98</v>
      </c>
      <c r="C90" s="106">
        <v>192.02</v>
      </c>
      <c r="D90" s="107">
        <f t="shared" si="0"/>
        <v>0.19202000000000002</v>
      </c>
      <c r="E90" s="79"/>
      <c r="F90" s="65" t="str">
        <f t="shared" si="6"/>
        <v/>
      </c>
      <c r="G90" s="86" t="str">
        <f t="shared" si="7"/>
        <v/>
      </c>
      <c r="H90" s="65" t="str">
        <f t="shared" si="1"/>
        <v/>
      </c>
      <c r="I90" s="65" t="str">
        <f t="shared" si="2"/>
        <v/>
      </c>
      <c r="J90" s="65" t="str">
        <f t="shared" si="8"/>
        <v/>
      </c>
      <c r="K90" s="66" t="str">
        <f t="shared" si="3"/>
        <v/>
      </c>
      <c r="L90" s="60"/>
      <c r="M90" s="60"/>
      <c r="N90" s="65" t="str">
        <f t="shared" si="9"/>
        <v/>
      </c>
      <c r="O90" s="63" t="str">
        <f t="shared" si="10"/>
        <v/>
      </c>
      <c r="P90" s="66" t="str">
        <f t="shared" si="4"/>
        <v/>
      </c>
      <c r="Q90" s="63" t="str">
        <f t="shared" si="5"/>
        <v/>
      </c>
      <c r="S90" s="7"/>
      <c r="T90" s="7"/>
    </row>
    <row r="91" spans="2:20" ht="15.75" customHeight="1" x14ac:dyDescent="0.25">
      <c r="B91" s="105">
        <v>99</v>
      </c>
      <c r="C91" s="106">
        <v>203.83699999999999</v>
      </c>
      <c r="D91" s="107">
        <f t="shared" si="0"/>
        <v>0.20383699999999999</v>
      </c>
      <c r="E91" s="79"/>
      <c r="F91" s="65" t="str">
        <f t="shared" si="6"/>
        <v/>
      </c>
      <c r="G91" s="86" t="str">
        <f t="shared" si="7"/>
        <v/>
      </c>
      <c r="H91" s="65" t="str">
        <f t="shared" si="1"/>
        <v/>
      </c>
      <c r="I91" s="65" t="str">
        <f t="shared" si="2"/>
        <v/>
      </c>
      <c r="J91" s="65" t="str">
        <f t="shared" si="8"/>
        <v/>
      </c>
      <c r="K91" s="66" t="str">
        <f t="shared" si="3"/>
        <v/>
      </c>
      <c r="L91" s="60"/>
      <c r="M91" s="60"/>
      <c r="N91" s="65" t="str">
        <f t="shared" si="9"/>
        <v/>
      </c>
      <c r="O91" s="63" t="str">
        <f t="shared" si="10"/>
        <v/>
      </c>
      <c r="P91" s="66" t="str">
        <f t="shared" si="4"/>
        <v/>
      </c>
      <c r="Q91" s="63" t="str">
        <f t="shared" si="5"/>
        <v/>
      </c>
      <c r="S91" s="7"/>
      <c r="T91" s="7"/>
    </row>
    <row r="92" spans="2:20" ht="15.75" customHeight="1" x14ac:dyDescent="0.25">
      <c r="B92" s="105">
        <v>100</v>
      </c>
      <c r="C92" s="106">
        <v>1000</v>
      </c>
      <c r="D92" s="107">
        <f t="shared" si="0"/>
        <v>1</v>
      </c>
      <c r="E92" s="79"/>
      <c r="F92" s="65" t="str">
        <f t="shared" si="6"/>
        <v/>
      </c>
      <c r="G92" s="86" t="str">
        <f t="shared" si="7"/>
        <v/>
      </c>
      <c r="H92" s="65" t="str">
        <f t="shared" si="1"/>
        <v/>
      </c>
      <c r="I92" s="65" t="str">
        <f t="shared" si="2"/>
        <v/>
      </c>
      <c r="J92" s="65" t="str">
        <f t="shared" si="8"/>
        <v/>
      </c>
      <c r="K92" s="66" t="str">
        <f t="shared" si="3"/>
        <v/>
      </c>
      <c r="L92" s="60"/>
      <c r="M92" s="60"/>
      <c r="N92" s="65" t="str">
        <f t="shared" si="9"/>
        <v/>
      </c>
      <c r="O92" s="63" t="str">
        <f t="shared" si="10"/>
        <v/>
      </c>
      <c r="P92" s="66" t="str">
        <f t="shared" si="4"/>
        <v/>
      </c>
      <c r="Q92" s="63" t="str">
        <f t="shared" si="5"/>
        <v/>
      </c>
      <c r="S92" s="7"/>
      <c r="T92" s="7"/>
    </row>
    <row r="93" spans="2:20" ht="15.75" customHeight="1" x14ac:dyDescent="0.25">
      <c r="D93" s="71"/>
      <c r="E93" s="79"/>
      <c r="F93" s="65" t="str">
        <f t="shared" si="6"/>
        <v/>
      </c>
      <c r="G93" s="86" t="str">
        <f t="shared" si="7"/>
        <v/>
      </c>
      <c r="H93" s="65" t="str">
        <f t="shared" si="1"/>
        <v/>
      </c>
      <c r="I93" s="65" t="str">
        <f t="shared" si="2"/>
        <v/>
      </c>
      <c r="J93" s="65" t="str">
        <f t="shared" si="8"/>
        <v/>
      </c>
      <c r="K93" s="66" t="str">
        <f t="shared" si="3"/>
        <v/>
      </c>
      <c r="L93" s="60"/>
      <c r="M93" s="60"/>
      <c r="N93" s="65" t="str">
        <f t="shared" si="9"/>
        <v/>
      </c>
      <c r="O93" s="63" t="str">
        <f t="shared" si="10"/>
        <v/>
      </c>
      <c r="P93" s="66" t="str">
        <f t="shared" si="4"/>
        <v/>
      </c>
      <c r="Q93" s="63" t="str">
        <f t="shared" si="5"/>
        <v/>
      </c>
      <c r="S93" s="7"/>
      <c r="T93" s="7"/>
    </row>
    <row r="94" spans="2:20" ht="15.75" customHeight="1" x14ac:dyDescent="0.25">
      <c r="D94" s="71"/>
      <c r="E94" s="79"/>
      <c r="F94" s="65" t="str">
        <f t="shared" si="6"/>
        <v/>
      </c>
      <c r="G94" s="86" t="str">
        <f t="shared" si="7"/>
        <v/>
      </c>
      <c r="H94" s="65" t="str">
        <f t="shared" si="1"/>
        <v/>
      </c>
      <c r="I94" s="65" t="str">
        <f t="shared" si="2"/>
        <v/>
      </c>
      <c r="J94" s="65" t="str">
        <f t="shared" si="8"/>
        <v/>
      </c>
      <c r="K94" s="66" t="str">
        <f t="shared" si="3"/>
        <v/>
      </c>
      <c r="L94" s="60"/>
      <c r="M94" s="60"/>
      <c r="N94" s="65" t="str">
        <f t="shared" si="9"/>
        <v/>
      </c>
      <c r="O94" s="63" t="str">
        <f t="shared" si="10"/>
        <v/>
      </c>
      <c r="P94" s="66" t="str">
        <f t="shared" si="4"/>
        <v/>
      </c>
      <c r="Q94" s="63" t="str">
        <f t="shared" si="5"/>
        <v/>
      </c>
      <c r="S94" s="7"/>
      <c r="T94" s="7"/>
    </row>
    <row r="95" spans="2:20" ht="15.75" customHeight="1" x14ac:dyDescent="0.25">
      <c r="D95" s="71"/>
      <c r="E95" s="79"/>
      <c r="F95" s="65" t="str">
        <f t="shared" si="6"/>
        <v/>
      </c>
      <c r="G95" s="86" t="str">
        <f t="shared" si="7"/>
        <v/>
      </c>
      <c r="H95" s="65" t="str">
        <f t="shared" si="1"/>
        <v/>
      </c>
      <c r="I95" s="65" t="str">
        <f t="shared" si="2"/>
        <v/>
      </c>
      <c r="J95" s="65" t="str">
        <f t="shared" si="8"/>
        <v/>
      </c>
      <c r="K95" s="66" t="str">
        <f t="shared" si="3"/>
        <v/>
      </c>
      <c r="L95" s="60"/>
      <c r="M95" s="60"/>
      <c r="N95" s="65" t="str">
        <f t="shared" si="9"/>
        <v/>
      </c>
      <c r="O95" s="63" t="str">
        <f t="shared" si="10"/>
        <v/>
      </c>
      <c r="P95" s="66" t="str">
        <f t="shared" si="4"/>
        <v/>
      </c>
      <c r="Q95" s="63" t="str">
        <f t="shared" si="5"/>
        <v/>
      </c>
      <c r="S95" s="7"/>
      <c r="T95" s="7"/>
    </row>
    <row r="96" spans="2:20" ht="15.75" customHeight="1" x14ac:dyDescent="0.25">
      <c r="D96" s="71"/>
      <c r="E96" s="79"/>
      <c r="F96" s="65" t="str">
        <f t="shared" si="6"/>
        <v/>
      </c>
      <c r="G96" s="86" t="str">
        <f t="shared" si="7"/>
        <v/>
      </c>
      <c r="H96" s="65" t="str">
        <f t="shared" si="1"/>
        <v/>
      </c>
      <c r="I96" s="65" t="str">
        <f t="shared" si="2"/>
        <v/>
      </c>
      <c r="J96" s="65" t="str">
        <f t="shared" si="8"/>
        <v/>
      </c>
      <c r="K96" s="66" t="str">
        <f t="shared" si="3"/>
        <v/>
      </c>
      <c r="L96" s="60"/>
      <c r="M96" s="60"/>
      <c r="N96" s="65" t="str">
        <f t="shared" si="9"/>
        <v/>
      </c>
      <c r="O96" s="63" t="str">
        <f t="shared" si="10"/>
        <v/>
      </c>
      <c r="P96" s="66" t="str">
        <f t="shared" si="4"/>
        <v/>
      </c>
      <c r="Q96" s="63" t="str">
        <f t="shared" si="5"/>
        <v/>
      </c>
      <c r="S96" s="7"/>
      <c r="T96" s="7"/>
    </row>
    <row r="97" spans="1:20" ht="15.75" customHeight="1" x14ac:dyDescent="0.25">
      <c r="D97" s="71"/>
      <c r="E97" s="79"/>
      <c r="F97" s="65" t="str">
        <f t="shared" si="6"/>
        <v/>
      </c>
      <c r="G97" s="86" t="str">
        <f t="shared" si="7"/>
        <v/>
      </c>
      <c r="H97" s="65" t="str">
        <f t="shared" si="1"/>
        <v/>
      </c>
      <c r="I97" s="65" t="str">
        <f t="shared" si="2"/>
        <v/>
      </c>
      <c r="J97" s="65" t="str">
        <f t="shared" si="8"/>
        <v/>
      </c>
      <c r="K97" s="66" t="str">
        <f t="shared" si="3"/>
        <v/>
      </c>
      <c r="L97" s="60"/>
      <c r="M97" s="60"/>
      <c r="N97" s="65" t="str">
        <f t="shared" si="9"/>
        <v/>
      </c>
      <c r="O97" s="63" t="str">
        <f t="shared" si="10"/>
        <v/>
      </c>
      <c r="P97" s="66" t="str">
        <f t="shared" si="4"/>
        <v/>
      </c>
      <c r="Q97" s="63" t="str">
        <f t="shared" si="5"/>
        <v/>
      </c>
      <c r="S97" s="7"/>
      <c r="T97" s="7"/>
    </row>
    <row r="98" spans="1:20" ht="15.75" customHeight="1" x14ac:dyDescent="0.25">
      <c r="D98" s="71"/>
      <c r="E98" s="79"/>
      <c r="F98" s="65" t="str">
        <f t="shared" si="6"/>
        <v/>
      </c>
      <c r="G98" s="86" t="str">
        <f t="shared" si="7"/>
        <v/>
      </c>
      <c r="H98" s="65" t="str">
        <f t="shared" si="1"/>
        <v/>
      </c>
      <c r="I98" s="65" t="str">
        <f t="shared" si="2"/>
        <v/>
      </c>
      <c r="J98" s="65" t="str">
        <f t="shared" si="8"/>
        <v/>
      </c>
      <c r="K98" s="66" t="str">
        <f t="shared" si="3"/>
        <v/>
      </c>
      <c r="L98" s="60"/>
      <c r="M98" s="60"/>
      <c r="N98" s="65" t="str">
        <f t="shared" si="9"/>
        <v/>
      </c>
      <c r="O98" s="63" t="str">
        <f t="shared" si="10"/>
        <v/>
      </c>
      <c r="P98" s="66" t="str">
        <f t="shared" si="4"/>
        <v/>
      </c>
      <c r="Q98" s="63" t="str">
        <f t="shared" si="5"/>
        <v/>
      </c>
      <c r="S98" s="7"/>
      <c r="T98" s="7"/>
    </row>
    <row r="99" spans="1:20" ht="15.75" customHeight="1" x14ac:dyDescent="0.25">
      <c r="D99" s="71"/>
      <c r="E99" s="79"/>
      <c r="F99" s="65" t="str">
        <f t="shared" si="6"/>
        <v/>
      </c>
      <c r="G99" s="86" t="str">
        <f t="shared" si="7"/>
        <v/>
      </c>
      <c r="H99" s="65" t="str">
        <f t="shared" si="1"/>
        <v/>
      </c>
      <c r="I99" s="65" t="str">
        <f t="shared" si="2"/>
        <v/>
      </c>
      <c r="J99" s="65" t="str">
        <f t="shared" si="8"/>
        <v/>
      </c>
      <c r="K99" s="66" t="str">
        <f t="shared" si="3"/>
        <v/>
      </c>
      <c r="L99" s="60"/>
      <c r="M99" s="60"/>
      <c r="N99" s="65" t="str">
        <f t="shared" si="9"/>
        <v/>
      </c>
      <c r="O99" s="63" t="str">
        <f t="shared" si="10"/>
        <v/>
      </c>
      <c r="P99" s="66" t="str">
        <f t="shared" si="4"/>
        <v/>
      </c>
      <c r="Q99" s="63" t="str">
        <f t="shared" si="5"/>
        <v/>
      </c>
      <c r="S99" s="7"/>
      <c r="T99" s="7"/>
    </row>
    <row r="100" spans="1:20" ht="15.75" customHeight="1" x14ac:dyDescent="0.25">
      <c r="D100" s="71"/>
      <c r="E100" s="79"/>
      <c r="F100" s="65" t="str">
        <f t="shared" si="6"/>
        <v/>
      </c>
      <c r="G100" s="86" t="str">
        <f t="shared" si="7"/>
        <v/>
      </c>
      <c r="H100" s="65" t="str">
        <f t="shared" si="1"/>
        <v/>
      </c>
      <c r="I100" s="65" t="str">
        <f t="shared" si="2"/>
        <v/>
      </c>
      <c r="J100" s="65" t="str">
        <f t="shared" si="8"/>
        <v/>
      </c>
      <c r="K100" s="66" t="str">
        <f t="shared" si="3"/>
        <v/>
      </c>
      <c r="L100" s="60"/>
      <c r="M100" s="60"/>
      <c r="N100" s="65" t="str">
        <f t="shared" si="9"/>
        <v/>
      </c>
      <c r="O100" s="63" t="str">
        <f t="shared" si="10"/>
        <v/>
      </c>
      <c r="P100" s="66" t="str">
        <f t="shared" si="4"/>
        <v/>
      </c>
      <c r="Q100" s="63" t="str">
        <f t="shared" si="5"/>
        <v/>
      </c>
      <c r="S100" s="7"/>
      <c r="T100" s="7"/>
    </row>
    <row r="101" spans="1:20" ht="15.75" customHeight="1" x14ac:dyDescent="0.25">
      <c r="D101" s="71"/>
      <c r="E101" s="79"/>
      <c r="F101" s="65" t="str">
        <f t="shared" si="6"/>
        <v/>
      </c>
      <c r="G101" s="86" t="str">
        <f t="shared" si="7"/>
        <v/>
      </c>
      <c r="H101" s="65" t="str">
        <f t="shared" si="1"/>
        <v/>
      </c>
      <c r="I101" s="65" t="str">
        <f t="shared" si="2"/>
        <v/>
      </c>
      <c r="J101" s="65" t="str">
        <f t="shared" si="8"/>
        <v/>
      </c>
      <c r="K101" s="66" t="str">
        <f t="shared" si="3"/>
        <v/>
      </c>
      <c r="L101" s="60"/>
      <c r="M101" s="60"/>
      <c r="N101" s="65" t="str">
        <f t="shared" si="9"/>
        <v/>
      </c>
      <c r="O101" s="63" t="str">
        <f t="shared" si="10"/>
        <v/>
      </c>
      <c r="P101" s="66" t="str">
        <f t="shared" si="4"/>
        <v/>
      </c>
      <c r="Q101" s="63" t="str">
        <f t="shared" si="5"/>
        <v/>
      </c>
      <c r="S101" s="7"/>
      <c r="T101" s="7"/>
    </row>
    <row r="102" spans="1:20" ht="15.75" customHeight="1" x14ac:dyDescent="0.25">
      <c r="D102" s="71"/>
      <c r="E102" s="79"/>
      <c r="F102" s="65" t="str">
        <f t="shared" si="6"/>
        <v/>
      </c>
      <c r="G102" s="86" t="str">
        <f t="shared" si="7"/>
        <v/>
      </c>
      <c r="H102" s="65" t="str">
        <f t="shared" si="1"/>
        <v/>
      </c>
      <c r="I102" s="65" t="str">
        <f t="shared" si="2"/>
        <v/>
      </c>
      <c r="J102" s="65" t="str">
        <f t="shared" si="8"/>
        <v/>
      </c>
      <c r="K102" s="66" t="str">
        <f t="shared" si="3"/>
        <v/>
      </c>
      <c r="L102" s="60"/>
      <c r="M102" s="60"/>
      <c r="N102" s="65" t="str">
        <f t="shared" si="9"/>
        <v/>
      </c>
      <c r="O102" s="63" t="str">
        <f t="shared" si="10"/>
        <v/>
      </c>
      <c r="P102" s="66" t="str">
        <f t="shared" si="4"/>
        <v/>
      </c>
      <c r="Q102" s="63" t="str">
        <f t="shared" si="5"/>
        <v/>
      </c>
      <c r="S102" s="7"/>
      <c r="T102" s="7"/>
    </row>
    <row r="103" spans="1:20" ht="15.75" customHeight="1" x14ac:dyDescent="0.25">
      <c r="F103" s="65" t="str">
        <f t="shared" si="6"/>
        <v/>
      </c>
      <c r="G103" s="86" t="str">
        <f t="shared" si="7"/>
        <v/>
      </c>
      <c r="H103" s="65" t="str">
        <f t="shared" si="1"/>
        <v/>
      </c>
      <c r="I103" s="65" t="str">
        <f t="shared" si="2"/>
        <v/>
      </c>
      <c r="J103" s="65" t="str">
        <f t="shared" si="8"/>
        <v/>
      </c>
      <c r="K103" s="66" t="str">
        <f t="shared" si="3"/>
        <v/>
      </c>
      <c r="L103" s="60"/>
      <c r="M103" s="60"/>
      <c r="N103" s="65" t="str">
        <f t="shared" si="9"/>
        <v/>
      </c>
      <c r="O103" s="63" t="str">
        <f t="shared" si="10"/>
        <v/>
      </c>
      <c r="P103" s="66" t="str">
        <f t="shared" si="4"/>
        <v/>
      </c>
      <c r="Q103" s="63" t="str">
        <f t="shared" si="5"/>
        <v/>
      </c>
      <c r="S103" s="7"/>
      <c r="T103" s="7"/>
    </row>
    <row r="104" spans="1:20" ht="15.75" customHeight="1" x14ac:dyDescent="0.25">
      <c r="F104" s="65" t="str">
        <f t="shared" si="6"/>
        <v/>
      </c>
      <c r="G104" s="125" t="str">
        <f t="shared" si="7"/>
        <v/>
      </c>
      <c r="H104" s="126" t="str">
        <f t="shared" si="1"/>
        <v/>
      </c>
      <c r="I104" s="126" t="str">
        <f t="shared" si="2"/>
        <v/>
      </c>
      <c r="J104" s="126" t="str">
        <f t="shared" si="8"/>
        <v/>
      </c>
      <c r="K104" s="66" t="str">
        <f t="shared" si="3"/>
        <v/>
      </c>
      <c r="L104" s="60"/>
      <c r="M104" s="60"/>
      <c r="N104" s="65" t="str">
        <f t="shared" si="9"/>
        <v/>
      </c>
      <c r="O104" s="63" t="str">
        <f t="shared" si="10"/>
        <v/>
      </c>
      <c r="P104" s="66" t="str">
        <f t="shared" si="4"/>
        <v/>
      </c>
      <c r="Q104" s="63" t="str">
        <f t="shared" si="5"/>
        <v/>
      </c>
      <c r="S104" s="7"/>
      <c r="T104" s="7"/>
    </row>
    <row r="105" spans="1:20" ht="15.75" customHeight="1" x14ac:dyDescent="0.25">
      <c r="B105" s="117"/>
      <c r="C105" s="117"/>
      <c r="D105" s="117"/>
      <c r="E105" s="117"/>
      <c r="F105" s="123"/>
      <c r="G105" s="127"/>
      <c r="H105" s="127"/>
      <c r="I105" s="127"/>
      <c r="J105" s="127"/>
      <c r="K105" s="124"/>
      <c r="L105" s="119"/>
      <c r="M105" s="117"/>
      <c r="N105" s="118"/>
      <c r="O105" s="121"/>
      <c r="P105" s="120"/>
      <c r="Q105" s="121"/>
      <c r="R105" s="119"/>
      <c r="S105" s="7"/>
      <c r="T105" s="7"/>
    </row>
    <row r="106" spans="1:20" ht="15.75" customHeight="1" x14ac:dyDescent="0.25">
      <c r="B106" s="117"/>
      <c r="C106" s="117"/>
      <c r="D106" s="117"/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7"/>
      <c r="T106" s="7"/>
    </row>
    <row r="107" spans="1:20" ht="15.75" customHeight="1" x14ac:dyDescent="0.25">
      <c r="A107" s="88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7"/>
      <c r="T107" s="7"/>
    </row>
    <row r="108" spans="1:20" ht="15.75" customHeight="1" x14ac:dyDescent="0.25">
      <c r="B108" s="117"/>
      <c r="C108" s="117"/>
      <c r="D108" s="117"/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7"/>
      <c r="T108" s="7"/>
    </row>
    <row r="109" spans="1:20" ht="15.75" customHeight="1" x14ac:dyDescent="0.25">
      <c r="S109" s="7"/>
      <c r="T109" s="7"/>
    </row>
    <row r="110" spans="1:20" ht="15.75" customHeight="1" x14ac:dyDescent="0.25">
      <c r="S110" s="7"/>
      <c r="T110" s="7"/>
    </row>
    <row r="111" spans="1:20" ht="15.75" customHeight="1" x14ac:dyDescent="0.25">
      <c r="S111" s="7"/>
      <c r="T111" s="7"/>
    </row>
    <row r="112" spans="1:20" ht="15.75" customHeight="1" x14ac:dyDescent="0.25">
      <c r="S112" s="7"/>
      <c r="T112" s="7"/>
    </row>
    <row r="113" spans="19:20" ht="15.75" customHeight="1" x14ac:dyDescent="0.25">
      <c r="S113" s="7"/>
      <c r="T113" s="7"/>
    </row>
    <row r="114" spans="19:20" ht="15.75" customHeight="1" x14ac:dyDescent="0.25">
      <c r="S114" s="7"/>
      <c r="T114" s="7"/>
    </row>
    <row r="115" spans="19:20" ht="15.75" customHeight="1" x14ac:dyDescent="0.25">
      <c r="S115" s="7"/>
      <c r="T115" s="7"/>
    </row>
    <row r="116" spans="19:20" ht="15.75" customHeight="1" x14ac:dyDescent="0.25">
      <c r="S116" s="7"/>
      <c r="T116" s="7"/>
    </row>
    <row r="117" spans="19:20" ht="15.75" customHeight="1" x14ac:dyDescent="0.25">
      <c r="S117" s="7"/>
      <c r="T117" s="7"/>
    </row>
    <row r="118" spans="19:20" ht="15.75" customHeight="1" x14ac:dyDescent="0.25">
      <c r="S118" s="7"/>
      <c r="T118" s="7"/>
    </row>
    <row r="119" spans="19:20" ht="15.75" customHeight="1" x14ac:dyDescent="0.25">
      <c r="S119" s="7"/>
      <c r="T119" s="7"/>
    </row>
    <row r="120" spans="19:20" ht="15.75" customHeight="1" x14ac:dyDescent="0.25">
      <c r="S120" s="7"/>
      <c r="T120" s="7"/>
    </row>
    <row r="121" spans="19:20" ht="15.75" customHeight="1" x14ac:dyDescent="0.25">
      <c r="S121" s="7"/>
      <c r="T121" s="7"/>
    </row>
    <row r="122" spans="19:20" ht="15.75" customHeight="1" x14ac:dyDescent="0.25">
      <c r="S122" s="7"/>
      <c r="T122" s="7"/>
    </row>
    <row r="123" spans="19:20" ht="15.75" customHeight="1" x14ac:dyDescent="0.25">
      <c r="S123" s="7"/>
      <c r="T123" s="7"/>
    </row>
    <row r="124" spans="19:20" ht="15.75" customHeight="1" x14ac:dyDescent="0.25">
      <c r="S124" s="7"/>
      <c r="T124" s="7"/>
    </row>
    <row r="125" spans="19:20" ht="15.75" customHeight="1" x14ac:dyDescent="0.25">
      <c r="S125" s="7"/>
      <c r="T125" s="7"/>
    </row>
    <row r="126" spans="19:20" ht="15.75" customHeight="1" x14ac:dyDescent="0.25">
      <c r="S126" s="7"/>
      <c r="T126" s="7"/>
    </row>
    <row r="127" spans="19:20" ht="15.75" customHeight="1" x14ac:dyDescent="0.25">
      <c r="S127" s="7"/>
      <c r="T127" s="7"/>
    </row>
    <row r="128" spans="19:20" ht="15.75" customHeight="1" x14ac:dyDescent="0.25">
      <c r="S128" s="7"/>
      <c r="T128" s="7"/>
    </row>
    <row r="129" spans="19:20" ht="15.75" customHeight="1" x14ac:dyDescent="0.25">
      <c r="S129" s="7"/>
      <c r="T129" s="7"/>
    </row>
    <row r="130" spans="19:20" ht="15.75" customHeight="1" x14ac:dyDescent="0.25">
      <c r="S130" s="7"/>
      <c r="T130" s="7"/>
    </row>
    <row r="131" spans="19:20" ht="15.75" customHeight="1" x14ac:dyDescent="0.25">
      <c r="S131" s="7"/>
      <c r="T131" s="7"/>
    </row>
    <row r="132" spans="19:20" ht="15.75" customHeight="1" x14ac:dyDescent="0.25">
      <c r="S132" s="7"/>
      <c r="T132" s="7"/>
    </row>
    <row r="133" spans="19:20" ht="15.75" customHeight="1" x14ac:dyDescent="0.25">
      <c r="S133" s="7"/>
      <c r="T133" s="7"/>
    </row>
    <row r="134" spans="19:20" ht="15.75" customHeight="1" x14ac:dyDescent="0.25">
      <c r="S134" s="7"/>
      <c r="T134" s="7"/>
    </row>
    <row r="135" spans="19:20" ht="15.75" customHeight="1" x14ac:dyDescent="0.25">
      <c r="S135" s="7"/>
      <c r="T135" s="7"/>
    </row>
    <row r="136" spans="19:20" ht="15.75" customHeight="1" x14ac:dyDescent="0.25">
      <c r="S136" s="7"/>
      <c r="T136" s="7"/>
    </row>
    <row r="137" spans="19:20" ht="15.75" customHeight="1" x14ac:dyDescent="0.25">
      <c r="S137" s="7"/>
      <c r="T137" s="7"/>
    </row>
    <row r="138" spans="19:20" ht="15.75" customHeight="1" x14ac:dyDescent="0.25">
      <c r="S138" s="7"/>
      <c r="T138" s="7"/>
    </row>
    <row r="139" spans="19:20" ht="15.75" customHeight="1" x14ac:dyDescent="0.25">
      <c r="S139" s="7"/>
      <c r="T139" s="7"/>
    </row>
    <row r="140" spans="19:20" ht="15.75" customHeight="1" x14ac:dyDescent="0.25">
      <c r="S140" s="7"/>
      <c r="T140" s="7"/>
    </row>
    <row r="141" spans="19:20" ht="15.75" customHeight="1" x14ac:dyDescent="0.25">
      <c r="S141" s="7"/>
      <c r="T141" s="7"/>
    </row>
    <row r="142" spans="19:20" ht="15.75" customHeight="1" x14ac:dyDescent="0.25">
      <c r="S142" s="7"/>
      <c r="T142" s="7"/>
    </row>
    <row r="143" spans="19:20" ht="15.75" customHeight="1" x14ac:dyDescent="0.25">
      <c r="S143" s="7"/>
      <c r="T143" s="7"/>
    </row>
    <row r="144" spans="19:20" ht="15.75" customHeight="1" x14ac:dyDescent="0.25">
      <c r="S144" s="7"/>
      <c r="T144" s="7"/>
    </row>
    <row r="145" spans="19:20" ht="15.75" customHeight="1" x14ac:dyDescent="0.25">
      <c r="S145" s="7"/>
      <c r="T145" s="7"/>
    </row>
    <row r="146" spans="19:20" ht="15.75" customHeight="1" x14ac:dyDescent="0.25">
      <c r="S146" s="7"/>
      <c r="T146" s="7"/>
    </row>
    <row r="147" spans="19:20" ht="15.75" customHeight="1" x14ac:dyDescent="0.25">
      <c r="S147" s="7"/>
      <c r="T147" s="7"/>
    </row>
    <row r="148" spans="19:20" ht="15.75" customHeight="1" x14ac:dyDescent="0.25">
      <c r="S148" s="7"/>
      <c r="T148" s="7"/>
    </row>
    <row r="149" spans="19:20" ht="15.75" customHeight="1" x14ac:dyDescent="0.25">
      <c r="S149" s="7"/>
      <c r="T149" s="7"/>
    </row>
    <row r="150" spans="19:20" ht="15.75" customHeight="1" x14ac:dyDescent="0.25">
      <c r="S150" s="7"/>
      <c r="T150" s="7"/>
    </row>
    <row r="151" spans="19:20" ht="15.75" customHeight="1" x14ac:dyDescent="0.25">
      <c r="S151" s="7"/>
      <c r="T151" s="7"/>
    </row>
    <row r="152" spans="19:20" ht="15.75" customHeight="1" x14ac:dyDescent="0.25">
      <c r="S152" s="7"/>
      <c r="T152" s="7"/>
    </row>
    <row r="153" spans="19:20" ht="15.75" customHeight="1" x14ac:dyDescent="0.25">
      <c r="S153" s="7"/>
      <c r="T153" s="7"/>
    </row>
    <row r="154" spans="19:20" ht="15.75" customHeight="1" x14ac:dyDescent="0.25">
      <c r="S154" s="7"/>
      <c r="T154" s="7"/>
    </row>
    <row r="155" spans="19:20" ht="15.75" customHeight="1" x14ac:dyDescent="0.25">
      <c r="S155" s="7"/>
      <c r="T155" s="7"/>
    </row>
    <row r="156" spans="19:20" ht="15.75" customHeight="1" x14ac:dyDescent="0.25">
      <c r="S156" s="7"/>
      <c r="T156" s="7"/>
    </row>
    <row r="157" spans="19:20" ht="15.75" customHeight="1" x14ac:dyDescent="0.25">
      <c r="S157" s="7"/>
      <c r="T157" s="7"/>
    </row>
    <row r="158" spans="19:20" ht="15.75" customHeight="1" x14ac:dyDescent="0.25">
      <c r="S158" s="7"/>
      <c r="T158" s="7"/>
    </row>
    <row r="159" spans="19:20" ht="15.75" customHeight="1" x14ac:dyDescent="0.25">
      <c r="S159" s="7"/>
      <c r="T159" s="7"/>
    </row>
    <row r="160" spans="19:20" ht="15.75" customHeight="1" x14ac:dyDescent="0.25">
      <c r="S160" s="7"/>
      <c r="T160" s="7"/>
    </row>
    <row r="161" spans="19:20" ht="15.75" customHeight="1" x14ac:dyDescent="0.25">
      <c r="S161" s="7"/>
      <c r="T161" s="7"/>
    </row>
    <row r="162" spans="19:20" ht="15.75" customHeight="1" x14ac:dyDescent="0.25">
      <c r="S162" s="7"/>
      <c r="T162" s="7"/>
    </row>
    <row r="163" spans="19:20" ht="15.75" customHeight="1" x14ac:dyDescent="0.25">
      <c r="S163" s="7"/>
      <c r="T163" s="7"/>
    </row>
    <row r="164" spans="19:20" ht="15.75" customHeight="1" x14ac:dyDescent="0.25">
      <c r="S164" s="7"/>
      <c r="T164" s="7"/>
    </row>
    <row r="165" spans="19:20" ht="15.75" customHeight="1" x14ac:dyDescent="0.25">
      <c r="S165" s="7"/>
      <c r="T165" s="7"/>
    </row>
    <row r="166" spans="19:20" ht="15.75" customHeight="1" x14ac:dyDescent="0.25">
      <c r="S166" s="7"/>
      <c r="T166" s="7"/>
    </row>
    <row r="167" spans="19:20" ht="15.75" customHeight="1" x14ac:dyDescent="0.25">
      <c r="S167" s="7"/>
      <c r="T167" s="7"/>
    </row>
    <row r="168" spans="19:20" ht="15.75" customHeight="1" x14ac:dyDescent="0.25">
      <c r="S168" s="7"/>
      <c r="T168" s="7"/>
    </row>
    <row r="169" spans="19:20" ht="15.75" customHeight="1" x14ac:dyDescent="0.25">
      <c r="S169" s="7"/>
      <c r="T169" s="7"/>
    </row>
    <row r="170" spans="19:20" ht="15.75" customHeight="1" x14ac:dyDescent="0.25">
      <c r="S170" s="7"/>
      <c r="T170" s="7"/>
    </row>
    <row r="171" spans="19:20" ht="15.75" customHeight="1" x14ac:dyDescent="0.25">
      <c r="S171" s="7"/>
      <c r="T171" s="7"/>
    </row>
    <row r="172" spans="19:20" ht="15.75" customHeight="1" x14ac:dyDescent="0.25">
      <c r="S172" s="7"/>
      <c r="T172" s="7"/>
    </row>
    <row r="173" spans="19:20" ht="15.75" customHeight="1" x14ac:dyDescent="0.25">
      <c r="S173" s="7"/>
      <c r="T173" s="7"/>
    </row>
    <row r="174" spans="19:20" ht="15.75" customHeight="1" x14ac:dyDescent="0.25">
      <c r="S174" s="7"/>
      <c r="T174" s="7"/>
    </row>
    <row r="175" spans="19:20" ht="15.75" customHeight="1" x14ac:dyDescent="0.25">
      <c r="S175" s="7"/>
      <c r="T175" s="7"/>
    </row>
    <row r="176" spans="19:20" ht="15.75" customHeight="1" x14ac:dyDescent="0.25">
      <c r="S176" s="7"/>
      <c r="T176" s="7"/>
    </row>
    <row r="177" spans="19:20" ht="15.75" customHeight="1" x14ac:dyDescent="0.25">
      <c r="S177" s="7"/>
      <c r="T177" s="7"/>
    </row>
    <row r="178" spans="19:20" ht="15.75" customHeight="1" x14ac:dyDescent="0.25">
      <c r="S178" s="7"/>
      <c r="T178" s="7"/>
    </row>
    <row r="179" spans="19:20" ht="15.75" customHeight="1" x14ac:dyDescent="0.25">
      <c r="S179" s="7"/>
      <c r="T179" s="7"/>
    </row>
    <row r="180" spans="19:20" ht="15.75" customHeight="1" x14ac:dyDescent="0.25">
      <c r="S180" s="7"/>
      <c r="T180" s="7"/>
    </row>
    <row r="181" spans="19:20" ht="15.75" customHeight="1" x14ac:dyDescent="0.25">
      <c r="S181" s="7"/>
      <c r="T181" s="7"/>
    </row>
    <row r="182" spans="19:20" ht="15.75" customHeight="1" x14ac:dyDescent="0.25">
      <c r="S182" s="7"/>
      <c r="T182" s="7"/>
    </row>
    <row r="183" spans="19:20" ht="15.75" customHeight="1" x14ac:dyDescent="0.25">
      <c r="S183" s="7"/>
      <c r="T183" s="7"/>
    </row>
    <row r="184" spans="19:20" ht="15.75" customHeight="1" x14ac:dyDescent="0.25">
      <c r="S184" s="7"/>
      <c r="T184" s="7"/>
    </row>
    <row r="185" spans="19:20" ht="15.75" customHeight="1" x14ac:dyDescent="0.25">
      <c r="S185" s="7"/>
      <c r="T185" s="7"/>
    </row>
    <row r="186" spans="19:20" ht="15.75" customHeight="1" x14ac:dyDescent="0.25">
      <c r="S186" s="7"/>
      <c r="T186" s="7"/>
    </row>
    <row r="187" spans="19:20" ht="15.75" customHeight="1" x14ac:dyDescent="0.25">
      <c r="S187" s="7"/>
      <c r="T187" s="7"/>
    </row>
    <row r="188" spans="19:20" ht="15.75" customHeight="1" x14ac:dyDescent="0.25">
      <c r="S188" s="7"/>
      <c r="T188" s="7"/>
    </row>
    <row r="189" spans="19:20" ht="15.75" customHeight="1" x14ac:dyDescent="0.25">
      <c r="S189" s="7"/>
      <c r="T189" s="7"/>
    </row>
    <row r="190" spans="19:20" ht="15.75" customHeight="1" x14ac:dyDescent="0.25">
      <c r="S190" s="7"/>
      <c r="T190" s="7"/>
    </row>
    <row r="191" spans="19:20" ht="15.75" customHeight="1" x14ac:dyDescent="0.25">
      <c r="S191" s="7"/>
      <c r="T191" s="7"/>
    </row>
    <row r="192" spans="19:20" ht="15.75" customHeight="1" x14ac:dyDescent="0.25">
      <c r="S192" s="7"/>
      <c r="T192" s="7"/>
    </row>
    <row r="193" spans="19:20" ht="15.75" customHeight="1" x14ac:dyDescent="0.25">
      <c r="S193" s="7"/>
      <c r="T193" s="7"/>
    </row>
    <row r="194" spans="19:20" ht="15.75" customHeight="1" x14ac:dyDescent="0.25">
      <c r="S194" s="7"/>
      <c r="T194" s="7"/>
    </row>
    <row r="195" spans="19:20" ht="15.75" customHeight="1" x14ac:dyDescent="0.25">
      <c r="S195" s="7"/>
      <c r="T195" s="7"/>
    </row>
    <row r="196" spans="19:20" ht="15.75" customHeight="1" x14ac:dyDescent="0.25">
      <c r="S196" s="7"/>
      <c r="T196" s="7"/>
    </row>
    <row r="197" spans="19:20" ht="15.75" customHeight="1" x14ac:dyDescent="0.25">
      <c r="S197" s="7"/>
      <c r="T197" s="7"/>
    </row>
    <row r="198" spans="19:20" ht="15.75" customHeight="1" x14ac:dyDescent="0.25">
      <c r="S198" s="7"/>
      <c r="T198" s="7"/>
    </row>
    <row r="199" spans="19:20" ht="15.75" customHeight="1" x14ac:dyDescent="0.25">
      <c r="S199" s="7"/>
      <c r="T199" s="7"/>
    </row>
    <row r="200" spans="19:20" ht="15.75" customHeight="1" x14ac:dyDescent="0.25">
      <c r="S200" s="7"/>
      <c r="T200" s="7"/>
    </row>
    <row r="201" spans="19:20" ht="15.75" customHeight="1" x14ac:dyDescent="0.25">
      <c r="S201" s="7"/>
      <c r="T201" s="7"/>
    </row>
    <row r="202" spans="19:20" ht="15.75" customHeight="1" x14ac:dyDescent="0.25">
      <c r="S202" s="7"/>
      <c r="T202" s="7"/>
    </row>
    <row r="203" spans="19:20" ht="15.75" customHeight="1" x14ac:dyDescent="0.25">
      <c r="S203" s="7"/>
      <c r="T203" s="7"/>
    </row>
    <row r="204" spans="19:20" ht="15.75" customHeight="1" x14ac:dyDescent="0.25">
      <c r="S204" s="7"/>
      <c r="T204" s="7"/>
    </row>
    <row r="205" spans="19:20" ht="15.75" customHeight="1" x14ac:dyDescent="0.25">
      <c r="S205" s="7"/>
      <c r="T205" s="7"/>
    </row>
    <row r="206" spans="19:20" ht="15.75" customHeight="1" x14ac:dyDescent="0.25">
      <c r="S206" s="7"/>
      <c r="T206" s="7"/>
    </row>
    <row r="207" spans="19:20" ht="15.75" customHeight="1" x14ac:dyDescent="0.25">
      <c r="S207" s="7"/>
      <c r="T207" s="7"/>
    </row>
    <row r="208" spans="19:20" ht="15.75" customHeight="1" x14ac:dyDescent="0.25">
      <c r="S208" s="7"/>
      <c r="T208" s="7"/>
    </row>
    <row r="209" spans="19:20" ht="15.75" customHeight="1" x14ac:dyDescent="0.25">
      <c r="S209" s="7"/>
      <c r="T209" s="7"/>
    </row>
    <row r="210" spans="19:20" ht="15.75" customHeight="1" x14ac:dyDescent="0.25">
      <c r="S210" s="7"/>
      <c r="T210" s="7"/>
    </row>
    <row r="211" spans="19:20" ht="15.75" customHeight="1" x14ac:dyDescent="0.25">
      <c r="S211" s="7"/>
      <c r="T211" s="7"/>
    </row>
    <row r="212" spans="19:20" ht="15.75" customHeight="1" x14ac:dyDescent="0.25">
      <c r="S212" s="7"/>
      <c r="T212" s="7"/>
    </row>
    <row r="213" spans="19:20" ht="15.75" customHeight="1" x14ac:dyDescent="0.25">
      <c r="S213" s="7"/>
      <c r="T213" s="7"/>
    </row>
    <row r="214" spans="19:20" ht="15.75" customHeight="1" x14ac:dyDescent="0.25">
      <c r="S214" s="7"/>
      <c r="T214" s="7"/>
    </row>
    <row r="215" spans="19:20" ht="15.75" customHeight="1" x14ac:dyDescent="0.25">
      <c r="S215" s="7"/>
      <c r="T215" s="7"/>
    </row>
    <row r="216" spans="19:20" ht="15.75" customHeight="1" x14ac:dyDescent="0.25">
      <c r="S216" s="7"/>
      <c r="T216" s="7"/>
    </row>
    <row r="217" spans="19:20" ht="15.75" customHeight="1" x14ac:dyDescent="0.25">
      <c r="S217" s="7"/>
      <c r="T217" s="7"/>
    </row>
    <row r="218" spans="19:20" ht="15.75" customHeight="1" x14ac:dyDescent="0.25">
      <c r="S218" s="7"/>
      <c r="T218" s="7"/>
    </row>
    <row r="219" spans="19:20" ht="15.75" customHeight="1" x14ac:dyDescent="0.25">
      <c r="S219" s="7"/>
      <c r="T219" s="7"/>
    </row>
    <row r="220" spans="19:20" ht="15.75" customHeight="1" x14ac:dyDescent="0.25">
      <c r="S220" s="7"/>
      <c r="T220" s="7"/>
    </row>
    <row r="221" spans="19:20" ht="15.75" customHeight="1" x14ac:dyDescent="0.25">
      <c r="S221" s="7"/>
      <c r="T221" s="7"/>
    </row>
    <row r="222" spans="19:20" ht="15.75" customHeight="1" x14ac:dyDescent="0.25">
      <c r="S222" s="7"/>
      <c r="T222" s="7"/>
    </row>
    <row r="223" spans="19:20" ht="15.75" customHeight="1" x14ac:dyDescent="0.25">
      <c r="S223" s="7"/>
      <c r="T223" s="7"/>
    </row>
    <row r="224" spans="19:20" ht="15.75" customHeight="1" x14ac:dyDescent="0.25">
      <c r="S224" s="7"/>
      <c r="T224" s="7"/>
    </row>
    <row r="225" spans="19:20" ht="15.75" customHeight="1" x14ac:dyDescent="0.25">
      <c r="S225" s="7"/>
      <c r="T225" s="7"/>
    </row>
    <row r="226" spans="19:20" ht="15.75" customHeight="1" x14ac:dyDescent="0.25">
      <c r="S226" s="7"/>
      <c r="T226" s="7"/>
    </row>
    <row r="227" spans="19:20" ht="15.75" customHeight="1" x14ac:dyDescent="0.25">
      <c r="S227" s="7"/>
      <c r="T227" s="7"/>
    </row>
    <row r="228" spans="19:20" ht="15.75" customHeight="1" x14ac:dyDescent="0.25">
      <c r="S228" s="7"/>
      <c r="T228" s="7"/>
    </row>
    <row r="229" spans="19:20" ht="15.75" customHeight="1" x14ac:dyDescent="0.25">
      <c r="S229" s="7"/>
      <c r="T229" s="7"/>
    </row>
    <row r="230" spans="19:20" ht="15.75" customHeight="1" x14ac:dyDescent="0.25">
      <c r="S230" s="7"/>
      <c r="T230" s="7"/>
    </row>
    <row r="231" spans="19:20" ht="15.75" customHeight="1" x14ac:dyDescent="0.25">
      <c r="S231" s="7"/>
      <c r="T231" s="7"/>
    </row>
    <row r="232" spans="19:20" ht="15.75" customHeight="1" x14ac:dyDescent="0.25">
      <c r="S232" s="7"/>
      <c r="T232" s="7"/>
    </row>
    <row r="233" spans="19:20" ht="15.75" customHeight="1" x14ac:dyDescent="0.25">
      <c r="S233" s="7"/>
      <c r="T233" s="7"/>
    </row>
    <row r="234" spans="19:20" ht="15.75" customHeight="1" x14ac:dyDescent="0.25">
      <c r="S234" s="7"/>
      <c r="T234" s="7"/>
    </row>
    <row r="235" spans="19:20" ht="15.75" customHeight="1" x14ac:dyDescent="0.25">
      <c r="S235" s="7"/>
      <c r="T235" s="7"/>
    </row>
    <row r="236" spans="19:20" ht="15.75" customHeight="1" x14ac:dyDescent="0.25">
      <c r="S236" s="7"/>
      <c r="T236" s="7"/>
    </row>
    <row r="237" spans="19:20" ht="15.75" customHeight="1" x14ac:dyDescent="0.25">
      <c r="S237" s="7"/>
      <c r="T237" s="7"/>
    </row>
    <row r="238" spans="19:20" ht="15.75" customHeight="1" x14ac:dyDescent="0.25">
      <c r="S238" s="7"/>
      <c r="T238" s="7"/>
    </row>
    <row r="239" spans="19:20" ht="15.75" customHeight="1" x14ac:dyDescent="0.25">
      <c r="S239" s="7"/>
      <c r="T239" s="7"/>
    </row>
    <row r="240" spans="19:20" ht="15.75" customHeight="1" x14ac:dyDescent="0.25">
      <c r="S240" s="7"/>
      <c r="T240" s="7"/>
    </row>
    <row r="241" spans="19:20" ht="15.75" customHeight="1" x14ac:dyDescent="0.25">
      <c r="S241" s="7"/>
      <c r="T241" s="7"/>
    </row>
    <row r="242" spans="19:20" ht="15.75" customHeight="1" x14ac:dyDescent="0.25">
      <c r="S242" s="7"/>
      <c r="T242" s="7"/>
    </row>
    <row r="243" spans="19:20" ht="15.75" customHeight="1" x14ac:dyDescent="0.25">
      <c r="S243" s="7"/>
      <c r="T243" s="7"/>
    </row>
    <row r="244" spans="19:20" ht="15.75" customHeight="1" x14ac:dyDescent="0.25">
      <c r="S244" s="7"/>
      <c r="T244" s="7"/>
    </row>
    <row r="245" spans="19:20" ht="15.75" customHeight="1" x14ac:dyDescent="0.25">
      <c r="S245" s="7"/>
      <c r="T245" s="7"/>
    </row>
    <row r="246" spans="19:20" ht="15.75" customHeight="1" x14ac:dyDescent="0.25">
      <c r="S246" s="7"/>
      <c r="T246" s="7"/>
    </row>
    <row r="247" spans="19:20" ht="15.75" customHeight="1" x14ac:dyDescent="0.25">
      <c r="S247" s="7"/>
      <c r="T247" s="7"/>
    </row>
    <row r="248" spans="19:20" ht="15.75" customHeight="1" x14ac:dyDescent="0.25">
      <c r="S248" s="7"/>
      <c r="T248" s="7"/>
    </row>
    <row r="249" spans="19:20" ht="15.75" customHeight="1" x14ac:dyDescent="0.25">
      <c r="S249" s="7"/>
      <c r="T249" s="7"/>
    </row>
    <row r="250" spans="19:20" ht="15.75" customHeight="1" x14ac:dyDescent="0.25">
      <c r="S250" s="7"/>
      <c r="T250" s="7"/>
    </row>
    <row r="251" spans="19:20" ht="15.75" customHeight="1" x14ac:dyDescent="0.25">
      <c r="S251" s="7"/>
      <c r="T251" s="7"/>
    </row>
    <row r="252" spans="19:20" ht="15.75" customHeight="1" x14ac:dyDescent="0.25">
      <c r="S252" s="7"/>
      <c r="T252" s="7"/>
    </row>
    <row r="253" spans="19:20" ht="15.75" customHeight="1" x14ac:dyDescent="0.25">
      <c r="S253" s="7"/>
      <c r="T253" s="7"/>
    </row>
    <row r="254" spans="19:20" ht="15.75" customHeight="1" x14ac:dyDescent="0.25">
      <c r="S254" s="7"/>
      <c r="T254" s="7"/>
    </row>
    <row r="255" spans="19:20" ht="15.75" customHeight="1" x14ac:dyDescent="0.25">
      <c r="S255" s="7"/>
      <c r="T255" s="7"/>
    </row>
    <row r="256" spans="19:20" ht="15.75" customHeight="1" x14ac:dyDescent="0.25">
      <c r="S256" s="7"/>
      <c r="T256" s="7"/>
    </row>
    <row r="257" spans="19:20" ht="15.75" customHeight="1" x14ac:dyDescent="0.25">
      <c r="S257" s="7"/>
      <c r="T257" s="7"/>
    </row>
    <row r="258" spans="19:20" ht="15.75" customHeight="1" x14ac:dyDescent="0.25">
      <c r="S258" s="7"/>
      <c r="T258" s="7"/>
    </row>
    <row r="259" spans="19:20" ht="15.75" customHeight="1" x14ac:dyDescent="0.25">
      <c r="S259" s="7"/>
      <c r="T259" s="7"/>
    </row>
    <row r="260" spans="19:20" ht="15.75" customHeight="1" x14ac:dyDescent="0.25">
      <c r="S260" s="7"/>
      <c r="T260" s="7"/>
    </row>
    <row r="261" spans="19:20" ht="15.75" customHeight="1" x14ac:dyDescent="0.25">
      <c r="S261" s="7"/>
      <c r="T261" s="7"/>
    </row>
    <row r="262" spans="19:20" ht="15.75" customHeight="1" x14ac:dyDescent="0.25">
      <c r="S262" s="7"/>
      <c r="T262" s="7"/>
    </row>
    <row r="263" spans="19:20" ht="15.75" customHeight="1" x14ac:dyDescent="0.25">
      <c r="S263" s="7"/>
      <c r="T263" s="7"/>
    </row>
    <row r="264" spans="19:20" ht="15.75" customHeight="1" x14ac:dyDescent="0.25">
      <c r="S264" s="7"/>
      <c r="T264" s="7"/>
    </row>
    <row r="265" spans="19:20" ht="15.75" customHeight="1" x14ac:dyDescent="0.25">
      <c r="S265" s="7"/>
      <c r="T265" s="7"/>
    </row>
    <row r="266" spans="19:20" ht="15.75" customHeight="1" x14ac:dyDescent="0.25">
      <c r="S266" s="7"/>
      <c r="T266" s="7"/>
    </row>
    <row r="267" spans="19:20" ht="15.75" customHeight="1" x14ac:dyDescent="0.25">
      <c r="S267" s="7"/>
      <c r="T267" s="7"/>
    </row>
    <row r="268" spans="19:20" ht="15.75" customHeight="1" x14ac:dyDescent="0.25">
      <c r="S268" s="7"/>
      <c r="T268" s="7"/>
    </row>
    <row r="269" spans="19:20" ht="15.75" customHeight="1" x14ac:dyDescent="0.25">
      <c r="S269" s="7"/>
      <c r="T269" s="7"/>
    </row>
    <row r="270" spans="19:20" ht="15.75" customHeight="1" x14ac:dyDescent="0.25">
      <c r="S270" s="7"/>
      <c r="T270" s="7"/>
    </row>
    <row r="271" spans="19:20" ht="15.75" customHeight="1" x14ac:dyDescent="0.25">
      <c r="S271" s="7"/>
      <c r="T271" s="7"/>
    </row>
    <row r="272" spans="19:20" ht="15.75" customHeight="1" x14ac:dyDescent="0.25">
      <c r="S272" s="7"/>
      <c r="T272" s="7"/>
    </row>
    <row r="273" spans="19:20" ht="15.75" customHeight="1" x14ac:dyDescent="0.25">
      <c r="S273" s="7"/>
      <c r="T273" s="7"/>
    </row>
    <row r="274" spans="19:20" ht="15.75" customHeight="1" x14ac:dyDescent="0.25">
      <c r="S274" s="7"/>
      <c r="T274" s="7"/>
    </row>
    <row r="275" spans="19:20" ht="15.75" customHeight="1" x14ac:dyDescent="0.25">
      <c r="S275" s="7"/>
      <c r="T275" s="7"/>
    </row>
    <row r="276" spans="19:20" ht="15.75" customHeight="1" x14ac:dyDescent="0.25">
      <c r="S276" s="7"/>
      <c r="T276" s="7"/>
    </row>
    <row r="277" spans="19:20" ht="15.75" customHeight="1" x14ac:dyDescent="0.25">
      <c r="S277" s="7"/>
      <c r="T277" s="7"/>
    </row>
    <row r="278" spans="19:20" ht="15.75" customHeight="1" x14ac:dyDescent="0.25">
      <c r="S278" s="7"/>
      <c r="T278" s="7"/>
    </row>
    <row r="279" spans="19:20" ht="15.75" customHeight="1" x14ac:dyDescent="0.25">
      <c r="S279" s="7"/>
      <c r="T279" s="7"/>
    </row>
    <row r="280" spans="19:20" ht="15.75" customHeight="1" x14ac:dyDescent="0.25">
      <c r="S280" s="7"/>
      <c r="T280" s="7"/>
    </row>
    <row r="281" spans="19:20" ht="15.75" customHeight="1" x14ac:dyDescent="0.25">
      <c r="S281" s="7"/>
      <c r="T281" s="7"/>
    </row>
    <row r="282" spans="19:20" ht="15.75" customHeight="1" x14ac:dyDescent="0.25">
      <c r="S282" s="7"/>
      <c r="T282" s="7"/>
    </row>
    <row r="283" spans="19:20" ht="15.75" customHeight="1" x14ac:dyDescent="0.25">
      <c r="S283" s="7"/>
      <c r="T283" s="7"/>
    </row>
    <row r="284" spans="19:20" ht="15.75" customHeight="1" x14ac:dyDescent="0.25">
      <c r="S284" s="7"/>
      <c r="T284" s="7"/>
    </row>
    <row r="285" spans="19:20" ht="15.75" customHeight="1" x14ac:dyDescent="0.25">
      <c r="S285" s="7"/>
      <c r="T285" s="7"/>
    </row>
    <row r="286" spans="19:20" ht="15.75" customHeight="1" x14ac:dyDescent="0.25">
      <c r="S286" s="7"/>
      <c r="T286" s="7"/>
    </row>
    <row r="287" spans="19:20" ht="15.75" customHeight="1" x14ac:dyDescent="0.25">
      <c r="S287" s="7"/>
      <c r="T287" s="7"/>
    </row>
    <row r="288" spans="19:20" ht="15.75" customHeight="1" x14ac:dyDescent="0.25">
      <c r="S288" s="7"/>
      <c r="T288" s="7"/>
    </row>
    <row r="289" spans="19:20" ht="15.75" customHeight="1" x14ac:dyDescent="0.25">
      <c r="S289" s="7"/>
      <c r="T289" s="7"/>
    </row>
    <row r="290" spans="19:20" ht="15.75" customHeight="1" x14ac:dyDescent="0.25">
      <c r="S290" s="7"/>
      <c r="T290" s="7"/>
    </row>
    <row r="291" spans="19:20" ht="15.75" customHeight="1" x14ac:dyDescent="0.25">
      <c r="S291" s="7"/>
      <c r="T291" s="7"/>
    </row>
    <row r="292" spans="19:20" ht="15.75" customHeight="1" x14ac:dyDescent="0.25">
      <c r="S292" s="7"/>
      <c r="T292" s="7"/>
    </row>
    <row r="293" spans="19:20" ht="15.75" customHeight="1" x14ac:dyDescent="0.25">
      <c r="S293" s="7"/>
      <c r="T293" s="7"/>
    </row>
    <row r="294" spans="19:20" ht="15.75" customHeight="1" x14ac:dyDescent="0.25">
      <c r="S294" s="7"/>
      <c r="T294" s="7"/>
    </row>
    <row r="295" spans="19:20" ht="15.75" customHeight="1" x14ac:dyDescent="0.25">
      <c r="S295" s="7"/>
      <c r="T295" s="7"/>
    </row>
    <row r="296" spans="19:20" ht="15.75" customHeight="1" x14ac:dyDescent="0.25">
      <c r="S296" s="7"/>
      <c r="T296" s="7"/>
    </row>
    <row r="297" spans="19:20" ht="15.75" customHeight="1" x14ac:dyDescent="0.25">
      <c r="S297" s="7"/>
      <c r="T297" s="7"/>
    </row>
    <row r="298" spans="19:20" ht="15.75" customHeight="1" x14ac:dyDescent="0.25">
      <c r="S298" s="7"/>
      <c r="T298" s="7"/>
    </row>
    <row r="299" spans="19:20" ht="15.75" customHeight="1" x14ac:dyDescent="0.25">
      <c r="S299" s="7"/>
      <c r="T299" s="7"/>
    </row>
    <row r="300" spans="19:20" ht="15.75" customHeight="1" x14ac:dyDescent="0.25">
      <c r="S300" s="7"/>
      <c r="T300" s="7"/>
    </row>
    <row r="301" spans="19:20" ht="15.75" customHeight="1" x14ac:dyDescent="0.25">
      <c r="S301" s="7"/>
      <c r="T301" s="7"/>
    </row>
    <row r="302" spans="19:20" ht="15.75" customHeight="1" x14ac:dyDescent="0.25">
      <c r="S302" s="7"/>
      <c r="T302" s="7"/>
    </row>
    <row r="303" spans="19:20" ht="15.75" customHeight="1" x14ac:dyDescent="0.25">
      <c r="S303" s="7"/>
      <c r="T303" s="7"/>
    </row>
    <row r="304" spans="19:20" ht="15.75" customHeight="1" x14ac:dyDescent="0.25">
      <c r="S304" s="7"/>
      <c r="T304" s="7"/>
    </row>
    <row r="305" spans="19:20" ht="15.75" customHeight="1" x14ac:dyDescent="0.25">
      <c r="S305" s="7"/>
      <c r="T305" s="7"/>
    </row>
    <row r="306" spans="19:20" ht="15.75" customHeight="1" x14ac:dyDescent="0.25">
      <c r="S306" s="7"/>
      <c r="T306" s="7"/>
    </row>
    <row r="307" spans="19:20" ht="15.75" customHeight="1" x14ac:dyDescent="0.25">
      <c r="S307" s="7"/>
      <c r="T307" s="7"/>
    </row>
    <row r="308" spans="19:20" ht="15.75" customHeight="1" x14ac:dyDescent="0.25">
      <c r="S308" s="7"/>
      <c r="T308" s="7"/>
    </row>
    <row r="309" spans="19:20" ht="15.75" customHeight="1" x14ac:dyDescent="0.25">
      <c r="S309" s="7"/>
      <c r="T309" s="7"/>
    </row>
    <row r="310" spans="19:20" ht="15.75" customHeight="1" x14ac:dyDescent="0.25">
      <c r="S310" s="7"/>
      <c r="T310" s="7"/>
    </row>
    <row r="311" spans="19:20" ht="15.75" customHeight="1" x14ac:dyDescent="0.25">
      <c r="S311" s="7"/>
      <c r="T311" s="7"/>
    </row>
    <row r="312" spans="19:20" ht="15.75" customHeight="1" x14ac:dyDescent="0.25">
      <c r="S312" s="7"/>
      <c r="T312" s="7"/>
    </row>
    <row r="313" spans="19:20" ht="15.75" customHeight="1" x14ac:dyDescent="0.25">
      <c r="S313" s="7"/>
      <c r="T313" s="7"/>
    </row>
    <row r="314" spans="19:20" ht="15.75" customHeight="1" x14ac:dyDescent="0.25">
      <c r="S314" s="7"/>
      <c r="T314" s="7"/>
    </row>
    <row r="315" spans="19:20" ht="15.75" customHeight="1" x14ac:dyDescent="0.25">
      <c r="S315" s="7"/>
      <c r="T315" s="7"/>
    </row>
    <row r="316" spans="19:20" ht="15.75" customHeight="1" x14ac:dyDescent="0.25">
      <c r="S316" s="7"/>
      <c r="T316" s="7"/>
    </row>
    <row r="317" spans="19:20" ht="15.75" customHeight="1" x14ac:dyDescent="0.25">
      <c r="S317" s="7"/>
      <c r="T317" s="7"/>
    </row>
    <row r="318" spans="19:20" ht="15.75" customHeight="1" x14ac:dyDescent="0.25">
      <c r="S318" s="7"/>
      <c r="T318" s="7"/>
    </row>
    <row r="319" spans="19:20" ht="15.75" customHeight="1" x14ac:dyDescent="0.25">
      <c r="S319" s="7"/>
      <c r="T319" s="7"/>
    </row>
    <row r="320" spans="19:20" ht="15.75" customHeight="1" x14ac:dyDescent="0.25">
      <c r="S320" s="7"/>
      <c r="T320" s="7"/>
    </row>
    <row r="321" spans="19:20" ht="15.75" customHeight="1" x14ac:dyDescent="0.25">
      <c r="S321" s="7"/>
      <c r="T321" s="7"/>
    </row>
    <row r="322" spans="19:20" ht="15.75" customHeight="1" x14ac:dyDescent="0.25">
      <c r="S322" s="7"/>
      <c r="T322" s="7"/>
    </row>
    <row r="323" spans="19:20" ht="15.75" customHeight="1" x14ac:dyDescent="0.25">
      <c r="S323" s="7"/>
      <c r="T323" s="7"/>
    </row>
    <row r="324" spans="19:20" ht="15.75" customHeight="1" x14ac:dyDescent="0.25">
      <c r="S324" s="7"/>
      <c r="T324" s="7"/>
    </row>
    <row r="325" spans="19:20" ht="15.75" customHeight="1" x14ac:dyDescent="0.25">
      <c r="S325" s="7"/>
      <c r="T325" s="7"/>
    </row>
    <row r="326" spans="19:20" ht="15.75" customHeight="1" x14ac:dyDescent="0.25">
      <c r="S326" s="7"/>
      <c r="T326" s="7"/>
    </row>
    <row r="327" spans="19:20" ht="15.75" customHeight="1" x14ac:dyDescent="0.25">
      <c r="S327" s="7"/>
      <c r="T327" s="7"/>
    </row>
    <row r="328" spans="19:20" ht="15.75" customHeight="1" x14ac:dyDescent="0.25">
      <c r="S328" s="7"/>
      <c r="T328" s="7"/>
    </row>
    <row r="329" spans="19:20" ht="15.75" customHeight="1" x14ac:dyDescent="0.25">
      <c r="S329" s="7"/>
      <c r="T329" s="7"/>
    </row>
    <row r="330" spans="19:20" ht="15.75" customHeight="1" x14ac:dyDescent="0.25">
      <c r="S330" s="7"/>
      <c r="T330" s="7"/>
    </row>
    <row r="331" spans="19:20" ht="15.75" customHeight="1" x14ac:dyDescent="0.25">
      <c r="S331" s="7"/>
      <c r="T331" s="7"/>
    </row>
    <row r="332" spans="19:20" ht="15.75" customHeight="1" x14ac:dyDescent="0.25">
      <c r="S332" s="7"/>
      <c r="T332" s="7"/>
    </row>
    <row r="333" spans="19:20" ht="15.75" customHeight="1" x14ac:dyDescent="0.25">
      <c r="S333" s="7"/>
      <c r="T333" s="7"/>
    </row>
    <row r="334" spans="19:20" ht="15.75" customHeight="1" x14ac:dyDescent="0.25">
      <c r="S334" s="7"/>
      <c r="T334" s="7"/>
    </row>
    <row r="335" spans="19:20" ht="15.75" customHeight="1" x14ac:dyDescent="0.25">
      <c r="S335" s="7"/>
      <c r="T335" s="7"/>
    </row>
    <row r="336" spans="19:20" ht="15.75" customHeight="1" x14ac:dyDescent="0.25">
      <c r="S336" s="7"/>
      <c r="T336" s="7"/>
    </row>
    <row r="337" spans="19:20" ht="15.75" customHeight="1" x14ac:dyDescent="0.25">
      <c r="S337" s="7"/>
      <c r="T337" s="7"/>
    </row>
    <row r="338" spans="19:20" ht="15.75" customHeight="1" x14ac:dyDescent="0.25">
      <c r="S338" s="7"/>
      <c r="T338" s="7"/>
    </row>
    <row r="339" spans="19:20" ht="15.75" customHeight="1" x14ac:dyDescent="0.25">
      <c r="S339" s="7"/>
      <c r="T339" s="7"/>
    </row>
    <row r="340" spans="19:20" ht="15.75" customHeight="1" x14ac:dyDescent="0.25">
      <c r="S340" s="7"/>
      <c r="T340" s="7"/>
    </row>
    <row r="341" spans="19:20" ht="15.75" customHeight="1" x14ac:dyDescent="0.25">
      <c r="S341" s="7"/>
      <c r="T341" s="7"/>
    </row>
    <row r="342" spans="19:20" ht="15.75" customHeight="1" x14ac:dyDescent="0.25">
      <c r="S342" s="7"/>
      <c r="T342" s="7"/>
    </row>
    <row r="343" spans="19:20" ht="15.75" customHeight="1" x14ac:dyDescent="0.25">
      <c r="S343" s="7"/>
      <c r="T343" s="7"/>
    </row>
    <row r="344" spans="19:20" ht="15.75" customHeight="1" x14ac:dyDescent="0.25">
      <c r="S344" s="7"/>
      <c r="T344" s="7"/>
    </row>
    <row r="345" spans="19:20" ht="15.75" customHeight="1" x14ac:dyDescent="0.25">
      <c r="S345" s="7"/>
      <c r="T345" s="7"/>
    </row>
    <row r="346" spans="19:20" ht="15.75" customHeight="1" x14ac:dyDescent="0.25">
      <c r="S346" s="7"/>
      <c r="T346" s="7"/>
    </row>
    <row r="347" spans="19:20" ht="15.75" customHeight="1" x14ac:dyDescent="0.25">
      <c r="S347" s="7"/>
      <c r="T347" s="7"/>
    </row>
    <row r="348" spans="19:20" ht="15.75" customHeight="1" x14ac:dyDescent="0.25">
      <c r="S348" s="7"/>
      <c r="T348" s="7"/>
    </row>
    <row r="349" spans="19:20" ht="15.75" customHeight="1" x14ac:dyDescent="0.25">
      <c r="S349" s="7"/>
      <c r="T349" s="7"/>
    </row>
    <row r="350" spans="19:20" ht="15.75" customHeight="1" x14ac:dyDescent="0.25">
      <c r="S350" s="7"/>
      <c r="T350" s="7"/>
    </row>
    <row r="351" spans="19:20" ht="15.75" customHeight="1" x14ac:dyDescent="0.25">
      <c r="S351" s="7"/>
      <c r="T351" s="7"/>
    </row>
    <row r="352" spans="19:20" ht="15.75" customHeight="1" x14ac:dyDescent="0.25">
      <c r="S352" s="7"/>
      <c r="T352" s="7"/>
    </row>
    <row r="353" spans="19:20" ht="15.75" customHeight="1" x14ac:dyDescent="0.25">
      <c r="S353" s="7"/>
      <c r="T353" s="7"/>
    </row>
    <row r="354" spans="19:20" ht="15.75" customHeight="1" x14ac:dyDescent="0.25">
      <c r="S354" s="7"/>
      <c r="T354" s="7"/>
    </row>
    <row r="355" spans="19:20" ht="15.75" customHeight="1" x14ac:dyDescent="0.25">
      <c r="S355" s="7"/>
      <c r="T355" s="7"/>
    </row>
    <row r="356" spans="19:20" ht="15.75" customHeight="1" x14ac:dyDescent="0.25">
      <c r="S356" s="7"/>
      <c r="T356" s="7"/>
    </row>
    <row r="357" spans="19:20" ht="15.75" customHeight="1" x14ac:dyDescent="0.25">
      <c r="S357" s="7"/>
      <c r="T357" s="7"/>
    </row>
    <row r="358" spans="19:20" ht="15.75" customHeight="1" x14ac:dyDescent="0.25">
      <c r="S358" s="7"/>
      <c r="T358" s="7"/>
    </row>
    <row r="359" spans="19:20" ht="15.75" customHeight="1" x14ac:dyDescent="0.25">
      <c r="S359" s="7"/>
      <c r="T359" s="7"/>
    </row>
    <row r="360" spans="19:20" ht="15.75" customHeight="1" x14ac:dyDescent="0.25">
      <c r="S360" s="7"/>
      <c r="T360" s="7"/>
    </row>
    <row r="361" spans="19:20" ht="15.75" customHeight="1" x14ac:dyDescent="0.25">
      <c r="S361" s="7"/>
      <c r="T361" s="7"/>
    </row>
    <row r="362" spans="19:20" ht="15.75" customHeight="1" x14ac:dyDescent="0.25">
      <c r="S362" s="7"/>
      <c r="T362" s="7"/>
    </row>
    <row r="363" spans="19:20" ht="15.75" customHeight="1" x14ac:dyDescent="0.25">
      <c r="S363" s="7"/>
      <c r="T363" s="7"/>
    </row>
    <row r="364" spans="19:20" ht="15.75" customHeight="1" x14ac:dyDescent="0.25">
      <c r="S364" s="7"/>
      <c r="T364" s="7"/>
    </row>
    <row r="365" spans="19:20" ht="15.75" customHeight="1" x14ac:dyDescent="0.25">
      <c r="S365" s="7"/>
      <c r="T365" s="7"/>
    </row>
    <row r="366" spans="19:20" ht="15.75" customHeight="1" x14ac:dyDescent="0.25">
      <c r="S366" s="7"/>
      <c r="T366" s="7"/>
    </row>
    <row r="367" spans="19:20" ht="15.75" customHeight="1" x14ac:dyDescent="0.25">
      <c r="S367" s="7"/>
      <c r="T367" s="7"/>
    </row>
    <row r="368" spans="19:20" ht="15.75" customHeight="1" x14ac:dyDescent="0.25">
      <c r="S368" s="7"/>
      <c r="T368" s="7"/>
    </row>
    <row r="369" spans="19:20" ht="15.75" customHeight="1" x14ac:dyDescent="0.25">
      <c r="S369" s="7"/>
      <c r="T369" s="7"/>
    </row>
    <row r="370" spans="19:20" ht="15.75" customHeight="1" x14ac:dyDescent="0.25">
      <c r="S370" s="7"/>
      <c r="T370" s="7"/>
    </row>
    <row r="371" spans="19:20" ht="15.75" customHeight="1" x14ac:dyDescent="0.25">
      <c r="S371" s="7"/>
      <c r="T371" s="7"/>
    </row>
    <row r="372" spans="19:20" ht="15.75" customHeight="1" x14ac:dyDescent="0.25">
      <c r="S372" s="7"/>
      <c r="T372" s="7"/>
    </row>
    <row r="373" spans="19:20" ht="15.75" customHeight="1" x14ac:dyDescent="0.25">
      <c r="S373" s="7"/>
      <c r="T373" s="7"/>
    </row>
    <row r="374" spans="19:20" ht="15.75" customHeight="1" x14ac:dyDescent="0.25">
      <c r="S374" s="7"/>
      <c r="T374" s="7"/>
    </row>
    <row r="375" spans="19:20" ht="15.75" customHeight="1" x14ac:dyDescent="0.25">
      <c r="S375" s="7"/>
      <c r="T375" s="7"/>
    </row>
    <row r="376" spans="19:20" ht="15.75" customHeight="1" x14ac:dyDescent="0.25">
      <c r="S376" s="7"/>
      <c r="T376" s="7"/>
    </row>
    <row r="377" spans="19:20" ht="15.75" customHeight="1" x14ac:dyDescent="0.25">
      <c r="S377" s="7"/>
      <c r="T377" s="7"/>
    </row>
    <row r="378" spans="19:20" ht="15.75" customHeight="1" x14ac:dyDescent="0.25">
      <c r="S378" s="7"/>
      <c r="T378" s="7"/>
    </row>
    <row r="379" spans="19:20" ht="15.75" customHeight="1" x14ac:dyDescent="0.25">
      <c r="S379" s="7"/>
      <c r="T379" s="7"/>
    </row>
    <row r="380" spans="19:20" ht="15.75" customHeight="1" x14ac:dyDescent="0.25">
      <c r="S380" s="7"/>
      <c r="T380" s="7"/>
    </row>
    <row r="381" spans="19:20" ht="15.75" customHeight="1" x14ac:dyDescent="0.25">
      <c r="S381" s="7"/>
      <c r="T381" s="7"/>
    </row>
    <row r="382" spans="19:20" ht="15.75" customHeight="1" x14ac:dyDescent="0.25">
      <c r="S382" s="7"/>
      <c r="T382" s="7"/>
    </row>
    <row r="383" spans="19:20" ht="15.75" customHeight="1" x14ac:dyDescent="0.25">
      <c r="S383" s="7"/>
      <c r="T383" s="7"/>
    </row>
    <row r="384" spans="19:20" ht="15.75" customHeight="1" x14ac:dyDescent="0.25">
      <c r="S384" s="7"/>
      <c r="T384" s="7"/>
    </row>
    <row r="385" spans="19:20" ht="15.75" customHeight="1" x14ac:dyDescent="0.25">
      <c r="S385" s="7"/>
      <c r="T385" s="7"/>
    </row>
    <row r="386" spans="19:20" ht="15.75" customHeight="1" x14ac:dyDescent="0.25">
      <c r="S386" s="7"/>
      <c r="T386" s="7"/>
    </row>
    <row r="387" spans="19:20" ht="15.75" customHeight="1" x14ac:dyDescent="0.25">
      <c r="S387" s="7"/>
      <c r="T387" s="7"/>
    </row>
    <row r="388" spans="19:20" ht="15.75" customHeight="1" x14ac:dyDescent="0.25">
      <c r="S388" s="7"/>
      <c r="T388" s="7"/>
    </row>
    <row r="389" spans="19:20" ht="15.75" customHeight="1" x14ac:dyDescent="0.25">
      <c r="S389" s="7"/>
      <c r="T389" s="7"/>
    </row>
    <row r="390" spans="19:20" ht="15.75" customHeight="1" x14ac:dyDescent="0.25">
      <c r="S390" s="7"/>
      <c r="T390" s="7"/>
    </row>
    <row r="391" spans="19:20" ht="15.75" customHeight="1" x14ac:dyDescent="0.25">
      <c r="S391" s="7"/>
      <c r="T391" s="7"/>
    </row>
    <row r="392" spans="19:20" ht="15.75" customHeight="1" x14ac:dyDescent="0.25">
      <c r="S392" s="7"/>
      <c r="T392" s="7"/>
    </row>
    <row r="393" spans="19:20" ht="15.75" customHeight="1" x14ac:dyDescent="0.25">
      <c r="S393" s="7"/>
      <c r="T393" s="7"/>
    </row>
    <row r="394" spans="19:20" ht="15.75" customHeight="1" x14ac:dyDescent="0.25">
      <c r="S394" s="7"/>
      <c r="T394" s="7"/>
    </row>
    <row r="395" spans="19:20" ht="15.75" customHeight="1" x14ac:dyDescent="0.25">
      <c r="S395" s="7"/>
      <c r="T395" s="7"/>
    </row>
    <row r="396" spans="19:20" ht="15.75" customHeight="1" x14ac:dyDescent="0.25">
      <c r="S396" s="7"/>
      <c r="T396" s="7"/>
    </row>
    <row r="397" spans="19:20" ht="15.75" customHeight="1" x14ac:dyDescent="0.25">
      <c r="S397" s="7"/>
      <c r="T397" s="7"/>
    </row>
    <row r="398" spans="19:20" ht="15.75" customHeight="1" x14ac:dyDescent="0.25">
      <c r="S398" s="7"/>
      <c r="T398" s="7"/>
    </row>
    <row r="399" spans="19:20" ht="15.75" customHeight="1" x14ac:dyDescent="0.25">
      <c r="S399" s="7"/>
      <c r="T399" s="7"/>
    </row>
    <row r="400" spans="19:20" ht="15.75" customHeight="1" x14ac:dyDescent="0.25">
      <c r="S400" s="7"/>
      <c r="T400" s="7"/>
    </row>
    <row r="401" spans="19:20" ht="15.75" customHeight="1" x14ac:dyDescent="0.25">
      <c r="S401" s="7"/>
      <c r="T401" s="7"/>
    </row>
    <row r="402" spans="19:20" ht="15.75" customHeight="1" x14ac:dyDescent="0.25">
      <c r="S402" s="7"/>
      <c r="T402" s="7"/>
    </row>
    <row r="403" spans="19:20" ht="15.75" customHeight="1" x14ac:dyDescent="0.25">
      <c r="S403" s="7"/>
      <c r="T403" s="7"/>
    </row>
    <row r="404" spans="19:20" ht="15.75" customHeight="1" x14ac:dyDescent="0.25">
      <c r="S404" s="7"/>
      <c r="T404" s="7"/>
    </row>
    <row r="405" spans="19:20" ht="15.75" customHeight="1" x14ac:dyDescent="0.25">
      <c r="S405" s="7"/>
      <c r="T405" s="7"/>
    </row>
    <row r="406" spans="19:20" ht="15.75" customHeight="1" x14ac:dyDescent="0.25">
      <c r="S406" s="7"/>
      <c r="T406" s="7"/>
    </row>
    <row r="407" spans="19:20" ht="15.75" customHeight="1" x14ac:dyDescent="0.25">
      <c r="S407" s="7"/>
      <c r="T407" s="7"/>
    </row>
    <row r="408" spans="19:20" ht="15.75" customHeight="1" x14ac:dyDescent="0.25">
      <c r="S408" s="7"/>
      <c r="T408" s="7"/>
    </row>
    <row r="409" spans="19:20" ht="15.75" customHeight="1" x14ac:dyDescent="0.25">
      <c r="S409" s="7"/>
      <c r="T409" s="7"/>
    </row>
    <row r="410" spans="19:20" ht="15.75" customHeight="1" x14ac:dyDescent="0.25">
      <c r="S410" s="7"/>
      <c r="T410" s="7"/>
    </row>
    <row r="411" spans="19:20" ht="15.75" customHeight="1" x14ac:dyDescent="0.25">
      <c r="S411" s="7"/>
      <c r="T411" s="7"/>
    </row>
    <row r="412" spans="19:20" ht="15.75" customHeight="1" x14ac:dyDescent="0.25">
      <c r="S412" s="7"/>
      <c r="T412" s="7"/>
    </row>
    <row r="413" spans="19:20" ht="15.75" customHeight="1" x14ac:dyDescent="0.25">
      <c r="S413" s="7"/>
      <c r="T413" s="7"/>
    </row>
    <row r="414" spans="19:20" ht="15.75" customHeight="1" x14ac:dyDescent="0.25">
      <c r="S414" s="7"/>
      <c r="T414" s="7"/>
    </row>
    <row r="415" spans="19:20" ht="15.75" customHeight="1" x14ac:dyDescent="0.25">
      <c r="S415" s="7"/>
      <c r="T415" s="7"/>
    </row>
    <row r="416" spans="19:20" ht="15.75" customHeight="1" x14ac:dyDescent="0.25">
      <c r="S416" s="7"/>
      <c r="T416" s="7"/>
    </row>
    <row r="417" spans="19:20" ht="15.75" customHeight="1" x14ac:dyDescent="0.25">
      <c r="S417" s="7"/>
      <c r="T417" s="7"/>
    </row>
    <row r="418" spans="19:20" ht="15.75" customHeight="1" x14ac:dyDescent="0.25">
      <c r="S418" s="7"/>
      <c r="T418" s="7"/>
    </row>
    <row r="419" spans="19:20" ht="15.75" customHeight="1" x14ac:dyDescent="0.25">
      <c r="S419" s="7"/>
      <c r="T419" s="7"/>
    </row>
    <row r="420" spans="19:20" ht="15.75" customHeight="1" x14ac:dyDescent="0.25">
      <c r="S420" s="7"/>
      <c r="T420" s="7"/>
    </row>
    <row r="421" spans="19:20" ht="15.75" customHeight="1" x14ac:dyDescent="0.25">
      <c r="S421" s="7"/>
      <c r="T421" s="7"/>
    </row>
    <row r="422" spans="19:20" ht="15.75" customHeight="1" x14ac:dyDescent="0.25">
      <c r="S422" s="7"/>
      <c r="T422" s="7"/>
    </row>
    <row r="423" spans="19:20" ht="15.75" customHeight="1" x14ac:dyDescent="0.25">
      <c r="S423" s="7"/>
      <c r="T423" s="7"/>
    </row>
    <row r="424" spans="19:20" ht="15.75" customHeight="1" x14ac:dyDescent="0.25">
      <c r="S424" s="7"/>
      <c r="T424" s="7"/>
    </row>
    <row r="425" spans="19:20" ht="15.75" customHeight="1" x14ac:dyDescent="0.25">
      <c r="S425" s="7"/>
      <c r="T425" s="7"/>
    </row>
    <row r="426" spans="19:20" ht="15.75" customHeight="1" x14ac:dyDescent="0.25">
      <c r="S426" s="7"/>
      <c r="T426" s="7"/>
    </row>
    <row r="427" spans="19:20" ht="15.75" customHeight="1" x14ac:dyDescent="0.25">
      <c r="S427" s="7"/>
      <c r="T427" s="7"/>
    </row>
    <row r="428" spans="19:20" ht="15.75" customHeight="1" x14ac:dyDescent="0.25">
      <c r="S428" s="7"/>
      <c r="T428" s="7"/>
    </row>
    <row r="429" spans="19:20" ht="15.75" customHeight="1" x14ac:dyDescent="0.25">
      <c r="S429" s="7"/>
      <c r="T429" s="7"/>
    </row>
    <row r="430" spans="19:20" ht="15.75" customHeight="1" x14ac:dyDescent="0.25">
      <c r="S430" s="7"/>
      <c r="T430" s="7"/>
    </row>
    <row r="431" spans="19:20" ht="15.75" customHeight="1" x14ac:dyDescent="0.25">
      <c r="S431" s="7"/>
      <c r="T431" s="7"/>
    </row>
    <row r="432" spans="19:20" ht="15.75" customHeight="1" x14ac:dyDescent="0.25">
      <c r="S432" s="7"/>
      <c r="T432" s="7"/>
    </row>
    <row r="433" spans="19:20" ht="15.75" customHeight="1" x14ac:dyDescent="0.25">
      <c r="S433" s="7"/>
      <c r="T433" s="7"/>
    </row>
    <row r="434" spans="19:20" ht="15.75" customHeight="1" x14ac:dyDescent="0.25">
      <c r="S434" s="7"/>
      <c r="T434" s="7"/>
    </row>
    <row r="435" spans="19:20" ht="15.75" customHeight="1" x14ac:dyDescent="0.25">
      <c r="S435" s="7"/>
      <c r="T435" s="7"/>
    </row>
    <row r="436" spans="19:20" ht="15.75" customHeight="1" x14ac:dyDescent="0.25">
      <c r="S436" s="7"/>
      <c r="T436" s="7"/>
    </row>
    <row r="437" spans="19:20" ht="15.75" customHeight="1" x14ac:dyDescent="0.25">
      <c r="S437" s="7"/>
      <c r="T437" s="7"/>
    </row>
    <row r="438" spans="19:20" ht="15.75" customHeight="1" x14ac:dyDescent="0.25">
      <c r="S438" s="7"/>
      <c r="T438" s="7"/>
    </row>
    <row r="439" spans="19:20" ht="15.75" customHeight="1" x14ac:dyDescent="0.25">
      <c r="S439" s="7"/>
      <c r="T439" s="7"/>
    </row>
    <row r="440" spans="19:20" ht="15.75" customHeight="1" x14ac:dyDescent="0.25">
      <c r="S440" s="7"/>
      <c r="T440" s="7"/>
    </row>
    <row r="441" spans="19:20" ht="15.75" customHeight="1" x14ac:dyDescent="0.25">
      <c r="S441" s="7"/>
      <c r="T441" s="7"/>
    </row>
    <row r="442" spans="19:20" ht="15.75" customHeight="1" x14ac:dyDescent="0.25">
      <c r="S442" s="7"/>
      <c r="T442" s="7"/>
    </row>
    <row r="443" spans="19:20" ht="15.75" customHeight="1" x14ac:dyDescent="0.25">
      <c r="S443" s="7"/>
      <c r="T443" s="7"/>
    </row>
    <row r="444" spans="19:20" ht="15.75" customHeight="1" x14ac:dyDescent="0.25">
      <c r="S444" s="7"/>
      <c r="T444" s="7"/>
    </row>
    <row r="445" spans="19:20" ht="15.75" customHeight="1" x14ac:dyDescent="0.25">
      <c r="S445" s="7"/>
      <c r="T445" s="7"/>
    </row>
    <row r="446" spans="19:20" ht="15.75" customHeight="1" x14ac:dyDescent="0.25">
      <c r="S446" s="7"/>
      <c r="T446" s="7"/>
    </row>
    <row r="447" spans="19:20" ht="15.75" customHeight="1" x14ac:dyDescent="0.25">
      <c r="S447" s="7"/>
      <c r="T447" s="7"/>
    </row>
    <row r="448" spans="19:20" ht="15.75" customHeight="1" x14ac:dyDescent="0.25">
      <c r="S448" s="7"/>
      <c r="T448" s="7"/>
    </row>
    <row r="449" spans="19:20" ht="15.75" customHeight="1" x14ac:dyDescent="0.25">
      <c r="S449" s="7"/>
      <c r="T449" s="7"/>
    </row>
    <row r="450" spans="19:20" ht="15.75" customHeight="1" x14ac:dyDescent="0.25">
      <c r="S450" s="7"/>
      <c r="T450" s="7"/>
    </row>
    <row r="451" spans="19:20" ht="15.75" customHeight="1" x14ac:dyDescent="0.25">
      <c r="S451" s="7"/>
      <c r="T451" s="7"/>
    </row>
    <row r="452" spans="19:20" ht="15.75" customHeight="1" x14ac:dyDescent="0.25">
      <c r="S452" s="7"/>
      <c r="T452" s="7"/>
    </row>
    <row r="453" spans="19:20" ht="15.75" customHeight="1" x14ac:dyDescent="0.25">
      <c r="S453" s="7"/>
      <c r="T453" s="7"/>
    </row>
    <row r="454" spans="19:20" ht="15.75" customHeight="1" x14ac:dyDescent="0.25">
      <c r="S454" s="7"/>
      <c r="T454" s="7"/>
    </row>
    <row r="455" spans="19:20" ht="15.75" customHeight="1" x14ac:dyDescent="0.25">
      <c r="S455" s="7"/>
      <c r="T455" s="7"/>
    </row>
    <row r="456" spans="19:20" ht="15.75" customHeight="1" x14ac:dyDescent="0.25">
      <c r="S456" s="7"/>
      <c r="T456" s="7"/>
    </row>
    <row r="457" spans="19:20" ht="15.75" customHeight="1" x14ac:dyDescent="0.25">
      <c r="S457" s="7"/>
      <c r="T457" s="7"/>
    </row>
    <row r="458" spans="19:20" ht="15.75" customHeight="1" x14ac:dyDescent="0.25">
      <c r="S458" s="7"/>
      <c r="T458" s="7"/>
    </row>
    <row r="459" spans="19:20" ht="15.75" customHeight="1" x14ac:dyDescent="0.25">
      <c r="S459" s="7"/>
      <c r="T459" s="7"/>
    </row>
    <row r="460" spans="19:20" ht="15.75" customHeight="1" x14ac:dyDescent="0.25">
      <c r="S460" s="7"/>
      <c r="T460" s="7"/>
    </row>
    <row r="461" spans="19:20" ht="15.75" customHeight="1" x14ac:dyDescent="0.25">
      <c r="S461" s="7"/>
      <c r="T461" s="7"/>
    </row>
    <row r="462" spans="19:20" ht="15.75" customHeight="1" x14ac:dyDescent="0.25">
      <c r="S462" s="7"/>
      <c r="T462" s="7"/>
    </row>
    <row r="463" spans="19:20" ht="15.75" customHeight="1" x14ac:dyDescent="0.25">
      <c r="S463" s="7"/>
      <c r="T463" s="7"/>
    </row>
    <row r="464" spans="19:20" ht="15.75" customHeight="1" x14ac:dyDescent="0.25">
      <c r="S464" s="7"/>
      <c r="T464" s="7"/>
    </row>
    <row r="465" spans="19:20" ht="15.75" customHeight="1" x14ac:dyDescent="0.25">
      <c r="S465" s="7"/>
      <c r="T465" s="7"/>
    </row>
    <row r="466" spans="19:20" ht="15.75" customHeight="1" x14ac:dyDescent="0.25">
      <c r="S466" s="7"/>
      <c r="T466" s="7"/>
    </row>
    <row r="467" spans="19:20" ht="15.75" customHeight="1" x14ac:dyDescent="0.25">
      <c r="S467" s="7"/>
      <c r="T467" s="7"/>
    </row>
    <row r="468" spans="19:20" ht="15.75" customHeight="1" x14ac:dyDescent="0.25">
      <c r="S468" s="7"/>
      <c r="T468" s="7"/>
    </row>
    <row r="469" spans="19:20" ht="15.75" customHeight="1" x14ac:dyDescent="0.25">
      <c r="S469" s="7"/>
      <c r="T469" s="7"/>
    </row>
    <row r="470" spans="19:20" ht="15.75" customHeight="1" x14ac:dyDescent="0.25">
      <c r="S470" s="7"/>
      <c r="T470" s="7"/>
    </row>
    <row r="471" spans="19:20" ht="15.75" customHeight="1" x14ac:dyDescent="0.25">
      <c r="S471" s="7"/>
      <c r="T471" s="7"/>
    </row>
    <row r="472" spans="19:20" ht="15.75" customHeight="1" x14ac:dyDescent="0.25">
      <c r="S472" s="7"/>
      <c r="T472" s="7"/>
    </row>
    <row r="473" spans="19:20" ht="15.75" customHeight="1" x14ac:dyDescent="0.25">
      <c r="S473" s="7"/>
      <c r="T473" s="7"/>
    </row>
    <row r="474" spans="19:20" ht="15.75" customHeight="1" x14ac:dyDescent="0.25">
      <c r="S474" s="7"/>
      <c r="T474" s="7"/>
    </row>
    <row r="475" spans="19:20" ht="15.75" customHeight="1" x14ac:dyDescent="0.25">
      <c r="S475" s="7"/>
      <c r="T475" s="7"/>
    </row>
    <row r="476" spans="19:20" ht="15.75" customHeight="1" x14ac:dyDescent="0.25">
      <c r="S476" s="7"/>
      <c r="T476" s="7"/>
    </row>
    <row r="477" spans="19:20" ht="15.75" customHeight="1" x14ac:dyDescent="0.25">
      <c r="S477" s="7"/>
      <c r="T477" s="7"/>
    </row>
    <row r="478" spans="19:20" ht="15.75" customHeight="1" x14ac:dyDescent="0.25">
      <c r="S478" s="7"/>
      <c r="T478" s="7"/>
    </row>
    <row r="479" spans="19:20" ht="15.75" customHeight="1" x14ac:dyDescent="0.25">
      <c r="S479" s="7"/>
      <c r="T479" s="7"/>
    </row>
    <row r="480" spans="19:20" ht="15.75" customHeight="1" x14ac:dyDescent="0.25">
      <c r="S480" s="7"/>
      <c r="T480" s="7"/>
    </row>
    <row r="481" spans="19:20" ht="15.75" customHeight="1" x14ac:dyDescent="0.25">
      <c r="S481" s="7"/>
      <c r="T481" s="7"/>
    </row>
    <row r="482" spans="19:20" ht="15.75" customHeight="1" x14ac:dyDescent="0.25">
      <c r="S482" s="7"/>
      <c r="T482" s="7"/>
    </row>
    <row r="483" spans="19:20" ht="15.75" customHeight="1" x14ac:dyDescent="0.25">
      <c r="S483" s="7"/>
      <c r="T483" s="7"/>
    </row>
    <row r="484" spans="19:20" ht="15.75" customHeight="1" x14ac:dyDescent="0.25">
      <c r="S484" s="7"/>
      <c r="T484" s="7"/>
    </row>
    <row r="485" spans="19:20" ht="15.75" customHeight="1" x14ac:dyDescent="0.25">
      <c r="S485" s="7"/>
      <c r="T485" s="7"/>
    </row>
    <row r="486" spans="19:20" ht="15.75" customHeight="1" x14ac:dyDescent="0.25">
      <c r="S486" s="7"/>
      <c r="T486" s="7"/>
    </row>
    <row r="487" spans="19:20" ht="15.75" customHeight="1" x14ac:dyDescent="0.25">
      <c r="S487" s="7"/>
      <c r="T487" s="7"/>
    </row>
    <row r="488" spans="19:20" ht="15.75" customHeight="1" x14ac:dyDescent="0.25">
      <c r="S488" s="7"/>
      <c r="T488" s="7"/>
    </row>
    <row r="489" spans="19:20" ht="15.75" customHeight="1" x14ac:dyDescent="0.25">
      <c r="S489" s="7"/>
      <c r="T489" s="7"/>
    </row>
    <row r="490" spans="19:20" ht="15.75" customHeight="1" x14ac:dyDescent="0.25">
      <c r="S490" s="7"/>
      <c r="T490" s="7"/>
    </row>
    <row r="491" spans="19:20" ht="15.75" customHeight="1" x14ac:dyDescent="0.25">
      <c r="S491" s="7"/>
      <c r="T491" s="7"/>
    </row>
    <row r="492" spans="19:20" ht="15.75" customHeight="1" x14ac:dyDescent="0.25">
      <c r="S492" s="7"/>
      <c r="T492" s="7"/>
    </row>
    <row r="493" spans="19:20" ht="15.75" customHeight="1" x14ac:dyDescent="0.25">
      <c r="S493" s="7"/>
      <c r="T493" s="7"/>
    </row>
    <row r="494" spans="19:20" ht="15.75" customHeight="1" x14ac:dyDescent="0.25">
      <c r="S494" s="7"/>
      <c r="T494" s="7"/>
    </row>
    <row r="495" spans="19:20" ht="15.75" customHeight="1" x14ac:dyDescent="0.25">
      <c r="S495" s="7"/>
      <c r="T495" s="7"/>
    </row>
    <row r="496" spans="19:20" ht="15.75" customHeight="1" x14ac:dyDescent="0.25">
      <c r="S496" s="7"/>
      <c r="T496" s="7"/>
    </row>
    <row r="497" spans="19:20" ht="15.75" customHeight="1" x14ac:dyDescent="0.25">
      <c r="S497" s="7"/>
      <c r="T497" s="7"/>
    </row>
    <row r="498" spans="19:20" ht="15.75" customHeight="1" x14ac:dyDescent="0.25">
      <c r="S498" s="7"/>
      <c r="T498" s="7"/>
    </row>
    <row r="499" spans="19:20" ht="15.75" customHeight="1" x14ac:dyDescent="0.25">
      <c r="S499" s="7"/>
      <c r="T499" s="7"/>
    </row>
    <row r="500" spans="19:20" ht="15.75" customHeight="1" x14ac:dyDescent="0.25">
      <c r="S500" s="7"/>
      <c r="T500" s="7"/>
    </row>
    <row r="501" spans="19:20" ht="15.75" customHeight="1" x14ac:dyDescent="0.25">
      <c r="S501" s="7"/>
      <c r="T501" s="7"/>
    </row>
    <row r="502" spans="19:20" ht="15.75" customHeight="1" x14ac:dyDescent="0.25">
      <c r="S502" s="7"/>
      <c r="T502" s="7"/>
    </row>
    <row r="503" spans="19:20" ht="15.75" customHeight="1" x14ac:dyDescent="0.25">
      <c r="S503" s="7"/>
      <c r="T503" s="7"/>
    </row>
    <row r="504" spans="19:20" ht="15.75" customHeight="1" x14ac:dyDescent="0.25">
      <c r="S504" s="7"/>
      <c r="T504" s="7"/>
    </row>
    <row r="505" spans="19:20" ht="15.75" customHeight="1" x14ac:dyDescent="0.25">
      <c r="S505" s="7"/>
      <c r="T505" s="7"/>
    </row>
    <row r="506" spans="19:20" ht="15.75" customHeight="1" x14ac:dyDescent="0.25">
      <c r="S506" s="7"/>
      <c r="T506" s="7"/>
    </row>
    <row r="507" spans="19:20" ht="15.75" customHeight="1" x14ac:dyDescent="0.25">
      <c r="S507" s="7"/>
      <c r="T507" s="7"/>
    </row>
    <row r="508" spans="19:20" ht="15.75" customHeight="1" x14ac:dyDescent="0.25">
      <c r="S508" s="7"/>
      <c r="T508" s="7"/>
    </row>
    <row r="509" spans="19:20" ht="15.75" customHeight="1" x14ac:dyDescent="0.25">
      <c r="S509" s="7"/>
      <c r="T509" s="7"/>
    </row>
    <row r="510" spans="19:20" ht="15.75" customHeight="1" x14ac:dyDescent="0.25">
      <c r="S510" s="7"/>
      <c r="T510" s="7"/>
    </row>
    <row r="511" spans="19:20" ht="15.75" customHeight="1" x14ac:dyDescent="0.25">
      <c r="S511" s="7"/>
      <c r="T511" s="7"/>
    </row>
    <row r="512" spans="19:20" ht="15.75" customHeight="1" x14ac:dyDescent="0.25">
      <c r="S512" s="7"/>
      <c r="T512" s="7"/>
    </row>
    <row r="513" spans="19:20" ht="15.75" customHeight="1" x14ac:dyDescent="0.25">
      <c r="S513" s="7"/>
      <c r="T513" s="7"/>
    </row>
    <row r="514" spans="19:20" ht="15.75" customHeight="1" x14ac:dyDescent="0.25">
      <c r="S514" s="7"/>
      <c r="T514" s="7"/>
    </row>
    <row r="515" spans="19:20" ht="15.75" customHeight="1" x14ac:dyDescent="0.25">
      <c r="S515" s="7"/>
      <c r="T515" s="7"/>
    </row>
    <row r="516" spans="19:20" ht="15.75" customHeight="1" x14ac:dyDescent="0.25">
      <c r="S516" s="7"/>
      <c r="T516" s="7"/>
    </row>
    <row r="517" spans="19:20" ht="15.75" customHeight="1" x14ac:dyDescent="0.25">
      <c r="S517" s="7"/>
      <c r="T517" s="7"/>
    </row>
    <row r="518" spans="19:20" ht="15.75" customHeight="1" x14ac:dyDescent="0.25">
      <c r="S518" s="7"/>
      <c r="T518" s="7"/>
    </row>
    <row r="519" spans="19:20" ht="15.75" customHeight="1" x14ac:dyDescent="0.25">
      <c r="S519" s="7"/>
      <c r="T519" s="7"/>
    </row>
    <row r="520" spans="19:20" ht="15.75" customHeight="1" x14ac:dyDescent="0.25">
      <c r="S520" s="7"/>
      <c r="T520" s="7"/>
    </row>
    <row r="521" spans="19:20" ht="15.75" customHeight="1" x14ac:dyDescent="0.25">
      <c r="S521" s="7"/>
      <c r="T521" s="7"/>
    </row>
    <row r="522" spans="19:20" ht="15.75" customHeight="1" x14ac:dyDescent="0.25">
      <c r="S522" s="7"/>
      <c r="T522" s="7"/>
    </row>
    <row r="523" spans="19:20" ht="15.75" customHeight="1" x14ac:dyDescent="0.25">
      <c r="S523" s="7"/>
      <c r="T523" s="7"/>
    </row>
    <row r="524" spans="19:20" ht="15.75" customHeight="1" x14ac:dyDescent="0.25">
      <c r="S524" s="7"/>
      <c r="T524" s="7"/>
    </row>
    <row r="525" spans="19:20" ht="15.75" customHeight="1" x14ac:dyDescent="0.25">
      <c r="S525" s="7"/>
      <c r="T525" s="7"/>
    </row>
    <row r="526" spans="19:20" ht="15.75" customHeight="1" x14ac:dyDescent="0.25">
      <c r="S526" s="7"/>
      <c r="T526" s="7"/>
    </row>
    <row r="527" spans="19:20" ht="15.75" customHeight="1" x14ac:dyDescent="0.25">
      <c r="S527" s="7"/>
      <c r="T527" s="7"/>
    </row>
    <row r="528" spans="19:20" ht="15.75" customHeight="1" x14ac:dyDescent="0.25">
      <c r="S528" s="7"/>
      <c r="T528" s="7"/>
    </row>
    <row r="529" spans="19:20" ht="15.75" customHeight="1" x14ac:dyDescent="0.25">
      <c r="S529" s="7"/>
      <c r="T529" s="7"/>
    </row>
    <row r="530" spans="19:20" ht="15.75" customHeight="1" x14ac:dyDescent="0.25">
      <c r="S530" s="7"/>
      <c r="T530" s="7"/>
    </row>
    <row r="531" spans="19:20" ht="15.75" customHeight="1" x14ac:dyDescent="0.25">
      <c r="S531" s="7"/>
      <c r="T531" s="7"/>
    </row>
    <row r="532" spans="19:20" ht="15.75" customHeight="1" x14ac:dyDescent="0.25">
      <c r="S532" s="7"/>
      <c r="T532" s="7"/>
    </row>
    <row r="533" spans="19:20" ht="15.75" customHeight="1" x14ac:dyDescent="0.25">
      <c r="S533" s="7"/>
      <c r="T533" s="7"/>
    </row>
    <row r="534" spans="19:20" ht="15.75" customHeight="1" x14ac:dyDescent="0.25">
      <c r="S534" s="7"/>
      <c r="T534" s="7"/>
    </row>
    <row r="535" spans="19:20" ht="15.75" customHeight="1" x14ac:dyDescent="0.25">
      <c r="S535" s="7"/>
      <c r="T535" s="7"/>
    </row>
    <row r="536" spans="19:20" ht="15.75" customHeight="1" x14ac:dyDescent="0.25">
      <c r="S536" s="7"/>
      <c r="T536" s="7"/>
    </row>
    <row r="537" spans="19:20" ht="15.75" customHeight="1" x14ac:dyDescent="0.25">
      <c r="S537" s="7"/>
      <c r="T537" s="7"/>
    </row>
    <row r="538" spans="19:20" ht="15.75" customHeight="1" x14ac:dyDescent="0.25">
      <c r="S538" s="7"/>
      <c r="T538" s="7"/>
    </row>
    <row r="539" spans="19:20" ht="15.75" customHeight="1" x14ac:dyDescent="0.25">
      <c r="S539" s="7"/>
      <c r="T539" s="7"/>
    </row>
    <row r="540" spans="19:20" ht="15.75" customHeight="1" x14ac:dyDescent="0.25">
      <c r="S540" s="7"/>
      <c r="T540" s="7"/>
    </row>
    <row r="541" spans="19:20" ht="15.75" customHeight="1" x14ac:dyDescent="0.25">
      <c r="S541" s="7"/>
      <c r="T541" s="7"/>
    </row>
    <row r="542" spans="19:20" ht="15.75" customHeight="1" x14ac:dyDescent="0.25">
      <c r="S542" s="7"/>
      <c r="T542" s="7"/>
    </row>
    <row r="543" spans="19:20" ht="15.75" customHeight="1" x14ac:dyDescent="0.25">
      <c r="S543" s="7"/>
      <c r="T543" s="7"/>
    </row>
    <row r="544" spans="19:20" ht="15.75" customHeight="1" x14ac:dyDescent="0.25">
      <c r="S544" s="7"/>
      <c r="T544" s="7"/>
    </row>
    <row r="545" spans="19:20" ht="15.75" customHeight="1" x14ac:dyDescent="0.25">
      <c r="S545" s="7"/>
      <c r="T545" s="7"/>
    </row>
    <row r="546" spans="19:20" ht="15.75" customHeight="1" x14ac:dyDescent="0.25">
      <c r="S546" s="7"/>
      <c r="T546" s="7"/>
    </row>
    <row r="547" spans="19:20" ht="15.75" customHeight="1" x14ac:dyDescent="0.25">
      <c r="S547" s="7"/>
      <c r="T547" s="7"/>
    </row>
    <row r="548" spans="19:20" ht="15.75" customHeight="1" x14ac:dyDescent="0.25">
      <c r="S548" s="7"/>
      <c r="T548" s="7"/>
    </row>
    <row r="549" spans="19:20" ht="15.75" customHeight="1" x14ac:dyDescent="0.25">
      <c r="S549" s="7"/>
      <c r="T549" s="7"/>
    </row>
    <row r="550" spans="19:20" ht="15.75" customHeight="1" x14ac:dyDescent="0.25">
      <c r="S550" s="7"/>
      <c r="T550" s="7"/>
    </row>
    <row r="551" spans="19:20" ht="15.75" customHeight="1" x14ac:dyDescent="0.25">
      <c r="S551" s="7"/>
      <c r="T551" s="7"/>
    </row>
    <row r="552" spans="19:20" ht="15.75" customHeight="1" x14ac:dyDescent="0.25">
      <c r="S552" s="7"/>
      <c r="T552" s="7"/>
    </row>
    <row r="553" spans="19:20" ht="15.75" customHeight="1" x14ac:dyDescent="0.25">
      <c r="S553" s="7"/>
      <c r="T553" s="7"/>
    </row>
    <row r="554" spans="19:20" ht="15.75" customHeight="1" x14ac:dyDescent="0.25">
      <c r="S554" s="7"/>
      <c r="T554" s="7"/>
    </row>
    <row r="555" spans="19:20" ht="15.75" customHeight="1" x14ac:dyDescent="0.25">
      <c r="S555" s="7"/>
      <c r="T555" s="7"/>
    </row>
    <row r="556" spans="19:20" ht="15.75" customHeight="1" x14ac:dyDescent="0.25">
      <c r="S556" s="7"/>
      <c r="T556" s="7"/>
    </row>
    <row r="557" spans="19:20" ht="15.75" customHeight="1" x14ac:dyDescent="0.25">
      <c r="S557" s="7"/>
      <c r="T557" s="7"/>
    </row>
    <row r="558" spans="19:20" ht="15.75" customHeight="1" x14ac:dyDescent="0.25">
      <c r="S558" s="7"/>
      <c r="T558" s="7"/>
    </row>
    <row r="559" spans="19:20" ht="15.75" customHeight="1" x14ac:dyDescent="0.25">
      <c r="S559" s="7"/>
      <c r="T559" s="7"/>
    </row>
    <row r="560" spans="19:20" ht="15.75" customHeight="1" x14ac:dyDescent="0.25">
      <c r="S560" s="7"/>
      <c r="T560" s="7"/>
    </row>
    <row r="561" spans="19:20" ht="15.75" customHeight="1" x14ac:dyDescent="0.25">
      <c r="S561" s="7"/>
      <c r="T561" s="7"/>
    </row>
    <row r="562" spans="19:20" ht="15.75" customHeight="1" x14ac:dyDescent="0.25">
      <c r="S562" s="7"/>
      <c r="T562" s="7"/>
    </row>
    <row r="563" spans="19:20" ht="15.75" customHeight="1" x14ac:dyDescent="0.25">
      <c r="S563" s="7"/>
      <c r="T563" s="7"/>
    </row>
    <row r="564" spans="19:20" ht="15.75" customHeight="1" x14ac:dyDescent="0.25">
      <c r="S564" s="7"/>
      <c r="T564" s="7"/>
    </row>
    <row r="565" spans="19:20" ht="15.75" customHeight="1" x14ac:dyDescent="0.25">
      <c r="S565" s="7"/>
      <c r="T565" s="7"/>
    </row>
    <row r="566" spans="19:20" ht="15.75" customHeight="1" x14ac:dyDescent="0.25">
      <c r="S566" s="7"/>
      <c r="T566" s="7"/>
    </row>
    <row r="567" spans="19:20" ht="15.75" customHeight="1" x14ac:dyDescent="0.25">
      <c r="S567" s="7"/>
      <c r="T567" s="7"/>
    </row>
    <row r="568" spans="19:20" ht="15.75" customHeight="1" x14ac:dyDescent="0.25">
      <c r="S568" s="7"/>
      <c r="T568" s="7"/>
    </row>
    <row r="569" spans="19:20" ht="15.75" customHeight="1" x14ac:dyDescent="0.25">
      <c r="S569" s="7"/>
      <c r="T569" s="7"/>
    </row>
    <row r="570" spans="19:20" ht="15.75" customHeight="1" x14ac:dyDescent="0.25">
      <c r="S570" s="7"/>
      <c r="T570" s="7"/>
    </row>
    <row r="571" spans="19:20" ht="15.75" customHeight="1" x14ac:dyDescent="0.25">
      <c r="S571" s="7"/>
      <c r="T571" s="7"/>
    </row>
    <row r="572" spans="19:20" ht="15.75" customHeight="1" x14ac:dyDescent="0.25">
      <c r="S572" s="7"/>
      <c r="T572" s="7"/>
    </row>
    <row r="573" spans="19:20" ht="15.75" customHeight="1" x14ac:dyDescent="0.25">
      <c r="S573" s="7"/>
      <c r="T573" s="7"/>
    </row>
    <row r="574" spans="19:20" ht="15.75" customHeight="1" x14ac:dyDescent="0.25">
      <c r="S574" s="7"/>
      <c r="T574" s="7"/>
    </row>
    <row r="575" spans="19:20" ht="15.75" customHeight="1" x14ac:dyDescent="0.25">
      <c r="S575" s="7"/>
      <c r="T575" s="7"/>
    </row>
    <row r="576" spans="19:20" ht="15.75" customHeight="1" x14ac:dyDescent="0.25">
      <c r="S576" s="7"/>
      <c r="T576" s="7"/>
    </row>
    <row r="577" spans="19:20" ht="15.75" customHeight="1" x14ac:dyDescent="0.25">
      <c r="S577" s="7"/>
      <c r="T577" s="7"/>
    </row>
    <row r="578" spans="19:20" ht="15.75" customHeight="1" x14ac:dyDescent="0.25">
      <c r="S578" s="7"/>
      <c r="T578" s="7"/>
    </row>
    <row r="579" spans="19:20" ht="15.75" customHeight="1" x14ac:dyDescent="0.25">
      <c r="S579" s="7"/>
      <c r="T579" s="7"/>
    </row>
    <row r="580" spans="19:20" ht="15.75" customHeight="1" x14ac:dyDescent="0.25">
      <c r="S580" s="7"/>
      <c r="T580" s="7"/>
    </row>
    <row r="581" spans="19:20" ht="15.75" customHeight="1" x14ac:dyDescent="0.25">
      <c r="S581" s="7"/>
      <c r="T581" s="7"/>
    </row>
    <row r="582" spans="19:20" ht="15.75" customHeight="1" x14ac:dyDescent="0.25">
      <c r="S582" s="7"/>
      <c r="T582" s="7"/>
    </row>
    <row r="583" spans="19:20" ht="15.75" customHeight="1" x14ac:dyDescent="0.25">
      <c r="S583" s="7"/>
      <c r="T583" s="7"/>
    </row>
    <row r="584" spans="19:20" ht="15.75" customHeight="1" x14ac:dyDescent="0.25">
      <c r="S584" s="7"/>
      <c r="T584" s="7"/>
    </row>
    <row r="585" spans="19:20" ht="15.75" customHeight="1" x14ac:dyDescent="0.25">
      <c r="S585" s="7"/>
      <c r="T585" s="7"/>
    </row>
    <row r="586" spans="19:20" ht="15.75" customHeight="1" x14ac:dyDescent="0.25">
      <c r="S586" s="7"/>
      <c r="T586" s="7"/>
    </row>
    <row r="587" spans="19:20" ht="15.75" customHeight="1" x14ac:dyDescent="0.25">
      <c r="S587" s="7"/>
      <c r="T587" s="7"/>
    </row>
    <row r="588" spans="19:20" ht="15.75" customHeight="1" x14ac:dyDescent="0.25">
      <c r="S588" s="7"/>
      <c r="T588" s="7"/>
    </row>
    <row r="589" spans="19:20" ht="15.75" customHeight="1" x14ac:dyDescent="0.25">
      <c r="S589" s="7"/>
      <c r="T589" s="7"/>
    </row>
    <row r="590" spans="19:20" ht="15.75" customHeight="1" x14ac:dyDescent="0.25">
      <c r="S590" s="7"/>
      <c r="T590" s="7"/>
    </row>
    <row r="591" spans="19:20" ht="15.75" customHeight="1" x14ac:dyDescent="0.25">
      <c r="S591" s="7"/>
      <c r="T591" s="7"/>
    </row>
    <row r="592" spans="19:20" ht="15.75" customHeight="1" x14ac:dyDescent="0.25">
      <c r="S592" s="7"/>
      <c r="T592" s="7"/>
    </row>
    <row r="593" spans="19:20" ht="15.75" customHeight="1" x14ac:dyDescent="0.25">
      <c r="S593" s="7"/>
      <c r="T593" s="7"/>
    </row>
    <row r="594" spans="19:20" ht="15.75" customHeight="1" x14ac:dyDescent="0.25">
      <c r="S594" s="7"/>
      <c r="T594" s="7"/>
    </row>
    <row r="595" spans="19:20" ht="15.75" customHeight="1" x14ac:dyDescent="0.25">
      <c r="S595" s="7"/>
      <c r="T595" s="7"/>
    </row>
    <row r="596" spans="19:20" ht="15.75" customHeight="1" x14ac:dyDescent="0.25">
      <c r="S596" s="7"/>
      <c r="T596" s="7"/>
    </row>
    <row r="597" spans="19:20" ht="15.75" customHeight="1" x14ac:dyDescent="0.25">
      <c r="S597" s="7"/>
      <c r="T597" s="7"/>
    </row>
    <row r="598" spans="19:20" ht="15.75" customHeight="1" x14ac:dyDescent="0.25">
      <c r="S598" s="7"/>
      <c r="T598" s="7"/>
    </row>
    <row r="599" spans="19:20" ht="15.75" customHeight="1" x14ac:dyDescent="0.25">
      <c r="S599" s="7"/>
      <c r="T599" s="7"/>
    </row>
    <row r="600" spans="19:20" ht="15.75" customHeight="1" x14ac:dyDescent="0.25">
      <c r="S600" s="7"/>
      <c r="T600" s="7"/>
    </row>
    <row r="601" spans="19:20" ht="15.75" customHeight="1" x14ac:dyDescent="0.25">
      <c r="S601" s="7"/>
      <c r="T601" s="7"/>
    </row>
    <row r="602" spans="19:20" ht="15.75" customHeight="1" x14ac:dyDescent="0.25">
      <c r="S602" s="7"/>
      <c r="T602" s="7"/>
    </row>
    <row r="603" spans="19:20" ht="15.75" customHeight="1" x14ac:dyDescent="0.25">
      <c r="S603" s="7"/>
      <c r="T603" s="7"/>
    </row>
    <row r="604" spans="19:20" ht="15.75" customHeight="1" x14ac:dyDescent="0.25">
      <c r="S604" s="7"/>
      <c r="T604" s="7"/>
    </row>
    <row r="605" spans="19:20" ht="15.75" customHeight="1" x14ac:dyDescent="0.25">
      <c r="S605" s="7"/>
      <c r="T605" s="7"/>
    </row>
    <row r="606" spans="19:20" ht="15.75" customHeight="1" x14ac:dyDescent="0.25">
      <c r="S606" s="7"/>
      <c r="T606" s="7"/>
    </row>
    <row r="607" spans="19:20" ht="15.75" customHeight="1" x14ac:dyDescent="0.25">
      <c r="S607" s="7"/>
      <c r="T607" s="7"/>
    </row>
    <row r="608" spans="19:20" ht="15.75" customHeight="1" x14ac:dyDescent="0.25">
      <c r="S608" s="7"/>
      <c r="T608" s="7"/>
    </row>
    <row r="609" spans="19:20" ht="15.75" customHeight="1" x14ac:dyDescent="0.25">
      <c r="S609" s="7"/>
      <c r="T609" s="7"/>
    </row>
    <row r="610" spans="19:20" ht="15.75" customHeight="1" x14ac:dyDescent="0.25">
      <c r="S610" s="7"/>
      <c r="T610" s="7"/>
    </row>
    <row r="611" spans="19:20" ht="15.75" customHeight="1" x14ac:dyDescent="0.25">
      <c r="S611" s="7"/>
      <c r="T611" s="7"/>
    </row>
    <row r="612" spans="19:20" ht="15.75" customHeight="1" x14ac:dyDescent="0.25">
      <c r="S612" s="7"/>
      <c r="T612" s="7"/>
    </row>
    <row r="613" spans="19:20" ht="15.75" customHeight="1" x14ac:dyDescent="0.25">
      <c r="S613" s="7"/>
      <c r="T613" s="7"/>
    </row>
    <row r="614" spans="19:20" ht="15.75" customHeight="1" x14ac:dyDescent="0.25">
      <c r="S614" s="7"/>
      <c r="T614" s="7"/>
    </row>
    <row r="615" spans="19:20" ht="15.75" customHeight="1" x14ac:dyDescent="0.25">
      <c r="S615" s="7"/>
      <c r="T615" s="7"/>
    </row>
    <row r="616" spans="19:20" ht="15.75" customHeight="1" x14ac:dyDescent="0.25">
      <c r="S616" s="7"/>
      <c r="T616" s="7"/>
    </row>
    <row r="617" spans="19:20" ht="15.75" customHeight="1" x14ac:dyDescent="0.25">
      <c r="S617" s="7"/>
      <c r="T617" s="7"/>
    </row>
    <row r="618" spans="19:20" ht="15.75" customHeight="1" x14ac:dyDescent="0.25">
      <c r="S618" s="7"/>
      <c r="T618" s="7"/>
    </row>
    <row r="619" spans="19:20" ht="15.75" customHeight="1" x14ac:dyDescent="0.25">
      <c r="S619" s="7"/>
      <c r="T619" s="7"/>
    </row>
    <row r="620" spans="19:20" ht="15.75" customHeight="1" x14ac:dyDescent="0.25">
      <c r="S620" s="7"/>
      <c r="T620" s="7"/>
    </row>
    <row r="621" spans="19:20" ht="15.75" customHeight="1" x14ac:dyDescent="0.25">
      <c r="S621" s="7"/>
      <c r="T621" s="7"/>
    </row>
    <row r="622" spans="19:20" ht="15.75" customHeight="1" x14ac:dyDescent="0.25">
      <c r="S622" s="7"/>
      <c r="T622" s="7"/>
    </row>
    <row r="623" spans="19:20" ht="15.75" customHeight="1" x14ac:dyDescent="0.25">
      <c r="S623" s="7"/>
      <c r="T623" s="7"/>
    </row>
    <row r="624" spans="19:20" ht="15.75" customHeight="1" x14ac:dyDescent="0.25">
      <c r="S624" s="7"/>
      <c r="T624" s="7"/>
    </row>
    <row r="625" spans="19:20" ht="15.75" customHeight="1" x14ac:dyDescent="0.25">
      <c r="S625" s="7"/>
      <c r="T625" s="7"/>
    </row>
    <row r="626" spans="19:20" ht="15.75" customHeight="1" x14ac:dyDescent="0.25">
      <c r="S626" s="7"/>
      <c r="T626" s="7"/>
    </row>
    <row r="627" spans="19:20" ht="15.75" customHeight="1" x14ac:dyDescent="0.25">
      <c r="S627" s="7"/>
      <c r="T627" s="7"/>
    </row>
    <row r="628" spans="19:20" ht="15.75" customHeight="1" x14ac:dyDescent="0.25">
      <c r="S628" s="7"/>
      <c r="T628" s="7"/>
    </row>
    <row r="629" spans="19:20" ht="15.75" customHeight="1" x14ac:dyDescent="0.25">
      <c r="S629" s="7"/>
      <c r="T629" s="7"/>
    </row>
    <row r="630" spans="19:20" ht="15.75" customHeight="1" x14ac:dyDescent="0.25">
      <c r="S630" s="7"/>
      <c r="T630" s="7"/>
    </row>
    <row r="631" spans="19:20" ht="15.75" customHeight="1" x14ac:dyDescent="0.25">
      <c r="S631" s="7"/>
      <c r="T631" s="7"/>
    </row>
    <row r="632" spans="19:20" ht="15.75" customHeight="1" x14ac:dyDescent="0.25">
      <c r="S632" s="7"/>
      <c r="T632" s="7"/>
    </row>
    <row r="633" spans="19:20" ht="15.75" customHeight="1" x14ac:dyDescent="0.25">
      <c r="S633" s="7"/>
      <c r="T633" s="7"/>
    </row>
    <row r="634" spans="19:20" ht="15.75" customHeight="1" x14ac:dyDescent="0.25">
      <c r="S634" s="7"/>
      <c r="T634" s="7"/>
    </row>
    <row r="635" spans="19:20" ht="15.75" customHeight="1" x14ac:dyDescent="0.25">
      <c r="S635" s="7"/>
      <c r="T635" s="7"/>
    </row>
    <row r="636" spans="19:20" ht="15.75" customHeight="1" x14ac:dyDescent="0.25">
      <c r="S636" s="7"/>
      <c r="T636" s="7"/>
    </row>
    <row r="637" spans="19:20" ht="15.75" customHeight="1" x14ac:dyDescent="0.25">
      <c r="S637" s="7"/>
      <c r="T637" s="7"/>
    </row>
    <row r="638" spans="19:20" ht="15.75" customHeight="1" x14ac:dyDescent="0.25">
      <c r="S638" s="7"/>
      <c r="T638" s="7"/>
    </row>
    <row r="639" spans="19:20" ht="15.75" customHeight="1" x14ac:dyDescent="0.25">
      <c r="S639" s="7"/>
      <c r="T639" s="7"/>
    </row>
    <row r="640" spans="19:20" ht="15.75" customHeight="1" x14ac:dyDescent="0.25">
      <c r="S640" s="7"/>
      <c r="T640" s="7"/>
    </row>
    <row r="641" spans="19:20" ht="15.75" customHeight="1" x14ac:dyDescent="0.25">
      <c r="S641" s="7"/>
      <c r="T641" s="7"/>
    </row>
    <row r="642" spans="19:20" ht="15.75" customHeight="1" x14ac:dyDescent="0.25">
      <c r="S642" s="7"/>
      <c r="T642" s="7"/>
    </row>
    <row r="643" spans="19:20" ht="15.75" customHeight="1" x14ac:dyDescent="0.25">
      <c r="S643" s="7"/>
      <c r="T643" s="7"/>
    </row>
    <row r="644" spans="19:20" ht="15.75" customHeight="1" x14ac:dyDescent="0.25">
      <c r="S644" s="7"/>
      <c r="T644" s="7"/>
    </row>
    <row r="645" spans="19:20" ht="15.75" customHeight="1" x14ac:dyDescent="0.25">
      <c r="S645" s="7"/>
      <c r="T645" s="7"/>
    </row>
    <row r="646" spans="19:20" ht="15.75" customHeight="1" x14ac:dyDescent="0.25">
      <c r="S646" s="7"/>
      <c r="T646" s="7"/>
    </row>
    <row r="647" spans="19:20" ht="15.75" customHeight="1" x14ac:dyDescent="0.25">
      <c r="S647" s="7"/>
      <c r="T647" s="7"/>
    </row>
    <row r="648" spans="19:20" ht="15.75" customHeight="1" x14ac:dyDescent="0.25">
      <c r="S648" s="7"/>
      <c r="T648" s="7"/>
    </row>
    <row r="649" spans="19:20" ht="15.75" customHeight="1" x14ac:dyDescent="0.25">
      <c r="S649" s="7"/>
      <c r="T649" s="7"/>
    </row>
    <row r="650" spans="19:20" ht="15.75" customHeight="1" x14ac:dyDescent="0.25">
      <c r="S650" s="7"/>
      <c r="T650" s="7"/>
    </row>
    <row r="651" spans="19:20" ht="15.75" customHeight="1" x14ac:dyDescent="0.25">
      <c r="S651" s="7"/>
      <c r="T651" s="7"/>
    </row>
    <row r="652" spans="19:20" ht="15.75" customHeight="1" x14ac:dyDescent="0.25">
      <c r="S652" s="7"/>
      <c r="T652" s="7"/>
    </row>
    <row r="653" spans="19:20" ht="15.75" customHeight="1" x14ac:dyDescent="0.25">
      <c r="S653" s="7"/>
      <c r="T653" s="7"/>
    </row>
    <row r="654" spans="19:20" ht="15.75" customHeight="1" x14ac:dyDescent="0.25">
      <c r="S654" s="7"/>
      <c r="T654" s="7"/>
    </row>
    <row r="655" spans="19:20" ht="15.75" customHeight="1" x14ac:dyDescent="0.25">
      <c r="S655" s="7"/>
      <c r="T655" s="7"/>
    </row>
    <row r="656" spans="19:20" ht="15.75" customHeight="1" x14ac:dyDescent="0.25">
      <c r="S656" s="7"/>
      <c r="T656" s="7"/>
    </row>
    <row r="657" spans="19:20" ht="15.75" customHeight="1" x14ac:dyDescent="0.25">
      <c r="S657" s="7"/>
      <c r="T657" s="7"/>
    </row>
    <row r="658" spans="19:20" ht="15.75" customHeight="1" x14ac:dyDescent="0.25">
      <c r="S658" s="7"/>
      <c r="T658" s="7"/>
    </row>
    <row r="659" spans="19:20" ht="15.75" customHeight="1" x14ac:dyDescent="0.25">
      <c r="S659" s="7"/>
      <c r="T659" s="7"/>
    </row>
    <row r="660" spans="19:20" ht="15.75" customHeight="1" x14ac:dyDescent="0.25">
      <c r="S660" s="7"/>
      <c r="T660" s="7"/>
    </row>
    <row r="661" spans="19:20" ht="15.75" customHeight="1" x14ac:dyDescent="0.25">
      <c r="S661" s="7"/>
      <c r="T661" s="7"/>
    </row>
    <row r="662" spans="19:20" ht="15.75" customHeight="1" x14ac:dyDescent="0.25">
      <c r="S662" s="7"/>
      <c r="T662" s="7"/>
    </row>
    <row r="663" spans="19:20" ht="15.75" customHeight="1" x14ac:dyDescent="0.25">
      <c r="S663" s="7"/>
      <c r="T663" s="7"/>
    </row>
    <row r="664" spans="19:20" ht="15.75" customHeight="1" x14ac:dyDescent="0.25">
      <c r="S664" s="7"/>
      <c r="T664" s="7"/>
    </row>
    <row r="665" spans="19:20" ht="15.75" customHeight="1" x14ac:dyDescent="0.25">
      <c r="S665" s="7"/>
      <c r="T665" s="7"/>
    </row>
    <row r="666" spans="19:20" ht="15.75" customHeight="1" x14ac:dyDescent="0.25">
      <c r="S666" s="7"/>
      <c r="T666" s="7"/>
    </row>
    <row r="667" spans="19:20" ht="15.75" customHeight="1" x14ac:dyDescent="0.25">
      <c r="S667" s="7"/>
      <c r="T667" s="7"/>
    </row>
    <row r="668" spans="19:20" ht="15.75" customHeight="1" x14ac:dyDescent="0.25">
      <c r="S668" s="7"/>
      <c r="T668" s="7"/>
    </row>
    <row r="669" spans="19:20" ht="15.75" customHeight="1" x14ac:dyDescent="0.25">
      <c r="S669" s="7"/>
      <c r="T669" s="7"/>
    </row>
    <row r="670" spans="19:20" ht="15.75" customHeight="1" x14ac:dyDescent="0.25">
      <c r="S670" s="7"/>
      <c r="T670" s="7"/>
    </row>
    <row r="671" spans="19:20" ht="15.75" customHeight="1" x14ac:dyDescent="0.25">
      <c r="S671" s="7"/>
      <c r="T671" s="7"/>
    </row>
    <row r="672" spans="19:20" ht="15.75" customHeight="1" x14ac:dyDescent="0.25">
      <c r="S672" s="7"/>
      <c r="T672" s="7"/>
    </row>
    <row r="673" spans="19:20" ht="15.75" customHeight="1" x14ac:dyDescent="0.25">
      <c r="S673" s="7"/>
      <c r="T673" s="7"/>
    </row>
    <row r="674" spans="19:20" ht="15.75" customHeight="1" x14ac:dyDescent="0.25">
      <c r="S674" s="7"/>
      <c r="T674" s="7"/>
    </row>
    <row r="675" spans="19:20" ht="15.75" customHeight="1" x14ac:dyDescent="0.25">
      <c r="S675" s="7"/>
      <c r="T675" s="7"/>
    </row>
    <row r="676" spans="19:20" ht="15.75" customHeight="1" x14ac:dyDescent="0.25">
      <c r="S676" s="7"/>
      <c r="T676" s="7"/>
    </row>
    <row r="677" spans="19:20" ht="15.75" customHeight="1" x14ac:dyDescent="0.25">
      <c r="S677" s="7"/>
      <c r="T677" s="7"/>
    </row>
    <row r="678" spans="19:20" ht="15.75" customHeight="1" x14ac:dyDescent="0.25">
      <c r="S678" s="7"/>
      <c r="T678" s="7"/>
    </row>
    <row r="679" spans="19:20" ht="15.75" customHeight="1" x14ac:dyDescent="0.25">
      <c r="S679" s="7"/>
      <c r="T679" s="7"/>
    </row>
    <row r="680" spans="19:20" ht="15.75" customHeight="1" x14ac:dyDescent="0.25">
      <c r="S680" s="7"/>
      <c r="T680" s="7"/>
    </row>
    <row r="681" spans="19:20" ht="15.75" customHeight="1" x14ac:dyDescent="0.25">
      <c r="S681" s="7"/>
      <c r="T681" s="7"/>
    </row>
    <row r="682" spans="19:20" ht="15.75" customHeight="1" x14ac:dyDescent="0.25">
      <c r="S682" s="7"/>
      <c r="T682" s="7"/>
    </row>
    <row r="683" spans="19:20" ht="15.75" customHeight="1" x14ac:dyDescent="0.25">
      <c r="S683" s="7"/>
      <c r="T683" s="7"/>
    </row>
    <row r="684" spans="19:20" ht="15.75" customHeight="1" x14ac:dyDescent="0.25">
      <c r="S684" s="7"/>
      <c r="T684" s="7"/>
    </row>
    <row r="685" spans="19:20" ht="15.75" customHeight="1" x14ac:dyDescent="0.25">
      <c r="S685" s="7"/>
      <c r="T685" s="7"/>
    </row>
    <row r="686" spans="19:20" ht="15.75" customHeight="1" x14ac:dyDescent="0.25">
      <c r="S686" s="7"/>
      <c r="T686" s="7"/>
    </row>
    <row r="687" spans="19:20" ht="15.75" customHeight="1" x14ac:dyDescent="0.25">
      <c r="S687" s="7"/>
      <c r="T687" s="7"/>
    </row>
    <row r="688" spans="19:20" ht="15.75" customHeight="1" x14ac:dyDescent="0.25">
      <c r="S688" s="7"/>
      <c r="T688" s="7"/>
    </row>
    <row r="689" spans="19:20" ht="15.75" customHeight="1" x14ac:dyDescent="0.25">
      <c r="S689" s="7"/>
      <c r="T689" s="7"/>
    </row>
    <row r="690" spans="19:20" ht="15.75" customHeight="1" x14ac:dyDescent="0.25">
      <c r="S690" s="7"/>
      <c r="T690" s="7"/>
    </row>
    <row r="691" spans="19:20" ht="15.75" customHeight="1" x14ac:dyDescent="0.25">
      <c r="S691" s="7"/>
      <c r="T691" s="7"/>
    </row>
    <row r="692" spans="19:20" ht="15.75" customHeight="1" x14ac:dyDescent="0.25">
      <c r="S692" s="7"/>
      <c r="T692" s="7"/>
    </row>
    <row r="693" spans="19:20" ht="15.75" customHeight="1" x14ac:dyDescent="0.25">
      <c r="S693" s="7"/>
      <c r="T693" s="7"/>
    </row>
    <row r="694" spans="19:20" ht="15.75" customHeight="1" x14ac:dyDescent="0.25">
      <c r="S694" s="7"/>
      <c r="T694" s="7"/>
    </row>
    <row r="695" spans="19:20" ht="15.75" customHeight="1" x14ac:dyDescent="0.25">
      <c r="S695" s="7"/>
      <c r="T695" s="7"/>
    </row>
    <row r="696" spans="19:20" ht="15.75" customHeight="1" x14ac:dyDescent="0.25">
      <c r="S696" s="7"/>
      <c r="T696" s="7"/>
    </row>
    <row r="697" spans="19:20" ht="15.75" customHeight="1" x14ac:dyDescent="0.25">
      <c r="S697" s="7"/>
      <c r="T697" s="7"/>
    </row>
    <row r="698" spans="19:20" ht="15.75" customHeight="1" x14ac:dyDescent="0.25">
      <c r="S698" s="7"/>
      <c r="T698" s="7"/>
    </row>
    <row r="699" spans="19:20" ht="15.75" customHeight="1" x14ac:dyDescent="0.25">
      <c r="S699" s="7"/>
      <c r="T699" s="7"/>
    </row>
    <row r="700" spans="19:20" ht="15.75" customHeight="1" x14ac:dyDescent="0.25">
      <c r="S700" s="7"/>
      <c r="T700" s="7"/>
    </row>
    <row r="701" spans="19:20" ht="15.75" customHeight="1" x14ac:dyDescent="0.25">
      <c r="S701" s="7"/>
      <c r="T701" s="7"/>
    </row>
    <row r="702" spans="19:20" ht="15.75" customHeight="1" x14ac:dyDescent="0.25">
      <c r="S702" s="7"/>
      <c r="T702" s="7"/>
    </row>
    <row r="703" spans="19:20" ht="15.75" customHeight="1" x14ac:dyDescent="0.25">
      <c r="S703" s="7"/>
      <c r="T703" s="7"/>
    </row>
    <row r="704" spans="19:20" ht="15.75" customHeight="1" x14ac:dyDescent="0.25">
      <c r="S704" s="7"/>
      <c r="T704" s="7"/>
    </row>
    <row r="705" spans="19:20" ht="15.75" customHeight="1" x14ac:dyDescent="0.25">
      <c r="S705" s="7"/>
      <c r="T705" s="7"/>
    </row>
    <row r="706" spans="19:20" ht="15.75" customHeight="1" x14ac:dyDescent="0.25">
      <c r="S706" s="7"/>
      <c r="T706" s="7"/>
    </row>
    <row r="707" spans="19:20" ht="15.75" customHeight="1" x14ac:dyDescent="0.25">
      <c r="S707" s="7"/>
      <c r="T707" s="7"/>
    </row>
    <row r="708" spans="19:20" ht="15.75" customHeight="1" x14ac:dyDescent="0.25">
      <c r="S708" s="7"/>
      <c r="T708" s="7"/>
    </row>
    <row r="709" spans="19:20" ht="15.75" customHeight="1" x14ac:dyDescent="0.25">
      <c r="S709" s="7"/>
      <c r="T709" s="7"/>
    </row>
    <row r="710" spans="19:20" ht="15.75" customHeight="1" x14ac:dyDescent="0.25">
      <c r="S710" s="7"/>
      <c r="T710" s="7"/>
    </row>
    <row r="711" spans="19:20" ht="15.75" customHeight="1" x14ac:dyDescent="0.25">
      <c r="S711" s="7"/>
      <c r="T711" s="7"/>
    </row>
    <row r="712" spans="19:20" ht="15.75" customHeight="1" x14ac:dyDescent="0.25">
      <c r="S712" s="7"/>
      <c r="T712" s="7"/>
    </row>
    <row r="713" spans="19:20" ht="15.75" customHeight="1" x14ac:dyDescent="0.25">
      <c r="S713" s="7"/>
      <c r="T713" s="7"/>
    </row>
    <row r="714" spans="19:20" ht="15.75" customHeight="1" x14ac:dyDescent="0.25">
      <c r="S714" s="7"/>
      <c r="T714" s="7"/>
    </row>
    <row r="715" spans="19:20" ht="15.75" customHeight="1" x14ac:dyDescent="0.25">
      <c r="S715" s="7"/>
      <c r="T715" s="7"/>
    </row>
    <row r="716" spans="19:20" ht="15.75" customHeight="1" x14ac:dyDescent="0.25">
      <c r="S716" s="7"/>
      <c r="T716" s="7"/>
    </row>
    <row r="717" spans="19:20" ht="15.75" customHeight="1" x14ac:dyDescent="0.25">
      <c r="S717" s="7"/>
      <c r="T717" s="7"/>
    </row>
    <row r="718" spans="19:20" ht="15.75" customHeight="1" x14ac:dyDescent="0.25">
      <c r="S718" s="7"/>
      <c r="T718" s="7"/>
    </row>
    <row r="719" spans="19:20" ht="15.75" customHeight="1" x14ac:dyDescent="0.25">
      <c r="S719" s="7"/>
      <c r="T719" s="7"/>
    </row>
    <row r="720" spans="19:20" ht="15.75" customHeight="1" x14ac:dyDescent="0.25">
      <c r="S720" s="7"/>
      <c r="T720" s="7"/>
    </row>
    <row r="721" spans="19:20" ht="15.75" customHeight="1" x14ac:dyDescent="0.25">
      <c r="S721" s="7"/>
      <c r="T721" s="7"/>
    </row>
    <row r="722" spans="19:20" ht="15.75" customHeight="1" x14ac:dyDescent="0.25">
      <c r="S722" s="7"/>
      <c r="T722" s="7"/>
    </row>
    <row r="723" spans="19:20" ht="15.75" customHeight="1" x14ac:dyDescent="0.25">
      <c r="S723" s="7"/>
      <c r="T723" s="7"/>
    </row>
    <row r="724" spans="19:20" ht="15.75" customHeight="1" x14ac:dyDescent="0.25">
      <c r="S724" s="7"/>
      <c r="T724" s="7"/>
    </row>
    <row r="725" spans="19:20" ht="15.75" customHeight="1" x14ac:dyDescent="0.25">
      <c r="S725" s="7"/>
      <c r="T725" s="7"/>
    </row>
    <row r="726" spans="19:20" ht="15.75" customHeight="1" x14ac:dyDescent="0.25">
      <c r="S726" s="7"/>
      <c r="T726" s="7"/>
    </row>
    <row r="727" spans="19:20" ht="15.75" customHeight="1" x14ac:dyDescent="0.25">
      <c r="S727" s="7"/>
      <c r="T727" s="7"/>
    </row>
    <row r="728" spans="19:20" ht="15.75" customHeight="1" x14ac:dyDescent="0.25">
      <c r="S728" s="7"/>
      <c r="T728" s="7"/>
    </row>
    <row r="729" spans="19:20" ht="15.75" customHeight="1" x14ac:dyDescent="0.25">
      <c r="S729" s="7"/>
      <c r="T729" s="7"/>
    </row>
    <row r="730" spans="19:20" ht="15.75" customHeight="1" x14ac:dyDescent="0.25">
      <c r="S730" s="7"/>
      <c r="T730" s="7"/>
    </row>
    <row r="731" spans="19:20" ht="15.75" customHeight="1" x14ac:dyDescent="0.25">
      <c r="S731" s="7"/>
      <c r="T731" s="7"/>
    </row>
    <row r="732" spans="19:20" ht="15.75" customHeight="1" x14ac:dyDescent="0.25">
      <c r="S732" s="7"/>
      <c r="T732" s="7"/>
    </row>
    <row r="733" spans="19:20" ht="15.75" customHeight="1" x14ac:dyDescent="0.25">
      <c r="S733" s="7"/>
      <c r="T733" s="7"/>
    </row>
    <row r="734" spans="19:20" ht="15.75" customHeight="1" x14ac:dyDescent="0.25">
      <c r="S734" s="7"/>
      <c r="T734" s="7"/>
    </row>
    <row r="735" spans="19:20" ht="15.75" customHeight="1" x14ac:dyDescent="0.25">
      <c r="S735" s="7"/>
      <c r="T735" s="7"/>
    </row>
    <row r="736" spans="19:20" ht="15.75" customHeight="1" x14ac:dyDescent="0.25">
      <c r="S736" s="7"/>
      <c r="T736" s="7"/>
    </row>
    <row r="737" spans="19:20" ht="15.75" customHeight="1" x14ac:dyDescent="0.25">
      <c r="S737" s="7"/>
      <c r="T737" s="7"/>
    </row>
    <row r="738" spans="19:20" ht="15.75" customHeight="1" x14ac:dyDescent="0.25">
      <c r="S738" s="7"/>
      <c r="T738" s="7"/>
    </row>
    <row r="739" spans="19:20" ht="15.75" customHeight="1" x14ac:dyDescent="0.25">
      <c r="S739" s="7"/>
      <c r="T739" s="7"/>
    </row>
    <row r="740" spans="19:20" ht="15.75" customHeight="1" x14ac:dyDescent="0.25">
      <c r="S740" s="7"/>
      <c r="T740" s="7"/>
    </row>
    <row r="741" spans="19:20" ht="15.75" customHeight="1" x14ac:dyDescent="0.25">
      <c r="S741" s="7"/>
      <c r="T741" s="7"/>
    </row>
    <row r="742" spans="19:20" ht="15.75" customHeight="1" x14ac:dyDescent="0.25">
      <c r="S742" s="7"/>
      <c r="T742" s="7"/>
    </row>
    <row r="743" spans="19:20" ht="15.75" customHeight="1" x14ac:dyDescent="0.25">
      <c r="S743" s="7"/>
      <c r="T743" s="7"/>
    </row>
    <row r="744" spans="19:20" ht="15.75" customHeight="1" x14ac:dyDescent="0.25">
      <c r="S744" s="7"/>
      <c r="T744" s="7"/>
    </row>
    <row r="745" spans="19:20" ht="15.75" customHeight="1" x14ac:dyDescent="0.25">
      <c r="S745" s="7"/>
      <c r="T745" s="7"/>
    </row>
    <row r="746" spans="19:20" ht="15.75" customHeight="1" x14ac:dyDescent="0.25">
      <c r="S746" s="7"/>
      <c r="T746" s="7"/>
    </row>
    <row r="747" spans="19:20" ht="15.75" customHeight="1" x14ac:dyDescent="0.25">
      <c r="S747" s="7"/>
      <c r="T747" s="7"/>
    </row>
    <row r="748" spans="19:20" ht="15.75" customHeight="1" x14ac:dyDescent="0.25">
      <c r="S748" s="7"/>
      <c r="T748" s="7"/>
    </row>
    <row r="749" spans="19:20" ht="15.75" customHeight="1" x14ac:dyDescent="0.25">
      <c r="S749" s="7"/>
      <c r="T749" s="7"/>
    </row>
    <row r="750" spans="19:20" ht="15.75" customHeight="1" x14ac:dyDescent="0.25">
      <c r="S750" s="7"/>
      <c r="T750" s="7"/>
    </row>
    <row r="751" spans="19:20" ht="15.75" customHeight="1" x14ac:dyDescent="0.25">
      <c r="S751" s="7"/>
      <c r="T751" s="7"/>
    </row>
    <row r="752" spans="19:20" ht="15.75" customHeight="1" x14ac:dyDescent="0.25">
      <c r="S752" s="7"/>
      <c r="T752" s="7"/>
    </row>
    <row r="753" spans="19:20" ht="15.75" customHeight="1" x14ac:dyDescent="0.25">
      <c r="S753" s="7"/>
      <c r="T753" s="7"/>
    </row>
    <row r="754" spans="19:20" ht="15.75" customHeight="1" x14ac:dyDescent="0.25">
      <c r="S754" s="7"/>
      <c r="T754" s="7"/>
    </row>
    <row r="755" spans="19:20" ht="15.75" customHeight="1" x14ac:dyDescent="0.25">
      <c r="S755" s="7"/>
      <c r="T755" s="7"/>
    </row>
    <row r="756" spans="19:20" ht="15.75" customHeight="1" x14ac:dyDescent="0.25">
      <c r="S756" s="7"/>
      <c r="T756" s="7"/>
    </row>
    <row r="757" spans="19:20" ht="15.75" customHeight="1" x14ac:dyDescent="0.25">
      <c r="S757" s="7"/>
      <c r="T757" s="7"/>
    </row>
    <row r="758" spans="19:20" ht="15.75" customHeight="1" x14ac:dyDescent="0.25">
      <c r="S758" s="7"/>
      <c r="T758" s="7"/>
    </row>
    <row r="759" spans="19:20" ht="15.75" customHeight="1" x14ac:dyDescent="0.25">
      <c r="S759" s="7"/>
      <c r="T759" s="7"/>
    </row>
    <row r="760" spans="19:20" ht="15.75" customHeight="1" x14ac:dyDescent="0.25">
      <c r="S760" s="7"/>
      <c r="T760" s="7"/>
    </row>
    <row r="761" spans="19:20" ht="15.75" customHeight="1" x14ac:dyDescent="0.25">
      <c r="S761" s="7"/>
      <c r="T761" s="7"/>
    </row>
    <row r="762" spans="19:20" ht="15.75" customHeight="1" x14ac:dyDescent="0.25">
      <c r="S762" s="7"/>
      <c r="T762" s="7"/>
    </row>
    <row r="763" spans="19:20" ht="15.75" customHeight="1" x14ac:dyDescent="0.25">
      <c r="S763" s="7"/>
      <c r="T763" s="7"/>
    </row>
    <row r="764" spans="19:20" ht="15.75" customHeight="1" x14ac:dyDescent="0.25">
      <c r="S764" s="7"/>
      <c r="T764" s="7"/>
    </row>
    <row r="765" spans="19:20" ht="15.75" customHeight="1" x14ac:dyDescent="0.25">
      <c r="S765" s="7"/>
      <c r="T765" s="7"/>
    </row>
    <row r="766" spans="19:20" ht="15.75" customHeight="1" x14ac:dyDescent="0.25">
      <c r="S766" s="7"/>
      <c r="T766" s="7"/>
    </row>
    <row r="767" spans="19:20" ht="15.75" customHeight="1" x14ac:dyDescent="0.25">
      <c r="S767" s="7"/>
      <c r="T767" s="7"/>
    </row>
    <row r="768" spans="19:20" ht="15.75" customHeight="1" x14ac:dyDescent="0.25">
      <c r="S768" s="7"/>
      <c r="T768" s="7"/>
    </row>
    <row r="769" spans="19:20" ht="15.75" customHeight="1" x14ac:dyDescent="0.25">
      <c r="S769" s="7"/>
      <c r="T769" s="7"/>
    </row>
    <row r="770" spans="19:20" ht="15.75" customHeight="1" x14ac:dyDescent="0.25">
      <c r="S770" s="7"/>
      <c r="T770" s="7"/>
    </row>
    <row r="771" spans="19:20" ht="15.75" customHeight="1" x14ac:dyDescent="0.25">
      <c r="S771" s="7"/>
      <c r="T771" s="7"/>
    </row>
    <row r="772" spans="19:20" ht="15.75" customHeight="1" x14ac:dyDescent="0.25">
      <c r="S772" s="7"/>
      <c r="T772" s="7"/>
    </row>
    <row r="773" spans="19:20" ht="15.75" customHeight="1" x14ac:dyDescent="0.25">
      <c r="S773" s="7"/>
      <c r="T773" s="7"/>
    </row>
    <row r="774" spans="19:20" ht="15.75" customHeight="1" x14ac:dyDescent="0.25">
      <c r="S774" s="7"/>
      <c r="T774" s="7"/>
    </row>
    <row r="775" spans="19:20" ht="15.75" customHeight="1" x14ac:dyDescent="0.25">
      <c r="S775" s="7"/>
      <c r="T775" s="7"/>
    </row>
    <row r="776" spans="19:20" ht="15.75" customHeight="1" x14ac:dyDescent="0.25">
      <c r="S776" s="7"/>
      <c r="T776" s="7"/>
    </row>
    <row r="777" spans="19:20" ht="15.75" customHeight="1" x14ac:dyDescent="0.25">
      <c r="S777" s="7"/>
      <c r="T777" s="7"/>
    </row>
    <row r="778" spans="19:20" ht="15.75" customHeight="1" x14ac:dyDescent="0.25">
      <c r="S778" s="7"/>
      <c r="T778" s="7"/>
    </row>
    <row r="779" spans="19:20" ht="15.75" customHeight="1" x14ac:dyDescent="0.25">
      <c r="S779" s="7"/>
      <c r="T779" s="7"/>
    </row>
    <row r="780" spans="19:20" ht="15.75" customHeight="1" x14ac:dyDescent="0.25">
      <c r="S780" s="7"/>
      <c r="T780" s="7"/>
    </row>
    <row r="781" spans="19:20" ht="15.75" customHeight="1" x14ac:dyDescent="0.25">
      <c r="S781" s="7"/>
      <c r="T781" s="7"/>
    </row>
    <row r="782" spans="19:20" ht="15.75" customHeight="1" x14ac:dyDescent="0.25">
      <c r="S782" s="7"/>
      <c r="T782" s="7"/>
    </row>
    <row r="783" spans="19:20" ht="15.75" customHeight="1" x14ac:dyDescent="0.25">
      <c r="S783" s="7"/>
      <c r="T783" s="7"/>
    </row>
    <row r="784" spans="19:20" ht="15.75" customHeight="1" x14ac:dyDescent="0.25">
      <c r="S784" s="7"/>
      <c r="T784" s="7"/>
    </row>
    <row r="785" spans="19:20" ht="15.75" customHeight="1" x14ac:dyDescent="0.25">
      <c r="S785" s="7"/>
      <c r="T785" s="7"/>
    </row>
    <row r="786" spans="19:20" ht="15.75" customHeight="1" x14ac:dyDescent="0.25">
      <c r="S786" s="7"/>
      <c r="T786" s="7"/>
    </row>
    <row r="787" spans="19:20" ht="15.75" customHeight="1" x14ac:dyDescent="0.25">
      <c r="S787" s="7"/>
      <c r="T787" s="7"/>
    </row>
    <row r="788" spans="19:20" ht="15.75" customHeight="1" x14ac:dyDescent="0.25">
      <c r="S788" s="7"/>
      <c r="T788" s="7"/>
    </row>
    <row r="789" spans="19:20" ht="15.75" customHeight="1" x14ac:dyDescent="0.25">
      <c r="S789" s="7"/>
      <c r="T789" s="7"/>
    </row>
    <row r="790" spans="19:20" ht="15.75" customHeight="1" x14ac:dyDescent="0.25">
      <c r="S790" s="7"/>
      <c r="T790" s="7"/>
    </row>
    <row r="791" spans="19:20" ht="15.75" customHeight="1" x14ac:dyDescent="0.25">
      <c r="S791" s="7"/>
      <c r="T791" s="7"/>
    </row>
    <row r="792" spans="19:20" ht="15.75" customHeight="1" x14ac:dyDescent="0.25">
      <c r="S792" s="7"/>
      <c r="T792" s="7"/>
    </row>
    <row r="793" spans="19:20" ht="15.75" customHeight="1" x14ac:dyDescent="0.25">
      <c r="S793" s="7"/>
      <c r="T793" s="7"/>
    </row>
    <row r="794" spans="19:20" ht="15.75" customHeight="1" x14ac:dyDescent="0.25">
      <c r="S794" s="7"/>
      <c r="T794" s="7"/>
    </row>
    <row r="795" spans="19:20" ht="15.75" customHeight="1" x14ac:dyDescent="0.25">
      <c r="S795" s="7"/>
      <c r="T795" s="7"/>
    </row>
    <row r="796" spans="19:20" ht="15.75" customHeight="1" x14ac:dyDescent="0.25">
      <c r="S796" s="7"/>
      <c r="T796" s="7"/>
    </row>
    <row r="797" spans="19:20" ht="15.75" customHeight="1" x14ac:dyDescent="0.25">
      <c r="S797" s="7"/>
      <c r="T797" s="7"/>
    </row>
    <row r="798" spans="19:20" ht="15.75" customHeight="1" x14ac:dyDescent="0.25">
      <c r="S798" s="7"/>
      <c r="T798" s="7"/>
    </row>
    <row r="799" spans="19:20" ht="15.75" customHeight="1" x14ac:dyDescent="0.25">
      <c r="S799" s="7"/>
      <c r="T799" s="7"/>
    </row>
    <row r="800" spans="19:20" ht="15.75" customHeight="1" x14ac:dyDescent="0.25">
      <c r="S800" s="7"/>
      <c r="T800" s="7"/>
    </row>
    <row r="801" spans="19:20" ht="15.75" customHeight="1" x14ac:dyDescent="0.25">
      <c r="S801" s="7"/>
      <c r="T801" s="7"/>
    </row>
    <row r="802" spans="19:20" ht="15.75" customHeight="1" x14ac:dyDescent="0.25">
      <c r="S802" s="7"/>
      <c r="T802" s="7"/>
    </row>
    <row r="803" spans="19:20" ht="15.75" customHeight="1" x14ac:dyDescent="0.25">
      <c r="S803" s="7"/>
      <c r="T803" s="7"/>
    </row>
    <row r="804" spans="19:20" ht="15.75" customHeight="1" x14ac:dyDescent="0.25">
      <c r="S804" s="7"/>
      <c r="T804" s="7"/>
    </row>
    <row r="805" spans="19:20" ht="15.75" customHeight="1" x14ac:dyDescent="0.25">
      <c r="S805" s="7"/>
      <c r="T805" s="7"/>
    </row>
    <row r="806" spans="19:20" ht="15.75" customHeight="1" x14ac:dyDescent="0.25">
      <c r="S806" s="7"/>
      <c r="T806" s="7"/>
    </row>
    <row r="807" spans="19:20" ht="15.75" customHeight="1" x14ac:dyDescent="0.25">
      <c r="S807" s="7"/>
      <c r="T807" s="7"/>
    </row>
    <row r="808" spans="19:20" ht="15.75" customHeight="1" x14ac:dyDescent="0.25">
      <c r="S808" s="7"/>
      <c r="T808" s="7"/>
    </row>
    <row r="809" spans="19:20" ht="15.75" customHeight="1" x14ac:dyDescent="0.25">
      <c r="S809" s="7"/>
      <c r="T809" s="7"/>
    </row>
    <row r="810" spans="19:20" ht="15.75" customHeight="1" x14ac:dyDescent="0.25">
      <c r="S810" s="7"/>
      <c r="T810" s="7"/>
    </row>
    <row r="811" spans="19:20" ht="15.75" customHeight="1" x14ac:dyDescent="0.25">
      <c r="S811" s="7"/>
      <c r="T811" s="7"/>
    </row>
    <row r="812" spans="19:20" ht="15.75" customHeight="1" x14ac:dyDescent="0.25">
      <c r="S812" s="7"/>
      <c r="T812" s="7"/>
    </row>
    <row r="813" spans="19:20" ht="15.75" customHeight="1" x14ac:dyDescent="0.25">
      <c r="S813" s="7"/>
      <c r="T813" s="7"/>
    </row>
    <row r="814" spans="19:20" ht="15.75" customHeight="1" x14ac:dyDescent="0.25">
      <c r="S814" s="7"/>
      <c r="T814" s="7"/>
    </row>
    <row r="815" spans="19:20" ht="15.75" customHeight="1" x14ac:dyDescent="0.25">
      <c r="S815" s="7"/>
      <c r="T815" s="7"/>
    </row>
    <row r="816" spans="19:20" ht="15.75" customHeight="1" x14ac:dyDescent="0.25">
      <c r="S816" s="7"/>
      <c r="T816" s="7"/>
    </row>
    <row r="817" spans="19:20" ht="15.75" customHeight="1" x14ac:dyDescent="0.25">
      <c r="S817" s="7"/>
      <c r="T817" s="7"/>
    </row>
    <row r="818" spans="19:20" ht="15.75" customHeight="1" x14ac:dyDescent="0.25">
      <c r="S818" s="7"/>
      <c r="T818" s="7"/>
    </row>
    <row r="819" spans="19:20" ht="15.75" customHeight="1" x14ac:dyDescent="0.25">
      <c r="S819" s="7"/>
      <c r="T819" s="7"/>
    </row>
    <row r="820" spans="19:20" ht="15.75" customHeight="1" x14ac:dyDescent="0.25">
      <c r="S820" s="7"/>
      <c r="T820" s="7"/>
    </row>
    <row r="821" spans="19:20" ht="15.75" customHeight="1" x14ac:dyDescent="0.25">
      <c r="S821" s="7"/>
      <c r="T821" s="7"/>
    </row>
    <row r="822" spans="19:20" ht="15.75" customHeight="1" x14ac:dyDescent="0.25">
      <c r="S822" s="7"/>
      <c r="T822" s="7"/>
    </row>
    <row r="823" spans="19:20" ht="15.75" customHeight="1" x14ac:dyDescent="0.25">
      <c r="S823" s="7"/>
      <c r="T823" s="7"/>
    </row>
    <row r="824" spans="19:20" ht="15.75" customHeight="1" x14ac:dyDescent="0.25">
      <c r="S824" s="7"/>
      <c r="T824" s="7"/>
    </row>
    <row r="825" spans="19:20" ht="15.75" customHeight="1" x14ac:dyDescent="0.25">
      <c r="S825" s="7"/>
      <c r="T825" s="7"/>
    </row>
    <row r="826" spans="19:20" ht="15.75" customHeight="1" x14ac:dyDescent="0.25">
      <c r="S826" s="7"/>
      <c r="T826" s="7"/>
    </row>
    <row r="827" spans="19:20" ht="15.75" customHeight="1" x14ac:dyDescent="0.25">
      <c r="S827" s="7"/>
      <c r="T827" s="7"/>
    </row>
    <row r="828" spans="19:20" ht="15.75" customHeight="1" x14ac:dyDescent="0.25">
      <c r="S828" s="7"/>
      <c r="T828" s="7"/>
    </row>
    <row r="829" spans="19:20" ht="15.75" customHeight="1" x14ac:dyDescent="0.25">
      <c r="S829" s="7"/>
      <c r="T829" s="7"/>
    </row>
    <row r="830" spans="19:20" ht="15.75" customHeight="1" x14ac:dyDescent="0.25">
      <c r="S830" s="7"/>
      <c r="T830" s="7"/>
    </row>
    <row r="831" spans="19:20" ht="15.75" customHeight="1" x14ac:dyDescent="0.25">
      <c r="S831" s="7"/>
      <c r="T831" s="7"/>
    </row>
    <row r="832" spans="19:20" ht="15.75" customHeight="1" x14ac:dyDescent="0.25">
      <c r="S832" s="7"/>
      <c r="T832" s="7"/>
    </row>
    <row r="833" spans="19:20" ht="15.75" customHeight="1" x14ac:dyDescent="0.25">
      <c r="S833" s="7"/>
      <c r="T833" s="7"/>
    </row>
    <row r="834" spans="19:20" ht="15.75" customHeight="1" x14ac:dyDescent="0.25">
      <c r="S834" s="7"/>
      <c r="T834" s="7"/>
    </row>
    <row r="835" spans="19:20" ht="15.75" customHeight="1" x14ac:dyDescent="0.25">
      <c r="S835" s="7"/>
      <c r="T835" s="7"/>
    </row>
    <row r="836" spans="19:20" ht="15.75" customHeight="1" x14ac:dyDescent="0.25">
      <c r="S836" s="7"/>
      <c r="T836" s="7"/>
    </row>
    <row r="837" spans="19:20" ht="15.75" customHeight="1" x14ac:dyDescent="0.25">
      <c r="S837" s="7"/>
      <c r="T837" s="7"/>
    </row>
    <row r="838" spans="19:20" ht="15.75" customHeight="1" x14ac:dyDescent="0.25">
      <c r="S838" s="7"/>
      <c r="T838" s="7"/>
    </row>
    <row r="839" spans="19:20" ht="15.75" customHeight="1" x14ac:dyDescent="0.25">
      <c r="S839" s="7"/>
      <c r="T839" s="7"/>
    </row>
    <row r="840" spans="19:20" ht="15.75" customHeight="1" x14ac:dyDescent="0.25">
      <c r="S840" s="7"/>
      <c r="T840" s="7"/>
    </row>
    <row r="841" spans="19:20" ht="15.75" customHeight="1" x14ac:dyDescent="0.25">
      <c r="S841" s="7"/>
      <c r="T841" s="7"/>
    </row>
    <row r="842" spans="19:20" ht="15.75" customHeight="1" x14ac:dyDescent="0.25">
      <c r="S842" s="7"/>
      <c r="T842" s="7"/>
    </row>
    <row r="843" spans="19:20" ht="15.75" customHeight="1" x14ac:dyDescent="0.25">
      <c r="S843" s="7"/>
      <c r="T843" s="7"/>
    </row>
    <row r="844" spans="19:20" ht="15.75" customHeight="1" x14ac:dyDescent="0.25">
      <c r="S844" s="7"/>
      <c r="T844" s="7"/>
    </row>
    <row r="845" spans="19:20" ht="15.75" customHeight="1" x14ac:dyDescent="0.25">
      <c r="S845" s="7"/>
      <c r="T845" s="7"/>
    </row>
    <row r="846" spans="19:20" ht="15.75" customHeight="1" x14ac:dyDescent="0.25">
      <c r="S846" s="7"/>
      <c r="T846" s="7"/>
    </row>
    <row r="847" spans="19:20" ht="15.75" customHeight="1" x14ac:dyDescent="0.25">
      <c r="S847" s="7"/>
      <c r="T847" s="7"/>
    </row>
    <row r="848" spans="19:20" ht="15.75" customHeight="1" x14ac:dyDescent="0.25">
      <c r="S848" s="7"/>
      <c r="T848" s="7"/>
    </row>
    <row r="849" spans="19:20" ht="15.75" customHeight="1" x14ac:dyDescent="0.25">
      <c r="S849" s="7"/>
      <c r="T849" s="7"/>
    </row>
    <row r="850" spans="19:20" ht="15.75" customHeight="1" x14ac:dyDescent="0.25">
      <c r="S850" s="7"/>
      <c r="T850" s="7"/>
    </row>
    <row r="851" spans="19:20" ht="15.75" customHeight="1" x14ac:dyDescent="0.25">
      <c r="S851" s="7"/>
      <c r="T851" s="7"/>
    </row>
    <row r="852" spans="19:20" ht="15.75" customHeight="1" x14ac:dyDescent="0.25">
      <c r="S852" s="7"/>
      <c r="T852" s="7"/>
    </row>
    <row r="853" spans="19:20" ht="15.75" customHeight="1" x14ac:dyDescent="0.25">
      <c r="S853" s="7"/>
      <c r="T853" s="7"/>
    </row>
    <row r="854" spans="19:20" ht="15.75" customHeight="1" x14ac:dyDescent="0.25">
      <c r="S854" s="7"/>
      <c r="T854" s="7"/>
    </row>
    <row r="855" spans="19:20" ht="15.75" customHeight="1" x14ac:dyDescent="0.25">
      <c r="S855" s="7"/>
      <c r="T855" s="7"/>
    </row>
    <row r="856" spans="19:20" ht="15.75" customHeight="1" x14ac:dyDescent="0.25">
      <c r="S856" s="7"/>
      <c r="T856" s="7"/>
    </row>
    <row r="857" spans="19:20" ht="15.75" customHeight="1" x14ac:dyDescent="0.25">
      <c r="S857" s="7"/>
      <c r="T857" s="7"/>
    </row>
    <row r="858" spans="19:20" ht="15.75" customHeight="1" x14ac:dyDescent="0.25">
      <c r="S858" s="7"/>
      <c r="T858" s="7"/>
    </row>
    <row r="859" spans="19:20" ht="15.75" customHeight="1" x14ac:dyDescent="0.25">
      <c r="S859" s="7"/>
      <c r="T859" s="7"/>
    </row>
    <row r="860" spans="19:20" ht="15.75" customHeight="1" x14ac:dyDescent="0.25">
      <c r="S860" s="7"/>
      <c r="T860" s="7"/>
    </row>
    <row r="861" spans="19:20" ht="15.75" customHeight="1" x14ac:dyDescent="0.25">
      <c r="S861" s="7"/>
      <c r="T861" s="7"/>
    </row>
    <row r="862" spans="19:20" ht="15.75" customHeight="1" x14ac:dyDescent="0.25">
      <c r="S862" s="7"/>
      <c r="T862" s="7"/>
    </row>
    <row r="863" spans="19:20" ht="15.75" customHeight="1" x14ac:dyDescent="0.25">
      <c r="S863" s="7"/>
      <c r="T863" s="7"/>
    </row>
    <row r="864" spans="19:20" ht="15.75" customHeight="1" x14ac:dyDescent="0.25">
      <c r="S864" s="7"/>
      <c r="T864" s="7"/>
    </row>
    <row r="865" spans="19:20" ht="15.75" customHeight="1" x14ac:dyDescent="0.25">
      <c r="S865" s="7"/>
      <c r="T865" s="7"/>
    </row>
    <row r="866" spans="19:20" ht="15.75" customHeight="1" x14ac:dyDescent="0.25">
      <c r="S866" s="7"/>
      <c r="T866" s="7"/>
    </row>
    <row r="867" spans="19:20" ht="15.75" customHeight="1" x14ac:dyDescent="0.25">
      <c r="S867" s="7"/>
      <c r="T867" s="7"/>
    </row>
    <row r="868" spans="19:20" ht="15.75" customHeight="1" x14ac:dyDescent="0.25">
      <c r="S868" s="7"/>
      <c r="T868" s="7"/>
    </row>
    <row r="869" spans="19:20" ht="15.75" customHeight="1" x14ac:dyDescent="0.25">
      <c r="S869" s="7"/>
      <c r="T869" s="7"/>
    </row>
    <row r="870" spans="19:20" ht="15.75" customHeight="1" x14ac:dyDescent="0.25">
      <c r="S870" s="7"/>
      <c r="T870" s="7"/>
    </row>
    <row r="871" spans="19:20" ht="15.75" customHeight="1" x14ac:dyDescent="0.25">
      <c r="S871" s="7"/>
      <c r="T871" s="7"/>
    </row>
    <row r="872" spans="19:20" ht="15.75" customHeight="1" x14ac:dyDescent="0.25">
      <c r="S872" s="7"/>
      <c r="T872" s="7"/>
    </row>
    <row r="873" spans="19:20" ht="15.75" customHeight="1" x14ac:dyDescent="0.25">
      <c r="S873" s="7"/>
      <c r="T873" s="7"/>
    </row>
    <row r="874" spans="19:20" ht="15.75" customHeight="1" x14ac:dyDescent="0.25">
      <c r="S874" s="7"/>
      <c r="T874" s="7"/>
    </row>
    <row r="875" spans="19:20" ht="15.75" customHeight="1" x14ac:dyDescent="0.25">
      <c r="S875" s="7"/>
      <c r="T875" s="7"/>
    </row>
    <row r="876" spans="19:20" ht="15.75" customHeight="1" x14ac:dyDescent="0.25">
      <c r="S876" s="7"/>
      <c r="T876" s="7"/>
    </row>
    <row r="877" spans="19:20" ht="15.75" customHeight="1" x14ac:dyDescent="0.25">
      <c r="S877" s="7"/>
      <c r="T877" s="7"/>
    </row>
    <row r="878" spans="19:20" ht="15.75" customHeight="1" x14ac:dyDescent="0.25">
      <c r="S878" s="7"/>
      <c r="T878" s="7"/>
    </row>
    <row r="879" spans="19:20" ht="15.75" customHeight="1" x14ac:dyDescent="0.25">
      <c r="S879" s="7"/>
      <c r="T879" s="7"/>
    </row>
    <row r="880" spans="19:20" ht="15.75" customHeight="1" x14ac:dyDescent="0.25">
      <c r="S880" s="7"/>
      <c r="T880" s="7"/>
    </row>
    <row r="881" spans="19:20" ht="15.75" customHeight="1" x14ac:dyDescent="0.25">
      <c r="S881" s="7"/>
      <c r="T881" s="7"/>
    </row>
    <row r="882" spans="19:20" ht="15.75" customHeight="1" x14ac:dyDescent="0.25">
      <c r="S882" s="7"/>
      <c r="T882" s="7"/>
    </row>
    <row r="883" spans="19:20" ht="15.75" customHeight="1" x14ac:dyDescent="0.25">
      <c r="S883" s="7"/>
      <c r="T883" s="7"/>
    </row>
    <row r="884" spans="19:20" ht="15.75" customHeight="1" x14ac:dyDescent="0.25">
      <c r="S884" s="7"/>
      <c r="T884" s="7"/>
    </row>
    <row r="885" spans="19:20" ht="15.75" customHeight="1" x14ac:dyDescent="0.25">
      <c r="S885" s="7"/>
      <c r="T885" s="7"/>
    </row>
    <row r="886" spans="19:20" ht="15.75" customHeight="1" x14ac:dyDescent="0.25">
      <c r="S886" s="7"/>
      <c r="T886" s="7"/>
    </row>
    <row r="887" spans="19:20" ht="15.75" customHeight="1" x14ac:dyDescent="0.25">
      <c r="S887" s="7"/>
      <c r="T887" s="7"/>
    </row>
    <row r="888" spans="19:20" ht="15.75" customHeight="1" x14ac:dyDescent="0.25">
      <c r="S888" s="7"/>
      <c r="T888" s="7"/>
    </row>
    <row r="889" spans="19:20" ht="15.75" customHeight="1" x14ac:dyDescent="0.25">
      <c r="S889" s="7"/>
      <c r="T889" s="7"/>
    </row>
    <row r="890" spans="19:20" ht="15.75" customHeight="1" x14ac:dyDescent="0.25">
      <c r="S890" s="7"/>
      <c r="T890" s="7"/>
    </row>
    <row r="891" spans="19:20" ht="15.75" customHeight="1" x14ac:dyDescent="0.25">
      <c r="S891" s="7"/>
      <c r="T891" s="7"/>
    </row>
    <row r="892" spans="19:20" ht="15.75" customHeight="1" x14ac:dyDescent="0.25">
      <c r="S892" s="7"/>
      <c r="T892" s="7"/>
    </row>
    <row r="893" spans="19:20" ht="15.75" customHeight="1" x14ac:dyDescent="0.25">
      <c r="S893" s="7"/>
      <c r="T893" s="7"/>
    </row>
    <row r="894" spans="19:20" ht="15.75" customHeight="1" x14ac:dyDescent="0.25">
      <c r="S894" s="7"/>
      <c r="T894" s="7"/>
    </row>
    <row r="895" spans="19:20" ht="15.75" customHeight="1" x14ac:dyDescent="0.25">
      <c r="S895" s="7"/>
      <c r="T895" s="7"/>
    </row>
    <row r="896" spans="19:20" ht="15.75" customHeight="1" x14ac:dyDescent="0.25">
      <c r="S896" s="7"/>
      <c r="T896" s="7"/>
    </row>
    <row r="897" spans="19:20" ht="15.75" customHeight="1" x14ac:dyDescent="0.25">
      <c r="S897" s="7"/>
      <c r="T897" s="7"/>
    </row>
    <row r="898" spans="19:20" ht="15.75" customHeight="1" x14ac:dyDescent="0.25">
      <c r="S898" s="7"/>
      <c r="T898" s="7"/>
    </row>
    <row r="899" spans="19:20" ht="15.75" customHeight="1" x14ac:dyDescent="0.25">
      <c r="S899" s="7"/>
      <c r="T899" s="7"/>
    </row>
    <row r="900" spans="19:20" ht="15.75" customHeight="1" x14ac:dyDescent="0.25">
      <c r="S900" s="7"/>
      <c r="T900" s="7"/>
    </row>
    <row r="901" spans="19:20" ht="15.75" customHeight="1" x14ac:dyDescent="0.25">
      <c r="S901" s="7"/>
      <c r="T901" s="7"/>
    </row>
    <row r="902" spans="19:20" ht="15.75" customHeight="1" x14ac:dyDescent="0.25">
      <c r="S902" s="7"/>
      <c r="T902" s="7"/>
    </row>
    <row r="903" spans="19:20" ht="15.75" customHeight="1" x14ac:dyDescent="0.25">
      <c r="S903" s="7"/>
      <c r="T903" s="7"/>
    </row>
    <row r="904" spans="19:20" ht="15.75" customHeight="1" x14ac:dyDescent="0.25">
      <c r="S904" s="7"/>
      <c r="T904" s="7"/>
    </row>
    <row r="905" spans="19:20" ht="15.75" customHeight="1" x14ac:dyDescent="0.25">
      <c r="S905" s="7"/>
      <c r="T905" s="7"/>
    </row>
    <row r="906" spans="19:20" ht="15.75" customHeight="1" x14ac:dyDescent="0.25">
      <c r="S906" s="7"/>
      <c r="T906" s="7"/>
    </row>
    <row r="907" spans="19:20" ht="15.75" customHeight="1" x14ac:dyDescent="0.25">
      <c r="S907" s="7"/>
      <c r="T907" s="7"/>
    </row>
    <row r="908" spans="19:20" ht="15.75" customHeight="1" x14ac:dyDescent="0.25">
      <c r="S908" s="7"/>
      <c r="T908" s="7"/>
    </row>
    <row r="909" spans="19:20" ht="15.75" customHeight="1" x14ac:dyDescent="0.25">
      <c r="S909" s="7"/>
      <c r="T909" s="7"/>
    </row>
    <row r="910" spans="19:20" ht="15.75" customHeight="1" x14ac:dyDescent="0.25">
      <c r="S910" s="7"/>
      <c r="T910" s="7"/>
    </row>
    <row r="911" spans="19:20" ht="15.75" customHeight="1" x14ac:dyDescent="0.25">
      <c r="S911" s="7"/>
      <c r="T911" s="7"/>
    </row>
    <row r="912" spans="19:20" ht="15.75" customHeight="1" x14ac:dyDescent="0.25">
      <c r="S912" s="7"/>
      <c r="T912" s="7"/>
    </row>
    <row r="913" spans="19:20" ht="15.75" customHeight="1" x14ac:dyDescent="0.25">
      <c r="S913" s="7"/>
      <c r="T913" s="7"/>
    </row>
    <row r="914" spans="19:20" ht="15.75" customHeight="1" x14ac:dyDescent="0.25">
      <c r="S914" s="7"/>
      <c r="T914" s="7"/>
    </row>
    <row r="915" spans="19:20" ht="15.75" customHeight="1" x14ac:dyDescent="0.25">
      <c r="S915" s="7"/>
      <c r="T915" s="7"/>
    </row>
    <row r="916" spans="19:20" ht="15.75" customHeight="1" x14ac:dyDescent="0.25">
      <c r="S916" s="7"/>
      <c r="T916" s="7"/>
    </row>
    <row r="917" spans="19:20" ht="15.75" customHeight="1" x14ac:dyDescent="0.25">
      <c r="S917" s="7"/>
      <c r="T917" s="7"/>
    </row>
    <row r="918" spans="19:20" ht="15.75" customHeight="1" x14ac:dyDescent="0.25">
      <c r="S918" s="7"/>
      <c r="T918" s="7"/>
    </row>
    <row r="919" spans="19:20" ht="15.75" customHeight="1" x14ac:dyDescent="0.25">
      <c r="S919" s="7"/>
      <c r="T919" s="7"/>
    </row>
    <row r="920" spans="19:20" ht="15.75" customHeight="1" x14ac:dyDescent="0.25">
      <c r="S920" s="7"/>
      <c r="T920" s="7"/>
    </row>
    <row r="921" spans="19:20" ht="15.75" customHeight="1" x14ac:dyDescent="0.25">
      <c r="S921" s="7"/>
      <c r="T921" s="7"/>
    </row>
    <row r="922" spans="19:20" ht="15.75" customHeight="1" x14ac:dyDescent="0.25">
      <c r="S922" s="7"/>
      <c r="T922" s="7"/>
    </row>
    <row r="923" spans="19:20" ht="15.75" customHeight="1" x14ac:dyDescent="0.25">
      <c r="S923" s="7"/>
      <c r="T923" s="7"/>
    </row>
    <row r="924" spans="19:20" ht="15.75" customHeight="1" x14ac:dyDescent="0.25">
      <c r="S924" s="7"/>
      <c r="T924" s="7"/>
    </row>
    <row r="925" spans="19:20" ht="15.75" customHeight="1" x14ac:dyDescent="0.25">
      <c r="S925" s="7"/>
      <c r="T925" s="7"/>
    </row>
    <row r="926" spans="19:20" ht="15.75" customHeight="1" x14ac:dyDescent="0.25">
      <c r="S926" s="7"/>
      <c r="T926" s="7"/>
    </row>
    <row r="927" spans="19:20" ht="15.75" customHeight="1" x14ac:dyDescent="0.25">
      <c r="S927" s="7"/>
      <c r="T927" s="7"/>
    </row>
    <row r="928" spans="19:20" ht="15.75" customHeight="1" x14ac:dyDescent="0.25">
      <c r="S928" s="7"/>
      <c r="T928" s="7"/>
    </row>
    <row r="929" spans="19:20" ht="15.75" customHeight="1" x14ac:dyDescent="0.25">
      <c r="S929" s="7"/>
      <c r="T929" s="7"/>
    </row>
    <row r="930" spans="19:20" ht="15.75" customHeight="1" x14ac:dyDescent="0.25">
      <c r="S930" s="7"/>
      <c r="T930" s="7"/>
    </row>
    <row r="931" spans="19:20" ht="15.75" customHeight="1" x14ac:dyDescent="0.25">
      <c r="S931" s="7"/>
      <c r="T931" s="7"/>
    </row>
    <row r="932" spans="19:20" ht="15.75" customHeight="1" x14ac:dyDescent="0.25">
      <c r="S932" s="7"/>
      <c r="T932" s="7"/>
    </row>
    <row r="933" spans="19:20" ht="15.75" customHeight="1" x14ac:dyDescent="0.25">
      <c r="S933" s="7"/>
      <c r="T933" s="7"/>
    </row>
    <row r="934" spans="19:20" ht="15.75" customHeight="1" x14ac:dyDescent="0.25">
      <c r="S934" s="7"/>
      <c r="T934" s="7"/>
    </row>
    <row r="935" spans="19:20" ht="15.75" customHeight="1" x14ac:dyDescent="0.25">
      <c r="S935" s="7"/>
      <c r="T935" s="7"/>
    </row>
    <row r="936" spans="19:20" ht="15.75" customHeight="1" x14ac:dyDescent="0.25">
      <c r="S936" s="7"/>
      <c r="T936" s="7"/>
    </row>
    <row r="937" spans="19:20" ht="15.75" customHeight="1" x14ac:dyDescent="0.25">
      <c r="S937" s="7"/>
      <c r="T937" s="7"/>
    </row>
    <row r="938" spans="19:20" ht="15.75" customHeight="1" x14ac:dyDescent="0.25">
      <c r="S938" s="7"/>
      <c r="T938" s="7"/>
    </row>
    <row r="939" spans="19:20" ht="15.75" customHeight="1" x14ac:dyDescent="0.25">
      <c r="S939" s="7"/>
      <c r="T939" s="7"/>
    </row>
    <row r="940" spans="19:20" ht="15.75" customHeight="1" x14ac:dyDescent="0.25">
      <c r="S940" s="7"/>
      <c r="T940" s="7"/>
    </row>
    <row r="941" spans="19:20" ht="15.75" customHeight="1" x14ac:dyDescent="0.25">
      <c r="S941" s="7"/>
      <c r="T941" s="7"/>
    </row>
    <row r="942" spans="19:20" ht="15.75" customHeight="1" x14ac:dyDescent="0.25">
      <c r="S942" s="7"/>
      <c r="T942" s="7"/>
    </row>
    <row r="943" spans="19:20" ht="15.75" customHeight="1" x14ac:dyDescent="0.25">
      <c r="S943" s="7"/>
      <c r="T943" s="7"/>
    </row>
    <row r="944" spans="19:20" ht="15.75" customHeight="1" x14ac:dyDescent="0.25">
      <c r="S944" s="7"/>
      <c r="T944" s="7"/>
    </row>
    <row r="945" spans="19:20" ht="15.75" customHeight="1" x14ac:dyDescent="0.25">
      <c r="S945" s="7"/>
      <c r="T945" s="7"/>
    </row>
    <row r="946" spans="19:20" ht="15.75" customHeight="1" x14ac:dyDescent="0.25">
      <c r="S946" s="7"/>
      <c r="T946" s="7"/>
    </row>
    <row r="947" spans="19:20" ht="15.75" customHeight="1" x14ac:dyDescent="0.25">
      <c r="S947" s="7"/>
      <c r="T947" s="7"/>
    </row>
    <row r="948" spans="19:20" ht="15.75" customHeight="1" x14ac:dyDescent="0.25">
      <c r="S948" s="7"/>
      <c r="T948" s="7"/>
    </row>
    <row r="949" spans="19:20" ht="15.75" customHeight="1" x14ac:dyDescent="0.25">
      <c r="S949" s="7"/>
      <c r="T949" s="7"/>
    </row>
    <row r="950" spans="19:20" ht="15.75" customHeight="1" x14ac:dyDescent="0.25">
      <c r="S950" s="7"/>
      <c r="T950" s="7"/>
    </row>
    <row r="951" spans="19:20" ht="15.75" customHeight="1" x14ac:dyDescent="0.25">
      <c r="S951" s="7"/>
      <c r="T951" s="7"/>
    </row>
    <row r="952" spans="19:20" ht="15.75" customHeight="1" x14ac:dyDescent="0.25">
      <c r="S952" s="7"/>
      <c r="T952" s="7"/>
    </row>
    <row r="953" spans="19:20" ht="15.75" customHeight="1" x14ac:dyDescent="0.25">
      <c r="S953" s="7"/>
      <c r="T953" s="7"/>
    </row>
    <row r="954" spans="19:20" ht="15.75" customHeight="1" x14ac:dyDescent="0.25">
      <c r="S954" s="7"/>
      <c r="T954" s="7"/>
    </row>
    <row r="955" spans="19:20" ht="15.75" customHeight="1" x14ac:dyDescent="0.25">
      <c r="S955" s="7"/>
      <c r="T955" s="7"/>
    </row>
    <row r="956" spans="19:20" ht="15.75" customHeight="1" x14ac:dyDescent="0.25">
      <c r="S956" s="7"/>
      <c r="T956" s="7"/>
    </row>
    <row r="957" spans="19:20" ht="15.75" customHeight="1" x14ac:dyDescent="0.25">
      <c r="S957" s="7"/>
      <c r="T957" s="7"/>
    </row>
    <row r="958" spans="19:20" ht="15.75" customHeight="1" x14ac:dyDescent="0.25">
      <c r="S958" s="7"/>
      <c r="T958" s="7"/>
    </row>
    <row r="959" spans="19:20" ht="15.75" customHeight="1" x14ac:dyDescent="0.25">
      <c r="S959" s="7"/>
      <c r="T959" s="7"/>
    </row>
    <row r="960" spans="19:20" ht="15.75" customHeight="1" x14ac:dyDescent="0.25">
      <c r="S960" s="7"/>
      <c r="T960" s="7"/>
    </row>
    <row r="961" spans="19:20" ht="15.75" customHeight="1" x14ac:dyDescent="0.25">
      <c r="S961" s="7"/>
      <c r="T961" s="7"/>
    </row>
    <row r="962" spans="19:20" ht="15.75" customHeight="1" x14ac:dyDescent="0.25">
      <c r="S962" s="7"/>
      <c r="T962" s="7"/>
    </row>
    <row r="963" spans="19:20" ht="15.75" customHeight="1" x14ac:dyDescent="0.25">
      <c r="S963" s="7"/>
      <c r="T963" s="7"/>
    </row>
    <row r="964" spans="19:20" ht="15.75" customHeight="1" x14ac:dyDescent="0.25">
      <c r="S964" s="7"/>
      <c r="T964" s="7"/>
    </row>
    <row r="965" spans="19:20" ht="15.75" customHeight="1" x14ac:dyDescent="0.25">
      <c r="S965" s="7"/>
      <c r="T965" s="7"/>
    </row>
    <row r="966" spans="19:20" ht="15.75" customHeight="1" x14ac:dyDescent="0.25">
      <c r="S966" s="7"/>
      <c r="T966" s="7"/>
    </row>
    <row r="967" spans="19:20" ht="15.75" customHeight="1" x14ac:dyDescent="0.25">
      <c r="S967" s="7"/>
      <c r="T967" s="7"/>
    </row>
    <row r="968" spans="19:20" ht="15.75" customHeight="1" x14ac:dyDescent="0.25">
      <c r="S968" s="7"/>
      <c r="T968" s="7"/>
    </row>
    <row r="969" spans="19:20" ht="15.75" customHeight="1" x14ac:dyDescent="0.25">
      <c r="S969" s="7"/>
      <c r="T969" s="7"/>
    </row>
    <row r="970" spans="19:20" ht="15.75" customHeight="1" x14ac:dyDescent="0.25">
      <c r="S970" s="7"/>
      <c r="T970" s="7"/>
    </row>
    <row r="971" spans="19:20" ht="15.75" customHeight="1" x14ac:dyDescent="0.25">
      <c r="S971" s="7"/>
      <c r="T971" s="7"/>
    </row>
    <row r="972" spans="19:20" ht="15.75" customHeight="1" x14ac:dyDescent="0.25">
      <c r="S972" s="7"/>
      <c r="T972" s="7"/>
    </row>
    <row r="973" spans="19:20" ht="15.75" customHeight="1" x14ac:dyDescent="0.25">
      <c r="S973" s="7"/>
      <c r="T973" s="7"/>
    </row>
    <row r="974" spans="19:20" ht="15.75" customHeight="1" x14ac:dyDescent="0.25">
      <c r="S974" s="7"/>
      <c r="T974" s="7"/>
    </row>
    <row r="975" spans="19:20" ht="15.75" customHeight="1" x14ac:dyDescent="0.25">
      <c r="S975" s="7"/>
      <c r="T975" s="7"/>
    </row>
    <row r="976" spans="19:20" ht="15.75" customHeight="1" x14ac:dyDescent="0.25">
      <c r="S976" s="7"/>
      <c r="T976" s="7"/>
    </row>
    <row r="977" spans="19:20" ht="15.75" customHeight="1" x14ac:dyDescent="0.25">
      <c r="S977" s="7"/>
      <c r="T977" s="7"/>
    </row>
    <row r="978" spans="19:20" ht="15.75" customHeight="1" x14ac:dyDescent="0.25">
      <c r="S978" s="7"/>
      <c r="T978" s="7"/>
    </row>
    <row r="979" spans="19:20" ht="15.75" customHeight="1" x14ac:dyDescent="0.25">
      <c r="S979" s="7"/>
      <c r="T979" s="7"/>
    </row>
    <row r="980" spans="19:20" ht="15.75" customHeight="1" x14ac:dyDescent="0.25">
      <c r="S980" s="7"/>
      <c r="T980" s="7"/>
    </row>
    <row r="981" spans="19:20" ht="15.75" customHeight="1" x14ac:dyDescent="0.25">
      <c r="S981" s="7"/>
      <c r="T981" s="7"/>
    </row>
    <row r="982" spans="19:20" ht="15.75" customHeight="1" x14ac:dyDescent="0.25">
      <c r="S982" s="7"/>
      <c r="T982" s="7"/>
    </row>
    <row r="983" spans="19:20" ht="15.75" customHeight="1" x14ac:dyDescent="0.25">
      <c r="S983" s="7"/>
      <c r="T983" s="7"/>
    </row>
    <row r="984" spans="19:20" ht="15.75" customHeight="1" x14ac:dyDescent="0.25">
      <c r="S984" s="7"/>
      <c r="T984" s="7"/>
    </row>
    <row r="985" spans="19:20" ht="15.75" customHeight="1" x14ac:dyDescent="0.25">
      <c r="S985" s="7"/>
      <c r="T985" s="7"/>
    </row>
    <row r="986" spans="19:20" ht="15.75" customHeight="1" x14ac:dyDescent="0.25">
      <c r="S986" s="7"/>
      <c r="T986" s="7"/>
    </row>
    <row r="987" spans="19:20" ht="15.75" customHeight="1" x14ac:dyDescent="0.25">
      <c r="S987" s="7"/>
      <c r="T987" s="7"/>
    </row>
    <row r="988" spans="19:20" ht="15.75" customHeight="1" x14ac:dyDescent="0.25">
      <c r="S988" s="7"/>
      <c r="T988" s="7"/>
    </row>
    <row r="989" spans="19:20" ht="15.75" customHeight="1" x14ac:dyDescent="0.25">
      <c r="S989" s="7"/>
      <c r="T989" s="7"/>
    </row>
    <row r="990" spans="19:20" ht="15.75" customHeight="1" x14ac:dyDescent="0.25">
      <c r="S990" s="7"/>
      <c r="T990" s="7"/>
    </row>
    <row r="991" spans="19:20" ht="15.75" customHeight="1" x14ac:dyDescent="0.25">
      <c r="S991" s="7"/>
      <c r="T991" s="7"/>
    </row>
    <row r="992" spans="19:20" ht="15.75" customHeight="1" x14ac:dyDescent="0.25">
      <c r="S992" s="7"/>
      <c r="T992" s="7"/>
    </row>
    <row r="993" spans="19:20" ht="15.75" customHeight="1" x14ac:dyDescent="0.25">
      <c r="S993" s="7"/>
      <c r="T993" s="7"/>
    </row>
    <row r="994" spans="19:20" ht="15.75" customHeight="1" x14ac:dyDescent="0.25">
      <c r="S994" s="7"/>
      <c r="T994" s="7"/>
    </row>
    <row r="995" spans="19:20" ht="15.75" customHeight="1" x14ac:dyDescent="0.25">
      <c r="S995" s="7"/>
      <c r="T995" s="7"/>
    </row>
    <row r="996" spans="19:20" ht="15.75" customHeight="1" x14ac:dyDescent="0.25">
      <c r="S996" s="7"/>
      <c r="T996" s="7"/>
    </row>
    <row r="997" spans="19:20" ht="15.75" customHeight="1" x14ac:dyDescent="0.25">
      <c r="S997" s="7"/>
      <c r="T997" s="7"/>
    </row>
    <row r="998" spans="19:20" ht="15.75" customHeight="1" x14ac:dyDescent="0.25">
      <c r="S998" s="7"/>
      <c r="T998" s="7"/>
    </row>
    <row r="999" spans="19:20" ht="15.75" customHeight="1" x14ac:dyDescent="0.25">
      <c r="S999" s="7"/>
      <c r="T999" s="7"/>
    </row>
    <row r="1000" spans="19:20" ht="15.75" customHeight="1" x14ac:dyDescent="0.25">
      <c r="S1000" s="7"/>
      <c r="T1000" s="7"/>
    </row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Prima Tarifa</vt:lpstr>
      <vt:lpstr>Prima Riesgo</vt:lpstr>
      <vt:lpstr>Mensual</vt:lpstr>
      <vt:lpstr>Anual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Rivera Vergara</dc:creator>
  <cp:lastModifiedBy>Gustavo Rivera Vergara</cp:lastModifiedBy>
  <dcterms:created xsi:type="dcterms:W3CDTF">2024-04-28T21:24:23Z</dcterms:created>
  <dcterms:modified xsi:type="dcterms:W3CDTF">2024-05-23T00:29:50Z</dcterms:modified>
</cp:coreProperties>
</file>